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Final AISHE 2022-23 &amp; 2023-24\"/>
    </mc:Choice>
  </mc:AlternateContent>
  <xr:revisionPtr revIDLastSave="0" documentId="13_ncr:1_{C3DB072C-EE69-4514-8325-850142A99B01}" xr6:coauthVersionLast="47" xr6:coauthVersionMax="47" xr10:uidLastSave="{00000000-0000-0000-0000-000000000000}"/>
  <bookViews>
    <workbookView xWindow="-110" yWindow="-110" windowWidth="19420" windowHeight="11500" tabRatio="859" firstSheet="57" activeTab="63" xr2:uid="{ECBFA024-9967-4BDA-8604-BAE2EB09C3D3}"/>
  </bookViews>
  <sheets>
    <sheet name="1.UniNo" sheetId="1" r:id="rId1"/>
    <sheet name="1a.InsResponse" sheetId="2" r:id="rId2"/>
    <sheet name="2University-Specialisation" sheetId="47" r:id="rId3"/>
    <sheet name="3Collegerange" sheetId="3" r:id="rId4"/>
    <sheet name="4CollegeIndicator" sheetId="4" r:id="rId5"/>
    <sheet name="4aCollegeSpec" sheetId="56" r:id="rId6"/>
    <sheet name="5ManagementCollegeNo" sheetId="5" r:id="rId7"/>
    <sheet name="6TotalEnr" sheetId="6" r:id="rId8"/>
    <sheet name="6aTotalRegularEnr" sheetId="7" r:id="rId9"/>
    <sheet name="6bTotalDistanceEnr" sheetId="8" r:id="rId10"/>
    <sheet name="6cTotalPrivateEnr" sheetId="9" r:id="rId11"/>
    <sheet name="6dTotalOnline" sheetId="10" r:id="rId12"/>
    <sheet name="7UnivActwithConsUnit" sheetId="11" r:id="rId13"/>
    <sheet name="8CollegeAct" sheetId="12" r:id="rId14"/>
    <sheet name="9AllSAAct" sheetId="13" r:id="rId15"/>
    <sheet name="9aSAILevel" sheetId="14" r:id="rId16"/>
    <sheet name="10InstituionEst" sheetId="15" r:id="rId17"/>
    <sheet name="11Programme" sheetId="48" r:id="rId18"/>
    <sheet name="11aProgrammeRegular" sheetId="49" state="hidden" r:id="rId19"/>
    <sheet name="11bProgrammeDistance " sheetId="50" r:id="rId20"/>
    <sheet name="11cProgrammePrivate" sheetId="51" state="hidden" r:id="rId21"/>
    <sheet name="11dProgrammeOnline" sheetId="52" state="hidden" r:id="rId22"/>
    <sheet name="12UGDisc " sheetId="17" r:id="rId23"/>
    <sheet name="13PGDisc" sheetId="18" r:id="rId24"/>
    <sheet name="14-15TotalEnrCategory (2)" sheetId="19" r:id="rId25"/>
    <sheet name="16FS-countrylevel" sheetId="20" r:id="rId26"/>
    <sheet name="17FS-statelevel" sheetId="21" r:id="rId27"/>
    <sheet name="18FS-prog" sheetId="22" r:id="rId28"/>
    <sheet name="19GER(2011)" sheetId="23" r:id="rId29"/>
    <sheet name="20GPI2011" sheetId="24" r:id="rId30"/>
    <sheet name="21TeacherCategory" sheetId="26" r:id="rId31"/>
    <sheet name="22TeacherPost" sheetId="27" r:id="rId32"/>
    <sheet name="22aTeacherPostUC" sheetId="28" r:id="rId33"/>
    <sheet name="22bTeacherPostU" sheetId="29" r:id="rId34"/>
    <sheet name="23StaffPost" sheetId="30" r:id="rId35"/>
    <sheet name="24StaffCategory" sheetId="31" r:id="rId36"/>
    <sheet name="25PTR" sheetId="32" r:id="rId37"/>
    <sheet name="26UnivEnrolinclConstituentU" sheetId="33" r:id="rId38"/>
    <sheet name="27 28 TypeEnrolmentCategory-Est" sheetId="34" r:id="rId39"/>
    <sheet name="29TypeTeacherPostEstimated" sheetId="35" r:id="rId40"/>
    <sheet name="30TypeTeacherCategoryEstimated" sheetId="36" r:id="rId41"/>
    <sheet name="31Hostelstate " sheetId="37" r:id="rId42"/>
    <sheet name="32TypeHostel" sheetId="38" r:id="rId43"/>
    <sheet name="33 Out Turn" sheetId="39" r:id="rId44"/>
    <sheet name="33 (a)(b) Category Out Turn" sheetId="42" r:id="rId45"/>
    <sheet name="34 Out Turn Prog" sheetId="40" r:id="rId46"/>
    <sheet name="34a" sheetId="41" r:id="rId47"/>
    <sheet name="35 UG Discipline" sheetId="43" r:id="rId48"/>
    <sheet name="36 PGDisc " sheetId="44" r:id="rId49"/>
    <sheet name="37CollegeTypeNo" sheetId="54" r:id="rId50"/>
    <sheet name="38Pop2020(2011)" sheetId="53" r:id="rId51"/>
    <sheet name="39TypeStateUnivwithConsUnit" sheetId="45" r:id="rId52"/>
    <sheet name="40NoUni" sheetId="46" r:id="rId53"/>
    <sheet name="41NoUniType" sheetId="58" r:id="rId54"/>
    <sheet name="42CollegeIndicator" sheetId="59" r:id="rId55"/>
    <sheet name="43ENRLT 6" sheetId="60" r:id="rId56"/>
    <sheet name="44ENRLR 6a" sheetId="61" r:id="rId57"/>
    <sheet name="45EnrlCategory 14" sheetId="62" r:id="rId58"/>
    <sheet name="46EnrlMinority 15" sheetId="63" r:id="rId59"/>
    <sheet name="47GER  19" sheetId="64" r:id="rId60"/>
    <sheet name="48GPI 20 Updated" sheetId="65" r:id="rId61"/>
    <sheet name="49PTR 25" sheetId="66" r:id="rId62"/>
    <sheet name="50LevelEnrlUniType" sheetId="67" r:id="rId63"/>
    <sheet name="51PostTeacher" sheetId="68" r:id="rId64"/>
  </sheets>
  <definedNames>
    <definedName name="_xlnm._FilterDatabase" localSheetId="17" hidden="1">'11Programme'!$A$4:$Z$239</definedName>
    <definedName name="_xlnm._FilterDatabase" localSheetId="25" hidden="1">'16FS-countrylevel'!$B$4:$AC$167</definedName>
    <definedName name="_xlnm._FilterDatabase" localSheetId="27" hidden="1">'18FS-prog'!$A$2:$E$147</definedName>
    <definedName name="_xlnm._FilterDatabase" localSheetId="1" hidden="1">'1a.InsResponse'!$A$4:$O$42</definedName>
    <definedName name="_xlnm._FilterDatabase" localSheetId="48" hidden="1">'36 PGDisc '!$B$4:$L$4</definedName>
    <definedName name="_xlnm._FilterDatabase" localSheetId="53" hidden="1">'41NoUniType'!$A$3:$I$206</definedName>
    <definedName name="_xlnm._FilterDatabase" localSheetId="55" hidden="1">'43ENRLT 6'!$A$4:$AC$225</definedName>
    <definedName name="_xlnm._FilterDatabase" localSheetId="56" hidden="1">'44ENRLR 6a'!$A$4:$AC$225</definedName>
    <definedName name="_xlnm._FilterDatabase" localSheetId="57" hidden="1">'45EnrlCategory 14'!$A$4:$N$224</definedName>
    <definedName name="_xlnm._FilterDatabase" localSheetId="58" hidden="1">'46EnrlMinority 15'!$A$4:$N$225</definedName>
    <definedName name="_xlnm._FilterDatabase" localSheetId="59" hidden="1">'47GER  19'!$B$4:$K$225</definedName>
    <definedName name="_xlnm._FilterDatabase" localSheetId="61" hidden="1">'49PTR 25'!$A$4:$H$226</definedName>
    <definedName name="_xlnm._FilterDatabase" localSheetId="62" hidden="1">'50LevelEnrlUniType'!$A$4:$AC$76</definedName>
    <definedName name="_xlnm._FilterDatabase" localSheetId="63" hidden="1">'51PostTeacher'!$A$4:$Y$225</definedName>
    <definedName name="_xlnm._FilterDatabase" localSheetId="6" hidden="1">'5ManagementCollegeNo'!$A$3:$T$41</definedName>
    <definedName name="_xlnm._FilterDatabase" localSheetId="7" hidden="1">'6TotalEnr'!$A$4:$AC$41</definedName>
    <definedName name="_xlnm._FilterDatabase" localSheetId="13" hidden="1">'8CollegeAct'!$A$4:$AF$41</definedName>
    <definedName name="College" localSheetId="16">#REF!</definedName>
    <definedName name="College" localSheetId="18">#REF!</definedName>
    <definedName name="College" localSheetId="19">#REF!</definedName>
    <definedName name="College" localSheetId="20">#REF!</definedName>
    <definedName name="College" localSheetId="21">#REF!</definedName>
    <definedName name="College" localSheetId="17">#REF!</definedName>
    <definedName name="College" localSheetId="22">#REF!</definedName>
    <definedName name="College" localSheetId="23">#REF!</definedName>
    <definedName name="College" localSheetId="24">#REF!</definedName>
    <definedName name="College" localSheetId="25">#REF!</definedName>
    <definedName name="College" localSheetId="26">#REF!</definedName>
    <definedName name="College" localSheetId="27">#REF!</definedName>
    <definedName name="College" localSheetId="28">#REF!</definedName>
    <definedName name="College" localSheetId="1">#REF!</definedName>
    <definedName name="College" localSheetId="29">#REF!</definedName>
    <definedName name="College" localSheetId="30">#REF!</definedName>
    <definedName name="College" localSheetId="32">#REF!</definedName>
    <definedName name="College" localSheetId="33">#REF!</definedName>
    <definedName name="College" localSheetId="31">#REF!</definedName>
    <definedName name="College" localSheetId="34">#REF!</definedName>
    <definedName name="College" localSheetId="35">#REF!</definedName>
    <definedName name="College" localSheetId="36">#REF!</definedName>
    <definedName name="College" localSheetId="37">#REF!</definedName>
    <definedName name="College" localSheetId="38">#REF!</definedName>
    <definedName name="College" localSheetId="39">#REF!</definedName>
    <definedName name="College" localSheetId="2">#REF!</definedName>
    <definedName name="College" localSheetId="40">#REF!</definedName>
    <definedName name="College" localSheetId="41">#REF!</definedName>
    <definedName name="College" localSheetId="42">#REF!</definedName>
    <definedName name="College" localSheetId="44">#REF!</definedName>
    <definedName name="College" localSheetId="43">#REF!</definedName>
    <definedName name="College" localSheetId="45">#REF!</definedName>
    <definedName name="College" localSheetId="46">#REF!</definedName>
    <definedName name="College" localSheetId="47">#REF!</definedName>
    <definedName name="College" localSheetId="48">#REF!</definedName>
    <definedName name="College" localSheetId="49">#REF!</definedName>
    <definedName name="College" localSheetId="50">#REF!</definedName>
    <definedName name="College" localSheetId="51">#REF!</definedName>
    <definedName name="College" localSheetId="3">#REF!</definedName>
    <definedName name="College" localSheetId="52">#REF!</definedName>
    <definedName name="College" localSheetId="53">#REF!</definedName>
    <definedName name="College" localSheetId="54">#REF!</definedName>
    <definedName name="College" localSheetId="55">#REF!</definedName>
    <definedName name="College" localSheetId="56">#REF!</definedName>
    <definedName name="College" localSheetId="57">#REF!</definedName>
    <definedName name="College" localSheetId="58">#REF!</definedName>
    <definedName name="College" localSheetId="59">#REF!</definedName>
    <definedName name="College" localSheetId="60">#REF!</definedName>
    <definedName name="College" localSheetId="61">#REF!</definedName>
    <definedName name="College" localSheetId="5">#REF!</definedName>
    <definedName name="College" localSheetId="4">#REF!</definedName>
    <definedName name="College" localSheetId="62">#REF!</definedName>
    <definedName name="College" localSheetId="63">#REF!</definedName>
    <definedName name="College" localSheetId="6">#REF!</definedName>
    <definedName name="College" localSheetId="8">#REF!</definedName>
    <definedName name="College" localSheetId="9">#REF!</definedName>
    <definedName name="College" localSheetId="10">#REF!</definedName>
    <definedName name="College" localSheetId="11">#REF!</definedName>
    <definedName name="College" localSheetId="7">#REF!</definedName>
    <definedName name="College" localSheetId="12">#REF!</definedName>
    <definedName name="College" localSheetId="13">#REF!</definedName>
    <definedName name="College" localSheetId="14">#REF!</definedName>
    <definedName name="College" localSheetId="15">#REF!</definedName>
    <definedName name="College">#REF!</definedName>
    <definedName name="d" localSheetId="16">#REF!</definedName>
    <definedName name="d" localSheetId="18">#REF!</definedName>
    <definedName name="d" localSheetId="19">#REF!</definedName>
    <definedName name="d" localSheetId="20">#REF!</definedName>
    <definedName name="d" localSheetId="21">#REF!</definedName>
    <definedName name="d" localSheetId="17">#REF!</definedName>
    <definedName name="d" localSheetId="22">#REF!</definedName>
    <definedName name="d" localSheetId="23">#REF!</definedName>
    <definedName name="d" localSheetId="24">#REF!</definedName>
    <definedName name="d" localSheetId="25">#REF!</definedName>
    <definedName name="d" localSheetId="26">#REF!</definedName>
    <definedName name="d" localSheetId="27">#REF!</definedName>
    <definedName name="d" localSheetId="28">#REF!</definedName>
    <definedName name="d" localSheetId="1">#REF!</definedName>
    <definedName name="d" localSheetId="29">#REF!</definedName>
    <definedName name="d" localSheetId="30">#REF!</definedName>
    <definedName name="d" localSheetId="32">#REF!</definedName>
    <definedName name="d" localSheetId="33">#REF!</definedName>
    <definedName name="d" localSheetId="31">#REF!</definedName>
    <definedName name="d" localSheetId="34">#REF!</definedName>
    <definedName name="d" localSheetId="35">#REF!</definedName>
    <definedName name="d" localSheetId="36">#REF!</definedName>
    <definedName name="d" localSheetId="37">#REF!</definedName>
    <definedName name="d" localSheetId="38">#REF!</definedName>
    <definedName name="d" localSheetId="39">#REF!</definedName>
    <definedName name="d" localSheetId="2">#REF!</definedName>
    <definedName name="d" localSheetId="40">#REF!</definedName>
    <definedName name="d" localSheetId="41">#REF!</definedName>
    <definedName name="d" localSheetId="42">#REF!</definedName>
    <definedName name="d" localSheetId="44">#REF!</definedName>
    <definedName name="d" localSheetId="43">#REF!</definedName>
    <definedName name="d" localSheetId="45">#REF!</definedName>
    <definedName name="d" localSheetId="46">#REF!</definedName>
    <definedName name="d" localSheetId="47">#REF!</definedName>
    <definedName name="d" localSheetId="48">#REF!</definedName>
    <definedName name="d" localSheetId="49">#REF!</definedName>
    <definedName name="d" localSheetId="50">#REF!</definedName>
    <definedName name="d" localSheetId="51">#REF!</definedName>
    <definedName name="d" localSheetId="3">#REF!</definedName>
    <definedName name="d" localSheetId="52">#REF!</definedName>
    <definedName name="d" localSheetId="53">#REF!</definedName>
    <definedName name="d" localSheetId="54">#REF!</definedName>
    <definedName name="d" localSheetId="55">#REF!</definedName>
    <definedName name="d" localSheetId="56">#REF!</definedName>
    <definedName name="d" localSheetId="57">#REF!</definedName>
    <definedName name="d" localSheetId="58">#REF!</definedName>
    <definedName name="d" localSheetId="59">#REF!</definedName>
    <definedName name="d" localSheetId="60">#REF!</definedName>
    <definedName name="d" localSheetId="61">#REF!</definedName>
    <definedName name="d" localSheetId="5">#REF!</definedName>
    <definedName name="d" localSheetId="4">#REF!</definedName>
    <definedName name="d" localSheetId="62">#REF!</definedName>
    <definedName name="d" localSheetId="63">#REF!</definedName>
    <definedName name="d" localSheetId="6">#REF!</definedName>
    <definedName name="d" localSheetId="8">#REF!</definedName>
    <definedName name="d" localSheetId="9">#REF!</definedName>
    <definedName name="d" localSheetId="10">#REF!</definedName>
    <definedName name="d" localSheetId="11">#REF!</definedName>
    <definedName name="d" localSheetId="7">#REF!</definedName>
    <definedName name="d" localSheetId="12">#REF!</definedName>
    <definedName name="d" localSheetId="13">#REF!</definedName>
    <definedName name="d" localSheetId="14">#REF!</definedName>
    <definedName name="d" localSheetId="15">#REF!</definedName>
    <definedName name="d">#REF!</definedName>
    <definedName name="fg" localSheetId="16">#REF!</definedName>
    <definedName name="fg" localSheetId="18">#REF!</definedName>
    <definedName name="fg" localSheetId="19">#REF!</definedName>
    <definedName name="fg" localSheetId="20">#REF!</definedName>
    <definedName name="fg" localSheetId="21">#REF!</definedName>
    <definedName name="fg" localSheetId="17">#REF!</definedName>
    <definedName name="fg" localSheetId="22">#REF!</definedName>
    <definedName name="fg" localSheetId="23">#REF!</definedName>
    <definedName name="fg" localSheetId="24">#REF!</definedName>
    <definedName name="fg" localSheetId="25">#REF!</definedName>
    <definedName name="fg" localSheetId="26">#REF!</definedName>
    <definedName name="fg" localSheetId="27">#REF!</definedName>
    <definedName name="fg" localSheetId="28">#REF!</definedName>
    <definedName name="fg" localSheetId="1">#REF!</definedName>
    <definedName name="fg" localSheetId="29">#REF!</definedName>
    <definedName name="fg" localSheetId="30">#REF!</definedName>
    <definedName name="fg" localSheetId="32">#REF!</definedName>
    <definedName name="fg" localSheetId="33">#REF!</definedName>
    <definedName name="fg" localSheetId="31">#REF!</definedName>
    <definedName name="fg" localSheetId="34">#REF!</definedName>
    <definedName name="fg" localSheetId="35">#REF!</definedName>
    <definedName name="fg" localSheetId="36">#REF!</definedName>
    <definedName name="fg" localSheetId="37">#REF!</definedName>
    <definedName name="fg" localSheetId="38">#REF!</definedName>
    <definedName name="fg" localSheetId="39">#REF!</definedName>
    <definedName name="fg" localSheetId="2">#REF!</definedName>
    <definedName name="fg" localSheetId="40">#REF!</definedName>
    <definedName name="fg" localSheetId="41">#REF!</definedName>
    <definedName name="fg" localSheetId="42">#REF!</definedName>
    <definedName name="fg" localSheetId="44">#REF!</definedName>
    <definedName name="fg" localSheetId="43">#REF!</definedName>
    <definedName name="fg" localSheetId="45">#REF!</definedName>
    <definedName name="fg" localSheetId="46">#REF!</definedName>
    <definedName name="fg" localSheetId="47">#REF!</definedName>
    <definedName name="fg" localSheetId="48">#REF!</definedName>
    <definedName name="fg" localSheetId="49">#REF!</definedName>
    <definedName name="fg" localSheetId="50">#REF!</definedName>
    <definedName name="fg" localSheetId="51">#REF!</definedName>
    <definedName name="fg" localSheetId="3">#REF!</definedName>
    <definedName name="fg" localSheetId="52">#REF!</definedName>
    <definedName name="fg" localSheetId="5">#REF!</definedName>
    <definedName name="fg" localSheetId="4">#REF!</definedName>
    <definedName name="fg" localSheetId="6">#REF!</definedName>
    <definedName name="fg" localSheetId="8">#REF!</definedName>
    <definedName name="fg" localSheetId="9">#REF!</definedName>
    <definedName name="fg" localSheetId="10">#REF!</definedName>
    <definedName name="fg" localSheetId="11">#REF!</definedName>
    <definedName name="fg" localSheetId="7">#REF!</definedName>
    <definedName name="fg" localSheetId="12">#REF!</definedName>
    <definedName name="fg" localSheetId="13">#REF!</definedName>
    <definedName name="fg" localSheetId="14">#REF!</definedName>
    <definedName name="fg" localSheetId="15">#REF!</definedName>
    <definedName name="fg">#REF!</definedName>
    <definedName name="JR_PAGE_ANCHOR_0_1" localSheetId="16">#REF!</definedName>
    <definedName name="JR_PAGE_ANCHOR_0_1" localSheetId="18">#REF!</definedName>
    <definedName name="JR_PAGE_ANCHOR_0_1" localSheetId="19">#REF!</definedName>
    <definedName name="JR_PAGE_ANCHOR_0_1" localSheetId="20">#REF!</definedName>
    <definedName name="JR_PAGE_ANCHOR_0_1" localSheetId="21">#REF!</definedName>
    <definedName name="JR_PAGE_ANCHOR_0_1" localSheetId="17">#REF!</definedName>
    <definedName name="JR_PAGE_ANCHOR_0_1" localSheetId="22">#REF!</definedName>
    <definedName name="JR_PAGE_ANCHOR_0_1" localSheetId="23">#REF!</definedName>
    <definedName name="JR_PAGE_ANCHOR_0_1" localSheetId="24">#REF!</definedName>
    <definedName name="JR_PAGE_ANCHOR_0_1" localSheetId="25">#REF!</definedName>
    <definedName name="JR_PAGE_ANCHOR_0_1" localSheetId="26">#REF!</definedName>
    <definedName name="JR_PAGE_ANCHOR_0_1" localSheetId="27">#REF!</definedName>
    <definedName name="JR_PAGE_ANCHOR_0_1" localSheetId="28">#REF!</definedName>
    <definedName name="JR_PAGE_ANCHOR_0_1" localSheetId="1">#REF!</definedName>
    <definedName name="JR_PAGE_ANCHOR_0_1" localSheetId="29">#REF!</definedName>
    <definedName name="JR_PAGE_ANCHOR_0_1" localSheetId="30">#REF!</definedName>
    <definedName name="JR_PAGE_ANCHOR_0_1" localSheetId="32">#REF!</definedName>
    <definedName name="JR_PAGE_ANCHOR_0_1" localSheetId="33">#REF!</definedName>
    <definedName name="JR_PAGE_ANCHOR_0_1" localSheetId="31">#REF!</definedName>
    <definedName name="JR_PAGE_ANCHOR_0_1" localSheetId="34">#REF!</definedName>
    <definedName name="JR_PAGE_ANCHOR_0_1" localSheetId="35">#REF!</definedName>
    <definedName name="JR_PAGE_ANCHOR_0_1" localSheetId="36">#REF!</definedName>
    <definedName name="JR_PAGE_ANCHOR_0_1" localSheetId="37">#REF!</definedName>
    <definedName name="JR_PAGE_ANCHOR_0_1" localSheetId="38">#REF!</definedName>
    <definedName name="JR_PAGE_ANCHOR_0_1" localSheetId="39">#REF!</definedName>
    <definedName name="JR_PAGE_ANCHOR_0_1" localSheetId="2">#REF!</definedName>
    <definedName name="JR_PAGE_ANCHOR_0_1" localSheetId="40">#REF!</definedName>
    <definedName name="JR_PAGE_ANCHOR_0_1" localSheetId="41">#REF!</definedName>
    <definedName name="JR_PAGE_ANCHOR_0_1" localSheetId="42">#REF!</definedName>
    <definedName name="JR_PAGE_ANCHOR_0_1" localSheetId="44">#REF!</definedName>
    <definedName name="JR_PAGE_ANCHOR_0_1" localSheetId="43">#REF!</definedName>
    <definedName name="JR_PAGE_ANCHOR_0_1" localSheetId="45">#REF!</definedName>
    <definedName name="JR_PAGE_ANCHOR_0_1" localSheetId="46">#REF!</definedName>
    <definedName name="JR_PAGE_ANCHOR_0_1" localSheetId="47">#REF!</definedName>
    <definedName name="JR_PAGE_ANCHOR_0_1" localSheetId="48">#REF!</definedName>
    <definedName name="JR_PAGE_ANCHOR_0_1" localSheetId="49">#REF!</definedName>
    <definedName name="JR_PAGE_ANCHOR_0_1" localSheetId="50">#REF!</definedName>
    <definedName name="JR_PAGE_ANCHOR_0_1" localSheetId="51">#REF!</definedName>
    <definedName name="JR_PAGE_ANCHOR_0_1" localSheetId="3">#REF!</definedName>
    <definedName name="JR_PAGE_ANCHOR_0_1" localSheetId="52">#REF!</definedName>
    <definedName name="JR_PAGE_ANCHOR_0_1" localSheetId="53">#REF!</definedName>
    <definedName name="JR_PAGE_ANCHOR_0_1" localSheetId="54">#REF!</definedName>
    <definedName name="JR_PAGE_ANCHOR_0_1" localSheetId="55">#REF!</definedName>
    <definedName name="JR_PAGE_ANCHOR_0_1" localSheetId="56">#REF!</definedName>
    <definedName name="JR_PAGE_ANCHOR_0_1" localSheetId="57">#REF!</definedName>
    <definedName name="JR_PAGE_ANCHOR_0_1" localSheetId="58">#REF!</definedName>
    <definedName name="JR_PAGE_ANCHOR_0_1" localSheetId="59">#REF!</definedName>
    <definedName name="JR_PAGE_ANCHOR_0_1" localSheetId="60">#REF!</definedName>
    <definedName name="JR_PAGE_ANCHOR_0_1" localSheetId="61">#REF!</definedName>
    <definedName name="JR_PAGE_ANCHOR_0_1" localSheetId="5">#REF!</definedName>
    <definedName name="JR_PAGE_ANCHOR_0_1" localSheetId="4">#REF!</definedName>
    <definedName name="JR_PAGE_ANCHOR_0_1" localSheetId="62">#REF!</definedName>
    <definedName name="JR_PAGE_ANCHOR_0_1" localSheetId="63">#REF!</definedName>
    <definedName name="JR_PAGE_ANCHOR_0_1" localSheetId="6">#REF!</definedName>
    <definedName name="JR_PAGE_ANCHOR_0_1" localSheetId="8">#REF!</definedName>
    <definedName name="JR_PAGE_ANCHOR_0_1" localSheetId="9">#REF!</definedName>
    <definedName name="JR_PAGE_ANCHOR_0_1" localSheetId="10">#REF!</definedName>
    <definedName name="JR_PAGE_ANCHOR_0_1" localSheetId="11">#REF!</definedName>
    <definedName name="JR_PAGE_ANCHOR_0_1" localSheetId="7">#REF!</definedName>
    <definedName name="JR_PAGE_ANCHOR_0_1" localSheetId="12">#REF!</definedName>
    <definedName name="JR_PAGE_ANCHOR_0_1" localSheetId="13">#REF!</definedName>
    <definedName name="JR_PAGE_ANCHOR_0_1" localSheetId="14">#REF!</definedName>
    <definedName name="JR_PAGE_ANCHOR_0_1" localSheetId="15">#REF!</definedName>
    <definedName name="JR_PAGE_ANCHOR_0_1">#REF!</definedName>
    <definedName name="_xlnm.Print_Area" localSheetId="0">'1.UniNo'!$A$1:$N$38</definedName>
    <definedName name="_xlnm.Print_Area" localSheetId="16">'10InstituionEst'!$A$1:$N$41</definedName>
    <definedName name="_xlnm.Print_Area" localSheetId="18">'11aProgrammeRegular'!$A$1:$Z$81</definedName>
    <definedName name="_xlnm.Print_Area" localSheetId="19">'11bProgrammeDistance '!$A$1:$Z$76</definedName>
    <definedName name="_xlnm.Print_Area" localSheetId="20">'11cProgrammePrivate'!$A$1:$Z$81</definedName>
    <definedName name="_xlnm.Print_Area" localSheetId="21">'11dProgrammeOnline'!$A$1:$Z$81</definedName>
    <definedName name="_xlnm.Print_Area" localSheetId="17">'11Programme'!$A$1:$Z$240</definedName>
    <definedName name="_xlnm.Print_Area" localSheetId="22">'12UGDisc '!$A$1:$F$121</definedName>
    <definedName name="_xlnm.Print_Area" localSheetId="23">'13PGDisc'!$A$1:$L$292</definedName>
    <definedName name="_xlnm.Print_Area" localSheetId="24">'14-15TotalEnrCategory (2)'!$A$1:$Z$41</definedName>
    <definedName name="_xlnm.Print_Area" localSheetId="25">'16FS-countrylevel'!$A$1:$AC$177</definedName>
    <definedName name="_xlnm.Print_Area" localSheetId="26">'17FS-statelevel'!$A$1:$AC$36</definedName>
    <definedName name="_xlnm.Print_Area" localSheetId="27">'18FS-prog'!$A$1:$E$147</definedName>
    <definedName name="_xlnm.Print_Area" localSheetId="28">'19GER(2011)'!$A$1:$K$40</definedName>
    <definedName name="_xlnm.Print_Area" localSheetId="1">'1a.InsResponse'!$A$1:$N$42</definedName>
    <definedName name="_xlnm.Print_Area" localSheetId="29">'20GPI2011'!$A$1:$E$39</definedName>
    <definedName name="_xlnm.Print_Area" localSheetId="30">'21TeacherCategory'!$A$1:$W$41</definedName>
    <definedName name="_xlnm.Print_Area" localSheetId="32">'22aTeacherPostUC'!$A$1:$W$41</definedName>
    <definedName name="_xlnm.Print_Area" localSheetId="33">'22bTeacherPostU'!$A$1:$W$39</definedName>
    <definedName name="_xlnm.Print_Area" localSheetId="31">'22TeacherPost'!$A$1:$W$41</definedName>
    <definedName name="_xlnm.Print_Area" localSheetId="34">'23StaffPost'!$A$1:$P$40</definedName>
    <definedName name="_xlnm.Print_Area" localSheetId="35">'24StaffCategory'!$A$1:$Z$40</definedName>
    <definedName name="_xlnm.Print_Area" localSheetId="36">'25PTR'!$A$1:$H$41</definedName>
    <definedName name="_xlnm.Print_Area" localSheetId="37">'26UnivEnrolinclConstituentU'!$A$1:$AB$20</definedName>
    <definedName name="_xlnm.Print_Area" localSheetId="38">'27 28 TypeEnrolmentCategory-Est'!$A$1:$Y$21</definedName>
    <definedName name="_xlnm.Print_Area" localSheetId="39">'29TypeTeacherPostEstimated'!$A$1:$V$20</definedName>
    <definedName name="_xlnm.Print_Area" localSheetId="2">'2University-Specialisation'!$A$1:$X$37</definedName>
    <definedName name="_xlnm.Print_Area" localSheetId="40">'30TypeTeacherCategoryEstimated'!$A$1:$V$20</definedName>
    <definedName name="_xlnm.Print_Area" localSheetId="41">'31Hostelstate '!$A$1:$N$41</definedName>
    <definedName name="_xlnm.Print_Area" localSheetId="44">'33 (a)(b) Category Out Turn'!$A$1:$Z$42</definedName>
    <definedName name="_xlnm.Print_Area" localSheetId="46">'34a'!$A$1:$Z$230</definedName>
    <definedName name="_xlnm.Print_Area" localSheetId="48">'36 PGDisc '!$A$1:$L$250</definedName>
    <definedName name="_xlnm.Print_Area" localSheetId="49">'37CollegeTypeNo'!$A$1:$AN$41</definedName>
    <definedName name="_xlnm.Print_Area" localSheetId="50">'38Pop2020(2011)'!$A$1:$K$41</definedName>
    <definedName name="_xlnm.Print_Area" localSheetId="51">'39TypeStateUnivwithConsUnit'!$A$1:$AL$41</definedName>
    <definedName name="_xlnm.Print_Area" localSheetId="3">'3Collegerange'!$A$1:$M$41</definedName>
    <definedName name="_xlnm.Print_Area" localSheetId="52">'40NoUni'!$A$1:$G$37</definedName>
    <definedName name="_xlnm.Print_Area" localSheetId="53">'41NoUniType'!$A$1:$I$206</definedName>
    <definedName name="_xlnm.Print_Area" localSheetId="54">'42CollegeIndicator'!$A$1:$Q$41</definedName>
    <definedName name="_xlnm.Print_Area" localSheetId="55">'43ENRLT 6'!$A$1:$AC$225</definedName>
    <definedName name="_xlnm.Print_Area" localSheetId="56">'44ENRLR 6a'!$A$1:$AC$225</definedName>
    <definedName name="_xlnm.Print_Area" localSheetId="57">'45EnrlCategory 14'!$A$1:$N$224</definedName>
    <definedName name="_xlnm.Print_Area" localSheetId="58">'46EnrlMinority 15'!$A$1:$N$225</definedName>
    <definedName name="_xlnm.Print_Area" localSheetId="59">'47GER  19'!$A$1:$K$225</definedName>
    <definedName name="_xlnm.Print_Area" localSheetId="60">'48GPI 20 Updated'!$A$1:$Q$41</definedName>
    <definedName name="_xlnm.Print_Area" localSheetId="61">'49PTR 25'!$A$1:$H$226</definedName>
    <definedName name="_xlnm.Print_Area" localSheetId="5">'4aCollegeSpec'!$A$1:$AG$40</definedName>
    <definedName name="_xlnm.Print_Area" localSheetId="4">'4CollegeIndicator'!$A$1:$E$41</definedName>
    <definedName name="_xlnm.Print_Area" localSheetId="62">'50LevelEnrlUniType'!$A$1:$AC$76</definedName>
    <definedName name="_xlnm.Print_Area" localSheetId="63">'51PostTeacher'!$A$1:$W$225</definedName>
    <definedName name="_xlnm.Print_Area" localSheetId="6">'5ManagementCollegeNo'!$A$1:$T$41</definedName>
    <definedName name="_xlnm.Print_Area" localSheetId="8">'6aTotalRegularEnr'!$A$1:$AC$41</definedName>
    <definedName name="_xlnm.Print_Area" localSheetId="9">'6bTotalDistanceEnr'!$A$1:$Z$41</definedName>
    <definedName name="_xlnm.Print_Area" localSheetId="10">'6cTotalPrivateEnr'!$A$1:$AC$41</definedName>
    <definedName name="_xlnm.Print_Area" localSheetId="11">'6dTotalOnline'!$A$1:$AC$41</definedName>
    <definedName name="_xlnm.Print_Area" localSheetId="7">'6TotalEnr'!$A$1:$AC$41</definedName>
    <definedName name="_xlnm.Print_Area" localSheetId="12">'7UnivActwithConsUnit'!$A$1:$AE$42</definedName>
    <definedName name="_xlnm.Print_Area" localSheetId="13">'8CollegeAct'!$A$1:$AF$41</definedName>
    <definedName name="_xlnm.Print_Area" localSheetId="14">'9AllSAAct'!$A$1:$AX$41</definedName>
    <definedName name="_xlnm.Print_Area" localSheetId="15">'9aSAILevel'!$A$1:$AC$41</definedName>
    <definedName name="_xlnm.Print_Titles" localSheetId="16">'10InstituionEst'!$A:$B</definedName>
    <definedName name="_xlnm.Print_Titles" localSheetId="18">'11aProgrammeRegular'!$A:$B,'11aProgrammeRegular'!$1:$4</definedName>
    <definedName name="_xlnm.Print_Titles" localSheetId="19">'11bProgrammeDistance '!$A:$B,'11bProgrammeDistance '!$1:$4</definedName>
    <definedName name="_xlnm.Print_Titles" localSheetId="20">'11cProgrammePrivate'!$A:$B,'11cProgrammePrivate'!$1:$4</definedName>
    <definedName name="_xlnm.Print_Titles" localSheetId="21">'11dProgrammeOnline'!$A:$B,'11dProgrammeOnline'!$1:$4</definedName>
    <definedName name="_xlnm.Print_Titles" localSheetId="17">'11Programme'!$A:$B,'11Programme'!$1:$4</definedName>
    <definedName name="_xlnm.Print_Titles" localSheetId="22">'12UGDisc '!$1:$3</definedName>
    <definedName name="_xlnm.Print_Titles" localSheetId="23">'13PGDisc'!$1:$4</definedName>
    <definedName name="_xlnm.Print_Titles" localSheetId="24">'14-15TotalEnrCategory (2)'!$A:$B</definedName>
    <definedName name="_xlnm.Print_Titles" localSheetId="25">'16FS-countrylevel'!$A:$B,'16FS-countrylevel'!$1:$4</definedName>
    <definedName name="_xlnm.Print_Titles" localSheetId="26">'17FS-statelevel'!$A:$B,'17FS-statelevel'!$1:$3</definedName>
    <definedName name="_xlnm.Print_Titles" localSheetId="27">'18FS-prog'!$1:$2</definedName>
    <definedName name="_xlnm.Print_Titles" localSheetId="29">'20GPI2011'!$A:$B</definedName>
    <definedName name="_xlnm.Print_Titles" localSheetId="30">'21TeacherCategory'!$A:$B,'21TeacherCategory'!$1:$3</definedName>
    <definedName name="_xlnm.Print_Titles" localSheetId="32">'22aTeacherPostUC'!$A:$B</definedName>
    <definedName name="_xlnm.Print_Titles" localSheetId="33">'22bTeacherPostU'!$A:$B</definedName>
    <definedName name="_xlnm.Print_Titles" localSheetId="31">'22TeacherPost'!$A:$B</definedName>
    <definedName name="_xlnm.Print_Titles" localSheetId="34">'23StaffPost'!$A:$A</definedName>
    <definedName name="_xlnm.Print_Titles" localSheetId="35">'24StaffCategory'!$B:$B,'24StaffCategory'!$1:$3</definedName>
    <definedName name="_xlnm.Print_Titles" localSheetId="36">'25PTR'!$A:$B</definedName>
    <definedName name="_xlnm.Print_Titles" localSheetId="37">'26UnivEnrolinclConstituentU'!$A:$A,'26UnivEnrolinclConstituentU'!$1:$4</definedName>
    <definedName name="_xlnm.Print_Titles" localSheetId="38">'27 28 TypeEnrolmentCategory-Est'!$A:$A</definedName>
    <definedName name="_xlnm.Print_Titles" localSheetId="39">'29TypeTeacherPostEstimated'!$A:$A</definedName>
    <definedName name="_xlnm.Print_Titles" localSheetId="2">'2University-Specialisation'!$A:$B</definedName>
    <definedName name="_xlnm.Print_Titles" localSheetId="40">'30TypeTeacherCategoryEstimated'!$A:$A</definedName>
    <definedName name="_xlnm.Print_Titles" localSheetId="41">'31Hostelstate '!$1:$4</definedName>
    <definedName name="_xlnm.Print_Titles" localSheetId="44">'33 (a)(b) Category Out Turn'!$A:$B,'33 (a)(b) Category Out Turn'!$1:$3</definedName>
    <definedName name="_xlnm.Print_Titles" localSheetId="43">'33 Out Turn'!$A:$B,'33 Out Turn'!$2:$3</definedName>
    <definedName name="_xlnm.Print_Titles" localSheetId="45">'34 Out Turn Prog'!$1:$2</definedName>
    <definedName name="_xlnm.Print_Titles" localSheetId="46">'34a'!$A:$B,'34a'!$1:$3</definedName>
    <definedName name="_xlnm.Print_Titles" localSheetId="47">'35 UG Discipline'!$1:$2</definedName>
    <definedName name="_xlnm.Print_Titles" localSheetId="48">'36 PGDisc '!$1:$4</definedName>
    <definedName name="_xlnm.Print_Titles" localSheetId="49">'37CollegeTypeNo'!$A:$B,'37CollegeTypeNo'!$1:$3</definedName>
    <definedName name="_xlnm.Print_Titles" localSheetId="51">'39TypeStateUnivwithConsUnit'!$A:$B,'39TypeStateUnivwithConsUnit'!$1:$3</definedName>
    <definedName name="_xlnm.Print_Titles" localSheetId="53">'41NoUniType'!$1:$2</definedName>
    <definedName name="_xlnm.Print_Titles" localSheetId="54">'42CollegeIndicator'!$A:$B,'42CollegeIndicator'!$1:$4</definedName>
    <definedName name="_xlnm.Print_Titles" localSheetId="55">'43ENRLT 6'!$A:$B,'43ENRLT 6'!$1:$4</definedName>
    <definedName name="_xlnm.Print_Titles" localSheetId="56">'44ENRLR 6a'!$A:$B,'44ENRLR 6a'!$1:$4</definedName>
    <definedName name="_xlnm.Print_Titles" localSheetId="57">'45EnrlCategory 14'!$A:$B,'45EnrlCategory 14'!$1:$4</definedName>
    <definedName name="_xlnm.Print_Titles" localSheetId="58">'46EnrlMinority 15'!$B:$B,'46EnrlMinority 15'!$1:$4</definedName>
    <definedName name="_xlnm.Print_Titles" localSheetId="59">'47GER  19'!$1:$4</definedName>
    <definedName name="_xlnm.Print_Titles" localSheetId="60">'48GPI 20 Updated'!$A:$B,'48GPI 20 Updated'!$1:$1</definedName>
    <definedName name="_xlnm.Print_Titles" localSheetId="61">'49PTR 25'!$1:$4</definedName>
    <definedName name="_xlnm.Print_Titles" localSheetId="5">'4aCollegeSpec'!$A:$B</definedName>
    <definedName name="_xlnm.Print_Titles" localSheetId="62">'50LevelEnrlUniType'!$B:$B,'50LevelEnrlUniType'!$1:$4</definedName>
    <definedName name="_xlnm.Print_Titles" localSheetId="63">'51PostTeacher'!$B:$B,'51PostTeacher'!$1:$4</definedName>
    <definedName name="_xlnm.Print_Titles" localSheetId="6">'5ManagementCollegeNo'!$A:$B</definedName>
    <definedName name="_xlnm.Print_Titles" localSheetId="8">'6aTotalRegularEnr'!$A:$B</definedName>
    <definedName name="_xlnm.Print_Titles" localSheetId="9">'6bTotalDistanceEnr'!$A:$B</definedName>
    <definedName name="_xlnm.Print_Titles" localSheetId="10">'6cTotalPrivateEnr'!$A:$B</definedName>
    <definedName name="_xlnm.Print_Titles" localSheetId="11">'6dTotalOnline'!$A:$B</definedName>
    <definedName name="_xlnm.Print_Titles" localSheetId="7">'6TotalEnr'!$A:$B</definedName>
    <definedName name="_xlnm.Print_Titles" localSheetId="12">'7UnivActwithConsUnit'!$A:$B</definedName>
    <definedName name="_xlnm.Print_Titles" localSheetId="13">'8CollegeAct'!$A:$B</definedName>
    <definedName name="_xlnm.Print_Titles" localSheetId="14">'9AllSAAct'!$A:$B</definedName>
    <definedName name="_xlnm.Print_Titles" localSheetId="15">'9aSAILevel'!$A:$B</definedName>
    <definedName name="qwerty" localSheetId="16">#REF!</definedName>
    <definedName name="qwerty" localSheetId="18">#REF!</definedName>
    <definedName name="qwerty" localSheetId="19">#REF!</definedName>
    <definedName name="qwerty" localSheetId="20">#REF!</definedName>
    <definedName name="qwerty" localSheetId="21">#REF!</definedName>
    <definedName name="qwerty" localSheetId="17">#REF!</definedName>
    <definedName name="qwerty" localSheetId="22">#REF!</definedName>
    <definedName name="qwerty" localSheetId="23">#REF!</definedName>
    <definedName name="qwerty" localSheetId="24">#REF!</definedName>
    <definedName name="qwerty" localSheetId="25">#REF!</definedName>
    <definedName name="qwerty" localSheetId="26">#REF!</definedName>
    <definedName name="qwerty" localSheetId="27">#REF!</definedName>
    <definedName name="qwerty" localSheetId="28">#REF!</definedName>
    <definedName name="qwerty" localSheetId="1">#REF!</definedName>
    <definedName name="qwerty" localSheetId="29">#REF!</definedName>
    <definedName name="qwerty" localSheetId="30">#REF!</definedName>
    <definedName name="qwerty" localSheetId="32">#REF!</definedName>
    <definedName name="qwerty" localSheetId="33">#REF!</definedName>
    <definedName name="qwerty" localSheetId="31">#REF!</definedName>
    <definedName name="qwerty" localSheetId="34">#REF!</definedName>
    <definedName name="qwerty" localSheetId="35">#REF!</definedName>
    <definedName name="qwerty" localSheetId="36">#REF!</definedName>
    <definedName name="qwerty" localSheetId="37">#REF!</definedName>
    <definedName name="qwerty" localSheetId="38">#REF!</definedName>
    <definedName name="qwerty" localSheetId="39">#REF!</definedName>
    <definedName name="qwerty" localSheetId="2">#REF!</definedName>
    <definedName name="qwerty" localSheetId="40">#REF!</definedName>
    <definedName name="qwerty" localSheetId="41">#REF!</definedName>
    <definedName name="qwerty" localSheetId="42">#REF!</definedName>
    <definedName name="qwerty" localSheetId="44">#REF!</definedName>
    <definedName name="qwerty" localSheetId="43">#REF!</definedName>
    <definedName name="qwerty" localSheetId="45">#REF!</definedName>
    <definedName name="qwerty" localSheetId="46">#REF!</definedName>
    <definedName name="qwerty" localSheetId="47">#REF!</definedName>
    <definedName name="qwerty" localSheetId="48">#REF!</definedName>
    <definedName name="qwerty" localSheetId="49">#REF!</definedName>
    <definedName name="qwerty" localSheetId="50">#REF!</definedName>
    <definedName name="qwerty" localSheetId="51">#REF!</definedName>
    <definedName name="qwerty" localSheetId="3">#REF!</definedName>
    <definedName name="qwerty" localSheetId="52">#REF!</definedName>
    <definedName name="qwerty" localSheetId="5">#REF!</definedName>
    <definedName name="qwerty" localSheetId="4">#REF!</definedName>
    <definedName name="qwerty" localSheetId="6">#REF!</definedName>
    <definedName name="qwerty" localSheetId="8">#REF!</definedName>
    <definedName name="qwerty" localSheetId="9">#REF!</definedName>
    <definedName name="qwerty" localSheetId="10">#REF!</definedName>
    <definedName name="qwerty" localSheetId="11">#REF!</definedName>
    <definedName name="qwerty" localSheetId="7">#REF!</definedName>
    <definedName name="qwerty" localSheetId="12">#REF!</definedName>
    <definedName name="qwerty" localSheetId="13">#REF!</definedName>
    <definedName name="qwerty" localSheetId="14">#REF!</definedName>
    <definedName name="qwerty" localSheetId="15">#REF!</definedName>
    <definedName name="qwer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21" l="1"/>
  <c r="M1" i="65" l="1"/>
  <c r="H1" i="65"/>
  <c r="M1" i="59"/>
  <c r="H1" i="59"/>
  <c r="U1" i="41"/>
  <c r="U1" i="39"/>
  <c r="L1" i="39"/>
  <c r="W1" i="12"/>
  <c r="N1" i="12"/>
  <c r="W1" i="11"/>
  <c r="N1" i="11"/>
  <c r="U1" i="9"/>
  <c r="L1" i="9"/>
  <c r="R1" i="8"/>
  <c r="I1" i="8"/>
  <c r="U1" i="6"/>
  <c r="L1" i="6"/>
  <c r="U1" i="7"/>
  <c r="L1" i="7"/>
  <c r="AA1" i="45"/>
  <c r="O1" i="45"/>
  <c r="O1" i="41"/>
  <c r="I1" i="41"/>
  <c r="K1" i="30"/>
  <c r="O1" i="27"/>
  <c r="I1" i="27"/>
  <c r="O1" i="26"/>
  <c r="U1" i="21"/>
  <c r="R1" i="50" l="1"/>
  <c r="U1" i="14"/>
  <c r="L1" i="14"/>
  <c r="O1" i="13"/>
  <c r="AA1" i="13" s="1"/>
  <c r="AM1" i="13" s="1"/>
  <c r="I1" i="68"/>
  <c r="R1" i="68" s="1"/>
  <c r="U1" i="67"/>
  <c r="L1" i="67"/>
  <c r="I1" i="62"/>
  <c r="L1" i="61"/>
  <c r="U1" i="61" s="1"/>
  <c r="L1" i="60"/>
  <c r="U1" i="60" s="1"/>
  <c r="W1" i="56"/>
  <c r="M1" i="56"/>
  <c r="N12" i="2"/>
  <c r="L6" i="2"/>
  <c r="M6" i="2"/>
  <c r="L7" i="2"/>
  <c r="M7" i="2"/>
  <c r="N7" i="2" s="1"/>
  <c r="L8" i="2"/>
  <c r="M8" i="2"/>
  <c r="L9" i="2"/>
  <c r="M9" i="2"/>
  <c r="N9" i="2" s="1"/>
  <c r="L10" i="2"/>
  <c r="M10" i="2"/>
  <c r="L11" i="2"/>
  <c r="M11" i="2"/>
  <c r="N11" i="2" s="1"/>
  <c r="L12" i="2"/>
  <c r="M12" i="2"/>
  <c r="L13" i="2"/>
  <c r="M13" i="2"/>
  <c r="N13" i="2" s="1"/>
  <c r="L14" i="2"/>
  <c r="M14" i="2"/>
  <c r="L15" i="2"/>
  <c r="M15" i="2"/>
  <c r="N15" i="2" s="1"/>
  <c r="L16" i="2"/>
  <c r="M16" i="2"/>
  <c r="L17" i="2"/>
  <c r="M17" i="2"/>
  <c r="N17" i="2" s="1"/>
  <c r="L18" i="2"/>
  <c r="M18" i="2"/>
  <c r="L19" i="2"/>
  <c r="M19" i="2"/>
  <c r="N19" i="2" s="1"/>
  <c r="L20" i="2"/>
  <c r="M20" i="2"/>
  <c r="L21" i="2"/>
  <c r="M21" i="2"/>
  <c r="N21" i="2" s="1"/>
  <c r="L22" i="2"/>
  <c r="M22" i="2"/>
  <c r="L23" i="2"/>
  <c r="M23" i="2"/>
  <c r="N23" i="2" s="1"/>
  <c r="L24" i="2"/>
  <c r="M24" i="2"/>
  <c r="L25" i="2"/>
  <c r="M25" i="2"/>
  <c r="N25" i="2" s="1"/>
  <c r="L26" i="2"/>
  <c r="M26" i="2"/>
  <c r="L27" i="2"/>
  <c r="M27" i="2"/>
  <c r="N27" i="2" s="1"/>
  <c r="L28" i="2"/>
  <c r="M28" i="2"/>
  <c r="N28" i="2" s="1"/>
  <c r="L29" i="2"/>
  <c r="M29" i="2"/>
  <c r="N29" i="2" s="1"/>
  <c r="L30" i="2"/>
  <c r="M30" i="2"/>
  <c r="L31" i="2"/>
  <c r="M31" i="2"/>
  <c r="N31" i="2" s="1"/>
  <c r="L32" i="2"/>
  <c r="M32" i="2"/>
  <c r="L33" i="2"/>
  <c r="M33" i="2"/>
  <c r="N33" i="2" s="1"/>
  <c r="L34" i="2"/>
  <c r="M34" i="2"/>
  <c r="L35" i="2"/>
  <c r="M35" i="2"/>
  <c r="N35" i="2" s="1"/>
  <c r="L36" i="2"/>
  <c r="M36" i="2"/>
  <c r="N36" i="2" s="1"/>
  <c r="L37" i="2"/>
  <c r="M37" i="2"/>
  <c r="N37" i="2" s="1"/>
  <c r="L38" i="2"/>
  <c r="M38" i="2"/>
  <c r="L39" i="2"/>
  <c r="M39" i="2"/>
  <c r="N39" i="2" s="1"/>
  <c r="L40" i="2"/>
  <c r="M40" i="2"/>
  <c r="L41" i="2"/>
  <c r="M41" i="2"/>
  <c r="M5" i="2"/>
  <c r="L5" i="2"/>
  <c r="N41" i="2" l="1"/>
  <c r="N20" i="2"/>
  <c r="N5" i="2"/>
  <c r="N40" i="2"/>
  <c r="N32" i="2"/>
  <c r="N24" i="2"/>
  <c r="N16" i="2"/>
  <c r="N8" i="2"/>
  <c r="N38" i="2"/>
  <c r="N34" i="2"/>
  <c r="N30" i="2"/>
  <c r="N26" i="2"/>
  <c r="N22" i="2"/>
  <c r="N18" i="2"/>
  <c r="N14" i="2"/>
  <c r="N10" i="2"/>
  <c r="N6" i="2"/>
  <c r="AN41" i="54"/>
  <c r="AN40" i="54"/>
  <c r="AN39" i="54"/>
  <c r="AN38" i="54"/>
  <c r="AN37" i="54"/>
  <c r="AN36" i="54"/>
  <c r="AN35" i="54"/>
  <c r="AN34" i="54"/>
  <c r="AN33" i="54"/>
  <c r="AN32" i="54"/>
  <c r="AN31" i="54"/>
  <c r="AN30" i="54"/>
  <c r="AN29" i="54"/>
  <c r="AN28" i="54"/>
  <c r="AN27" i="54"/>
  <c r="AN26" i="54"/>
  <c r="AN25" i="54"/>
  <c r="AN24" i="54"/>
  <c r="AN23" i="54"/>
  <c r="AN22" i="54"/>
  <c r="AN21" i="54"/>
  <c r="AN20" i="54"/>
  <c r="AN19" i="54"/>
  <c r="AN18" i="54"/>
  <c r="AN17" i="54"/>
  <c r="AN16" i="54"/>
  <c r="AN15" i="54"/>
  <c r="AN14" i="54"/>
  <c r="AN13" i="54"/>
  <c r="AN12" i="54"/>
  <c r="AN11" i="54"/>
  <c r="AN10" i="54"/>
  <c r="AN9" i="54"/>
  <c r="AN8" i="54"/>
  <c r="AN7" i="54"/>
  <c r="AN6" i="54"/>
  <c r="AN5" i="54"/>
  <c r="M1" i="54"/>
  <c r="V1" i="54" s="1"/>
  <c r="AD1" i="54" s="1"/>
  <c r="X29" i="52" l="1"/>
  <c r="U29" i="52"/>
  <c r="R29" i="52"/>
  <c r="O29" i="52"/>
  <c r="L29" i="52"/>
  <c r="I29" i="52"/>
  <c r="F29" i="52"/>
  <c r="C29" i="52"/>
  <c r="X28" i="52"/>
  <c r="U28" i="52"/>
  <c r="R28" i="52"/>
  <c r="O28" i="52"/>
  <c r="L28" i="52"/>
  <c r="I28" i="52"/>
  <c r="F28" i="52"/>
  <c r="C28" i="52"/>
  <c r="X27" i="52"/>
  <c r="U27" i="52"/>
  <c r="R27" i="52"/>
  <c r="O27" i="52"/>
  <c r="L27" i="52"/>
  <c r="I27" i="52"/>
  <c r="F27" i="52"/>
  <c r="C27" i="52"/>
  <c r="X26" i="52"/>
  <c r="U26" i="52"/>
  <c r="R26" i="52"/>
  <c r="O26" i="52"/>
  <c r="L26" i="52"/>
  <c r="I26" i="52"/>
  <c r="F26" i="52"/>
  <c r="C26" i="52"/>
  <c r="X25" i="52"/>
  <c r="U25" i="52"/>
  <c r="R25" i="52"/>
  <c r="O25" i="52"/>
  <c r="L25" i="52"/>
  <c r="I25" i="52"/>
  <c r="F25" i="52"/>
  <c r="C25" i="52"/>
  <c r="X24" i="52"/>
  <c r="U24" i="52"/>
  <c r="R24" i="52"/>
  <c r="O24" i="52"/>
  <c r="L24" i="52"/>
  <c r="I24" i="52"/>
  <c r="F24" i="52"/>
  <c r="C24" i="52"/>
  <c r="X23" i="52"/>
  <c r="U23" i="52"/>
  <c r="R23" i="52"/>
  <c r="O23" i="52"/>
  <c r="L23" i="52"/>
  <c r="I23" i="52"/>
  <c r="F23" i="52"/>
  <c r="C23" i="52"/>
  <c r="X22" i="52"/>
  <c r="U22" i="52"/>
  <c r="R22" i="52"/>
  <c r="O22" i="52"/>
  <c r="L22" i="52"/>
  <c r="I22" i="52"/>
  <c r="F22" i="52"/>
  <c r="C22" i="52"/>
  <c r="X21" i="52"/>
  <c r="U21" i="52"/>
  <c r="R21" i="52"/>
  <c r="O21" i="52"/>
  <c r="L21" i="52"/>
  <c r="I21" i="52"/>
  <c r="F21" i="52"/>
  <c r="C21" i="52"/>
  <c r="X20" i="52"/>
  <c r="U20" i="52"/>
  <c r="R20" i="52"/>
  <c r="O20" i="52"/>
  <c r="L20" i="52"/>
  <c r="I20" i="52"/>
  <c r="F20" i="52"/>
  <c r="C20" i="52"/>
  <c r="X19" i="52"/>
  <c r="U19" i="52"/>
  <c r="R19" i="52"/>
  <c r="O19" i="52"/>
  <c r="L19" i="52"/>
  <c r="I19" i="52"/>
  <c r="F19" i="52"/>
  <c r="C19" i="52"/>
  <c r="X18" i="52"/>
  <c r="U18" i="52"/>
  <c r="R18" i="52"/>
  <c r="O18" i="52"/>
  <c r="L18" i="52"/>
  <c r="I18" i="52"/>
  <c r="F18" i="52"/>
  <c r="C18" i="52"/>
  <c r="X17" i="52"/>
  <c r="U17" i="52"/>
  <c r="R17" i="52"/>
  <c r="O17" i="52"/>
  <c r="L17" i="52"/>
  <c r="I17" i="52"/>
  <c r="F17" i="52"/>
  <c r="C17" i="52"/>
  <c r="X16" i="52"/>
  <c r="U16" i="52"/>
  <c r="R16" i="52"/>
  <c r="O16" i="52"/>
  <c r="L16" i="52"/>
  <c r="I16" i="52"/>
  <c r="F16" i="52"/>
  <c r="C16" i="52"/>
  <c r="X15" i="52"/>
  <c r="U15" i="52"/>
  <c r="R15" i="52"/>
  <c r="O15" i="52"/>
  <c r="L15" i="52"/>
  <c r="I15" i="52"/>
  <c r="F15" i="52"/>
  <c r="C15" i="52"/>
  <c r="X14" i="52"/>
  <c r="U14" i="52"/>
  <c r="R14" i="52"/>
  <c r="O14" i="52"/>
  <c r="L14" i="52"/>
  <c r="I14" i="52"/>
  <c r="F14" i="52"/>
  <c r="C14" i="52"/>
  <c r="X13" i="52"/>
  <c r="U13" i="52"/>
  <c r="R13" i="52"/>
  <c r="O13" i="52"/>
  <c r="L13" i="52"/>
  <c r="I13" i="52"/>
  <c r="F13" i="52"/>
  <c r="C13" i="52"/>
  <c r="X12" i="52"/>
  <c r="U12" i="52"/>
  <c r="R12" i="52"/>
  <c r="O12" i="52"/>
  <c r="L12" i="52"/>
  <c r="I12" i="52"/>
  <c r="F12" i="52"/>
  <c r="C12" i="52"/>
  <c r="X11" i="52"/>
  <c r="U11" i="52"/>
  <c r="R11" i="52"/>
  <c r="O11" i="52"/>
  <c r="L11" i="52"/>
  <c r="I11" i="52"/>
  <c r="F11" i="52"/>
  <c r="C11" i="52"/>
  <c r="X10" i="52"/>
  <c r="U10" i="52"/>
  <c r="R10" i="52"/>
  <c r="O10" i="52"/>
  <c r="L10" i="52"/>
  <c r="I10" i="52"/>
  <c r="F10" i="52"/>
  <c r="C10" i="52"/>
  <c r="X9" i="52"/>
  <c r="U9" i="52"/>
  <c r="R9" i="52"/>
  <c r="O9" i="52"/>
  <c r="L9" i="52"/>
  <c r="I9" i="52"/>
  <c r="F9" i="52"/>
  <c r="C9" i="52"/>
  <c r="X8" i="52"/>
  <c r="U8" i="52"/>
  <c r="R8" i="52"/>
  <c r="O8" i="52"/>
  <c r="L8" i="52"/>
  <c r="I8" i="52"/>
  <c r="F8" i="52"/>
  <c r="C8" i="52"/>
  <c r="X7" i="52"/>
  <c r="U7" i="52"/>
  <c r="R7" i="52"/>
  <c r="O7" i="52"/>
  <c r="L7" i="52"/>
  <c r="I7" i="52"/>
  <c r="F7" i="52"/>
  <c r="C7" i="52"/>
  <c r="X6" i="52"/>
  <c r="U6" i="52"/>
  <c r="R6" i="52"/>
  <c r="O6" i="52"/>
  <c r="L6" i="52"/>
  <c r="I6" i="52"/>
  <c r="F6" i="52"/>
  <c r="C6" i="52"/>
  <c r="X5" i="52"/>
  <c r="U5" i="52"/>
  <c r="R5" i="52"/>
  <c r="O5" i="52"/>
  <c r="L5" i="52"/>
  <c r="I5" i="52"/>
  <c r="F5" i="52"/>
  <c r="C5" i="52"/>
  <c r="I1" i="52"/>
  <c r="X76" i="50"/>
  <c r="U76" i="50"/>
  <c r="R76" i="50"/>
  <c r="O76" i="50"/>
  <c r="L76" i="50"/>
  <c r="I76" i="50"/>
  <c r="F76" i="50"/>
  <c r="C76" i="50"/>
  <c r="X75" i="50"/>
  <c r="U75" i="50"/>
  <c r="R75" i="50"/>
  <c r="O75" i="50"/>
  <c r="L75" i="50"/>
  <c r="I75" i="50"/>
  <c r="F75" i="50"/>
  <c r="C75" i="50"/>
  <c r="X74" i="50"/>
  <c r="U74" i="50"/>
  <c r="R74" i="50"/>
  <c r="O74" i="50"/>
  <c r="L74" i="50"/>
  <c r="I74" i="50"/>
  <c r="F74" i="50"/>
  <c r="C74" i="50"/>
  <c r="X73" i="50"/>
  <c r="U73" i="50"/>
  <c r="R73" i="50"/>
  <c r="O73" i="50"/>
  <c r="L73" i="50"/>
  <c r="I73" i="50"/>
  <c r="F73" i="50"/>
  <c r="C73" i="50"/>
  <c r="X72" i="50"/>
  <c r="U72" i="50"/>
  <c r="R72" i="50"/>
  <c r="O72" i="50"/>
  <c r="L72" i="50"/>
  <c r="I72" i="50"/>
  <c r="F72" i="50"/>
  <c r="C72" i="50"/>
  <c r="X71" i="50"/>
  <c r="U71" i="50"/>
  <c r="R71" i="50"/>
  <c r="O71" i="50"/>
  <c r="L71" i="50"/>
  <c r="I71" i="50"/>
  <c r="F71" i="50"/>
  <c r="C71" i="50"/>
  <c r="X70" i="50"/>
  <c r="U70" i="50"/>
  <c r="R70" i="50"/>
  <c r="O70" i="50"/>
  <c r="L70" i="50"/>
  <c r="I70" i="50"/>
  <c r="F70" i="50"/>
  <c r="C70" i="50"/>
  <c r="X69" i="50"/>
  <c r="U69" i="50"/>
  <c r="R69" i="50"/>
  <c r="O69" i="50"/>
  <c r="L69" i="50"/>
  <c r="I69" i="50"/>
  <c r="F69" i="50"/>
  <c r="C69" i="50"/>
  <c r="X68" i="50"/>
  <c r="U68" i="50"/>
  <c r="R68" i="50"/>
  <c r="O68" i="50"/>
  <c r="L68" i="50"/>
  <c r="I68" i="50"/>
  <c r="F68" i="50"/>
  <c r="C68" i="50"/>
  <c r="X67" i="50"/>
  <c r="U67" i="50"/>
  <c r="R67" i="50"/>
  <c r="O67" i="50"/>
  <c r="L67" i="50"/>
  <c r="I67" i="50"/>
  <c r="F67" i="50"/>
  <c r="C67" i="50"/>
  <c r="X66" i="50"/>
  <c r="U66" i="50"/>
  <c r="R66" i="50"/>
  <c r="O66" i="50"/>
  <c r="L66" i="50"/>
  <c r="I66" i="50"/>
  <c r="F66" i="50"/>
  <c r="C66" i="50"/>
  <c r="X65" i="50"/>
  <c r="U65" i="50"/>
  <c r="R65" i="50"/>
  <c r="O65" i="50"/>
  <c r="L65" i="50"/>
  <c r="I65" i="50"/>
  <c r="F65" i="50"/>
  <c r="C65" i="50"/>
  <c r="X64" i="50"/>
  <c r="U64" i="50"/>
  <c r="R64" i="50"/>
  <c r="O64" i="50"/>
  <c r="L64" i="50"/>
  <c r="I64" i="50"/>
  <c r="F64" i="50"/>
  <c r="C64" i="50"/>
  <c r="X63" i="50"/>
  <c r="U63" i="50"/>
  <c r="R63" i="50"/>
  <c r="O63" i="50"/>
  <c r="L63" i="50"/>
  <c r="I63" i="50"/>
  <c r="F63" i="50"/>
  <c r="C63" i="50"/>
  <c r="X62" i="50"/>
  <c r="U62" i="50"/>
  <c r="R62" i="50"/>
  <c r="O62" i="50"/>
  <c r="L62" i="50"/>
  <c r="I62" i="50"/>
  <c r="F62" i="50"/>
  <c r="C62" i="50"/>
  <c r="X61" i="50"/>
  <c r="U61" i="50"/>
  <c r="R61" i="50"/>
  <c r="O61" i="50"/>
  <c r="L61" i="50"/>
  <c r="I61" i="50"/>
  <c r="F61" i="50"/>
  <c r="C61" i="50"/>
  <c r="X60" i="50"/>
  <c r="U60" i="50"/>
  <c r="R60" i="50"/>
  <c r="O60" i="50"/>
  <c r="L60" i="50"/>
  <c r="I60" i="50"/>
  <c r="F60" i="50"/>
  <c r="C60" i="50"/>
  <c r="X59" i="50"/>
  <c r="U59" i="50"/>
  <c r="R59" i="50"/>
  <c r="O59" i="50"/>
  <c r="L59" i="50"/>
  <c r="I59" i="50"/>
  <c r="F59" i="50"/>
  <c r="C59" i="50"/>
  <c r="X58" i="50"/>
  <c r="U58" i="50"/>
  <c r="R58" i="50"/>
  <c r="O58" i="50"/>
  <c r="L58" i="50"/>
  <c r="I58" i="50"/>
  <c r="F58" i="50"/>
  <c r="C58" i="50"/>
  <c r="X57" i="50"/>
  <c r="U57" i="50"/>
  <c r="R57" i="50"/>
  <c r="O57" i="50"/>
  <c r="L57" i="50"/>
  <c r="I57" i="50"/>
  <c r="F57" i="50"/>
  <c r="C57" i="50"/>
  <c r="X56" i="50"/>
  <c r="U56" i="50"/>
  <c r="R56" i="50"/>
  <c r="O56" i="50"/>
  <c r="L56" i="50"/>
  <c r="I56" i="50"/>
  <c r="F56" i="50"/>
  <c r="C56" i="50"/>
  <c r="X55" i="50"/>
  <c r="U55" i="50"/>
  <c r="R55" i="50"/>
  <c r="O55" i="50"/>
  <c r="L55" i="50"/>
  <c r="I55" i="50"/>
  <c r="F55" i="50"/>
  <c r="C55" i="50"/>
  <c r="X54" i="50"/>
  <c r="U54" i="50"/>
  <c r="R54" i="50"/>
  <c r="O54" i="50"/>
  <c r="L54" i="50"/>
  <c r="I54" i="50"/>
  <c r="F54" i="50"/>
  <c r="C54" i="50"/>
  <c r="X53" i="50"/>
  <c r="U53" i="50"/>
  <c r="R53" i="50"/>
  <c r="O53" i="50"/>
  <c r="L53" i="50"/>
  <c r="I53" i="50"/>
  <c r="F53" i="50"/>
  <c r="C53" i="50"/>
  <c r="X52" i="50"/>
  <c r="U52" i="50"/>
  <c r="R52" i="50"/>
  <c r="O52" i="50"/>
  <c r="L52" i="50"/>
  <c r="I52" i="50"/>
  <c r="F52" i="50"/>
  <c r="C52" i="50"/>
  <c r="X51" i="50"/>
  <c r="U51" i="50"/>
  <c r="R51" i="50"/>
  <c r="O51" i="50"/>
  <c r="L51" i="50"/>
  <c r="I51" i="50"/>
  <c r="F51" i="50"/>
  <c r="C51" i="50"/>
  <c r="X50" i="50"/>
  <c r="U50" i="50"/>
  <c r="R50" i="50"/>
  <c r="O50" i="50"/>
  <c r="L50" i="50"/>
  <c r="I50" i="50"/>
  <c r="F50" i="50"/>
  <c r="C50" i="50"/>
  <c r="X49" i="50"/>
  <c r="U49" i="50"/>
  <c r="R49" i="50"/>
  <c r="O49" i="50"/>
  <c r="L49" i="50"/>
  <c r="I49" i="50"/>
  <c r="F49" i="50"/>
  <c r="C49" i="50"/>
  <c r="X48" i="50"/>
  <c r="U48" i="50"/>
  <c r="R48" i="50"/>
  <c r="O48" i="50"/>
  <c r="L48" i="50"/>
  <c r="I48" i="50"/>
  <c r="F48" i="50"/>
  <c r="C48" i="50"/>
  <c r="X47" i="50"/>
  <c r="U47" i="50"/>
  <c r="R47" i="50"/>
  <c r="O47" i="50"/>
  <c r="L47" i="50"/>
  <c r="I47" i="50"/>
  <c r="F47" i="50"/>
  <c r="C47" i="50"/>
  <c r="X46" i="50"/>
  <c r="U46" i="50"/>
  <c r="R46" i="50"/>
  <c r="O46" i="50"/>
  <c r="L46" i="50"/>
  <c r="I46" i="50"/>
  <c r="F46" i="50"/>
  <c r="C46" i="50"/>
  <c r="X45" i="50"/>
  <c r="U45" i="50"/>
  <c r="R45" i="50"/>
  <c r="O45" i="50"/>
  <c r="L45" i="50"/>
  <c r="I45" i="50"/>
  <c r="F45" i="50"/>
  <c r="C45" i="50"/>
  <c r="X44" i="50"/>
  <c r="U44" i="50"/>
  <c r="R44" i="50"/>
  <c r="O44" i="50"/>
  <c r="L44" i="50"/>
  <c r="I44" i="50"/>
  <c r="F44" i="50"/>
  <c r="C44" i="50"/>
  <c r="X43" i="50"/>
  <c r="U43" i="50"/>
  <c r="R43" i="50"/>
  <c r="O43" i="50"/>
  <c r="L43" i="50"/>
  <c r="I43" i="50"/>
  <c r="F43" i="50"/>
  <c r="C43" i="50"/>
  <c r="X42" i="50"/>
  <c r="U42" i="50"/>
  <c r="R42" i="50"/>
  <c r="O42" i="50"/>
  <c r="L42" i="50"/>
  <c r="I42" i="50"/>
  <c r="F42" i="50"/>
  <c r="C42" i="50"/>
  <c r="X41" i="50"/>
  <c r="U41" i="50"/>
  <c r="R41" i="50"/>
  <c r="O41" i="50"/>
  <c r="L41" i="50"/>
  <c r="I41" i="50"/>
  <c r="F41" i="50"/>
  <c r="C41" i="50"/>
  <c r="X40" i="50"/>
  <c r="U40" i="50"/>
  <c r="R40" i="50"/>
  <c r="O40" i="50"/>
  <c r="L40" i="50"/>
  <c r="I40" i="50"/>
  <c r="F40" i="50"/>
  <c r="C40" i="50"/>
  <c r="X39" i="50"/>
  <c r="U39" i="50"/>
  <c r="R39" i="50"/>
  <c r="O39" i="50"/>
  <c r="L39" i="50"/>
  <c r="I39" i="50"/>
  <c r="F39" i="50"/>
  <c r="C39" i="50"/>
  <c r="X38" i="50"/>
  <c r="U38" i="50"/>
  <c r="R38" i="50"/>
  <c r="O38" i="50"/>
  <c r="L38" i="50"/>
  <c r="I38" i="50"/>
  <c r="F38" i="50"/>
  <c r="C38" i="50"/>
  <c r="X37" i="50"/>
  <c r="U37" i="50"/>
  <c r="R37" i="50"/>
  <c r="O37" i="50"/>
  <c r="L37" i="50"/>
  <c r="I37" i="50"/>
  <c r="F37" i="50"/>
  <c r="C37" i="50"/>
  <c r="X36" i="50"/>
  <c r="U36" i="50"/>
  <c r="R36" i="50"/>
  <c r="O36" i="50"/>
  <c r="L36" i="50"/>
  <c r="I36" i="50"/>
  <c r="F36" i="50"/>
  <c r="C36" i="50"/>
  <c r="X35" i="50"/>
  <c r="U35" i="50"/>
  <c r="R35" i="50"/>
  <c r="O35" i="50"/>
  <c r="L35" i="50"/>
  <c r="I35" i="50"/>
  <c r="F35" i="50"/>
  <c r="C35" i="50"/>
  <c r="X34" i="50"/>
  <c r="U34" i="50"/>
  <c r="R34" i="50"/>
  <c r="O34" i="50"/>
  <c r="L34" i="50"/>
  <c r="I34" i="50"/>
  <c r="F34" i="50"/>
  <c r="C34" i="50"/>
  <c r="X33" i="50"/>
  <c r="U33" i="50"/>
  <c r="R33" i="50"/>
  <c r="O33" i="50"/>
  <c r="L33" i="50"/>
  <c r="I33" i="50"/>
  <c r="F33" i="50"/>
  <c r="C33" i="50"/>
  <c r="X32" i="50"/>
  <c r="U32" i="50"/>
  <c r="R32" i="50"/>
  <c r="O32" i="50"/>
  <c r="L32" i="50"/>
  <c r="I32" i="50"/>
  <c r="F32" i="50"/>
  <c r="C32" i="50"/>
  <c r="X31" i="50"/>
  <c r="U31" i="50"/>
  <c r="R31" i="50"/>
  <c r="O31" i="50"/>
  <c r="L31" i="50"/>
  <c r="I31" i="50"/>
  <c r="F31" i="50"/>
  <c r="C31" i="50"/>
  <c r="X30" i="50"/>
  <c r="U30" i="50"/>
  <c r="R30" i="50"/>
  <c r="O30" i="50"/>
  <c r="L30" i="50"/>
  <c r="I30" i="50"/>
  <c r="F30" i="50"/>
  <c r="C30" i="50"/>
  <c r="X29" i="50"/>
  <c r="U29" i="50"/>
  <c r="R29" i="50"/>
  <c r="O29" i="50"/>
  <c r="L29" i="50"/>
  <c r="I29" i="50"/>
  <c r="F29" i="50"/>
  <c r="C29" i="50"/>
  <c r="X28" i="50"/>
  <c r="U28" i="50"/>
  <c r="R28" i="50"/>
  <c r="O28" i="50"/>
  <c r="L28" i="50"/>
  <c r="I28" i="50"/>
  <c r="F28" i="50"/>
  <c r="C28" i="50"/>
  <c r="X27" i="50"/>
  <c r="U27" i="50"/>
  <c r="R27" i="50"/>
  <c r="O27" i="50"/>
  <c r="L27" i="50"/>
  <c r="I27" i="50"/>
  <c r="F27" i="50"/>
  <c r="C27" i="50"/>
  <c r="X26" i="50"/>
  <c r="U26" i="50"/>
  <c r="R26" i="50"/>
  <c r="O26" i="50"/>
  <c r="L26" i="50"/>
  <c r="I26" i="50"/>
  <c r="F26" i="50"/>
  <c r="C26" i="50"/>
  <c r="X25" i="50"/>
  <c r="U25" i="50"/>
  <c r="R25" i="50"/>
  <c r="O25" i="50"/>
  <c r="L25" i="50"/>
  <c r="I25" i="50"/>
  <c r="F25" i="50"/>
  <c r="C25" i="50"/>
  <c r="X24" i="50"/>
  <c r="U24" i="50"/>
  <c r="R24" i="50"/>
  <c r="O24" i="50"/>
  <c r="L24" i="50"/>
  <c r="I24" i="50"/>
  <c r="F24" i="50"/>
  <c r="C24" i="50"/>
  <c r="X23" i="50"/>
  <c r="U23" i="50"/>
  <c r="R23" i="50"/>
  <c r="O23" i="50"/>
  <c r="L23" i="50"/>
  <c r="I23" i="50"/>
  <c r="F23" i="50"/>
  <c r="C23" i="50"/>
  <c r="X22" i="50"/>
  <c r="U22" i="50"/>
  <c r="R22" i="50"/>
  <c r="O22" i="50"/>
  <c r="L22" i="50"/>
  <c r="I22" i="50"/>
  <c r="F22" i="50"/>
  <c r="C22" i="50"/>
  <c r="X21" i="50"/>
  <c r="U21" i="50"/>
  <c r="R21" i="50"/>
  <c r="O21" i="50"/>
  <c r="L21" i="50"/>
  <c r="I21" i="50"/>
  <c r="F21" i="50"/>
  <c r="C21" i="50"/>
  <c r="X20" i="50"/>
  <c r="U20" i="50"/>
  <c r="R20" i="50"/>
  <c r="O20" i="50"/>
  <c r="L20" i="50"/>
  <c r="I20" i="50"/>
  <c r="F20" i="50"/>
  <c r="C20" i="50"/>
  <c r="X19" i="50"/>
  <c r="U19" i="50"/>
  <c r="R19" i="50"/>
  <c r="O19" i="50"/>
  <c r="L19" i="50"/>
  <c r="I19" i="50"/>
  <c r="F19" i="50"/>
  <c r="C19" i="50"/>
  <c r="X18" i="50"/>
  <c r="U18" i="50"/>
  <c r="R18" i="50"/>
  <c r="O18" i="50"/>
  <c r="L18" i="50"/>
  <c r="I18" i="50"/>
  <c r="F18" i="50"/>
  <c r="C18" i="50"/>
  <c r="X17" i="50"/>
  <c r="U17" i="50"/>
  <c r="R17" i="50"/>
  <c r="O17" i="50"/>
  <c r="L17" i="50"/>
  <c r="I17" i="50"/>
  <c r="F17" i="50"/>
  <c r="C17" i="50"/>
  <c r="X16" i="50"/>
  <c r="U16" i="50"/>
  <c r="R16" i="50"/>
  <c r="O16" i="50"/>
  <c r="L16" i="50"/>
  <c r="I16" i="50"/>
  <c r="F16" i="50"/>
  <c r="C16" i="50"/>
  <c r="X15" i="50"/>
  <c r="U15" i="50"/>
  <c r="R15" i="50"/>
  <c r="O15" i="50"/>
  <c r="L15" i="50"/>
  <c r="I15" i="50"/>
  <c r="F15" i="50"/>
  <c r="C15" i="50"/>
  <c r="X14" i="50"/>
  <c r="U14" i="50"/>
  <c r="R14" i="50"/>
  <c r="O14" i="50"/>
  <c r="L14" i="50"/>
  <c r="I14" i="50"/>
  <c r="F14" i="50"/>
  <c r="C14" i="50"/>
  <c r="X13" i="50"/>
  <c r="U13" i="50"/>
  <c r="R13" i="50"/>
  <c r="O13" i="50"/>
  <c r="L13" i="50"/>
  <c r="I13" i="50"/>
  <c r="F13" i="50"/>
  <c r="C13" i="50"/>
  <c r="X12" i="50"/>
  <c r="U12" i="50"/>
  <c r="R12" i="50"/>
  <c r="O12" i="50"/>
  <c r="L12" i="50"/>
  <c r="I12" i="50"/>
  <c r="F12" i="50"/>
  <c r="C12" i="50"/>
  <c r="X11" i="50"/>
  <c r="U11" i="50"/>
  <c r="R11" i="50"/>
  <c r="O11" i="50"/>
  <c r="L11" i="50"/>
  <c r="I11" i="50"/>
  <c r="F11" i="50"/>
  <c r="C11" i="50"/>
  <c r="X10" i="50"/>
  <c r="U10" i="50"/>
  <c r="R10" i="50"/>
  <c r="O10" i="50"/>
  <c r="L10" i="50"/>
  <c r="I10" i="50"/>
  <c r="F10" i="50"/>
  <c r="C10" i="50"/>
  <c r="X9" i="50"/>
  <c r="U9" i="50"/>
  <c r="R9" i="50"/>
  <c r="O9" i="50"/>
  <c r="L9" i="50"/>
  <c r="I9" i="50"/>
  <c r="F9" i="50"/>
  <c r="C9" i="50"/>
  <c r="X8" i="50"/>
  <c r="U8" i="50"/>
  <c r="R8" i="50"/>
  <c r="O8" i="50"/>
  <c r="L8" i="50"/>
  <c r="I8" i="50"/>
  <c r="F8" i="50"/>
  <c r="C8" i="50"/>
  <c r="X7" i="50"/>
  <c r="U7" i="50"/>
  <c r="R7" i="50"/>
  <c r="O7" i="50"/>
  <c r="L7" i="50"/>
  <c r="I7" i="50"/>
  <c r="F7" i="50"/>
  <c r="C7" i="50"/>
  <c r="X6" i="50"/>
  <c r="U6" i="50"/>
  <c r="R6" i="50"/>
  <c r="O6" i="50"/>
  <c r="L6" i="50"/>
  <c r="I6" i="50"/>
  <c r="F6" i="50"/>
  <c r="C6" i="50"/>
  <c r="X5" i="50"/>
  <c r="U5" i="50"/>
  <c r="R5" i="50"/>
  <c r="O5" i="50"/>
  <c r="F5" i="50"/>
  <c r="I1" i="50"/>
  <c r="X240" i="49"/>
  <c r="U240" i="49"/>
  <c r="R240" i="49"/>
  <c r="O240" i="49"/>
  <c r="L240" i="49"/>
  <c r="I240" i="49"/>
  <c r="F240" i="49"/>
  <c r="C240" i="49"/>
  <c r="X239" i="49"/>
  <c r="U239" i="49"/>
  <c r="R239" i="49"/>
  <c r="O239" i="49"/>
  <c r="L239" i="49"/>
  <c r="I239" i="49"/>
  <c r="F239" i="49"/>
  <c r="C239" i="49"/>
  <c r="X238" i="49"/>
  <c r="U238" i="49"/>
  <c r="R238" i="49"/>
  <c r="O238" i="49"/>
  <c r="L238" i="49"/>
  <c r="I238" i="49"/>
  <c r="F238" i="49"/>
  <c r="C238" i="49"/>
  <c r="X237" i="49"/>
  <c r="U237" i="49"/>
  <c r="R237" i="49"/>
  <c r="O237" i="49"/>
  <c r="L237" i="49"/>
  <c r="I237" i="49"/>
  <c r="F237" i="49"/>
  <c r="C237" i="49"/>
  <c r="X236" i="49"/>
  <c r="U236" i="49"/>
  <c r="R236" i="49"/>
  <c r="O236" i="49"/>
  <c r="L236" i="49"/>
  <c r="I236" i="49"/>
  <c r="F236" i="49"/>
  <c r="C236" i="49"/>
  <c r="X235" i="49"/>
  <c r="U235" i="49"/>
  <c r="R235" i="49"/>
  <c r="O235" i="49"/>
  <c r="L235" i="49"/>
  <c r="I235" i="49"/>
  <c r="F235" i="49"/>
  <c r="C235" i="49"/>
  <c r="X234" i="49"/>
  <c r="U234" i="49"/>
  <c r="R234" i="49"/>
  <c r="O234" i="49"/>
  <c r="L234" i="49"/>
  <c r="I234" i="49"/>
  <c r="F234" i="49"/>
  <c r="C234" i="49"/>
  <c r="X233" i="49"/>
  <c r="U233" i="49"/>
  <c r="R233" i="49"/>
  <c r="O233" i="49"/>
  <c r="L233" i="49"/>
  <c r="I233" i="49"/>
  <c r="F233" i="49"/>
  <c r="C233" i="49"/>
  <c r="X232" i="49"/>
  <c r="U232" i="49"/>
  <c r="R232" i="49"/>
  <c r="O232" i="49"/>
  <c r="L232" i="49"/>
  <c r="I232" i="49"/>
  <c r="F232" i="49"/>
  <c r="C232" i="49"/>
  <c r="X231" i="49"/>
  <c r="U231" i="49"/>
  <c r="R231" i="49"/>
  <c r="O231" i="49"/>
  <c r="L231" i="49"/>
  <c r="I231" i="49"/>
  <c r="F231" i="49"/>
  <c r="C231" i="49"/>
  <c r="X230" i="49"/>
  <c r="U230" i="49"/>
  <c r="R230" i="49"/>
  <c r="O230" i="49"/>
  <c r="L230" i="49"/>
  <c r="I230" i="49"/>
  <c r="F230" i="49"/>
  <c r="C230" i="49"/>
  <c r="X229" i="49"/>
  <c r="U229" i="49"/>
  <c r="R229" i="49"/>
  <c r="O229" i="49"/>
  <c r="L229" i="49"/>
  <c r="I229" i="49"/>
  <c r="F229" i="49"/>
  <c r="C229" i="49"/>
  <c r="X228" i="49"/>
  <c r="U228" i="49"/>
  <c r="R228" i="49"/>
  <c r="O228" i="49"/>
  <c r="L228" i="49"/>
  <c r="I228" i="49"/>
  <c r="F228" i="49"/>
  <c r="C228" i="49"/>
  <c r="X227" i="49"/>
  <c r="U227" i="49"/>
  <c r="R227" i="49"/>
  <c r="O227" i="49"/>
  <c r="L227" i="49"/>
  <c r="I227" i="49"/>
  <c r="F227" i="49"/>
  <c r="C227" i="49"/>
  <c r="X226" i="49"/>
  <c r="U226" i="49"/>
  <c r="R226" i="49"/>
  <c r="O226" i="49"/>
  <c r="L226" i="49"/>
  <c r="I226" i="49"/>
  <c r="F226" i="49"/>
  <c r="C226" i="49"/>
  <c r="X225" i="49"/>
  <c r="U225" i="49"/>
  <c r="R225" i="49"/>
  <c r="O225" i="49"/>
  <c r="L225" i="49"/>
  <c r="I225" i="49"/>
  <c r="F225" i="49"/>
  <c r="C225" i="49"/>
  <c r="X224" i="49"/>
  <c r="U224" i="49"/>
  <c r="R224" i="49"/>
  <c r="O224" i="49"/>
  <c r="L224" i="49"/>
  <c r="I224" i="49"/>
  <c r="F224" i="49"/>
  <c r="C224" i="49"/>
  <c r="X223" i="49"/>
  <c r="U223" i="49"/>
  <c r="R223" i="49"/>
  <c r="O223" i="49"/>
  <c r="L223" i="49"/>
  <c r="I223" i="49"/>
  <c r="F223" i="49"/>
  <c r="C223" i="49"/>
  <c r="X222" i="49"/>
  <c r="U222" i="49"/>
  <c r="R222" i="49"/>
  <c r="O222" i="49"/>
  <c r="L222" i="49"/>
  <c r="I222" i="49"/>
  <c r="F222" i="49"/>
  <c r="C222" i="49"/>
  <c r="X221" i="49"/>
  <c r="U221" i="49"/>
  <c r="R221" i="49"/>
  <c r="O221" i="49"/>
  <c r="L221" i="49"/>
  <c r="I221" i="49"/>
  <c r="F221" i="49"/>
  <c r="C221" i="49"/>
  <c r="X220" i="49"/>
  <c r="U220" i="49"/>
  <c r="R220" i="49"/>
  <c r="O220" i="49"/>
  <c r="L220" i="49"/>
  <c r="I220" i="49"/>
  <c r="F220" i="49"/>
  <c r="C220" i="49"/>
  <c r="X219" i="49"/>
  <c r="U219" i="49"/>
  <c r="R219" i="49"/>
  <c r="O219" i="49"/>
  <c r="L219" i="49"/>
  <c r="I219" i="49"/>
  <c r="F219" i="49"/>
  <c r="C219" i="49"/>
  <c r="X218" i="49"/>
  <c r="U218" i="49"/>
  <c r="R218" i="49"/>
  <c r="O218" i="49"/>
  <c r="L218" i="49"/>
  <c r="I218" i="49"/>
  <c r="F218" i="49"/>
  <c r="C218" i="49"/>
  <c r="X217" i="49"/>
  <c r="U217" i="49"/>
  <c r="R217" i="49"/>
  <c r="O217" i="49"/>
  <c r="L217" i="49"/>
  <c r="I217" i="49"/>
  <c r="F217" i="49"/>
  <c r="C217" i="49"/>
  <c r="X216" i="49"/>
  <c r="U216" i="49"/>
  <c r="R216" i="49"/>
  <c r="O216" i="49"/>
  <c r="L216" i="49"/>
  <c r="I216" i="49"/>
  <c r="F216" i="49"/>
  <c r="C216" i="49"/>
  <c r="X215" i="49"/>
  <c r="U215" i="49"/>
  <c r="R215" i="49"/>
  <c r="O215" i="49"/>
  <c r="L215" i="49"/>
  <c r="I215" i="49"/>
  <c r="F215" i="49"/>
  <c r="C215" i="49"/>
  <c r="X214" i="49"/>
  <c r="U214" i="49"/>
  <c r="R214" i="49"/>
  <c r="O214" i="49"/>
  <c r="L214" i="49"/>
  <c r="I214" i="49"/>
  <c r="F214" i="49"/>
  <c r="C214" i="49"/>
  <c r="X213" i="49"/>
  <c r="U213" i="49"/>
  <c r="R213" i="49"/>
  <c r="O213" i="49"/>
  <c r="L213" i="49"/>
  <c r="I213" i="49"/>
  <c r="F213" i="49"/>
  <c r="C213" i="49"/>
  <c r="X212" i="49"/>
  <c r="U212" i="49"/>
  <c r="R212" i="49"/>
  <c r="O212" i="49"/>
  <c r="L212" i="49"/>
  <c r="I212" i="49"/>
  <c r="F212" i="49"/>
  <c r="C212" i="49"/>
  <c r="X211" i="49"/>
  <c r="U211" i="49"/>
  <c r="R211" i="49"/>
  <c r="O211" i="49"/>
  <c r="L211" i="49"/>
  <c r="I211" i="49"/>
  <c r="F211" i="49"/>
  <c r="C211" i="49"/>
  <c r="X210" i="49"/>
  <c r="U210" i="49"/>
  <c r="R210" i="49"/>
  <c r="O210" i="49"/>
  <c r="L210" i="49"/>
  <c r="I210" i="49"/>
  <c r="F210" i="49"/>
  <c r="C210" i="49"/>
  <c r="X209" i="49"/>
  <c r="U209" i="49"/>
  <c r="R209" i="49"/>
  <c r="O209" i="49"/>
  <c r="L209" i="49"/>
  <c r="I209" i="49"/>
  <c r="F209" i="49"/>
  <c r="C209" i="49"/>
  <c r="X208" i="49"/>
  <c r="U208" i="49"/>
  <c r="R208" i="49"/>
  <c r="O208" i="49"/>
  <c r="L208" i="49"/>
  <c r="I208" i="49"/>
  <c r="F208" i="49"/>
  <c r="C208" i="49"/>
  <c r="X207" i="49"/>
  <c r="U207" i="49"/>
  <c r="R207" i="49"/>
  <c r="O207" i="49"/>
  <c r="L207" i="49"/>
  <c r="I207" i="49"/>
  <c r="F207" i="49"/>
  <c r="C207" i="49"/>
  <c r="X206" i="49"/>
  <c r="U206" i="49"/>
  <c r="R206" i="49"/>
  <c r="O206" i="49"/>
  <c r="L206" i="49"/>
  <c r="I206" i="49"/>
  <c r="F206" i="49"/>
  <c r="C206" i="49"/>
  <c r="X205" i="49"/>
  <c r="U205" i="49"/>
  <c r="R205" i="49"/>
  <c r="O205" i="49"/>
  <c r="L205" i="49"/>
  <c r="I205" i="49"/>
  <c r="F205" i="49"/>
  <c r="C205" i="49"/>
  <c r="X204" i="49"/>
  <c r="U204" i="49"/>
  <c r="R204" i="49"/>
  <c r="O204" i="49"/>
  <c r="L204" i="49"/>
  <c r="I204" i="49"/>
  <c r="F204" i="49"/>
  <c r="C204" i="49"/>
  <c r="X203" i="49"/>
  <c r="U203" i="49"/>
  <c r="R203" i="49"/>
  <c r="O203" i="49"/>
  <c r="L203" i="49"/>
  <c r="I203" i="49"/>
  <c r="F203" i="49"/>
  <c r="C203" i="49"/>
  <c r="X202" i="49"/>
  <c r="U202" i="49"/>
  <c r="R202" i="49"/>
  <c r="O202" i="49"/>
  <c r="L202" i="49"/>
  <c r="I202" i="49"/>
  <c r="F202" i="49"/>
  <c r="C202" i="49"/>
  <c r="X201" i="49"/>
  <c r="U201" i="49"/>
  <c r="R201" i="49"/>
  <c r="O201" i="49"/>
  <c r="L201" i="49"/>
  <c r="I201" i="49"/>
  <c r="F201" i="49"/>
  <c r="C201" i="49"/>
  <c r="X200" i="49"/>
  <c r="U200" i="49"/>
  <c r="R200" i="49"/>
  <c r="O200" i="49"/>
  <c r="L200" i="49"/>
  <c r="I200" i="49"/>
  <c r="F200" i="49"/>
  <c r="C200" i="49"/>
  <c r="X199" i="49"/>
  <c r="U199" i="49"/>
  <c r="R199" i="49"/>
  <c r="O199" i="49"/>
  <c r="L199" i="49"/>
  <c r="I199" i="49"/>
  <c r="F199" i="49"/>
  <c r="C199" i="49"/>
  <c r="X198" i="49"/>
  <c r="U198" i="49"/>
  <c r="R198" i="49"/>
  <c r="O198" i="49"/>
  <c r="L198" i="49"/>
  <c r="I198" i="49"/>
  <c r="F198" i="49"/>
  <c r="C198" i="49"/>
  <c r="X197" i="49"/>
  <c r="U197" i="49"/>
  <c r="R197" i="49"/>
  <c r="O197" i="49"/>
  <c r="L197" i="49"/>
  <c r="I197" i="49"/>
  <c r="F197" i="49"/>
  <c r="C197" i="49"/>
  <c r="X196" i="49"/>
  <c r="U196" i="49"/>
  <c r="R196" i="49"/>
  <c r="O196" i="49"/>
  <c r="L196" i="49"/>
  <c r="I196" i="49"/>
  <c r="F196" i="49"/>
  <c r="C196" i="49"/>
  <c r="X195" i="49"/>
  <c r="U195" i="49"/>
  <c r="R195" i="49"/>
  <c r="O195" i="49"/>
  <c r="L195" i="49"/>
  <c r="I195" i="49"/>
  <c r="F195" i="49"/>
  <c r="C195" i="49"/>
  <c r="X194" i="49"/>
  <c r="U194" i="49"/>
  <c r="R194" i="49"/>
  <c r="O194" i="49"/>
  <c r="L194" i="49"/>
  <c r="I194" i="49"/>
  <c r="F194" i="49"/>
  <c r="C194" i="49"/>
  <c r="X193" i="49"/>
  <c r="U193" i="49"/>
  <c r="R193" i="49"/>
  <c r="O193" i="49"/>
  <c r="L193" i="49"/>
  <c r="I193" i="49"/>
  <c r="F193" i="49"/>
  <c r="C193" i="49"/>
  <c r="X192" i="49"/>
  <c r="U192" i="49"/>
  <c r="R192" i="49"/>
  <c r="O192" i="49"/>
  <c r="L192" i="49"/>
  <c r="I192" i="49"/>
  <c r="F192" i="49"/>
  <c r="C192" i="49"/>
  <c r="X191" i="49"/>
  <c r="U191" i="49"/>
  <c r="R191" i="49"/>
  <c r="O191" i="49"/>
  <c r="L191" i="49"/>
  <c r="I191" i="49"/>
  <c r="F191" i="49"/>
  <c r="C191" i="49"/>
  <c r="X190" i="49"/>
  <c r="U190" i="49"/>
  <c r="R190" i="49"/>
  <c r="O190" i="49"/>
  <c r="L190" i="49"/>
  <c r="I190" i="49"/>
  <c r="F190" i="49"/>
  <c r="C190" i="49"/>
  <c r="X189" i="49"/>
  <c r="U189" i="49"/>
  <c r="R189" i="49"/>
  <c r="O189" i="49"/>
  <c r="L189" i="49"/>
  <c r="I189" i="49"/>
  <c r="F189" i="49"/>
  <c r="C189" i="49"/>
  <c r="X188" i="49"/>
  <c r="U188" i="49"/>
  <c r="R188" i="49"/>
  <c r="O188" i="49"/>
  <c r="L188" i="49"/>
  <c r="I188" i="49"/>
  <c r="F188" i="49"/>
  <c r="C188" i="49"/>
  <c r="X187" i="49"/>
  <c r="U187" i="49"/>
  <c r="R187" i="49"/>
  <c r="O187" i="49"/>
  <c r="L187" i="49"/>
  <c r="I187" i="49"/>
  <c r="F187" i="49"/>
  <c r="C187" i="49"/>
  <c r="X186" i="49"/>
  <c r="U186" i="49"/>
  <c r="R186" i="49"/>
  <c r="O186" i="49"/>
  <c r="L186" i="49"/>
  <c r="I186" i="49"/>
  <c r="F186" i="49"/>
  <c r="C186" i="49"/>
  <c r="X185" i="49"/>
  <c r="U185" i="49"/>
  <c r="R185" i="49"/>
  <c r="O185" i="49"/>
  <c r="L185" i="49"/>
  <c r="I185" i="49"/>
  <c r="F185" i="49"/>
  <c r="C185" i="49"/>
  <c r="X184" i="49"/>
  <c r="U184" i="49"/>
  <c r="R184" i="49"/>
  <c r="O184" i="49"/>
  <c r="L184" i="49"/>
  <c r="I184" i="49"/>
  <c r="F184" i="49"/>
  <c r="C184" i="49"/>
  <c r="X183" i="49"/>
  <c r="U183" i="49"/>
  <c r="R183" i="49"/>
  <c r="O183" i="49"/>
  <c r="L183" i="49"/>
  <c r="I183" i="49"/>
  <c r="F183" i="49"/>
  <c r="C183" i="49"/>
  <c r="X182" i="49"/>
  <c r="U182" i="49"/>
  <c r="R182" i="49"/>
  <c r="O182" i="49"/>
  <c r="L182" i="49"/>
  <c r="I182" i="49"/>
  <c r="F182" i="49"/>
  <c r="C182" i="49"/>
  <c r="X181" i="49"/>
  <c r="U181" i="49"/>
  <c r="R181" i="49"/>
  <c r="O181" i="49"/>
  <c r="L181" i="49"/>
  <c r="I181" i="49"/>
  <c r="F181" i="49"/>
  <c r="C181" i="49"/>
  <c r="X180" i="49"/>
  <c r="U180" i="49"/>
  <c r="R180" i="49"/>
  <c r="O180" i="49"/>
  <c r="L180" i="49"/>
  <c r="I180" i="49"/>
  <c r="F180" i="49"/>
  <c r="C180" i="49"/>
  <c r="X179" i="49"/>
  <c r="U179" i="49"/>
  <c r="R179" i="49"/>
  <c r="O179" i="49"/>
  <c r="L179" i="49"/>
  <c r="I179" i="49"/>
  <c r="F179" i="49"/>
  <c r="C179" i="49"/>
  <c r="X178" i="49"/>
  <c r="U178" i="49"/>
  <c r="R178" i="49"/>
  <c r="O178" i="49"/>
  <c r="L178" i="49"/>
  <c r="I178" i="49"/>
  <c r="F178" i="49"/>
  <c r="C178" i="49"/>
  <c r="X177" i="49"/>
  <c r="U177" i="49"/>
  <c r="R177" i="49"/>
  <c r="O177" i="49"/>
  <c r="L177" i="49"/>
  <c r="I177" i="49"/>
  <c r="F177" i="49"/>
  <c r="C177" i="49"/>
  <c r="X176" i="49"/>
  <c r="U176" i="49"/>
  <c r="R176" i="49"/>
  <c r="O176" i="49"/>
  <c r="L176" i="49"/>
  <c r="I176" i="49"/>
  <c r="F176" i="49"/>
  <c r="C176" i="49"/>
  <c r="X175" i="49"/>
  <c r="U175" i="49"/>
  <c r="R175" i="49"/>
  <c r="O175" i="49"/>
  <c r="L175" i="49"/>
  <c r="I175" i="49"/>
  <c r="F175" i="49"/>
  <c r="C175" i="49"/>
  <c r="X174" i="49"/>
  <c r="U174" i="49"/>
  <c r="R174" i="49"/>
  <c r="O174" i="49"/>
  <c r="L174" i="49"/>
  <c r="I174" i="49"/>
  <c r="F174" i="49"/>
  <c r="C174" i="49"/>
  <c r="X173" i="49"/>
  <c r="U173" i="49"/>
  <c r="R173" i="49"/>
  <c r="O173" i="49"/>
  <c r="L173" i="49"/>
  <c r="I173" i="49"/>
  <c r="F173" i="49"/>
  <c r="C173" i="49"/>
  <c r="X172" i="49"/>
  <c r="U172" i="49"/>
  <c r="R172" i="49"/>
  <c r="O172" i="49"/>
  <c r="L172" i="49"/>
  <c r="I172" i="49"/>
  <c r="F172" i="49"/>
  <c r="C172" i="49"/>
  <c r="X171" i="49"/>
  <c r="U171" i="49"/>
  <c r="R171" i="49"/>
  <c r="O171" i="49"/>
  <c r="L171" i="49"/>
  <c r="I171" i="49"/>
  <c r="F171" i="49"/>
  <c r="C171" i="49"/>
  <c r="X170" i="49"/>
  <c r="U170" i="49"/>
  <c r="R170" i="49"/>
  <c r="O170" i="49"/>
  <c r="L170" i="49"/>
  <c r="I170" i="49"/>
  <c r="F170" i="49"/>
  <c r="C170" i="49"/>
  <c r="X169" i="49"/>
  <c r="U169" i="49"/>
  <c r="R169" i="49"/>
  <c r="O169" i="49"/>
  <c r="L169" i="49"/>
  <c r="I169" i="49"/>
  <c r="F169" i="49"/>
  <c r="C169" i="49"/>
  <c r="X168" i="49"/>
  <c r="U168" i="49"/>
  <c r="R168" i="49"/>
  <c r="O168" i="49"/>
  <c r="L168" i="49"/>
  <c r="I168" i="49"/>
  <c r="F168" i="49"/>
  <c r="C168" i="49"/>
  <c r="X167" i="49"/>
  <c r="U167" i="49"/>
  <c r="R167" i="49"/>
  <c r="O167" i="49"/>
  <c r="L167" i="49"/>
  <c r="I167" i="49"/>
  <c r="F167" i="49"/>
  <c r="C167" i="49"/>
  <c r="X166" i="49"/>
  <c r="U166" i="49"/>
  <c r="R166" i="49"/>
  <c r="O166" i="49"/>
  <c r="L166" i="49"/>
  <c r="I166" i="49"/>
  <c r="F166" i="49"/>
  <c r="C166" i="49"/>
  <c r="X165" i="49"/>
  <c r="U165" i="49"/>
  <c r="R165" i="49"/>
  <c r="O165" i="49"/>
  <c r="L165" i="49"/>
  <c r="I165" i="49"/>
  <c r="F165" i="49"/>
  <c r="C165" i="49"/>
  <c r="X164" i="49"/>
  <c r="U164" i="49"/>
  <c r="R164" i="49"/>
  <c r="O164" i="49"/>
  <c r="L164" i="49"/>
  <c r="I164" i="49"/>
  <c r="F164" i="49"/>
  <c r="C164" i="49"/>
  <c r="X163" i="49"/>
  <c r="U163" i="49"/>
  <c r="R163" i="49"/>
  <c r="O163" i="49"/>
  <c r="L163" i="49"/>
  <c r="I163" i="49"/>
  <c r="F163" i="49"/>
  <c r="C163" i="49"/>
  <c r="X162" i="49"/>
  <c r="U162" i="49"/>
  <c r="R162" i="49"/>
  <c r="O162" i="49"/>
  <c r="L162" i="49"/>
  <c r="I162" i="49"/>
  <c r="F162" i="49"/>
  <c r="C162" i="49"/>
  <c r="X161" i="49"/>
  <c r="U161" i="49"/>
  <c r="R161" i="49"/>
  <c r="O161" i="49"/>
  <c r="L161" i="49"/>
  <c r="I161" i="49"/>
  <c r="F161" i="49"/>
  <c r="C161" i="49"/>
  <c r="X160" i="49"/>
  <c r="U160" i="49"/>
  <c r="R160" i="49"/>
  <c r="O160" i="49"/>
  <c r="L160" i="49"/>
  <c r="I160" i="49"/>
  <c r="F160" i="49"/>
  <c r="C160" i="49"/>
  <c r="X159" i="49"/>
  <c r="U159" i="49"/>
  <c r="R159" i="49"/>
  <c r="O159" i="49"/>
  <c r="L159" i="49"/>
  <c r="I159" i="49"/>
  <c r="F159" i="49"/>
  <c r="C159" i="49"/>
  <c r="X158" i="49"/>
  <c r="U158" i="49"/>
  <c r="R158" i="49"/>
  <c r="O158" i="49"/>
  <c r="L158" i="49"/>
  <c r="I158" i="49"/>
  <c r="F158" i="49"/>
  <c r="C158" i="49"/>
  <c r="X157" i="49"/>
  <c r="U157" i="49"/>
  <c r="R157" i="49"/>
  <c r="O157" i="49"/>
  <c r="L157" i="49"/>
  <c r="I157" i="49"/>
  <c r="F157" i="49"/>
  <c r="C157" i="49"/>
  <c r="X156" i="49"/>
  <c r="U156" i="49"/>
  <c r="R156" i="49"/>
  <c r="O156" i="49"/>
  <c r="L156" i="49"/>
  <c r="I156" i="49"/>
  <c r="F156" i="49"/>
  <c r="C156" i="49"/>
  <c r="X155" i="49"/>
  <c r="U155" i="49"/>
  <c r="R155" i="49"/>
  <c r="O155" i="49"/>
  <c r="L155" i="49"/>
  <c r="I155" i="49"/>
  <c r="F155" i="49"/>
  <c r="C155" i="49"/>
  <c r="X154" i="49"/>
  <c r="U154" i="49"/>
  <c r="R154" i="49"/>
  <c r="O154" i="49"/>
  <c r="L154" i="49"/>
  <c r="I154" i="49"/>
  <c r="F154" i="49"/>
  <c r="C154" i="49"/>
  <c r="X153" i="49"/>
  <c r="U153" i="49"/>
  <c r="R153" i="49"/>
  <c r="O153" i="49"/>
  <c r="L153" i="49"/>
  <c r="I153" i="49"/>
  <c r="F153" i="49"/>
  <c r="C153" i="49"/>
  <c r="X152" i="49"/>
  <c r="U152" i="49"/>
  <c r="R152" i="49"/>
  <c r="O152" i="49"/>
  <c r="L152" i="49"/>
  <c r="I152" i="49"/>
  <c r="F152" i="49"/>
  <c r="C152" i="49"/>
  <c r="X151" i="49"/>
  <c r="U151" i="49"/>
  <c r="R151" i="49"/>
  <c r="O151" i="49"/>
  <c r="L151" i="49"/>
  <c r="I151" i="49"/>
  <c r="F151" i="49"/>
  <c r="C151" i="49"/>
  <c r="X150" i="49"/>
  <c r="U150" i="49"/>
  <c r="R150" i="49"/>
  <c r="O150" i="49"/>
  <c r="L150" i="49"/>
  <c r="I150" i="49"/>
  <c r="F150" i="49"/>
  <c r="C150" i="49"/>
  <c r="X149" i="49"/>
  <c r="U149" i="49"/>
  <c r="R149" i="49"/>
  <c r="O149" i="49"/>
  <c r="L149" i="49"/>
  <c r="I149" i="49"/>
  <c r="F149" i="49"/>
  <c r="C149" i="49"/>
  <c r="X148" i="49"/>
  <c r="U148" i="49"/>
  <c r="R148" i="49"/>
  <c r="O148" i="49"/>
  <c r="L148" i="49"/>
  <c r="I148" i="49"/>
  <c r="F148" i="49"/>
  <c r="C148" i="49"/>
  <c r="X147" i="49"/>
  <c r="U147" i="49"/>
  <c r="R147" i="49"/>
  <c r="O147" i="49"/>
  <c r="L147" i="49"/>
  <c r="I147" i="49"/>
  <c r="F147" i="49"/>
  <c r="C147" i="49"/>
  <c r="X146" i="49"/>
  <c r="U146" i="49"/>
  <c r="R146" i="49"/>
  <c r="O146" i="49"/>
  <c r="L146" i="49"/>
  <c r="I146" i="49"/>
  <c r="F146" i="49"/>
  <c r="C146" i="49"/>
  <c r="X145" i="49"/>
  <c r="U145" i="49"/>
  <c r="R145" i="49"/>
  <c r="O145" i="49"/>
  <c r="L145" i="49"/>
  <c r="I145" i="49"/>
  <c r="F145" i="49"/>
  <c r="C145" i="49"/>
  <c r="X144" i="49"/>
  <c r="U144" i="49"/>
  <c r="R144" i="49"/>
  <c r="O144" i="49"/>
  <c r="L144" i="49"/>
  <c r="I144" i="49"/>
  <c r="F144" i="49"/>
  <c r="C144" i="49"/>
  <c r="X143" i="49"/>
  <c r="U143" i="49"/>
  <c r="R143" i="49"/>
  <c r="O143" i="49"/>
  <c r="L143" i="49"/>
  <c r="I143" i="49"/>
  <c r="F143" i="49"/>
  <c r="C143" i="49"/>
  <c r="X142" i="49"/>
  <c r="U142" i="49"/>
  <c r="R142" i="49"/>
  <c r="O142" i="49"/>
  <c r="L142" i="49"/>
  <c r="I142" i="49"/>
  <c r="F142" i="49"/>
  <c r="C142" i="49"/>
  <c r="X141" i="49"/>
  <c r="U141" i="49"/>
  <c r="R141" i="49"/>
  <c r="O141" i="49"/>
  <c r="L141" i="49"/>
  <c r="I141" i="49"/>
  <c r="F141" i="49"/>
  <c r="C141" i="49"/>
  <c r="X140" i="49"/>
  <c r="U140" i="49"/>
  <c r="R140" i="49"/>
  <c r="O140" i="49"/>
  <c r="L140" i="49"/>
  <c r="I140" i="49"/>
  <c r="F140" i="49"/>
  <c r="C140" i="49"/>
  <c r="X139" i="49"/>
  <c r="U139" i="49"/>
  <c r="R139" i="49"/>
  <c r="O139" i="49"/>
  <c r="L139" i="49"/>
  <c r="I139" i="49"/>
  <c r="F139" i="49"/>
  <c r="C139" i="49"/>
  <c r="X138" i="49"/>
  <c r="U138" i="49"/>
  <c r="R138" i="49"/>
  <c r="O138" i="49"/>
  <c r="L138" i="49"/>
  <c r="I138" i="49"/>
  <c r="F138" i="49"/>
  <c r="C138" i="49"/>
  <c r="X137" i="49"/>
  <c r="U137" i="49"/>
  <c r="R137" i="49"/>
  <c r="O137" i="49"/>
  <c r="L137" i="49"/>
  <c r="I137" i="49"/>
  <c r="F137" i="49"/>
  <c r="C137" i="49"/>
  <c r="X136" i="49"/>
  <c r="U136" i="49"/>
  <c r="R136" i="49"/>
  <c r="O136" i="49"/>
  <c r="L136" i="49"/>
  <c r="I136" i="49"/>
  <c r="F136" i="49"/>
  <c r="C136" i="49"/>
  <c r="X135" i="49"/>
  <c r="U135" i="49"/>
  <c r="R135" i="49"/>
  <c r="O135" i="49"/>
  <c r="L135" i="49"/>
  <c r="I135" i="49"/>
  <c r="F135" i="49"/>
  <c r="C135" i="49"/>
  <c r="X134" i="49"/>
  <c r="U134" i="49"/>
  <c r="R134" i="49"/>
  <c r="O134" i="49"/>
  <c r="L134" i="49"/>
  <c r="I134" i="49"/>
  <c r="F134" i="49"/>
  <c r="C134" i="49"/>
  <c r="X133" i="49"/>
  <c r="U133" i="49"/>
  <c r="R133" i="49"/>
  <c r="O133" i="49"/>
  <c r="L133" i="49"/>
  <c r="I133" i="49"/>
  <c r="F133" i="49"/>
  <c r="C133" i="49"/>
  <c r="X132" i="49"/>
  <c r="U132" i="49"/>
  <c r="R132" i="49"/>
  <c r="O132" i="49"/>
  <c r="L132" i="49"/>
  <c r="I132" i="49"/>
  <c r="F132" i="49"/>
  <c r="C132" i="49"/>
  <c r="X131" i="49"/>
  <c r="U131" i="49"/>
  <c r="R131" i="49"/>
  <c r="O131" i="49"/>
  <c r="L131" i="49"/>
  <c r="I131" i="49"/>
  <c r="F131" i="49"/>
  <c r="C131" i="49"/>
  <c r="X130" i="49"/>
  <c r="U130" i="49"/>
  <c r="R130" i="49"/>
  <c r="O130" i="49"/>
  <c r="L130" i="49"/>
  <c r="I130" i="49"/>
  <c r="F130" i="49"/>
  <c r="C130" i="49"/>
  <c r="X129" i="49"/>
  <c r="U129" i="49"/>
  <c r="R129" i="49"/>
  <c r="O129" i="49"/>
  <c r="L129" i="49"/>
  <c r="I129" i="49"/>
  <c r="F129" i="49"/>
  <c r="C129" i="49"/>
  <c r="X128" i="49"/>
  <c r="U128" i="49"/>
  <c r="R128" i="49"/>
  <c r="O128" i="49"/>
  <c r="L128" i="49"/>
  <c r="I128" i="49"/>
  <c r="F128" i="49"/>
  <c r="C128" i="49"/>
  <c r="X127" i="49"/>
  <c r="U127" i="49"/>
  <c r="R127" i="49"/>
  <c r="O127" i="49"/>
  <c r="L127" i="49"/>
  <c r="I127" i="49"/>
  <c r="F127" i="49"/>
  <c r="C127" i="49"/>
  <c r="X126" i="49"/>
  <c r="U126" i="49"/>
  <c r="R126" i="49"/>
  <c r="O126" i="49"/>
  <c r="L126" i="49"/>
  <c r="I126" i="49"/>
  <c r="F126" i="49"/>
  <c r="C126" i="49"/>
  <c r="X125" i="49"/>
  <c r="U125" i="49"/>
  <c r="R125" i="49"/>
  <c r="O125" i="49"/>
  <c r="L125" i="49"/>
  <c r="I125" i="49"/>
  <c r="F125" i="49"/>
  <c r="C125" i="49"/>
  <c r="X124" i="49"/>
  <c r="U124" i="49"/>
  <c r="R124" i="49"/>
  <c r="O124" i="49"/>
  <c r="L124" i="49"/>
  <c r="I124" i="49"/>
  <c r="F124" i="49"/>
  <c r="C124" i="49"/>
  <c r="X123" i="49"/>
  <c r="U123" i="49"/>
  <c r="R123" i="49"/>
  <c r="O123" i="49"/>
  <c r="L123" i="49"/>
  <c r="I123" i="49"/>
  <c r="F123" i="49"/>
  <c r="C123" i="49"/>
  <c r="X122" i="49"/>
  <c r="U122" i="49"/>
  <c r="R122" i="49"/>
  <c r="O122" i="49"/>
  <c r="L122" i="49"/>
  <c r="I122" i="49"/>
  <c r="F122" i="49"/>
  <c r="C122" i="49"/>
  <c r="X121" i="49"/>
  <c r="U121" i="49"/>
  <c r="R121" i="49"/>
  <c r="O121" i="49"/>
  <c r="L121" i="49"/>
  <c r="I121" i="49"/>
  <c r="F121" i="49"/>
  <c r="C121" i="49"/>
  <c r="X120" i="49"/>
  <c r="U120" i="49"/>
  <c r="R120" i="49"/>
  <c r="O120" i="49"/>
  <c r="L120" i="49"/>
  <c r="I120" i="49"/>
  <c r="F120" i="49"/>
  <c r="C120" i="49"/>
  <c r="X119" i="49"/>
  <c r="U119" i="49"/>
  <c r="R119" i="49"/>
  <c r="O119" i="49"/>
  <c r="L119" i="49"/>
  <c r="I119" i="49"/>
  <c r="F119" i="49"/>
  <c r="C119" i="49"/>
  <c r="X118" i="49"/>
  <c r="U118" i="49"/>
  <c r="R118" i="49"/>
  <c r="O118" i="49"/>
  <c r="L118" i="49"/>
  <c r="I118" i="49"/>
  <c r="F118" i="49"/>
  <c r="C118" i="49"/>
  <c r="X117" i="49"/>
  <c r="U117" i="49"/>
  <c r="R117" i="49"/>
  <c r="O117" i="49"/>
  <c r="L117" i="49"/>
  <c r="I117" i="49"/>
  <c r="F117" i="49"/>
  <c r="C117" i="49"/>
  <c r="X116" i="49"/>
  <c r="U116" i="49"/>
  <c r="R116" i="49"/>
  <c r="O116" i="49"/>
  <c r="L116" i="49"/>
  <c r="I116" i="49"/>
  <c r="F116" i="49"/>
  <c r="C116" i="49"/>
  <c r="X115" i="49"/>
  <c r="U115" i="49"/>
  <c r="R115" i="49"/>
  <c r="O115" i="49"/>
  <c r="L115" i="49"/>
  <c r="I115" i="49"/>
  <c r="F115" i="49"/>
  <c r="C115" i="49"/>
  <c r="X114" i="49"/>
  <c r="U114" i="49"/>
  <c r="R114" i="49"/>
  <c r="O114" i="49"/>
  <c r="L114" i="49"/>
  <c r="I114" i="49"/>
  <c r="F114" i="49"/>
  <c r="C114" i="49"/>
  <c r="X113" i="49"/>
  <c r="U113" i="49"/>
  <c r="R113" i="49"/>
  <c r="O113" i="49"/>
  <c r="L113" i="49"/>
  <c r="I113" i="49"/>
  <c r="F113" i="49"/>
  <c r="C113" i="49"/>
  <c r="X112" i="49"/>
  <c r="U112" i="49"/>
  <c r="R112" i="49"/>
  <c r="O112" i="49"/>
  <c r="L112" i="49"/>
  <c r="I112" i="49"/>
  <c r="F112" i="49"/>
  <c r="C112" i="49"/>
  <c r="X111" i="49"/>
  <c r="U111" i="49"/>
  <c r="R111" i="49"/>
  <c r="O111" i="49"/>
  <c r="L111" i="49"/>
  <c r="I111" i="49"/>
  <c r="F111" i="49"/>
  <c r="C111" i="49"/>
  <c r="X110" i="49"/>
  <c r="U110" i="49"/>
  <c r="R110" i="49"/>
  <c r="O110" i="49"/>
  <c r="L110" i="49"/>
  <c r="I110" i="49"/>
  <c r="F110" i="49"/>
  <c r="C110" i="49"/>
  <c r="X109" i="49"/>
  <c r="U109" i="49"/>
  <c r="R109" i="49"/>
  <c r="O109" i="49"/>
  <c r="L109" i="49"/>
  <c r="I109" i="49"/>
  <c r="F109" i="49"/>
  <c r="C109" i="49"/>
  <c r="X108" i="49"/>
  <c r="U108" i="49"/>
  <c r="R108" i="49"/>
  <c r="O108" i="49"/>
  <c r="L108" i="49"/>
  <c r="I108" i="49"/>
  <c r="F108" i="49"/>
  <c r="C108" i="49"/>
  <c r="X107" i="49"/>
  <c r="U107" i="49"/>
  <c r="R107" i="49"/>
  <c r="O107" i="49"/>
  <c r="L107" i="49"/>
  <c r="I107" i="49"/>
  <c r="F107" i="49"/>
  <c r="C107" i="49"/>
  <c r="X106" i="49"/>
  <c r="U106" i="49"/>
  <c r="R106" i="49"/>
  <c r="O106" i="49"/>
  <c r="L106" i="49"/>
  <c r="I106" i="49"/>
  <c r="F106" i="49"/>
  <c r="C106" i="49"/>
  <c r="X105" i="49"/>
  <c r="U105" i="49"/>
  <c r="R105" i="49"/>
  <c r="O105" i="49"/>
  <c r="L105" i="49"/>
  <c r="I105" i="49"/>
  <c r="F105" i="49"/>
  <c r="C105" i="49"/>
  <c r="X104" i="49"/>
  <c r="U104" i="49"/>
  <c r="R104" i="49"/>
  <c r="O104" i="49"/>
  <c r="L104" i="49"/>
  <c r="I104" i="49"/>
  <c r="F104" i="49"/>
  <c r="C104" i="49"/>
  <c r="X103" i="49"/>
  <c r="U103" i="49"/>
  <c r="R103" i="49"/>
  <c r="O103" i="49"/>
  <c r="L103" i="49"/>
  <c r="I103" i="49"/>
  <c r="F103" i="49"/>
  <c r="C103" i="49"/>
  <c r="X102" i="49"/>
  <c r="U102" i="49"/>
  <c r="R102" i="49"/>
  <c r="O102" i="49"/>
  <c r="L102" i="49"/>
  <c r="I102" i="49"/>
  <c r="F102" i="49"/>
  <c r="C102" i="49"/>
  <c r="X101" i="49"/>
  <c r="U101" i="49"/>
  <c r="R101" i="49"/>
  <c r="O101" i="49"/>
  <c r="L101" i="49"/>
  <c r="I101" i="49"/>
  <c r="F101" i="49"/>
  <c r="C101" i="49"/>
  <c r="X100" i="49"/>
  <c r="U100" i="49"/>
  <c r="R100" i="49"/>
  <c r="O100" i="49"/>
  <c r="L100" i="49"/>
  <c r="I100" i="49"/>
  <c r="F100" i="49"/>
  <c r="C100" i="49"/>
  <c r="X99" i="49"/>
  <c r="U99" i="49"/>
  <c r="R99" i="49"/>
  <c r="O99" i="49"/>
  <c r="L99" i="49"/>
  <c r="I99" i="49"/>
  <c r="F99" i="49"/>
  <c r="C99" i="49"/>
  <c r="X98" i="49"/>
  <c r="U98" i="49"/>
  <c r="R98" i="49"/>
  <c r="O98" i="49"/>
  <c r="L98" i="49"/>
  <c r="I98" i="49"/>
  <c r="F98" i="49"/>
  <c r="C98" i="49"/>
  <c r="X97" i="49"/>
  <c r="U97" i="49"/>
  <c r="R97" i="49"/>
  <c r="O97" i="49"/>
  <c r="L97" i="49"/>
  <c r="I97" i="49"/>
  <c r="F97" i="49"/>
  <c r="C97" i="49"/>
  <c r="X96" i="49"/>
  <c r="U96" i="49"/>
  <c r="R96" i="49"/>
  <c r="O96" i="49"/>
  <c r="L96" i="49"/>
  <c r="I96" i="49"/>
  <c r="F96" i="49"/>
  <c r="C96" i="49"/>
  <c r="X95" i="49"/>
  <c r="U95" i="49"/>
  <c r="R95" i="49"/>
  <c r="O95" i="49"/>
  <c r="L95" i="49"/>
  <c r="I95" i="49"/>
  <c r="F95" i="49"/>
  <c r="C95" i="49"/>
  <c r="X94" i="49"/>
  <c r="U94" i="49"/>
  <c r="R94" i="49"/>
  <c r="O94" i="49"/>
  <c r="L94" i="49"/>
  <c r="I94" i="49"/>
  <c r="F94" i="49"/>
  <c r="C94" i="49"/>
  <c r="X93" i="49"/>
  <c r="U93" i="49"/>
  <c r="R93" i="49"/>
  <c r="O93" i="49"/>
  <c r="L93" i="49"/>
  <c r="I93" i="49"/>
  <c r="F93" i="49"/>
  <c r="C93" i="49"/>
  <c r="X92" i="49"/>
  <c r="U92" i="49"/>
  <c r="R92" i="49"/>
  <c r="O92" i="49"/>
  <c r="L92" i="49"/>
  <c r="I92" i="49"/>
  <c r="F92" i="49"/>
  <c r="C92" i="49"/>
  <c r="X91" i="49"/>
  <c r="U91" i="49"/>
  <c r="R91" i="49"/>
  <c r="O91" i="49"/>
  <c r="L91" i="49"/>
  <c r="I91" i="49"/>
  <c r="F91" i="49"/>
  <c r="C91" i="49"/>
  <c r="X90" i="49"/>
  <c r="U90" i="49"/>
  <c r="R90" i="49"/>
  <c r="O90" i="49"/>
  <c r="L90" i="49"/>
  <c r="I90" i="49"/>
  <c r="F90" i="49"/>
  <c r="C90" i="49"/>
  <c r="X89" i="49"/>
  <c r="U89" i="49"/>
  <c r="R89" i="49"/>
  <c r="O89" i="49"/>
  <c r="L89" i="49"/>
  <c r="I89" i="49"/>
  <c r="F89" i="49"/>
  <c r="C89" i="49"/>
  <c r="X88" i="49"/>
  <c r="U88" i="49"/>
  <c r="R88" i="49"/>
  <c r="O88" i="49"/>
  <c r="L88" i="49"/>
  <c r="I88" i="49"/>
  <c r="F88" i="49"/>
  <c r="C88" i="49"/>
  <c r="X87" i="49"/>
  <c r="U87" i="49"/>
  <c r="R87" i="49"/>
  <c r="O87" i="49"/>
  <c r="L87" i="49"/>
  <c r="I87" i="49"/>
  <c r="F87" i="49"/>
  <c r="C87" i="49"/>
  <c r="X86" i="49"/>
  <c r="U86" i="49"/>
  <c r="R86" i="49"/>
  <c r="O86" i="49"/>
  <c r="L86" i="49"/>
  <c r="I86" i="49"/>
  <c r="F86" i="49"/>
  <c r="C86" i="49"/>
  <c r="X85" i="49"/>
  <c r="U85" i="49"/>
  <c r="R85" i="49"/>
  <c r="O85" i="49"/>
  <c r="L85" i="49"/>
  <c r="I85" i="49"/>
  <c r="F85" i="49"/>
  <c r="C85" i="49"/>
  <c r="X84" i="49"/>
  <c r="U84" i="49"/>
  <c r="R84" i="49"/>
  <c r="O84" i="49"/>
  <c r="L84" i="49"/>
  <c r="I84" i="49"/>
  <c r="F84" i="49"/>
  <c r="C84" i="49"/>
  <c r="X83" i="49"/>
  <c r="U83" i="49"/>
  <c r="R83" i="49"/>
  <c r="O83" i="49"/>
  <c r="L83" i="49"/>
  <c r="I83" i="49"/>
  <c r="F83" i="49"/>
  <c r="C83" i="49"/>
  <c r="X82" i="49"/>
  <c r="U82" i="49"/>
  <c r="R82" i="49"/>
  <c r="O82" i="49"/>
  <c r="L82" i="49"/>
  <c r="I82" i="49"/>
  <c r="F82" i="49"/>
  <c r="C82" i="49"/>
  <c r="X81" i="49"/>
  <c r="U81" i="49"/>
  <c r="R81" i="49"/>
  <c r="O81" i="49"/>
  <c r="L81" i="49"/>
  <c r="I81" i="49"/>
  <c r="F81" i="49"/>
  <c r="C81" i="49"/>
  <c r="X80" i="49"/>
  <c r="U80" i="49"/>
  <c r="R80" i="49"/>
  <c r="O80" i="49"/>
  <c r="L80" i="49"/>
  <c r="I80" i="49"/>
  <c r="F80" i="49"/>
  <c r="C80" i="49"/>
  <c r="X79" i="49"/>
  <c r="U79" i="49"/>
  <c r="R79" i="49"/>
  <c r="O79" i="49"/>
  <c r="L79" i="49"/>
  <c r="I79" i="49"/>
  <c r="F79" i="49"/>
  <c r="C79" i="49"/>
  <c r="X78" i="49"/>
  <c r="U78" i="49"/>
  <c r="R78" i="49"/>
  <c r="O78" i="49"/>
  <c r="L78" i="49"/>
  <c r="I78" i="49"/>
  <c r="F78" i="49"/>
  <c r="C78" i="49"/>
  <c r="X77" i="49"/>
  <c r="U77" i="49"/>
  <c r="R77" i="49"/>
  <c r="O77" i="49"/>
  <c r="L77" i="49"/>
  <c r="I77" i="49"/>
  <c r="F77" i="49"/>
  <c r="C77" i="49"/>
  <c r="X76" i="49"/>
  <c r="U76" i="49"/>
  <c r="R76" i="49"/>
  <c r="O76" i="49"/>
  <c r="L76" i="49"/>
  <c r="I76" i="49"/>
  <c r="F76" i="49"/>
  <c r="C76" i="49"/>
  <c r="X75" i="49"/>
  <c r="U75" i="49"/>
  <c r="R75" i="49"/>
  <c r="O75" i="49"/>
  <c r="L75" i="49"/>
  <c r="I75" i="49"/>
  <c r="F75" i="49"/>
  <c r="C75" i="49"/>
  <c r="X74" i="49"/>
  <c r="U74" i="49"/>
  <c r="R74" i="49"/>
  <c r="O74" i="49"/>
  <c r="L74" i="49"/>
  <c r="I74" i="49"/>
  <c r="F74" i="49"/>
  <c r="C74" i="49"/>
  <c r="X73" i="49"/>
  <c r="U73" i="49"/>
  <c r="R73" i="49"/>
  <c r="O73" i="49"/>
  <c r="L73" i="49"/>
  <c r="I73" i="49"/>
  <c r="F73" i="49"/>
  <c r="C73" i="49"/>
  <c r="X72" i="49"/>
  <c r="U72" i="49"/>
  <c r="R72" i="49"/>
  <c r="O72" i="49"/>
  <c r="L72" i="49"/>
  <c r="I72" i="49"/>
  <c r="F72" i="49"/>
  <c r="C72" i="49"/>
  <c r="X71" i="49"/>
  <c r="U71" i="49"/>
  <c r="R71" i="49"/>
  <c r="O71" i="49"/>
  <c r="L71" i="49"/>
  <c r="I71" i="49"/>
  <c r="F71" i="49"/>
  <c r="C71" i="49"/>
  <c r="X70" i="49"/>
  <c r="U70" i="49"/>
  <c r="R70" i="49"/>
  <c r="O70" i="49"/>
  <c r="L70" i="49"/>
  <c r="I70" i="49"/>
  <c r="F70" i="49"/>
  <c r="C70" i="49"/>
  <c r="X69" i="49"/>
  <c r="U69" i="49"/>
  <c r="R69" i="49"/>
  <c r="O69" i="49"/>
  <c r="L69" i="49"/>
  <c r="I69" i="49"/>
  <c r="F69" i="49"/>
  <c r="C69" i="49"/>
  <c r="X68" i="49"/>
  <c r="U68" i="49"/>
  <c r="R68" i="49"/>
  <c r="O68" i="49"/>
  <c r="L68" i="49"/>
  <c r="I68" i="49"/>
  <c r="F68" i="49"/>
  <c r="C68" i="49"/>
  <c r="X67" i="49"/>
  <c r="U67" i="49"/>
  <c r="R67" i="49"/>
  <c r="O67" i="49"/>
  <c r="L67" i="49"/>
  <c r="I67" i="49"/>
  <c r="F67" i="49"/>
  <c r="C67" i="49"/>
  <c r="X66" i="49"/>
  <c r="U66" i="49"/>
  <c r="R66" i="49"/>
  <c r="O66" i="49"/>
  <c r="L66" i="49"/>
  <c r="I66" i="49"/>
  <c r="F66" i="49"/>
  <c r="C66" i="49"/>
  <c r="X65" i="49"/>
  <c r="U65" i="49"/>
  <c r="R65" i="49"/>
  <c r="O65" i="49"/>
  <c r="L65" i="49"/>
  <c r="I65" i="49"/>
  <c r="F65" i="49"/>
  <c r="C65" i="49"/>
  <c r="X64" i="49"/>
  <c r="U64" i="49"/>
  <c r="R64" i="49"/>
  <c r="O64" i="49"/>
  <c r="L64" i="49"/>
  <c r="I64" i="49"/>
  <c r="F64" i="49"/>
  <c r="C64" i="49"/>
  <c r="X63" i="49"/>
  <c r="U63" i="49"/>
  <c r="R63" i="49"/>
  <c r="O63" i="49"/>
  <c r="L63" i="49"/>
  <c r="I63" i="49"/>
  <c r="F63" i="49"/>
  <c r="C63" i="49"/>
  <c r="X62" i="49"/>
  <c r="U62" i="49"/>
  <c r="R62" i="49"/>
  <c r="O62" i="49"/>
  <c r="L62" i="49"/>
  <c r="I62" i="49"/>
  <c r="F62" i="49"/>
  <c r="C62" i="49"/>
  <c r="X61" i="49"/>
  <c r="U61" i="49"/>
  <c r="R61" i="49"/>
  <c r="O61" i="49"/>
  <c r="L61" i="49"/>
  <c r="I61" i="49"/>
  <c r="F61" i="49"/>
  <c r="C61" i="49"/>
  <c r="X60" i="49"/>
  <c r="U60" i="49"/>
  <c r="R60" i="49"/>
  <c r="O60" i="49"/>
  <c r="L60" i="49"/>
  <c r="I60" i="49"/>
  <c r="F60" i="49"/>
  <c r="C60" i="49"/>
  <c r="X59" i="49"/>
  <c r="U59" i="49"/>
  <c r="R59" i="49"/>
  <c r="O59" i="49"/>
  <c r="L59" i="49"/>
  <c r="I59" i="49"/>
  <c r="F59" i="49"/>
  <c r="C59" i="49"/>
  <c r="X58" i="49"/>
  <c r="U58" i="49"/>
  <c r="R58" i="49"/>
  <c r="O58" i="49"/>
  <c r="L58" i="49"/>
  <c r="I58" i="49"/>
  <c r="F58" i="49"/>
  <c r="C58" i="49"/>
  <c r="X57" i="49"/>
  <c r="U57" i="49"/>
  <c r="R57" i="49"/>
  <c r="O57" i="49"/>
  <c r="L57" i="49"/>
  <c r="I57" i="49"/>
  <c r="F57" i="49"/>
  <c r="C57" i="49"/>
  <c r="X56" i="49"/>
  <c r="U56" i="49"/>
  <c r="R56" i="49"/>
  <c r="O56" i="49"/>
  <c r="L56" i="49"/>
  <c r="I56" i="49"/>
  <c r="F56" i="49"/>
  <c r="C56" i="49"/>
  <c r="X55" i="49"/>
  <c r="U55" i="49"/>
  <c r="R55" i="49"/>
  <c r="O55" i="49"/>
  <c r="L55" i="49"/>
  <c r="I55" i="49"/>
  <c r="F55" i="49"/>
  <c r="C55" i="49"/>
  <c r="X54" i="49"/>
  <c r="U54" i="49"/>
  <c r="R54" i="49"/>
  <c r="O54" i="49"/>
  <c r="L54" i="49"/>
  <c r="I54" i="49"/>
  <c r="F54" i="49"/>
  <c r="C54" i="49"/>
  <c r="X53" i="49"/>
  <c r="U53" i="49"/>
  <c r="R53" i="49"/>
  <c r="O53" i="49"/>
  <c r="L53" i="49"/>
  <c r="I53" i="49"/>
  <c r="F53" i="49"/>
  <c r="C53" i="49"/>
  <c r="X52" i="49"/>
  <c r="U52" i="49"/>
  <c r="R52" i="49"/>
  <c r="O52" i="49"/>
  <c r="L52" i="49"/>
  <c r="I52" i="49"/>
  <c r="F52" i="49"/>
  <c r="C52" i="49"/>
  <c r="X51" i="49"/>
  <c r="U51" i="49"/>
  <c r="R51" i="49"/>
  <c r="O51" i="49"/>
  <c r="L51" i="49"/>
  <c r="I51" i="49"/>
  <c r="F51" i="49"/>
  <c r="C51" i="49"/>
  <c r="X50" i="49"/>
  <c r="U50" i="49"/>
  <c r="R50" i="49"/>
  <c r="O50" i="49"/>
  <c r="L50" i="49"/>
  <c r="I50" i="49"/>
  <c r="F50" i="49"/>
  <c r="C50" i="49"/>
  <c r="X49" i="49"/>
  <c r="U49" i="49"/>
  <c r="R49" i="49"/>
  <c r="O49" i="49"/>
  <c r="L49" i="49"/>
  <c r="I49" i="49"/>
  <c r="F49" i="49"/>
  <c r="C49" i="49"/>
  <c r="X48" i="49"/>
  <c r="U48" i="49"/>
  <c r="R48" i="49"/>
  <c r="O48" i="49"/>
  <c r="L48" i="49"/>
  <c r="I48" i="49"/>
  <c r="F48" i="49"/>
  <c r="C48" i="49"/>
  <c r="X47" i="49"/>
  <c r="U47" i="49"/>
  <c r="R47" i="49"/>
  <c r="O47" i="49"/>
  <c r="L47" i="49"/>
  <c r="I47" i="49"/>
  <c r="F47" i="49"/>
  <c r="C47" i="49"/>
  <c r="X46" i="49"/>
  <c r="U46" i="49"/>
  <c r="R46" i="49"/>
  <c r="O46" i="49"/>
  <c r="L46" i="49"/>
  <c r="I46" i="49"/>
  <c r="F46" i="49"/>
  <c r="C46" i="49"/>
  <c r="X45" i="49"/>
  <c r="U45" i="49"/>
  <c r="R45" i="49"/>
  <c r="O45" i="49"/>
  <c r="L45" i="49"/>
  <c r="I45" i="49"/>
  <c r="F45" i="49"/>
  <c r="C45" i="49"/>
  <c r="X44" i="49"/>
  <c r="U44" i="49"/>
  <c r="R44" i="49"/>
  <c r="O44" i="49"/>
  <c r="L44" i="49"/>
  <c r="I44" i="49"/>
  <c r="F44" i="49"/>
  <c r="C44" i="49"/>
  <c r="X43" i="49"/>
  <c r="U43" i="49"/>
  <c r="R43" i="49"/>
  <c r="O43" i="49"/>
  <c r="L43" i="49"/>
  <c r="I43" i="49"/>
  <c r="F43" i="49"/>
  <c r="C43" i="49"/>
  <c r="X42" i="49"/>
  <c r="U42" i="49"/>
  <c r="R42" i="49"/>
  <c r="O42" i="49"/>
  <c r="L42" i="49"/>
  <c r="I42" i="49"/>
  <c r="F42" i="49"/>
  <c r="C42" i="49"/>
  <c r="X41" i="49"/>
  <c r="U41" i="49"/>
  <c r="R41" i="49"/>
  <c r="O41" i="49"/>
  <c r="L41" i="49"/>
  <c r="I41" i="49"/>
  <c r="F41" i="49"/>
  <c r="C41" i="49"/>
  <c r="X40" i="49"/>
  <c r="U40" i="49"/>
  <c r="R40" i="49"/>
  <c r="O40" i="49"/>
  <c r="L40" i="49"/>
  <c r="I40" i="49"/>
  <c r="F40" i="49"/>
  <c r="C40" i="49"/>
  <c r="X39" i="49"/>
  <c r="U39" i="49"/>
  <c r="R39" i="49"/>
  <c r="O39" i="49"/>
  <c r="L39" i="49"/>
  <c r="I39" i="49"/>
  <c r="F39" i="49"/>
  <c r="C39" i="49"/>
  <c r="X38" i="49"/>
  <c r="U38" i="49"/>
  <c r="R38" i="49"/>
  <c r="O38" i="49"/>
  <c r="L38" i="49"/>
  <c r="I38" i="49"/>
  <c r="F38" i="49"/>
  <c r="C38" i="49"/>
  <c r="X37" i="49"/>
  <c r="U37" i="49"/>
  <c r="R37" i="49"/>
  <c r="O37" i="49"/>
  <c r="L37" i="49"/>
  <c r="I37" i="49"/>
  <c r="F37" i="49"/>
  <c r="C37" i="49"/>
  <c r="X36" i="49"/>
  <c r="U36" i="49"/>
  <c r="R36" i="49"/>
  <c r="O36" i="49"/>
  <c r="L36" i="49"/>
  <c r="I36" i="49"/>
  <c r="F36" i="49"/>
  <c r="C36" i="49"/>
  <c r="X35" i="49"/>
  <c r="U35" i="49"/>
  <c r="R35" i="49"/>
  <c r="O35" i="49"/>
  <c r="L35" i="49"/>
  <c r="I35" i="49"/>
  <c r="F35" i="49"/>
  <c r="C35" i="49"/>
  <c r="X34" i="49"/>
  <c r="U34" i="49"/>
  <c r="R34" i="49"/>
  <c r="O34" i="49"/>
  <c r="L34" i="49"/>
  <c r="I34" i="49"/>
  <c r="F34" i="49"/>
  <c r="C34" i="49"/>
  <c r="X33" i="49"/>
  <c r="U33" i="49"/>
  <c r="R33" i="49"/>
  <c r="O33" i="49"/>
  <c r="L33" i="49"/>
  <c r="I33" i="49"/>
  <c r="F33" i="49"/>
  <c r="C33" i="49"/>
  <c r="X32" i="49"/>
  <c r="U32" i="49"/>
  <c r="R32" i="49"/>
  <c r="O32" i="49"/>
  <c r="L32" i="49"/>
  <c r="I32" i="49"/>
  <c r="F32" i="49"/>
  <c r="C32" i="49"/>
  <c r="X31" i="49"/>
  <c r="U31" i="49"/>
  <c r="R31" i="49"/>
  <c r="O31" i="49"/>
  <c r="L31" i="49"/>
  <c r="I31" i="49"/>
  <c r="F31" i="49"/>
  <c r="C31" i="49"/>
  <c r="X30" i="49"/>
  <c r="U30" i="49"/>
  <c r="R30" i="49"/>
  <c r="O30" i="49"/>
  <c r="L30" i="49"/>
  <c r="I30" i="49"/>
  <c r="F30" i="49"/>
  <c r="C30" i="49"/>
  <c r="X29" i="49"/>
  <c r="U29" i="49"/>
  <c r="R29" i="49"/>
  <c r="O29" i="49"/>
  <c r="L29" i="49"/>
  <c r="I29" i="49"/>
  <c r="F29" i="49"/>
  <c r="C29" i="49"/>
  <c r="X28" i="49"/>
  <c r="U28" i="49"/>
  <c r="R28" i="49"/>
  <c r="O28" i="49"/>
  <c r="L28" i="49"/>
  <c r="I28" i="49"/>
  <c r="F28" i="49"/>
  <c r="C28" i="49"/>
  <c r="X27" i="49"/>
  <c r="U27" i="49"/>
  <c r="R27" i="49"/>
  <c r="O27" i="49"/>
  <c r="L27" i="49"/>
  <c r="I27" i="49"/>
  <c r="F27" i="49"/>
  <c r="C27" i="49"/>
  <c r="X26" i="49"/>
  <c r="U26" i="49"/>
  <c r="R26" i="49"/>
  <c r="O26" i="49"/>
  <c r="L26" i="49"/>
  <c r="I26" i="49"/>
  <c r="F26" i="49"/>
  <c r="C26" i="49"/>
  <c r="X25" i="49"/>
  <c r="U25" i="49"/>
  <c r="R25" i="49"/>
  <c r="O25" i="49"/>
  <c r="L25" i="49"/>
  <c r="I25" i="49"/>
  <c r="F25" i="49"/>
  <c r="C25" i="49"/>
  <c r="X24" i="49"/>
  <c r="U24" i="49"/>
  <c r="R24" i="49"/>
  <c r="O24" i="49"/>
  <c r="L24" i="49"/>
  <c r="I24" i="49"/>
  <c r="F24" i="49"/>
  <c r="C24" i="49"/>
  <c r="X23" i="49"/>
  <c r="U23" i="49"/>
  <c r="R23" i="49"/>
  <c r="O23" i="49"/>
  <c r="L23" i="49"/>
  <c r="I23" i="49"/>
  <c r="F23" i="49"/>
  <c r="C23" i="49"/>
  <c r="X22" i="49"/>
  <c r="U22" i="49"/>
  <c r="R22" i="49"/>
  <c r="O22" i="49"/>
  <c r="L22" i="49"/>
  <c r="I22" i="49"/>
  <c r="F22" i="49"/>
  <c r="C22" i="49"/>
  <c r="X21" i="49"/>
  <c r="U21" i="49"/>
  <c r="R21" i="49"/>
  <c r="O21" i="49"/>
  <c r="L21" i="49"/>
  <c r="I21" i="49"/>
  <c r="F21" i="49"/>
  <c r="C21" i="49"/>
  <c r="X20" i="49"/>
  <c r="U20" i="49"/>
  <c r="R20" i="49"/>
  <c r="O20" i="49"/>
  <c r="L20" i="49"/>
  <c r="I20" i="49"/>
  <c r="F20" i="49"/>
  <c r="C20" i="49"/>
  <c r="X19" i="49"/>
  <c r="U19" i="49"/>
  <c r="R19" i="49"/>
  <c r="O19" i="49"/>
  <c r="L19" i="49"/>
  <c r="I19" i="49"/>
  <c r="F19" i="49"/>
  <c r="C19" i="49"/>
  <c r="X18" i="49"/>
  <c r="U18" i="49"/>
  <c r="R18" i="49"/>
  <c r="O18" i="49"/>
  <c r="L18" i="49"/>
  <c r="I18" i="49"/>
  <c r="F18" i="49"/>
  <c r="C18" i="49"/>
  <c r="X17" i="49"/>
  <c r="U17" i="49"/>
  <c r="R17" i="49"/>
  <c r="O17" i="49"/>
  <c r="L17" i="49"/>
  <c r="I17" i="49"/>
  <c r="F17" i="49"/>
  <c r="C17" i="49"/>
  <c r="X16" i="49"/>
  <c r="U16" i="49"/>
  <c r="R16" i="49"/>
  <c r="O16" i="49"/>
  <c r="L16" i="49"/>
  <c r="I16" i="49"/>
  <c r="F16" i="49"/>
  <c r="C16" i="49"/>
  <c r="X15" i="49"/>
  <c r="U15" i="49"/>
  <c r="R15" i="49"/>
  <c r="O15" i="49"/>
  <c r="L15" i="49"/>
  <c r="I15" i="49"/>
  <c r="F15" i="49"/>
  <c r="C15" i="49"/>
  <c r="X14" i="49"/>
  <c r="U14" i="49"/>
  <c r="R14" i="49"/>
  <c r="O14" i="49"/>
  <c r="L14" i="49"/>
  <c r="I14" i="49"/>
  <c r="F14" i="49"/>
  <c r="C14" i="49"/>
  <c r="X13" i="49"/>
  <c r="U13" i="49"/>
  <c r="R13" i="49"/>
  <c r="O13" i="49"/>
  <c r="L13" i="49"/>
  <c r="I13" i="49"/>
  <c r="F13" i="49"/>
  <c r="C13" i="49"/>
  <c r="X12" i="49"/>
  <c r="U12" i="49"/>
  <c r="R12" i="49"/>
  <c r="O12" i="49"/>
  <c r="L12" i="49"/>
  <c r="I12" i="49"/>
  <c r="F12" i="49"/>
  <c r="C12" i="49"/>
  <c r="X11" i="49"/>
  <c r="U11" i="49"/>
  <c r="R11" i="49"/>
  <c r="O11" i="49"/>
  <c r="L11" i="49"/>
  <c r="I11" i="49"/>
  <c r="F11" i="49"/>
  <c r="C11" i="49"/>
  <c r="X10" i="49"/>
  <c r="U10" i="49"/>
  <c r="R10" i="49"/>
  <c r="O10" i="49"/>
  <c r="L10" i="49"/>
  <c r="I10" i="49"/>
  <c r="F10" i="49"/>
  <c r="C10" i="49"/>
  <c r="X9" i="49"/>
  <c r="U9" i="49"/>
  <c r="R9" i="49"/>
  <c r="O9" i="49"/>
  <c r="L9" i="49"/>
  <c r="I9" i="49"/>
  <c r="F9" i="49"/>
  <c r="C9" i="49"/>
  <c r="X8" i="49"/>
  <c r="U8" i="49"/>
  <c r="R8" i="49"/>
  <c r="O8" i="49"/>
  <c r="L8" i="49"/>
  <c r="I8" i="49"/>
  <c r="F8" i="49"/>
  <c r="C8" i="49"/>
  <c r="X7" i="49"/>
  <c r="U7" i="49"/>
  <c r="R7" i="49"/>
  <c r="O7" i="49"/>
  <c r="L7" i="49"/>
  <c r="I7" i="49"/>
  <c r="F7" i="49"/>
  <c r="C7" i="49"/>
  <c r="X6" i="49"/>
  <c r="U6" i="49"/>
  <c r="R6" i="49"/>
  <c r="O6" i="49"/>
  <c r="L6" i="49"/>
  <c r="I6" i="49"/>
  <c r="F6" i="49"/>
  <c r="C6" i="49"/>
  <c r="X5" i="49"/>
  <c r="U5" i="49"/>
  <c r="R5" i="49"/>
  <c r="O5" i="49"/>
  <c r="L5" i="49"/>
  <c r="I5" i="49"/>
  <c r="F5" i="49"/>
  <c r="C5" i="49"/>
  <c r="I1" i="49"/>
  <c r="N1" i="47"/>
  <c r="X41" i="42"/>
  <c r="U41" i="42"/>
  <c r="R41" i="42"/>
  <c r="O41" i="42"/>
  <c r="L41" i="42"/>
  <c r="I41" i="42"/>
  <c r="F41" i="42"/>
  <c r="C41" i="42"/>
  <c r="X40" i="42"/>
  <c r="U40" i="42"/>
  <c r="R40" i="42"/>
  <c r="O40" i="42"/>
  <c r="L40" i="42"/>
  <c r="I40" i="42"/>
  <c r="F40" i="42"/>
  <c r="C40" i="42"/>
  <c r="X39" i="42"/>
  <c r="U39" i="42"/>
  <c r="R39" i="42"/>
  <c r="O39" i="42"/>
  <c r="L39" i="42"/>
  <c r="I39" i="42"/>
  <c r="F39" i="42"/>
  <c r="C39" i="42"/>
  <c r="X38" i="42"/>
  <c r="U38" i="42"/>
  <c r="R38" i="42"/>
  <c r="O38" i="42"/>
  <c r="L38" i="42"/>
  <c r="I38" i="42"/>
  <c r="F38" i="42"/>
  <c r="C38" i="42"/>
  <c r="X37" i="42"/>
  <c r="U37" i="42"/>
  <c r="R37" i="42"/>
  <c r="O37" i="42"/>
  <c r="L37" i="42"/>
  <c r="I37" i="42"/>
  <c r="F37" i="42"/>
  <c r="C37" i="42"/>
  <c r="X36" i="42"/>
  <c r="U36" i="42"/>
  <c r="R36" i="42"/>
  <c r="O36" i="42"/>
  <c r="L36" i="42"/>
  <c r="I36" i="42"/>
  <c r="F36" i="42"/>
  <c r="C36" i="42"/>
  <c r="X35" i="42"/>
  <c r="U35" i="42"/>
  <c r="R35" i="42"/>
  <c r="O35" i="42"/>
  <c r="L35" i="42"/>
  <c r="I35" i="42"/>
  <c r="F35" i="42"/>
  <c r="C35" i="42"/>
  <c r="X34" i="42"/>
  <c r="U34" i="42"/>
  <c r="R34" i="42"/>
  <c r="O34" i="42"/>
  <c r="L34" i="42"/>
  <c r="I34" i="42"/>
  <c r="F34" i="42"/>
  <c r="C34" i="42"/>
  <c r="X33" i="42"/>
  <c r="U33" i="42"/>
  <c r="R33" i="42"/>
  <c r="O33" i="42"/>
  <c r="L33" i="42"/>
  <c r="I33" i="42"/>
  <c r="F33" i="42"/>
  <c r="C33" i="42"/>
  <c r="X32" i="42"/>
  <c r="U32" i="42"/>
  <c r="R32" i="42"/>
  <c r="O32" i="42"/>
  <c r="L32" i="42"/>
  <c r="I32" i="42"/>
  <c r="F32" i="42"/>
  <c r="C32" i="42"/>
  <c r="X31" i="42"/>
  <c r="U31" i="42"/>
  <c r="R31" i="42"/>
  <c r="O31" i="42"/>
  <c r="L31" i="42"/>
  <c r="I31" i="42"/>
  <c r="F31" i="42"/>
  <c r="C31" i="42"/>
  <c r="X30" i="42"/>
  <c r="U30" i="42"/>
  <c r="R30" i="42"/>
  <c r="O30" i="42"/>
  <c r="L30" i="42"/>
  <c r="I30" i="42"/>
  <c r="F30" i="42"/>
  <c r="C30" i="42"/>
  <c r="X29" i="42"/>
  <c r="U29" i="42"/>
  <c r="R29" i="42"/>
  <c r="O29" i="42"/>
  <c r="L29" i="42"/>
  <c r="I29" i="42"/>
  <c r="F29" i="42"/>
  <c r="C29" i="42"/>
  <c r="X28" i="42"/>
  <c r="U28" i="42"/>
  <c r="R28" i="42"/>
  <c r="O28" i="42"/>
  <c r="L28" i="42"/>
  <c r="I28" i="42"/>
  <c r="F28" i="42"/>
  <c r="C28" i="42"/>
  <c r="X27" i="42"/>
  <c r="U27" i="42"/>
  <c r="R27" i="42"/>
  <c r="O27" i="42"/>
  <c r="L27" i="42"/>
  <c r="I27" i="42"/>
  <c r="F27" i="42"/>
  <c r="C27" i="42"/>
  <c r="X26" i="42"/>
  <c r="U26" i="42"/>
  <c r="R26" i="42"/>
  <c r="O26" i="42"/>
  <c r="L26" i="42"/>
  <c r="I26" i="42"/>
  <c r="F26" i="42"/>
  <c r="C26" i="42"/>
  <c r="X25" i="42"/>
  <c r="U25" i="42"/>
  <c r="R25" i="42"/>
  <c r="O25" i="42"/>
  <c r="L25" i="42"/>
  <c r="I25" i="42"/>
  <c r="F25" i="42"/>
  <c r="C25" i="42"/>
  <c r="X24" i="42"/>
  <c r="U24" i="42"/>
  <c r="R24" i="42"/>
  <c r="O24" i="42"/>
  <c r="L24" i="42"/>
  <c r="I24" i="42"/>
  <c r="F24" i="42"/>
  <c r="C24" i="42"/>
  <c r="X23" i="42"/>
  <c r="U23" i="42"/>
  <c r="R23" i="42"/>
  <c r="O23" i="42"/>
  <c r="L23" i="42"/>
  <c r="I23" i="42"/>
  <c r="F23" i="42"/>
  <c r="C23" i="42"/>
  <c r="X22" i="42"/>
  <c r="U22" i="42"/>
  <c r="R22" i="42"/>
  <c r="O22" i="42"/>
  <c r="L22" i="42"/>
  <c r="I22" i="42"/>
  <c r="F22" i="42"/>
  <c r="C22" i="42"/>
  <c r="X21" i="42"/>
  <c r="U21" i="42"/>
  <c r="R21" i="42"/>
  <c r="O21" i="42"/>
  <c r="L21" i="42"/>
  <c r="I21" i="42"/>
  <c r="F21" i="42"/>
  <c r="C21" i="42"/>
  <c r="X20" i="42"/>
  <c r="U20" i="42"/>
  <c r="R20" i="42"/>
  <c r="O20" i="42"/>
  <c r="L20" i="42"/>
  <c r="I20" i="42"/>
  <c r="F20" i="42"/>
  <c r="C20" i="42"/>
  <c r="X19" i="42"/>
  <c r="U19" i="42"/>
  <c r="R19" i="42"/>
  <c r="O19" i="42"/>
  <c r="L19" i="42"/>
  <c r="I19" i="42"/>
  <c r="F19" i="42"/>
  <c r="C19" i="42"/>
  <c r="X18" i="42"/>
  <c r="U18" i="42"/>
  <c r="R18" i="42"/>
  <c r="O18" i="42"/>
  <c r="L18" i="42"/>
  <c r="I18" i="42"/>
  <c r="F18" i="42"/>
  <c r="C18" i="42"/>
  <c r="X17" i="42"/>
  <c r="U17" i="42"/>
  <c r="R17" i="42"/>
  <c r="O17" i="42"/>
  <c r="L17" i="42"/>
  <c r="I17" i="42"/>
  <c r="F17" i="42"/>
  <c r="C17" i="42"/>
  <c r="X16" i="42"/>
  <c r="U16" i="42"/>
  <c r="R16" i="42"/>
  <c r="O16" i="42"/>
  <c r="L16" i="42"/>
  <c r="I16" i="42"/>
  <c r="F16" i="42"/>
  <c r="C16" i="42"/>
  <c r="X15" i="42"/>
  <c r="U15" i="42"/>
  <c r="R15" i="42"/>
  <c r="O15" i="42"/>
  <c r="L15" i="42"/>
  <c r="I15" i="42"/>
  <c r="F15" i="42"/>
  <c r="C15" i="42"/>
  <c r="X14" i="42"/>
  <c r="U14" i="42"/>
  <c r="R14" i="42"/>
  <c r="O14" i="42"/>
  <c r="L14" i="42"/>
  <c r="I14" i="42"/>
  <c r="F14" i="42"/>
  <c r="C14" i="42"/>
  <c r="X13" i="42"/>
  <c r="U13" i="42"/>
  <c r="R13" i="42"/>
  <c r="O13" i="42"/>
  <c r="L13" i="42"/>
  <c r="I13" i="42"/>
  <c r="F13" i="42"/>
  <c r="C13" i="42"/>
  <c r="X12" i="42"/>
  <c r="U12" i="42"/>
  <c r="R12" i="42"/>
  <c r="O12" i="42"/>
  <c r="L12" i="42"/>
  <c r="I12" i="42"/>
  <c r="F12" i="42"/>
  <c r="C12" i="42"/>
  <c r="X11" i="42"/>
  <c r="U11" i="42"/>
  <c r="R11" i="42"/>
  <c r="O11" i="42"/>
  <c r="L11" i="42"/>
  <c r="I11" i="42"/>
  <c r="F11" i="42"/>
  <c r="C11" i="42"/>
  <c r="X10" i="42"/>
  <c r="U10" i="42"/>
  <c r="R10" i="42"/>
  <c r="O10" i="42"/>
  <c r="L10" i="42"/>
  <c r="I10" i="42"/>
  <c r="F10" i="42"/>
  <c r="C10" i="42"/>
  <c r="X9" i="42"/>
  <c r="U9" i="42"/>
  <c r="R9" i="42"/>
  <c r="O9" i="42"/>
  <c r="L9" i="42"/>
  <c r="I9" i="42"/>
  <c r="F9" i="42"/>
  <c r="C9" i="42"/>
  <c r="X8" i="42"/>
  <c r="U8" i="42"/>
  <c r="R8" i="42"/>
  <c r="O8" i="42"/>
  <c r="L8" i="42"/>
  <c r="I8" i="42"/>
  <c r="F8" i="42"/>
  <c r="C8" i="42"/>
  <c r="X7" i="42"/>
  <c r="U7" i="42"/>
  <c r="R7" i="42"/>
  <c r="O7" i="42"/>
  <c r="L7" i="42"/>
  <c r="I7" i="42"/>
  <c r="F7" i="42"/>
  <c r="C7" i="42"/>
  <c r="X6" i="42"/>
  <c r="U6" i="42"/>
  <c r="R6" i="42"/>
  <c r="O6" i="42"/>
  <c r="L6" i="42"/>
  <c r="I6" i="42"/>
  <c r="F6" i="42"/>
  <c r="C6" i="42"/>
  <c r="X5" i="42"/>
  <c r="U5" i="42"/>
  <c r="R5" i="42"/>
  <c r="O5" i="42"/>
  <c r="L5" i="42"/>
  <c r="I5" i="42"/>
  <c r="F5" i="42"/>
  <c r="C5" i="42"/>
  <c r="C229" i="40"/>
  <c r="C228" i="40"/>
  <c r="C227" i="40"/>
  <c r="C226" i="40"/>
  <c r="C225" i="40"/>
  <c r="C224" i="40"/>
  <c r="C223" i="40"/>
  <c r="C222" i="40"/>
  <c r="C221" i="40"/>
  <c r="C220" i="40"/>
  <c r="C219" i="40"/>
  <c r="C218" i="40"/>
  <c r="C217" i="40"/>
  <c r="C216" i="40"/>
  <c r="C215" i="40"/>
  <c r="C214" i="40"/>
  <c r="C213" i="40"/>
  <c r="C212" i="40"/>
  <c r="C211" i="40"/>
  <c r="C210" i="40"/>
  <c r="C209" i="40"/>
  <c r="C208" i="40"/>
  <c r="C207" i="40"/>
  <c r="C206" i="40"/>
  <c r="C205" i="40"/>
  <c r="C204" i="40"/>
  <c r="C203" i="40"/>
  <c r="C20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K17" i="36"/>
  <c r="K1" i="36"/>
  <c r="K17" i="35"/>
  <c r="K1" i="35"/>
  <c r="D28" i="33"/>
  <c r="C28" i="33"/>
  <c r="B28" i="33"/>
  <c r="D27" i="33"/>
  <c r="C27" i="33"/>
  <c r="B27" i="33"/>
  <c r="D26" i="33"/>
  <c r="C26" i="33"/>
  <c r="B26" i="33"/>
  <c r="L1" i="29"/>
  <c r="I1" i="28"/>
  <c r="O1" i="28" s="1"/>
  <c r="L1" i="20"/>
  <c r="U1" i="20" s="1"/>
  <c r="J292" i="18"/>
  <c r="G292" i="18"/>
  <c r="D292" i="18"/>
  <c r="J291" i="18"/>
  <c r="G291" i="18"/>
  <c r="D291" i="18"/>
  <c r="J290" i="18"/>
  <c r="G290" i="18"/>
  <c r="D290" i="18"/>
  <c r="J289" i="18"/>
  <c r="G289" i="18"/>
  <c r="D289" i="18"/>
  <c r="J288" i="18"/>
  <c r="G288" i="18"/>
  <c r="D288" i="18"/>
  <c r="J287" i="18"/>
  <c r="G287" i="18"/>
  <c r="D287" i="18"/>
  <c r="J286" i="18"/>
  <c r="G286" i="18"/>
  <c r="D286" i="18"/>
  <c r="J285" i="18"/>
  <c r="G285" i="18"/>
  <c r="D285" i="18"/>
  <c r="J284" i="18"/>
  <c r="G284" i="18"/>
  <c r="D284" i="18"/>
  <c r="J283" i="18"/>
  <c r="G283" i="18"/>
  <c r="D283" i="18"/>
  <c r="J282" i="18"/>
  <c r="G282" i="18"/>
  <c r="D282" i="18"/>
  <c r="J281" i="18"/>
  <c r="G281" i="18"/>
  <c r="D281" i="18"/>
  <c r="J280" i="18"/>
  <c r="G280" i="18"/>
  <c r="D280" i="18"/>
  <c r="J279" i="18"/>
  <c r="G279" i="18"/>
  <c r="D279" i="18"/>
  <c r="J278" i="18"/>
  <c r="G278" i="18"/>
  <c r="D278" i="18"/>
  <c r="J277" i="18"/>
  <c r="G277" i="18"/>
  <c r="D277" i="18"/>
  <c r="J276" i="18"/>
  <c r="G276" i="18"/>
  <c r="D276" i="18"/>
  <c r="J275" i="18"/>
  <c r="G275" i="18"/>
  <c r="D275" i="18"/>
  <c r="J274" i="18"/>
  <c r="G274" i="18"/>
  <c r="D274" i="18"/>
  <c r="J273" i="18"/>
  <c r="G273" i="18"/>
  <c r="D273" i="18"/>
  <c r="J272" i="18"/>
  <c r="G272" i="18"/>
  <c r="D272" i="18"/>
  <c r="J271" i="18"/>
  <c r="G271" i="18"/>
  <c r="D271" i="18"/>
  <c r="J270" i="18"/>
  <c r="G270" i="18"/>
  <c r="D270" i="18"/>
  <c r="J269" i="18"/>
  <c r="G269" i="18"/>
  <c r="D269" i="18"/>
  <c r="J268" i="18"/>
  <c r="G268" i="18"/>
  <c r="D268" i="18"/>
  <c r="J267" i="18"/>
  <c r="G267" i="18"/>
  <c r="D267" i="18"/>
  <c r="J266" i="18"/>
  <c r="G266" i="18"/>
  <c r="D266" i="18"/>
  <c r="J265" i="18"/>
  <c r="G265" i="18"/>
  <c r="D265" i="18"/>
  <c r="J264" i="18"/>
  <c r="G264" i="18"/>
  <c r="D264" i="18"/>
  <c r="J263" i="18"/>
  <c r="G263" i="18"/>
  <c r="D263" i="18"/>
  <c r="J262" i="18"/>
  <c r="G262" i="18"/>
  <c r="D262" i="18"/>
  <c r="J261" i="18"/>
  <c r="G261" i="18"/>
  <c r="D261" i="18"/>
  <c r="J260" i="18"/>
  <c r="G260" i="18"/>
  <c r="D260" i="18"/>
  <c r="J259" i="18"/>
  <c r="G259" i="18"/>
  <c r="D259" i="18"/>
  <c r="J258" i="18"/>
  <c r="G258" i="18"/>
  <c r="D258" i="18"/>
  <c r="J257" i="18"/>
  <c r="G257" i="18"/>
  <c r="D257" i="18"/>
  <c r="J256" i="18"/>
  <c r="G256" i="18"/>
  <c r="D256" i="18"/>
  <c r="J255" i="18"/>
  <c r="G255" i="18"/>
  <c r="D255" i="18"/>
  <c r="J254" i="18"/>
  <c r="G254" i="18"/>
  <c r="D254" i="18"/>
  <c r="J253" i="18"/>
  <c r="G253" i="18"/>
  <c r="D253" i="18"/>
  <c r="J252" i="18"/>
  <c r="G252" i="18"/>
  <c r="D252" i="18"/>
  <c r="J251" i="18"/>
  <c r="G251" i="18"/>
  <c r="D251" i="18"/>
  <c r="J250" i="18"/>
  <c r="G250" i="18"/>
  <c r="D250" i="18"/>
  <c r="J249" i="18"/>
  <c r="G249" i="18"/>
  <c r="D249" i="18"/>
  <c r="J248" i="18"/>
  <c r="G248" i="18"/>
  <c r="D248" i="18"/>
  <c r="J247" i="18"/>
  <c r="G247" i="18"/>
  <c r="D247" i="18"/>
  <c r="J246" i="18"/>
  <c r="G246" i="18"/>
  <c r="D246" i="18"/>
  <c r="J245" i="18"/>
  <c r="G245" i="18"/>
  <c r="D245" i="18"/>
  <c r="J244" i="18"/>
  <c r="G244" i="18"/>
  <c r="D244" i="18"/>
  <c r="J243" i="18"/>
  <c r="G243" i="18"/>
  <c r="D243" i="18"/>
  <c r="J242" i="18"/>
  <c r="G242" i="18"/>
  <c r="D242" i="18"/>
  <c r="J241" i="18"/>
  <c r="G241" i="18"/>
  <c r="D241" i="18"/>
  <c r="J240" i="18"/>
  <c r="G240" i="18"/>
  <c r="D240" i="18"/>
  <c r="J239" i="18"/>
  <c r="G239" i="18"/>
  <c r="D239" i="18"/>
  <c r="J238" i="18"/>
  <c r="G238" i="18"/>
  <c r="D238" i="18"/>
  <c r="J237" i="18"/>
  <c r="G237" i="18"/>
  <c r="D237" i="18"/>
  <c r="J236" i="18"/>
  <c r="G236" i="18"/>
  <c r="D236" i="18"/>
  <c r="J235" i="18"/>
  <c r="G235" i="18"/>
  <c r="D235" i="18"/>
  <c r="J234" i="18"/>
  <c r="G234" i="18"/>
  <c r="D234" i="18"/>
  <c r="J233" i="18"/>
  <c r="G233" i="18"/>
  <c r="D233" i="18"/>
  <c r="J232" i="18"/>
  <c r="G232" i="18"/>
  <c r="D232" i="18"/>
  <c r="J231" i="18"/>
  <c r="G231" i="18"/>
  <c r="D231" i="18"/>
  <c r="J230" i="18"/>
  <c r="G230" i="18"/>
  <c r="D230" i="18"/>
  <c r="J229" i="18"/>
  <c r="G229" i="18"/>
  <c r="D229" i="18"/>
  <c r="J228" i="18"/>
  <c r="G228" i="18"/>
  <c r="D228" i="18"/>
  <c r="J227" i="18"/>
  <c r="G227" i="18"/>
  <c r="D227" i="18"/>
  <c r="J226" i="18"/>
  <c r="G226" i="18"/>
  <c r="D226" i="18"/>
  <c r="J225" i="18"/>
  <c r="G225" i="18"/>
  <c r="D225" i="18"/>
  <c r="J224" i="18"/>
  <c r="G224" i="18"/>
  <c r="D224" i="18"/>
  <c r="J223" i="18"/>
  <c r="G223" i="18"/>
  <c r="D223" i="18"/>
  <c r="J222" i="18"/>
  <c r="G222" i="18"/>
  <c r="D222" i="18"/>
  <c r="J221" i="18"/>
  <c r="G221" i="18"/>
  <c r="D221" i="18"/>
  <c r="J220" i="18"/>
  <c r="G220" i="18"/>
  <c r="D220" i="18"/>
  <c r="J219" i="18"/>
  <c r="G219" i="18"/>
  <c r="D219" i="18"/>
  <c r="J218" i="18"/>
  <c r="G218" i="18"/>
  <c r="D218" i="18"/>
  <c r="J217" i="18"/>
  <c r="G217" i="18"/>
  <c r="D217" i="18"/>
  <c r="J216" i="18"/>
  <c r="G216" i="18"/>
  <c r="D216" i="18"/>
  <c r="J215" i="18"/>
  <c r="G215" i="18"/>
  <c r="D215" i="18"/>
  <c r="J214" i="18"/>
  <c r="G214" i="18"/>
  <c r="D214" i="18"/>
  <c r="J213" i="18"/>
  <c r="G213" i="18"/>
  <c r="D213" i="18"/>
  <c r="J212" i="18"/>
  <c r="G212" i="18"/>
  <c r="D212" i="18"/>
  <c r="J211" i="18"/>
  <c r="G211" i="18"/>
  <c r="D211" i="18"/>
  <c r="J210" i="18"/>
  <c r="G210" i="18"/>
  <c r="D210" i="18"/>
  <c r="J209" i="18"/>
  <c r="G209" i="18"/>
  <c r="D209" i="18"/>
  <c r="J208" i="18"/>
  <c r="G208" i="18"/>
  <c r="D208" i="18"/>
  <c r="J207" i="18"/>
  <c r="G207" i="18"/>
  <c r="D207" i="18"/>
  <c r="J206" i="18"/>
  <c r="G206" i="18"/>
  <c r="D206" i="18"/>
  <c r="J205" i="18"/>
  <c r="G205" i="18"/>
  <c r="D205" i="18"/>
  <c r="J204" i="18"/>
  <c r="G204" i="18"/>
  <c r="D204" i="18"/>
  <c r="J203" i="18"/>
  <c r="G203" i="18"/>
  <c r="D203" i="18"/>
  <c r="J202" i="18"/>
  <c r="G202" i="18"/>
  <c r="D202" i="18"/>
  <c r="J201" i="18"/>
  <c r="G201" i="18"/>
  <c r="D201" i="18"/>
  <c r="J200" i="18"/>
  <c r="G200" i="18"/>
  <c r="D200" i="18"/>
  <c r="J199" i="18"/>
  <c r="G199" i="18"/>
  <c r="D199" i="18"/>
  <c r="J198" i="18"/>
  <c r="G198" i="18"/>
  <c r="D198" i="18"/>
  <c r="J197" i="18"/>
  <c r="G197" i="18"/>
  <c r="D197" i="18"/>
  <c r="J196" i="18"/>
  <c r="G196" i="18"/>
  <c r="D196" i="18"/>
  <c r="J195" i="18"/>
  <c r="G195" i="18"/>
  <c r="D195" i="18"/>
  <c r="J194" i="18"/>
  <c r="G194" i="18"/>
  <c r="D194" i="18"/>
  <c r="J193" i="18"/>
  <c r="G193" i="18"/>
  <c r="D193" i="18"/>
  <c r="J192" i="18"/>
  <c r="G192" i="18"/>
  <c r="D192" i="18"/>
  <c r="J191" i="18"/>
  <c r="G191" i="18"/>
  <c r="D191" i="18"/>
  <c r="J190" i="18"/>
  <c r="G190" i="18"/>
  <c r="D190" i="18"/>
  <c r="J189" i="18"/>
  <c r="G189" i="18"/>
  <c r="D189" i="18"/>
  <c r="J188" i="18"/>
  <c r="G188" i="18"/>
  <c r="D188" i="18"/>
  <c r="J187" i="18"/>
  <c r="G187" i="18"/>
  <c r="D187" i="18"/>
  <c r="J186" i="18"/>
  <c r="G186" i="18"/>
  <c r="D186" i="18"/>
  <c r="J185" i="18"/>
  <c r="G185" i="18"/>
  <c r="D185" i="18"/>
  <c r="J184" i="18"/>
  <c r="G184" i="18"/>
  <c r="D184" i="18"/>
  <c r="J183" i="18"/>
  <c r="G183" i="18"/>
  <c r="D183" i="18"/>
  <c r="J182" i="18"/>
  <c r="G182" i="18"/>
  <c r="D182" i="18"/>
  <c r="J181" i="18"/>
  <c r="G181" i="18"/>
  <c r="D181" i="18"/>
  <c r="J180" i="18"/>
  <c r="G180" i="18"/>
  <c r="D180" i="18"/>
  <c r="J179" i="18"/>
  <c r="G179" i="18"/>
  <c r="D179" i="18"/>
  <c r="J178" i="18"/>
  <c r="G178" i="18"/>
  <c r="D178" i="18"/>
  <c r="J177" i="18"/>
  <c r="G177" i="18"/>
  <c r="D177" i="18"/>
  <c r="J176" i="18"/>
  <c r="G176" i="18"/>
  <c r="D176" i="18"/>
  <c r="J175" i="18"/>
  <c r="G175" i="18"/>
  <c r="D175" i="18"/>
  <c r="J174" i="18"/>
  <c r="G174" i="18"/>
  <c r="D174" i="18"/>
  <c r="J173" i="18"/>
  <c r="G173" i="18"/>
  <c r="D173" i="18"/>
  <c r="J172" i="18"/>
  <c r="G172" i="18"/>
  <c r="D172" i="18"/>
  <c r="J171" i="18"/>
  <c r="G171" i="18"/>
  <c r="D171" i="18"/>
  <c r="J170" i="18"/>
  <c r="G170" i="18"/>
  <c r="D170" i="18"/>
  <c r="J169" i="18"/>
  <c r="G169" i="18"/>
  <c r="D169" i="18"/>
  <c r="J168" i="18"/>
  <c r="G168" i="18"/>
  <c r="D168" i="18"/>
  <c r="J167" i="18"/>
  <c r="G167" i="18"/>
  <c r="D167" i="18"/>
  <c r="J166" i="18"/>
  <c r="G166" i="18"/>
  <c r="D166" i="18"/>
  <c r="J165" i="18"/>
  <c r="G165" i="18"/>
  <c r="D165" i="18"/>
  <c r="J164" i="18"/>
  <c r="G164" i="18"/>
  <c r="D164" i="18"/>
  <c r="J163" i="18"/>
  <c r="G163" i="18"/>
  <c r="D163" i="18"/>
  <c r="J162" i="18"/>
  <c r="G162" i="18"/>
  <c r="D162" i="18"/>
  <c r="J161" i="18"/>
  <c r="G161" i="18"/>
  <c r="D161" i="18"/>
  <c r="J160" i="18"/>
  <c r="G160" i="18"/>
  <c r="D160" i="18"/>
  <c r="J159" i="18"/>
  <c r="G159" i="18"/>
  <c r="D159" i="18"/>
  <c r="J158" i="18"/>
  <c r="G158" i="18"/>
  <c r="D158" i="18"/>
  <c r="J157" i="18"/>
  <c r="G157" i="18"/>
  <c r="D157" i="18"/>
  <c r="J156" i="18"/>
  <c r="G156" i="18"/>
  <c r="D156" i="18"/>
  <c r="J155" i="18"/>
  <c r="G155" i="18"/>
  <c r="D155" i="18"/>
  <c r="J154" i="18"/>
  <c r="G154" i="18"/>
  <c r="D154" i="18"/>
  <c r="J153" i="18"/>
  <c r="G153" i="18"/>
  <c r="D153" i="18"/>
  <c r="J152" i="18"/>
  <c r="G152" i="18"/>
  <c r="D152" i="18"/>
  <c r="J151" i="18"/>
  <c r="G151" i="18"/>
  <c r="D151" i="18"/>
  <c r="J150" i="18"/>
  <c r="G150" i="18"/>
  <c r="D150" i="18"/>
  <c r="J149" i="18"/>
  <c r="G149" i="18"/>
  <c r="D149" i="18"/>
  <c r="J148" i="18"/>
  <c r="G148" i="18"/>
  <c r="D148" i="18"/>
  <c r="J147" i="18"/>
  <c r="G147" i="18"/>
  <c r="D147" i="18"/>
  <c r="J146" i="18"/>
  <c r="G146" i="18"/>
  <c r="D146" i="18"/>
  <c r="J145" i="18"/>
  <c r="G145" i="18"/>
  <c r="D145" i="18"/>
  <c r="J144" i="18"/>
  <c r="G144" i="18"/>
  <c r="D144" i="18"/>
  <c r="J143" i="18"/>
  <c r="G143" i="18"/>
  <c r="D143" i="18"/>
  <c r="J142" i="18"/>
  <c r="G142" i="18"/>
  <c r="D142" i="18"/>
  <c r="J141" i="18"/>
  <c r="G141" i="18"/>
  <c r="D141" i="18"/>
  <c r="J140" i="18"/>
  <c r="G140" i="18"/>
  <c r="D140" i="18"/>
  <c r="J139" i="18"/>
  <c r="G139" i="18"/>
  <c r="D139" i="18"/>
  <c r="J138" i="18"/>
  <c r="G138" i="18"/>
  <c r="D138" i="18"/>
  <c r="J137" i="18"/>
  <c r="G137" i="18"/>
  <c r="D137" i="18"/>
  <c r="J136" i="18"/>
  <c r="G136" i="18"/>
  <c r="D136" i="18"/>
  <c r="J135" i="18"/>
  <c r="G135" i="18"/>
  <c r="D135" i="18"/>
  <c r="J134" i="18"/>
  <c r="G134" i="18"/>
  <c r="D134" i="18"/>
  <c r="J133" i="18"/>
  <c r="G133" i="18"/>
  <c r="D133" i="18"/>
  <c r="J132" i="18"/>
  <c r="G132" i="18"/>
  <c r="D132" i="18"/>
  <c r="J131" i="18"/>
  <c r="G131" i="18"/>
  <c r="D131" i="18"/>
  <c r="J130" i="18"/>
  <c r="G130" i="18"/>
  <c r="D130" i="18"/>
  <c r="J129" i="18"/>
  <c r="G129" i="18"/>
  <c r="D129" i="18"/>
  <c r="J128" i="18"/>
  <c r="G128" i="18"/>
  <c r="D128" i="18"/>
  <c r="J127" i="18"/>
  <c r="G127" i="18"/>
  <c r="D127" i="18"/>
  <c r="J126" i="18"/>
  <c r="G126" i="18"/>
  <c r="D126" i="18"/>
  <c r="J125" i="18"/>
  <c r="G125" i="18"/>
  <c r="D125" i="18"/>
  <c r="J124" i="18"/>
  <c r="G124" i="18"/>
  <c r="D124" i="18"/>
  <c r="J123" i="18"/>
  <c r="G123" i="18"/>
  <c r="D123" i="18"/>
  <c r="J122" i="18"/>
  <c r="G122" i="18"/>
  <c r="D122" i="18"/>
  <c r="J121" i="18"/>
  <c r="G121" i="18"/>
  <c r="D121" i="18"/>
  <c r="J120" i="18"/>
  <c r="G120" i="18"/>
  <c r="D120" i="18"/>
  <c r="J119" i="18"/>
  <c r="G119" i="18"/>
  <c r="D119" i="18"/>
  <c r="J118" i="18"/>
  <c r="G118" i="18"/>
  <c r="D118" i="18"/>
  <c r="J117" i="18"/>
  <c r="G117" i="18"/>
  <c r="D117" i="18"/>
  <c r="J116" i="18"/>
  <c r="G116" i="18"/>
  <c r="D116" i="18"/>
  <c r="J115" i="18"/>
  <c r="G115" i="18"/>
  <c r="D115" i="18"/>
  <c r="J114" i="18"/>
  <c r="G114" i="18"/>
  <c r="D114" i="18"/>
  <c r="J113" i="18"/>
  <c r="G113" i="18"/>
  <c r="D113" i="18"/>
  <c r="J112" i="18"/>
  <c r="G112" i="18"/>
  <c r="D112" i="18"/>
  <c r="J111" i="18"/>
  <c r="G111" i="18"/>
  <c r="D111" i="18"/>
  <c r="J110" i="18"/>
  <c r="G110" i="18"/>
  <c r="D110" i="18"/>
  <c r="J109" i="18"/>
  <c r="G109" i="18"/>
  <c r="D109" i="18"/>
  <c r="J108" i="18"/>
  <c r="G108" i="18"/>
  <c r="D108" i="18"/>
  <c r="J107" i="18"/>
  <c r="G107" i="18"/>
  <c r="D107" i="18"/>
  <c r="J106" i="18"/>
  <c r="G106" i="18"/>
  <c r="D106" i="18"/>
  <c r="J105" i="18"/>
  <c r="G105" i="18"/>
  <c r="D105" i="18"/>
  <c r="J104" i="18"/>
  <c r="G104" i="18"/>
  <c r="D104" i="18"/>
  <c r="J103" i="18"/>
  <c r="G103" i="18"/>
  <c r="D103" i="18"/>
  <c r="J102" i="18"/>
  <c r="G102" i="18"/>
  <c r="D102" i="18"/>
  <c r="J101" i="18"/>
  <c r="G101" i="18"/>
  <c r="D101" i="18"/>
  <c r="J100" i="18"/>
  <c r="G100" i="18"/>
  <c r="D100" i="18"/>
  <c r="J99" i="18"/>
  <c r="G99" i="18"/>
  <c r="D99" i="18"/>
  <c r="J98" i="18"/>
  <c r="G98" i="18"/>
  <c r="D98" i="18"/>
  <c r="J97" i="18"/>
  <c r="G97" i="18"/>
  <c r="D97" i="18"/>
  <c r="J96" i="18"/>
  <c r="G96" i="18"/>
  <c r="D96" i="18"/>
  <c r="J95" i="18"/>
  <c r="G95" i="18"/>
  <c r="D95" i="18"/>
  <c r="J94" i="18"/>
  <c r="G94" i="18"/>
  <c r="D94" i="18"/>
  <c r="J93" i="18"/>
  <c r="G93" i="18"/>
  <c r="D93" i="18"/>
  <c r="J92" i="18"/>
  <c r="G92" i="18"/>
  <c r="D92" i="18"/>
  <c r="J91" i="18"/>
  <c r="G91" i="18"/>
  <c r="D91" i="18"/>
  <c r="J90" i="18"/>
  <c r="G90" i="18"/>
  <c r="D90" i="18"/>
  <c r="J89" i="18"/>
  <c r="G89" i="18"/>
  <c r="D89" i="18"/>
  <c r="J88" i="18"/>
  <c r="G88" i="18"/>
  <c r="D88" i="18"/>
  <c r="J87" i="18"/>
  <c r="G87" i="18"/>
  <c r="D87" i="18"/>
  <c r="J86" i="18"/>
  <c r="G86" i="18"/>
  <c r="D86" i="18"/>
  <c r="J85" i="18"/>
  <c r="G85" i="18"/>
  <c r="D85" i="18"/>
  <c r="J84" i="18"/>
  <c r="G84" i="18"/>
  <c r="D84" i="18"/>
  <c r="J83" i="18"/>
  <c r="G83" i="18"/>
  <c r="D83" i="18"/>
  <c r="J82" i="18"/>
  <c r="G82" i="18"/>
  <c r="D82" i="18"/>
  <c r="J81" i="18"/>
  <c r="G81" i="18"/>
  <c r="D81" i="18"/>
  <c r="J80" i="18"/>
  <c r="G80" i="18"/>
  <c r="D80" i="18"/>
  <c r="J79" i="18"/>
  <c r="G79" i="18"/>
  <c r="D79" i="18"/>
  <c r="J78" i="18"/>
  <c r="G78" i="18"/>
  <c r="D78" i="18"/>
  <c r="J77" i="18"/>
  <c r="G77" i="18"/>
  <c r="D77" i="18"/>
  <c r="J76" i="18"/>
  <c r="G76" i="18"/>
  <c r="D76" i="18"/>
  <c r="J75" i="18"/>
  <c r="G75" i="18"/>
  <c r="D75" i="18"/>
  <c r="J74" i="18"/>
  <c r="G74" i="18"/>
  <c r="D74" i="18"/>
  <c r="J73" i="18"/>
  <c r="G73" i="18"/>
  <c r="D73" i="18"/>
  <c r="J72" i="18"/>
  <c r="G72" i="18"/>
  <c r="D72" i="18"/>
  <c r="J71" i="18"/>
  <c r="G71" i="18"/>
  <c r="D71" i="18"/>
  <c r="J70" i="18"/>
  <c r="G70" i="18"/>
  <c r="D70" i="18"/>
  <c r="J69" i="18"/>
  <c r="G69" i="18"/>
  <c r="D69" i="18"/>
  <c r="J68" i="18"/>
  <c r="G68" i="18"/>
  <c r="D68" i="18"/>
  <c r="J67" i="18"/>
  <c r="G67" i="18"/>
  <c r="D67" i="18"/>
  <c r="J66" i="18"/>
  <c r="G66" i="18"/>
  <c r="D66" i="18"/>
  <c r="J65" i="18"/>
  <c r="G65" i="18"/>
  <c r="D65" i="18"/>
  <c r="J64" i="18"/>
  <c r="G64" i="18"/>
  <c r="D64" i="18"/>
  <c r="J63" i="18"/>
  <c r="G63" i="18"/>
  <c r="D63" i="18"/>
  <c r="J62" i="18"/>
  <c r="G62" i="18"/>
  <c r="D62" i="18"/>
  <c r="J61" i="18"/>
  <c r="G61" i="18"/>
  <c r="D61" i="18"/>
  <c r="J60" i="18"/>
  <c r="G60" i="18"/>
  <c r="D60" i="18"/>
  <c r="J59" i="18"/>
  <c r="G59" i="18"/>
  <c r="D59" i="18"/>
  <c r="J58" i="18"/>
  <c r="G58" i="18"/>
  <c r="D58" i="18"/>
  <c r="J57" i="18"/>
  <c r="G57" i="18"/>
  <c r="D57" i="18"/>
  <c r="J56" i="18"/>
  <c r="G56" i="18"/>
  <c r="D56" i="18"/>
  <c r="J55" i="18"/>
  <c r="G55" i="18"/>
  <c r="D55" i="18"/>
  <c r="J54" i="18"/>
  <c r="G54" i="18"/>
  <c r="D54" i="18"/>
  <c r="J53" i="18"/>
  <c r="G53" i="18"/>
  <c r="D53" i="18"/>
  <c r="J52" i="18"/>
  <c r="G52" i="18"/>
  <c r="D52" i="18"/>
  <c r="J51" i="18"/>
  <c r="G51" i="18"/>
  <c r="D51" i="18"/>
  <c r="J50" i="18"/>
  <c r="G50" i="18"/>
  <c r="D50" i="18"/>
  <c r="J49" i="18"/>
  <c r="G49" i="18"/>
  <c r="D49" i="18"/>
  <c r="J48" i="18"/>
  <c r="G48" i="18"/>
  <c r="D48" i="18"/>
  <c r="J47" i="18"/>
  <c r="G47" i="18"/>
  <c r="D47" i="18"/>
  <c r="J46" i="18"/>
  <c r="G46" i="18"/>
  <c r="D46" i="18"/>
  <c r="J45" i="18"/>
  <c r="G45" i="18"/>
  <c r="D45" i="18"/>
  <c r="J44" i="18"/>
  <c r="G44" i="18"/>
  <c r="D44" i="18"/>
  <c r="J43" i="18"/>
  <c r="G43" i="18"/>
  <c r="D43" i="18"/>
  <c r="J42" i="18"/>
  <c r="G42" i="18"/>
  <c r="D42" i="18"/>
  <c r="J41" i="18"/>
  <c r="G41" i="18"/>
  <c r="D41" i="18"/>
  <c r="J40" i="18"/>
  <c r="G40" i="18"/>
  <c r="D40" i="18"/>
  <c r="J39" i="18"/>
  <c r="G39" i="18"/>
  <c r="D39" i="18"/>
  <c r="J38" i="18"/>
  <c r="G38" i="18"/>
  <c r="D38" i="18"/>
  <c r="J37" i="18"/>
  <c r="G37" i="18"/>
  <c r="D37" i="18"/>
  <c r="J36" i="18"/>
  <c r="G36" i="18"/>
  <c r="D36" i="18"/>
  <c r="J35" i="18"/>
  <c r="G35" i="18"/>
  <c r="D35" i="18"/>
  <c r="J34" i="18"/>
  <c r="G34" i="18"/>
  <c r="D34" i="18"/>
  <c r="J33" i="18"/>
  <c r="G33" i="18"/>
  <c r="D33" i="18"/>
  <c r="J32" i="18"/>
  <c r="G32" i="18"/>
  <c r="D32" i="18"/>
  <c r="J31" i="18"/>
  <c r="G31" i="18"/>
  <c r="D31" i="18"/>
  <c r="J30" i="18"/>
  <c r="G30" i="18"/>
  <c r="D30" i="18"/>
  <c r="J29" i="18"/>
  <c r="G29" i="18"/>
  <c r="D29" i="18"/>
  <c r="J28" i="18"/>
  <c r="G28" i="18"/>
  <c r="D28" i="18"/>
  <c r="J27" i="18"/>
  <c r="G27" i="18"/>
  <c r="D27" i="18"/>
  <c r="J26" i="18"/>
  <c r="G26" i="18"/>
  <c r="D26" i="18"/>
  <c r="J25" i="18"/>
  <c r="G25" i="18"/>
  <c r="D25" i="18"/>
  <c r="J24" i="18"/>
  <c r="G24" i="18"/>
  <c r="D24" i="18"/>
  <c r="J23" i="18"/>
  <c r="G23" i="18"/>
  <c r="D23" i="18"/>
  <c r="J22" i="18"/>
  <c r="G22" i="18"/>
  <c r="D22" i="18"/>
  <c r="J21" i="18"/>
  <c r="G21" i="18"/>
  <c r="D21" i="18"/>
  <c r="J20" i="18"/>
  <c r="G20" i="18"/>
  <c r="D20" i="18"/>
  <c r="J19" i="18"/>
  <c r="G19" i="18"/>
  <c r="D19" i="18"/>
  <c r="J18" i="18"/>
  <c r="G18" i="18"/>
  <c r="D18" i="18"/>
  <c r="J17" i="18"/>
  <c r="G17" i="18"/>
  <c r="D17" i="18"/>
  <c r="J16" i="18"/>
  <c r="G16" i="18"/>
  <c r="D16" i="18"/>
  <c r="J15" i="18"/>
  <c r="G15" i="18"/>
  <c r="D15" i="18"/>
  <c r="J14" i="18"/>
  <c r="G14" i="18"/>
  <c r="D14" i="18"/>
  <c r="J13" i="18"/>
  <c r="G13" i="18"/>
  <c r="D13" i="18"/>
  <c r="J12" i="18"/>
  <c r="G12" i="18"/>
  <c r="D12" i="18"/>
  <c r="J11" i="18"/>
  <c r="G11" i="18"/>
  <c r="D11" i="18"/>
  <c r="J10" i="18"/>
  <c r="G10" i="18"/>
  <c r="D10" i="18"/>
  <c r="J9" i="18"/>
  <c r="G9" i="18"/>
  <c r="D9" i="18"/>
  <c r="J8" i="18"/>
  <c r="G8" i="18"/>
  <c r="D8" i="18"/>
  <c r="J7" i="18"/>
  <c r="G7" i="18"/>
  <c r="D7" i="18"/>
  <c r="J6" i="18"/>
  <c r="G6" i="18"/>
  <c r="D6" i="18"/>
  <c r="J5" i="18"/>
  <c r="G5" i="18"/>
  <c r="D5" i="18"/>
  <c r="AU41" i="13"/>
  <c r="AO41" i="13"/>
  <c r="AI41" i="13"/>
  <c r="AC41" i="13"/>
  <c r="W41" i="13"/>
  <c r="Q41" i="13"/>
  <c r="K41" i="13"/>
  <c r="E41" i="13"/>
  <c r="AU40" i="13"/>
  <c r="AO40" i="13"/>
  <c r="AI40" i="13"/>
  <c r="AC40" i="13"/>
  <c r="W40" i="13"/>
  <c r="Q40" i="13"/>
  <c r="K40" i="13"/>
  <c r="E40" i="13"/>
  <c r="AU39" i="13"/>
  <c r="AO39" i="13"/>
  <c r="AI39" i="13"/>
  <c r="AC39" i="13"/>
  <c r="W39" i="13"/>
  <c r="Q39" i="13"/>
  <c r="K39" i="13"/>
  <c r="E39" i="13"/>
  <c r="AU38" i="13"/>
  <c r="AO38" i="13"/>
  <c r="AI38" i="13"/>
  <c r="AC38" i="13"/>
  <c r="W38" i="13"/>
  <c r="Q38" i="13"/>
  <c r="K38" i="13"/>
  <c r="E38" i="13"/>
  <c r="AU37" i="13"/>
  <c r="AO37" i="13"/>
  <c r="AI37" i="13"/>
  <c r="AC37" i="13"/>
  <c r="W37" i="13"/>
  <c r="Q37" i="13"/>
  <c r="K37" i="13"/>
  <c r="E37" i="13"/>
  <c r="AU36" i="13"/>
  <c r="AO36" i="13"/>
  <c r="AI36" i="13"/>
  <c r="AC36" i="13"/>
  <c r="W36" i="13"/>
  <c r="Q36" i="13"/>
  <c r="K36" i="13"/>
  <c r="E36" i="13"/>
  <c r="AU35" i="13"/>
  <c r="AO35" i="13"/>
  <c r="AI35" i="13"/>
  <c r="AC35" i="13"/>
  <c r="W35" i="13"/>
  <c r="Q35" i="13"/>
  <c r="K35" i="13"/>
  <c r="E35" i="13"/>
  <c r="AU34" i="13"/>
  <c r="AO34" i="13"/>
  <c r="AI34" i="13"/>
  <c r="AC34" i="13"/>
  <c r="W34" i="13"/>
  <c r="Q34" i="13"/>
  <c r="K34" i="13"/>
  <c r="E34" i="13"/>
  <c r="AU33" i="13"/>
  <c r="AO33" i="13"/>
  <c r="AI33" i="13"/>
  <c r="AC33" i="13"/>
  <c r="W33" i="13"/>
  <c r="Q33" i="13"/>
  <c r="K33" i="13"/>
  <c r="E33" i="13"/>
  <c r="AU32" i="13"/>
  <c r="AO32" i="13"/>
  <c r="AI32" i="13"/>
  <c r="AC32" i="13"/>
  <c r="W32" i="13"/>
  <c r="Q32" i="13"/>
  <c r="K32" i="13"/>
  <c r="E32" i="13"/>
  <c r="AU31" i="13"/>
  <c r="AO31" i="13"/>
  <c r="AI31" i="13"/>
  <c r="AC31" i="13"/>
  <c r="W31" i="13"/>
  <c r="Q31" i="13"/>
  <c r="K31" i="13"/>
  <c r="E31" i="13"/>
  <c r="AU30" i="13"/>
  <c r="AO30" i="13"/>
  <c r="AI30" i="13"/>
  <c r="AC30" i="13"/>
  <c r="W30" i="13"/>
  <c r="Q30" i="13"/>
  <c r="K30" i="13"/>
  <c r="E30" i="13"/>
  <c r="AU29" i="13"/>
  <c r="AO29" i="13"/>
  <c r="AI29" i="13"/>
  <c r="AC29" i="13"/>
  <c r="W29" i="13"/>
  <c r="Q29" i="13"/>
  <c r="K29" i="13"/>
  <c r="E29" i="13"/>
  <c r="AU28" i="13"/>
  <c r="AO28" i="13"/>
  <c r="AI28" i="13"/>
  <c r="AC28" i="13"/>
  <c r="W28" i="13"/>
  <c r="Q28" i="13"/>
  <c r="K28" i="13"/>
  <c r="E28" i="13"/>
  <c r="AU27" i="13"/>
  <c r="AO27" i="13"/>
  <c r="AI27" i="13"/>
  <c r="AC27" i="13"/>
  <c r="W27" i="13"/>
  <c r="Q27" i="13"/>
  <c r="K27" i="13"/>
  <c r="E27" i="13"/>
  <c r="AU26" i="13"/>
  <c r="AO26" i="13"/>
  <c r="AI26" i="13"/>
  <c r="AC26" i="13"/>
  <c r="W26" i="13"/>
  <c r="Q26" i="13"/>
  <c r="K26" i="13"/>
  <c r="E26" i="13"/>
  <c r="AU25" i="13"/>
  <c r="AO25" i="13"/>
  <c r="AI25" i="13"/>
  <c r="AC25" i="13"/>
  <c r="W25" i="13"/>
  <c r="Q25" i="13"/>
  <c r="K25" i="13"/>
  <c r="E25" i="13"/>
  <c r="AU24" i="13"/>
  <c r="AO24" i="13"/>
  <c r="AI24" i="13"/>
  <c r="AC24" i="13"/>
  <c r="W24" i="13"/>
  <c r="Q24" i="13"/>
  <c r="K24" i="13"/>
  <c r="E24" i="13"/>
  <c r="AU23" i="13"/>
  <c r="AO23" i="13"/>
  <c r="AI23" i="13"/>
  <c r="AC23" i="13"/>
  <c r="W23" i="13"/>
  <c r="Q23" i="13"/>
  <c r="K23" i="13"/>
  <c r="E23" i="13"/>
  <c r="AU22" i="13"/>
  <c r="AO22" i="13"/>
  <c r="AI22" i="13"/>
  <c r="AC22" i="13"/>
  <c r="W22" i="13"/>
  <c r="Q22" i="13"/>
  <c r="K22" i="13"/>
  <c r="E22" i="13"/>
  <c r="AU21" i="13"/>
  <c r="AO21" i="13"/>
  <c r="AI21" i="13"/>
  <c r="AC21" i="13"/>
  <c r="W21" i="13"/>
  <c r="Q21" i="13"/>
  <c r="K21" i="13"/>
  <c r="E21" i="13"/>
  <c r="AU20" i="13"/>
  <c r="AO20" i="13"/>
  <c r="AI20" i="13"/>
  <c r="AC20" i="13"/>
  <c r="W20" i="13"/>
  <c r="Q20" i="13"/>
  <c r="K20" i="13"/>
  <c r="E20" i="13"/>
  <c r="AU19" i="13"/>
  <c r="AO19" i="13"/>
  <c r="AI19" i="13"/>
  <c r="AC19" i="13"/>
  <c r="W19" i="13"/>
  <c r="Q19" i="13"/>
  <c r="K19" i="13"/>
  <c r="E19" i="13"/>
  <c r="AU18" i="13"/>
  <c r="AO18" i="13"/>
  <c r="AI18" i="13"/>
  <c r="AC18" i="13"/>
  <c r="W18" i="13"/>
  <c r="Q18" i="13"/>
  <c r="K18" i="13"/>
  <c r="E18" i="13"/>
  <c r="AU17" i="13"/>
  <c r="AO17" i="13"/>
  <c r="AI17" i="13"/>
  <c r="AC17" i="13"/>
  <c r="W17" i="13"/>
  <c r="Q17" i="13"/>
  <c r="K17" i="13"/>
  <c r="E17" i="13"/>
  <c r="AU16" i="13"/>
  <c r="AO16" i="13"/>
  <c r="AI16" i="13"/>
  <c r="AC16" i="13"/>
  <c r="W16" i="13"/>
  <c r="Q16" i="13"/>
  <c r="K16" i="13"/>
  <c r="E16" i="13"/>
  <c r="AU15" i="13"/>
  <c r="AO15" i="13"/>
  <c r="AI15" i="13"/>
  <c r="AC15" i="13"/>
  <c r="W15" i="13"/>
  <c r="Q15" i="13"/>
  <c r="K15" i="13"/>
  <c r="E15" i="13"/>
  <c r="AU14" i="13"/>
  <c r="AO14" i="13"/>
  <c r="AI14" i="13"/>
  <c r="AC14" i="13"/>
  <c r="W14" i="13"/>
  <c r="Q14" i="13"/>
  <c r="K14" i="13"/>
  <c r="E14" i="13"/>
  <c r="AU13" i="13"/>
  <c r="AO13" i="13"/>
  <c r="AI13" i="13"/>
  <c r="AC13" i="13"/>
  <c r="W13" i="13"/>
  <c r="Q13" i="13"/>
  <c r="K13" i="13"/>
  <c r="E13" i="13"/>
  <c r="AU12" i="13"/>
  <c r="AO12" i="13"/>
  <c r="AI12" i="13"/>
  <c r="AC12" i="13"/>
  <c r="W12" i="13"/>
  <c r="Q12" i="13"/>
  <c r="K12" i="13"/>
  <c r="E12" i="13"/>
  <c r="AU11" i="13"/>
  <c r="AO11" i="13"/>
  <c r="AI11" i="13"/>
  <c r="AC11" i="13"/>
  <c r="W11" i="13"/>
  <c r="Q11" i="13"/>
  <c r="K11" i="13"/>
  <c r="E11" i="13"/>
  <c r="AU10" i="13"/>
  <c r="AO10" i="13"/>
  <c r="AI10" i="13"/>
  <c r="AC10" i="13"/>
  <c r="W10" i="13"/>
  <c r="Q10" i="13"/>
  <c r="K10" i="13"/>
  <c r="E10" i="13"/>
  <c r="AU9" i="13"/>
  <c r="AO9" i="13"/>
  <c r="AI9" i="13"/>
  <c r="AC9" i="13"/>
  <c r="W9" i="13"/>
  <c r="Q9" i="13"/>
  <c r="K9" i="13"/>
  <c r="E9" i="13"/>
  <c r="AU8" i="13"/>
  <c r="AO8" i="13"/>
  <c r="AI8" i="13"/>
  <c r="AC8" i="13"/>
  <c r="W8" i="13"/>
  <c r="Q8" i="13"/>
  <c r="K8" i="13"/>
  <c r="E8" i="13"/>
  <c r="AU7" i="13"/>
  <c r="AO7" i="13"/>
  <c r="AI7" i="13"/>
  <c r="AC7" i="13"/>
  <c r="W7" i="13"/>
  <c r="Q7" i="13"/>
  <c r="K7" i="13"/>
  <c r="E7" i="13"/>
  <c r="AU6" i="13"/>
  <c r="AO6" i="13"/>
  <c r="AI6" i="13"/>
  <c r="AC6" i="13"/>
  <c r="W6" i="13"/>
  <c r="Q6" i="13"/>
  <c r="K6" i="13"/>
  <c r="E6" i="13"/>
  <c r="AF41" i="12"/>
  <c r="AF40" i="12"/>
  <c r="AF39" i="12"/>
  <c r="AF38" i="12"/>
  <c r="AF37" i="12"/>
  <c r="AF36" i="12"/>
  <c r="AF35" i="12"/>
  <c r="AF34" i="12"/>
  <c r="AF33" i="12"/>
  <c r="AF32" i="12"/>
  <c r="AF31" i="12"/>
  <c r="AF30" i="12"/>
  <c r="AF29" i="12"/>
  <c r="AF28" i="12"/>
  <c r="AF27" i="12"/>
  <c r="AF26" i="12"/>
  <c r="AF25" i="12"/>
  <c r="AF24" i="12"/>
  <c r="AF23" i="12"/>
  <c r="AF22" i="12"/>
  <c r="AF21" i="12"/>
  <c r="AF20" i="12"/>
  <c r="AF19" i="12"/>
  <c r="AF18" i="12"/>
  <c r="AF17" i="12"/>
  <c r="AF16" i="12"/>
  <c r="AF15" i="12"/>
  <c r="AF14" i="12"/>
  <c r="AF13" i="12"/>
  <c r="AF12" i="12"/>
  <c r="AF11" i="12"/>
  <c r="AF10" i="12"/>
  <c r="AF9" i="12"/>
  <c r="AF8" i="12"/>
  <c r="AF7" i="12"/>
  <c r="AF6" i="12"/>
  <c r="AF5" i="12"/>
  <c r="AC41" i="10"/>
  <c r="AB41" i="10"/>
  <c r="AA41" i="10"/>
  <c r="AC40" i="10"/>
  <c r="AB40" i="10"/>
  <c r="U40" i="10"/>
  <c r="R40" i="10"/>
  <c r="O40" i="10"/>
  <c r="I40" i="10"/>
  <c r="AC39" i="10"/>
  <c r="AB39" i="10"/>
  <c r="U39" i="10"/>
  <c r="R39" i="10"/>
  <c r="O39" i="10"/>
  <c r="L39" i="10"/>
  <c r="I39" i="10"/>
  <c r="AC38" i="10"/>
  <c r="AB38" i="10"/>
  <c r="U38" i="10"/>
  <c r="R38" i="10"/>
  <c r="O38" i="10"/>
  <c r="L38" i="10"/>
  <c r="I38" i="10"/>
  <c r="AC37" i="10"/>
  <c r="AB37" i="10"/>
  <c r="U37" i="10"/>
  <c r="R37" i="10"/>
  <c r="O37" i="10"/>
  <c r="I37" i="10"/>
  <c r="AC36" i="10"/>
  <c r="AB36" i="10"/>
  <c r="U36" i="10"/>
  <c r="R36" i="10"/>
  <c r="O36" i="10"/>
  <c r="I36" i="10"/>
  <c r="AC35" i="10"/>
  <c r="AB35" i="10"/>
  <c r="U35" i="10"/>
  <c r="R35" i="10"/>
  <c r="O35" i="10"/>
  <c r="I35" i="10"/>
  <c r="AC34" i="10"/>
  <c r="AB34" i="10"/>
  <c r="U34" i="10"/>
  <c r="R34" i="10"/>
  <c r="O34" i="10"/>
  <c r="L34" i="10"/>
  <c r="I34" i="10"/>
  <c r="AC33" i="10"/>
  <c r="AB33" i="10"/>
  <c r="U33" i="10"/>
  <c r="R33" i="10"/>
  <c r="O33" i="10"/>
  <c r="I33" i="10"/>
  <c r="AC32" i="10"/>
  <c r="AB32" i="10"/>
  <c r="U32" i="10"/>
  <c r="R32" i="10"/>
  <c r="O32" i="10"/>
  <c r="L32" i="10"/>
  <c r="I32" i="10"/>
  <c r="AC31" i="10"/>
  <c r="AB31" i="10"/>
  <c r="U31" i="10"/>
  <c r="R31" i="10"/>
  <c r="O31" i="10"/>
  <c r="L31" i="10"/>
  <c r="I31" i="10"/>
  <c r="AC30" i="10"/>
  <c r="AB30" i="10"/>
  <c r="U30" i="10"/>
  <c r="R30" i="10"/>
  <c r="AA30" i="10" s="1"/>
  <c r="O30" i="10"/>
  <c r="I30" i="10"/>
  <c r="AC29" i="10"/>
  <c r="AB29" i="10"/>
  <c r="U29" i="10"/>
  <c r="R29" i="10"/>
  <c r="O29" i="10"/>
  <c r="I29" i="10"/>
  <c r="AC28" i="10"/>
  <c r="AB28" i="10"/>
  <c r="U28" i="10"/>
  <c r="R28" i="10"/>
  <c r="O28" i="10"/>
  <c r="I28" i="10"/>
  <c r="AC27" i="10"/>
  <c r="AB27" i="10"/>
  <c r="U27" i="10"/>
  <c r="R27" i="10"/>
  <c r="O27" i="10"/>
  <c r="I27" i="10"/>
  <c r="AC26" i="10"/>
  <c r="AB26" i="10"/>
  <c r="U26" i="10"/>
  <c r="R26" i="10"/>
  <c r="O26" i="10"/>
  <c r="I26" i="10"/>
  <c r="AC25" i="10"/>
  <c r="AB25" i="10"/>
  <c r="U25" i="10"/>
  <c r="R25" i="10"/>
  <c r="O25" i="10"/>
  <c r="I25" i="10"/>
  <c r="AC24" i="10"/>
  <c r="AB24" i="10"/>
  <c r="U24" i="10"/>
  <c r="R24" i="10"/>
  <c r="O24" i="10"/>
  <c r="L24" i="10"/>
  <c r="I24" i="10"/>
  <c r="AA24" i="10" s="1"/>
  <c r="AC23" i="10"/>
  <c r="AB23" i="10"/>
  <c r="U23" i="10"/>
  <c r="R23" i="10"/>
  <c r="O23" i="10"/>
  <c r="I23" i="10"/>
  <c r="AC22" i="10"/>
  <c r="AB22" i="10"/>
  <c r="U22" i="10"/>
  <c r="R22" i="10"/>
  <c r="O22" i="10"/>
  <c r="I22" i="10"/>
  <c r="AC21" i="10"/>
  <c r="AB21" i="10"/>
  <c r="U21" i="10"/>
  <c r="R21" i="10"/>
  <c r="O21" i="10"/>
  <c r="I21" i="10"/>
  <c r="AC20" i="10"/>
  <c r="AB20" i="10"/>
  <c r="U20" i="10"/>
  <c r="R20" i="10"/>
  <c r="O20" i="10"/>
  <c r="I20" i="10"/>
  <c r="AC19" i="10"/>
  <c r="AB19" i="10"/>
  <c r="U19" i="10"/>
  <c r="R19" i="10"/>
  <c r="O19" i="10"/>
  <c r="L19" i="10"/>
  <c r="I19" i="10"/>
  <c r="AC18" i="10"/>
  <c r="AB18" i="10"/>
  <c r="U18" i="10"/>
  <c r="R18" i="10"/>
  <c r="O18" i="10"/>
  <c r="I18" i="10"/>
  <c r="AC17" i="10"/>
  <c r="AB17" i="10"/>
  <c r="U17" i="10"/>
  <c r="R17" i="10"/>
  <c r="O17" i="10"/>
  <c r="I17" i="10"/>
  <c r="AC16" i="10"/>
  <c r="AB16" i="10"/>
  <c r="U16" i="10"/>
  <c r="R16" i="10"/>
  <c r="O16" i="10"/>
  <c r="I16" i="10"/>
  <c r="AC15" i="10"/>
  <c r="AB15" i="10"/>
  <c r="U15" i="10"/>
  <c r="R15" i="10"/>
  <c r="O15" i="10"/>
  <c r="L15" i="10"/>
  <c r="I15" i="10"/>
  <c r="AC14" i="10"/>
  <c r="AB14" i="10"/>
  <c r="U14" i="10"/>
  <c r="R14" i="10"/>
  <c r="O14" i="10"/>
  <c r="I14" i="10"/>
  <c r="AC13" i="10"/>
  <c r="AB13" i="10"/>
  <c r="U13" i="10"/>
  <c r="R13" i="10"/>
  <c r="O13" i="10"/>
  <c r="I13" i="10"/>
  <c r="AC12" i="10"/>
  <c r="AB12" i="10"/>
  <c r="U12" i="10"/>
  <c r="R12" i="10"/>
  <c r="O12" i="10"/>
  <c r="L12" i="10"/>
  <c r="I12" i="10"/>
  <c r="AC11" i="10"/>
  <c r="AB11" i="10"/>
  <c r="U11" i="10"/>
  <c r="R11" i="10"/>
  <c r="O11" i="10"/>
  <c r="I11" i="10"/>
  <c r="AC10" i="10"/>
  <c r="AB10" i="10"/>
  <c r="U10" i="10"/>
  <c r="R10" i="10"/>
  <c r="O10" i="10"/>
  <c r="I10" i="10"/>
  <c r="AC9" i="10"/>
  <c r="AB9" i="10"/>
  <c r="U9" i="10"/>
  <c r="R9" i="10"/>
  <c r="O9" i="10"/>
  <c r="I9" i="10"/>
  <c r="AC8" i="10"/>
  <c r="AB8" i="10"/>
  <c r="U8" i="10"/>
  <c r="R8" i="10"/>
  <c r="O8" i="10"/>
  <c r="I8" i="10"/>
  <c r="AC7" i="10"/>
  <c r="AB7" i="10"/>
  <c r="U7" i="10"/>
  <c r="R7" i="10"/>
  <c r="O7" i="10"/>
  <c r="I7" i="10"/>
  <c r="AC6" i="10"/>
  <c r="AB6" i="10"/>
  <c r="U6" i="10"/>
  <c r="R6" i="10"/>
  <c r="O6" i="10"/>
  <c r="L6" i="10"/>
  <c r="I6" i="10"/>
  <c r="AC5" i="10"/>
  <c r="AB5" i="10"/>
  <c r="U5" i="10"/>
  <c r="R5" i="10"/>
  <c r="O5" i="10"/>
  <c r="AA34" i="10" l="1"/>
  <c r="AA10" i="10"/>
  <c r="AA21" i="10"/>
  <c r="AA33" i="10"/>
  <c r="AA14" i="10"/>
  <c r="AA20" i="10"/>
  <c r="AA9" i="10"/>
  <c r="AA22" i="10"/>
  <c r="AA29" i="10"/>
  <c r="AA12" i="10"/>
  <c r="AA13" i="10"/>
  <c r="AA23" i="10"/>
  <c r="AA40" i="10"/>
  <c r="AA19" i="10"/>
  <c r="AA38" i="10"/>
  <c r="AA18" i="10"/>
  <c r="AA28" i="10"/>
  <c r="AA32" i="10"/>
  <c r="AA37" i="10"/>
  <c r="AA7" i="10"/>
  <c r="AA6" i="10"/>
  <c r="AA11" i="10"/>
  <c r="AA16" i="10"/>
  <c r="AA17" i="10"/>
  <c r="AA26" i="10"/>
  <c r="AA27" i="10"/>
  <c r="AA31" i="10"/>
  <c r="AA8" i="10"/>
  <c r="AA15" i="10"/>
  <c r="AA36" i="10"/>
  <c r="AA5" i="10"/>
  <c r="AA25" i="10"/>
  <c r="AA35" i="10"/>
  <c r="AA39" i="10"/>
</calcChain>
</file>

<file path=xl/sharedStrings.xml><?xml version="1.0" encoding="utf-8"?>
<sst xmlns="http://schemas.openxmlformats.org/spreadsheetml/2006/main" count="7429" uniqueCount="1070">
  <si>
    <t>Table</t>
  </si>
  <si>
    <t xml:space="preserve">Sl. No. </t>
  </si>
  <si>
    <t>Central University</t>
  </si>
  <si>
    <t>Central Open University</t>
  </si>
  <si>
    <t>Institute of National Importance</t>
  </si>
  <si>
    <t>State Public University</t>
  </si>
  <si>
    <t>Institute under State Legislature Act</t>
  </si>
  <si>
    <t>State Open University</t>
  </si>
  <si>
    <t>State Private University</t>
  </si>
  <si>
    <t>State Private Open University</t>
  </si>
  <si>
    <t>Deemed University-Government</t>
  </si>
  <si>
    <t>Deemed University-Private</t>
  </si>
  <si>
    <t>Grand Total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</si>
  <si>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</si>
  <si>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</si>
  <si>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</si>
  <si>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</si>
  <si>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</si>
  <si>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</si>
  <si>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</si>
  <si>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</si>
  <si>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</si>
  <si>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</si>
  <si>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</si>
  <si>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</si>
  <si>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</si>
  <si>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</si>
  <si>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</si>
  <si>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</si>
  <si>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</si>
  <si>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</si>
  <si>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</si>
  <si>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</si>
  <si>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</si>
  <si>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</si>
  <si>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</si>
  <si>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</si>
  <si>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</si>
  <si>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</si>
  <si>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</si>
  <si>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</si>
  <si>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</si>
  <si>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</si>
  <si>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</si>
  <si>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</si>
  <si>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</si>
  <si>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</si>
  <si>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In UTs of , Andaman &amp; Nicobar Islands,  Dadra &amp; Nagar Haveli, Daman &amp; Diu and Lakshadweep, there is no University.</t>
  </si>
  <si>
    <t xml:space="preserve">Table 1(a). </t>
  </si>
  <si>
    <t>Sl. No.</t>
  </si>
  <si>
    <t>State/UTs</t>
  </si>
  <si>
    <t>Unversities</t>
  </si>
  <si>
    <t>Colleges</t>
  </si>
  <si>
    <t>Standalone Institutions</t>
  </si>
  <si>
    <t>Total</t>
  </si>
  <si>
    <t>Registered</t>
  </si>
  <si>
    <t>Responded</t>
  </si>
  <si>
    <t>% of Response</t>
  </si>
  <si>
    <t>A &amp; N Islands</t>
  </si>
  <si>
    <t>Lakshadweep*</t>
  </si>
  <si>
    <t>D &amp; N Haveli and Daman &amp; Diu</t>
  </si>
  <si>
    <t>* Lakshadweep dose not have any University/Colleges &amp; Stand Alone Institutions. However 3 PG/Off-shore campus of University of Calicut, Malappuram are functiong from Lakshadweep.</t>
  </si>
  <si>
    <t>Number of College</t>
  </si>
  <si>
    <t>Less than 10</t>
  </si>
  <si>
    <t>10-19</t>
  </si>
  <si>
    <t>20-49</t>
  </si>
  <si>
    <t>50-99</t>
  </si>
  <si>
    <t>100-199</t>
  </si>
  <si>
    <t>200-299</t>
  </si>
  <si>
    <t>300-399</t>
  </si>
  <si>
    <t>400-499</t>
  </si>
  <si>
    <t>500-999</t>
  </si>
  <si>
    <t>Lakshadweep</t>
  </si>
  <si>
    <t>Sl.
No.</t>
  </si>
  <si>
    <t>5. Number of Private and Government Colleges
(Based on Actual Response)</t>
  </si>
  <si>
    <t>5(a). Enrolment in Private and Government Colleges
(Based on Actual Response)</t>
  </si>
  <si>
    <t>5(b). Number of Colleges Established in 2022 and their Enrolment
(Based on Actual Response)</t>
  </si>
  <si>
    <t>Private 
(Un-Aided)</t>
  </si>
  <si>
    <t>Private (Aided)</t>
  </si>
  <si>
    <t>Private Total</t>
  </si>
  <si>
    <t>Government</t>
  </si>
  <si>
    <t>Number</t>
  </si>
  <si>
    <t>Enrolment</t>
  </si>
  <si>
    <t>The Dadra and Nagar Haveli and Daman and Diu</t>
  </si>
  <si>
    <t>Sl No</t>
  </si>
  <si>
    <t>Ph.D.</t>
  </si>
  <si>
    <t>M.Phil.</t>
  </si>
  <si>
    <t>Post Graduate</t>
  </si>
  <si>
    <t>Under Graduate</t>
  </si>
  <si>
    <t>PG Diploma</t>
  </si>
  <si>
    <t>Diploma</t>
  </si>
  <si>
    <t>Certificate</t>
  </si>
  <si>
    <t>Integrated</t>
  </si>
  <si>
    <t>Male</t>
  </si>
  <si>
    <t>Female</t>
  </si>
  <si>
    <t>Table 6(a).</t>
  </si>
  <si>
    <t>Table 6(b)</t>
  </si>
  <si>
    <t>Table 6(c)</t>
  </si>
  <si>
    <t>State-wise Enrolment through Online Mode at various levels
(Based on Actual Response)</t>
  </si>
  <si>
    <t>Table 7.</t>
  </si>
  <si>
    <t>Responding</t>
  </si>
  <si>
    <t>Note - Constituent Colleges of State/Central University not included.</t>
  </si>
  <si>
    <t>Table 8.</t>
  </si>
  <si>
    <t>Number of Colleges</t>
  </si>
  <si>
    <t>Per College Enrolment</t>
  </si>
  <si>
    <t>Table 9.</t>
  </si>
  <si>
    <t>Polytechnics</t>
  </si>
  <si>
    <t>PGDM</t>
  </si>
  <si>
    <t>Nursing</t>
  </si>
  <si>
    <t>Teacher Training</t>
  </si>
  <si>
    <t>Institute under Ministries</t>
  </si>
  <si>
    <t>Paramedical</t>
  </si>
  <si>
    <t>Hotel Management and Catering</t>
  </si>
  <si>
    <t>All Stand Alone Institutions</t>
  </si>
  <si>
    <t>Number of Institutions</t>
  </si>
  <si>
    <t>Per Institution Enrolment</t>
  </si>
  <si>
    <t>Andaman and Nicobar Islands</t>
  </si>
  <si>
    <t>Table 9a.</t>
  </si>
  <si>
    <t>University and Its Constituent Units</t>
  </si>
  <si>
    <t>Stand Alone Institutions</t>
  </si>
  <si>
    <t xml:space="preserve">Programme </t>
  </si>
  <si>
    <t>Persons with Disability</t>
  </si>
  <si>
    <t>Muslim</t>
  </si>
  <si>
    <t>Other Minority Communities</t>
  </si>
  <si>
    <t>EWS</t>
  </si>
  <si>
    <t>Acharya-Acharya</t>
  </si>
  <si>
    <t>Ayurvedacharya-Ayurvedacharya</t>
  </si>
  <si>
    <t>B.A. B.Ed.-Bachelor of Arts, Bachelor of Education</t>
  </si>
  <si>
    <t>B.A. L.L.B.-Bachelor of Arts, Bachelor of Law or Laws</t>
  </si>
  <si>
    <t>B.A. M.A.-Bachelor of Arts,Master of Arts</t>
  </si>
  <si>
    <t>B.A.(Hons)-Bachelor of Arts (Honors)</t>
  </si>
  <si>
    <t>B.A.-Bachelor of Arts</t>
  </si>
  <si>
    <t>B.A.M.-Bachelor of Ayurved Medicine</t>
  </si>
  <si>
    <t>B.A.M.S.-Bachelor of Ayurved Medicine &amp; Surgery</t>
  </si>
  <si>
    <t>B.A.S.L.P.-Bachelor of Audiology and Speech Language Pathology</t>
  </si>
  <si>
    <t>B.Agri.-Bachelor of Agriculture</t>
  </si>
  <si>
    <t>B.Arch-Bachelor of Architecture</t>
  </si>
  <si>
    <t>B.B.A.-Bachelor of Business Administration</t>
  </si>
  <si>
    <t>B.B.A-L.L.B.-Bachelor of Business Administration, Bachelor of Law or Laws</t>
  </si>
  <si>
    <t>B.B.M.-Bachelor of Business Management</t>
  </si>
  <si>
    <t>B.B.S.-Bachelor of Business Studies</t>
  </si>
  <si>
    <t>B.C.A.-Bachelor of Computer Applications</t>
  </si>
  <si>
    <t>B.Ch.E.-Bachelor of Chemical Engineering</t>
  </si>
  <si>
    <t>B.Com.(Hons)-Bachelor of Commerce (Honors)</t>
  </si>
  <si>
    <t>B.Com.-Bachelor of Commerce</t>
  </si>
  <si>
    <t>B.Com-L.L.B.-Bachelor of Commerce, Bachelor of Law</t>
  </si>
  <si>
    <t>B.D.S.-Bachelor of Dental Surgery</t>
  </si>
  <si>
    <t>B.Des.-Bachelor of Design</t>
  </si>
  <si>
    <t>B.E.-Bachelor of Engineering</t>
  </si>
  <si>
    <t>B.Ed.-Bachelor of Education</t>
  </si>
  <si>
    <t>B.El.Ed.-Bachelor in Elementary Education</t>
  </si>
  <si>
    <t>B.F.A.-Bachelor of Fine Arts</t>
  </si>
  <si>
    <t>B.H.A.-Bachelor of Hospital Administration</t>
  </si>
  <si>
    <t>B.H.M.-Bachelor of Hotel Management</t>
  </si>
  <si>
    <t>B.H.M.C.T.-Bachelor of Hotel Management and Catering Technology</t>
  </si>
  <si>
    <t>B.H.M.S.-Bachelor of Homeopathic Medicine and Surgery</t>
  </si>
  <si>
    <t>B.H.M.T.T.-Bachelor of Hotel Management, Travel and Tourism</t>
  </si>
  <si>
    <t>B.H.T.M.-Bachelor of Hotel and Tourism Management</t>
  </si>
  <si>
    <t>B.J.-Bachelor of Journalism</t>
  </si>
  <si>
    <t>B.J.M.C.-Bachelor of Journalism and Mass Communication</t>
  </si>
  <si>
    <t>B.L.-Bachelor of Law or Laws</t>
  </si>
  <si>
    <t>B.Lib.Sc.-Bachelor of Library Science</t>
  </si>
  <si>
    <t>B.M.L.T- Bachelor in Medical Lab Technology</t>
  </si>
  <si>
    <t>B.M.M.-Bachelor of Multi Media</t>
  </si>
  <si>
    <t>B.M.S.-Bachelor of Management Studies</t>
  </si>
  <si>
    <t>B.Mus.-Bachelor of Music</t>
  </si>
  <si>
    <t>B.N.Y.S.-Bachelor of Naturopathy and Yogic Sciences</t>
  </si>
  <si>
    <t>B.Nat.(Yogic Sciences)-Bachelor of Naturopathy and Yogic Sciences</t>
  </si>
  <si>
    <t>B.O.T.-Bachelor of Occupational Therapy</t>
  </si>
  <si>
    <t>B.Optom.-Bachelor of Clinical Optometry</t>
  </si>
  <si>
    <t>B.P.A.-Bachelor of Performing Arts</t>
  </si>
  <si>
    <t>B.P.E.-Bachelor of Physical Education</t>
  </si>
  <si>
    <t>B.P.Ed.-Bachelor of Physical Education</t>
  </si>
  <si>
    <t>B.P.O-Bachelor of Prosthetics and Orthotics</t>
  </si>
  <si>
    <t>B.P.T.-Bachelor of Physiotherapy</t>
  </si>
  <si>
    <t>B.Pharm.-Bachelor of Pharmacy</t>
  </si>
  <si>
    <t>B.S.- M.S.-Bachelor of Science, Master of Science</t>
  </si>
  <si>
    <t>B.S.M.S.-Bachelor of Sridhar Medicine and Surgery</t>
  </si>
  <si>
    <t>B.S.W.-Bachelor of Social Work</t>
  </si>
  <si>
    <t>B.Sc.- B.Ed.-Bachelor of Science, Bachelor of Education</t>
  </si>
  <si>
    <t>B.Sc.(Hons)-Bachelor of Science (Honors)</t>
  </si>
  <si>
    <t>B.Sc.(Nursing)-Bachelor of Science in Nursing</t>
  </si>
  <si>
    <t>B.Sc.(Post Basic)-B.Sc (Post Basic)</t>
  </si>
  <si>
    <t>B.Sc.-Bachelor of Science</t>
  </si>
  <si>
    <t>B.Stat.-Bachelor of Statistics</t>
  </si>
  <si>
    <t>B.Tech.-Bachelor of Technology</t>
  </si>
  <si>
    <t>B.Tech-M.Tech-Bachelor of Technology, Master of Technology</t>
  </si>
  <si>
    <t>B.U.M.S.-Bachelor of Unani Medicine and Surgery</t>
  </si>
  <si>
    <t>B.V.A.-Bachelor of Visual Arts</t>
  </si>
  <si>
    <t>B.V.Sc.&amp;A.H.-Bachelor of Veterinary Science &amp; Animal Husbandry</t>
  </si>
  <si>
    <t>B.V.Sc.-Bachelor of Veterinary Science</t>
  </si>
  <si>
    <t>B.Voc.-Bachelor of Vocational</t>
  </si>
  <si>
    <t>B.X.R.T- Bachelor in X-Ray Radiographer Technician</t>
  </si>
  <si>
    <t>Certificate-Certificate</t>
  </si>
  <si>
    <t>D.Ed.-Diploma in Education</t>
  </si>
  <si>
    <t>D.M.-Doctor of Medicine</t>
  </si>
  <si>
    <t>D.O.T.A- Diploma in Operation Theater Assistant</t>
  </si>
  <si>
    <t>D.Pharma-Diploma in Pharmacy</t>
  </si>
  <si>
    <t>D.Phil.-Doctor of Philosophy</t>
  </si>
  <si>
    <t>D.Sc.-Doctor of Science</t>
  </si>
  <si>
    <t>Diploma-Diploma</t>
  </si>
  <si>
    <t>Fashion Art</t>
  </si>
  <si>
    <t>G.N.M.-General Nursing &amp; Midwifery</t>
  </si>
  <si>
    <t>Integrated M.A.-Integrated Master of Arts</t>
  </si>
  <si>
    <t>Integrated M.B.A.-Integrated Master of Business Administration</t>
  </si>
  <si>
    <t>Integrated M.Sc.-Integrated Master of Science</t>
  </si>
  <si>
    <t>Integrated Ph.D-Integrated Doctor of Philosophy</t>
  </si>
  <si>
    <t>L.L.B.-Bachelor of Law or Laws</t>
  </si>
  <si>
    <t>L.L.M.-Master of Law or Laws</t>
  </si>
  <si>
    <t>M.A.M.S.-Master of Ayurved in Medicine and Surgery</t>
  </si>
  <si>
    <t>M.A.-Master of Arts</t>
  </si>
  <si>
    <t>M.Arch.-Master of Architecture</t>
  </si>
  <si>
    <t>M.B.A.- Master of Business Administration</t>
  </si>
  <si>
    <t>M.B.A.(Pharma. Tech.)-Master of Business Administration in Pharmaceutical Technology</t>
  </si>
  <si>
    <t>M.B.A.(Tech.)-Master of Business Administration in Technology</t>
  </si>
  <si>
    <t>M.B.B.S.-Bachelor of Medicine and Bachelor of Surgery</t>
  </si>
  <si>
    <t>M.C.A. -Master of Computer Applications</t>
  </si>
  <si>
    <t>M.Ch.-Master of Chirurgiae</t>
  </si>
  <si>
    <t>M.Com.-Master of Commerce</t>
  </si>
  <si>
    <t>M.D.-Doctor of Medicine</t>
  </si>
  <si>
    <t>M.D.S.-Master of Dental Surgery</t>
  </si>
  <si>
    <t>M.Dance-Master of Dance</t>
  </si>
  <si>
    <t>M.Des.-Master of Design</t>
  </si>
  <si>
    <t>M.E.-Master of Engineering</t>
  </si>
  <si>
    <t>M.Ed. -Master of Education</t>
  </si>
  <si>
    <t>M.F.A. -Master of Fine Arts</t>
  </si>
  <si>
    <t>M.H.A. -Master of Hospital Administration</t>
  </si>
  <si>
    <t>M.H.R.D. -Master of Human Resource Development</t>
  </si>
  <si>
    <t>M.J.M.C.-Master of Journalism and Mass Communication</t>
  </si>
  <si>
    <t>M.J.-Master of Journalism</t>
  </si>
  <si>
    <t>M.L. -Master of Laws</t>
  </si>
  <si>
    <t>M.L.I.Sc.-Master of Library &amp; Information Science</t>
  </si>
  <si>
    <t>M.Lib.Sc. -Master of Library Science</t>
  </si>
  <si>
    <t>M.Mgt.-Master of Management</t>
  </si>
  <si>
    <t>M.Mus. -Master of Music</t>
  </si>
  <si>
    <t>M.O.T. -Master of Occupational Therapy</t>
  </si>
  <si>
    <t>M.Optom. -Master of Optometry</t>
  </si>
  <si>
    <t>M.P.A.-Master of Performing Arts</t>
  </si>
  <si>
    <t>M.P.Ed.-Master of Physical Education</t>
  </si>
  <si>
    <t>M.P.H. -Master of Public Health</t>
  </si>
  <si>
    <t>M.P.O-Master in Prosthetics and Orthotics</t>
  </si>
  <si>
    <t>M.P.T.-Master of Physiotherapy</t>
  </si>
  <si>
    <t>M.Pharm. -Master of Pharmacy</t>
  </si>
  <si>
    <t>M.Phil.-Master of Philosophy</t>
  </si>
  <si>
    <t>M.Plan.-Master of Planning</t>
  </si>
  <si>
    <t>M.S.-Master of Science</t>
  </si>
  <si>
    <t>M.S.-Master of Surgery</t>
  </si>
  <si>
    <t>M.S.W.-Master of Social Work</t>
  </si>
  <si>
    <t>M.Sc. Nursing-Master of Science in Nursing</t>
  </si>
  <si>
    <t>M.Sc. Tech. -Master of Science in Technology</t>
  </si>
  <si>
    <t>M.Sc.(Medical Anatomy) -Master of Science in Medical Anatomy</t>
  </si>
  <si>
    <t>M.Sc.(Medical Bio-Chemistry)-Master of Science in Medical Bio-Chemistry</t>
  </si>
  <si>
    <t>M.Sc.(Medical Microbiology)-Master of Science in Medical Microbiology</t>
  </si>
  <si>
    <t>M.Sc.(Medical Physiology)-Master of Science in Medical Physiology</t>
  </si>
  <si>
    <t>M.Sc.-Master of Science</t>
  </si>
  <si>
    <t>M.Stat. -Master of Statistics</t>
  </si>
  <si>
    <t>M.Tech. -Master of Technology</t>
  </si>
  <si>
    <t>M.V.A.-Master of Visual Arts</t>
  </si>
  <si>
    <t>M.Voc.-Master of Vocational</t>
  </si>
  <si>
    <t>Management HRM</t>
  </si>
  <si>
    <t>Master of Travel &amp; Tourism Management (MTTM)</t>
  </si>
  <si>
    <t>MMST - Master of Medical Science &amp; Technology</t>
  </si>
  <si>
    <t>P.G.P.-Post-Graduate Programme in Management</t>
  </si>
  <si>
    <t>PG Diploma-Post Graduate Diploma</t>
  </si>
  <si>
    <t>Ph.D.-Doctor of Philosophy</t>
  </si>
  <si>
    <t>Pharm.D.-Doctor of Pharmacy</t>
  </si>
  <si>
    <t>Shastri-Shastri</t>
  </si>
  <si>
    <t>Vidya Varidhi-Vidya Varidhi</t>
  </si>
  <si>
    <t>S.No.</t>
  </si>
  <si>
    <t>Discipline</t>
  </si>
  <si>
    <t>Agriculture</t>
  </si>
  <si>
    <t>Allied Health Science</t>
  </si>
  <si>
    <t>Apparel</t>
  </si>
  <si>
    <t>Architecture and Engineering</t>
  </si>
  <si>
    <t>Area Studies</t>
  </si>
  <si>
    <t>Arts</t>
  </si>
  <si>
    <t>Banking, Financial Services &amp; Insurance</t>
  </si>
  <si>
    <t>Commerce</t>
  </si>
  <si>
    <t>Criminology</t>
  </si>
  <si>
    <t>Criminology &amp; Forensic Science</t>
  </si>
  <si>
    <t>Culinary Arts</t>
  </si>
  <si>
    <t>Cultural Studies</t>
  </si>
  <si>
    <t>Defence Studies</t>
  </si>
  <si>
    <t>Design</t>
  </si>
  <si>
    <t>Education</t>
  </si>
  <si>
    <t>Engineering &amp; Technology</t>
  </si>
  <si>
    <t>Aeronautical Engineering</t>
  </si>
  <si>
    <t>Agriculture Engineering</t>
  </si>
  <si>
    <t>Aircraft Maintenance Engineering</t>
  </si>
  <si>
    <t>Architecture</t>
  </si>
  <si>
    <t>Artificial Intelligence</t>
  </si>
  <si>
    <t>Artificial Intelligence &amp; Data Science</t>
  </si>
  <si>
    <t>Artificial Intelligence &amp; Machine Learning</t>
  </si>
  <si>
    <t>Automation &amp; Robotics</t>
  </si>
  <si>
    <t>Automobile Engineering</t>
  </si>
  <si>
    <t>Automotive Studies</t>
  </si>
  <si>
    <t>Chemical Engineering</t>
  </si>
  <si>
    <t>Civil &amp; Environmental Engineering</t>
  </si>
  <si>
    <t>Civil Engineering</t>
  </si>
  <si>
    <t>Computer Engineering</t>
  </si>
  <si>
    <t>Computer Science and Design</t>
  </si>
  <si>
    <t>Dairy Technology</t>
  </si>
  <si>
    <t>Data Science</t>
  </si>
  <si>
    <t>Electrical &amp; Computer Engineering</t>
  </si>
  <si>
    <t>Electrical and Electronics Engineering</t>
  </si>
  <si>
    <t>Electrical Engineering</t>
  </si>
  <si>
    <t>Electronics and Communication Engineering</t>
  </si>
  <si>
    <t>Electronics Engineering</t>
  </si>
  <si>
    <t>Food Processing and Preservation</t>
  </si>
  <si>
    <t>FOOD PROCESSING TECHNOLOGY</t>
  </si>
  <si>
    <t>Food Technology</t>
  </si>
  <si>
    <t>Information Technology</t>
  </si>
  <si>
    <t>Instrumentation Engineering</t>
  </si>
  <si>
    <t>Marine Engineering</t>
  </si>
  <si>
    <t>Mechanical &amp; Mechatronics Engineering</t>
  </si>
  <si>
    <t>Mechanical Engineering</t>
  </si>
  <si>
    <t>Mechatronics Engineering</t>
  </si>
  <si>
    <t>Medical Electronics</t>
  </si>
  <si>
    <t>Metallurgical Engineering</t>
  </si>
  <si>
    <t>Mining Engineering</t>
  </si>
  <si>
    <t>Oil Technology</t>
  </si>
  <si>
    <t>Other Engineering &amp; Technology</t>
  </si>
  <si>
    <t>Petrochemical Technology</t>
  </si>
  <si>
    <t>Planning</t>
  </si>
  <si>
    <t>Plastic and Polymer Technology</t>
  </si>
  <si>
    <t>Engineering &amp; Technology Total</t>
  </si>
  <si>
    <t>Engineering Science</t>
  </si>
  <si>
    <t>Fashion &amp; Apparel Design</t>
  </si>
  <si>
    <t>Fashion Technology</t>
  </si>
  <si>
    <t>Fine Arts</t>
  </si>
  <si>
    <t>Fisheries Science</t>
  </si>
  <si>
    <t>Food Processing</t>
  </si>
  <si>
    <t>Footwear  Design</t>
  </si>
  <si>
    <t>Foreign Language</t>
  </si>
  <si>
    <t>Gandhian Studies</t>
  </si>
  <si>
    <t>Home Science</t>
  </si>
  <si>
    <t>Hospitality and Tourism</t>
  </si>
  <si>
    <t>Indian Language</t>
  </si>
  <si>
    <t>IT &amp; Computer</t>
  </si>
  <si>
    <t>Journalism &amp; Mass Communication</t>
  </si>
  <si>
    <t>Law</t>
  </si>
  <si>
    <t>Library &amp; Information Science</t>
  </si>
  <si>
    <t>Life Science &amp; Health Care</t>
  </si>
  <si>
    <t>Linguistics</t>
  </si>
  <si>
    <t>Management</t>
  </si>
  <si>
    <t>Management &amp; Entrepreneurship</t>
  </si>
  <si>
    <t>Marine Science / Oceanography</t>
  </si>
  <si>
    <t>Media &amp; Entertainment</t>
  </si>
  <si>
    <t>Medical Science</t>
  </si>
  <si>
    <t>Anatomy</t>
  </si>
  <si>
    <t>Ayurveda</t>
  </si>
  <si>
    <t>Bio-Chemistry</t>
  </si>
  <si>
    <t>Dentistry</t>
  </si>
  <si>
    <t>ENT</t>
  </si>
  <si>
    <t>Forensic Medicine/ Toxicology</t>
  </si>
  <si>
    <t>General Medicine</t>
  </si>
  <si>
    <t>General Surgery</t>
  </si>
  <si>
    <t>Gynaecology</t>
  </si>
  <si>
    <t>Homeopathy</t>
  </si>
  <si>
    <t>Hospital Administration</t>
  </si>
  <si>
    <t>Indian Medicine</t>
  </si>
  <si>
    <t>Medical Management</t>
  </si>
  <si>
    <t>Occupational Therapy</t>
  </si>
  <si>
    <t>Ophthalmology</t>
  </si>
  <si>
    <t>Other Medical Science</t>
  </si>
  <si>
    <t>Pathology</t>
  </si>
  <si>
    <t>Pediatrics</t>
  </si>
  <si>
    <t>Pharmacy</t>
  </si>
  <si>
    <t>Physiotherapy</t>
  </si>
  <si>
    <t>Prosthetics and Orthotics</t>
  </si>
  <si>
    <t>Public Health</t>
  </si>
  <si>
    <t>Unani</t>
  </si>
  <si>
    <t>Medical Science Total</t>
  </si>
  <si>
    <t>Oriental Learning</t>
  </si>
  <si>
    <t>Paramedical Science</t>
  </si>
  <si>
    <t>Physical Education</t>
  </si>
  <si>
    <t>Religious Studies</t>
  </si>
  <si>
    <t>Retails</t>
  </si>
  <si>
    <t>Rural Studies</t>
  </si>
  <si>
    <t>Science</t>
  </si>
  <si>
    <t>Security Management</t>
  </si>
  <si>
    <t>Social Science</t>
  </si>
  <si>
    <t>Social Work</t>
  </si>
  <si>
    <t>Veterinary &amp; Animal Sciences</t>
  </si>
  <si>
    <t>Women Studies</t>
  </si>
  <si>
    <t>Forestry</t>
  </si>
  <si>
    <t>Horticulture</t>
  </si>
  <si>
    <t>Sericulture</t>
  </si>
  <si>
    <t>Agriculture Total</t>
  </si>
  <si>
    <t>Apparel Total</t>
  </si>
  <si>
    <t>Sociology</t>
  </si>
  <si>
    <t>Area Studies Total</t>
  </si>
  <si>
    <t>Other Indian Languages</t>
  </si>
  <si>
    <t>Urdu</t>
  </si>
  <si>
    <t>Yoga</t>
  </si>
  <si>
    <t>Arts Total</t>
  </si>
  <si>
    <t>Banking, Financial Services &amp; Insurance Total</t>
  </si>
  <si>
    <t>Foreign Trade</t>
  </si>
  <si>
    <t>Statistics</t>
  </si>
  <si>
    <t>Commerce Total</t>
  </si>
  <si>
    <t>Criminology and Crime Science</t>
  </si>
  <si>
    <t>Criminology Total</t>
  </si>
  <si>
    <t>Criminology &amp; Forensic Science Total</t>
  </si>
  <si>
    <t>Cultural Studies Total</t>
  </si>
  <si>
    <t>Cyber Security</t>
  </si>
  <si>
    <t>Cyber Security and Forensics</t>
  </si>
  <si>
    <t>Cyber Security Total</t>
  </si>
  <si>
    <t>Defence Studies Total</t>
  </si>
  <si>
    <t>Interior Design</t>
  </si>
  <si>
    <t>Design Total</t>
  </si>
  <si>
    <t>Disability Studies</t>
  </si>
  <si>
    <t>Disability Studies Total</t>
  </si>
  <si>
    <t>Education Total</t>
  </si>
  <si>
    <t>CAD/CAM</t>
  </si>
  <si>
    <t>Thermal Engineering</t>
  </si>
  <si>
    <t>Urban Planning</t>
  </si>
  <si>
    <t>Data Science and Engineering</t>
  </si>
  <si>
    <t>Engineering Science Total</t>
  </si>
  <si>
    <t>Fashion Technology Total</t>
  </si>
  <si>
    <t>Music</t>
  </si>
  <si>
    <t>Performing Arts</t>
  </si>
  <si>
    <t>Visual Arts</t>
  </si>
  <si>
    <t>Fine Arts Total</t>
  </si>
  <si>
    <t>Fisheries Science Total</t>
  </si>
  <si>
    <t>Footwear Design &amp; Production</t>
  </si>
  <si>
    <t>Retail &amp; Fashion Merchandize</t>
  </si>
  <si>
    <t>Footwear  Design Total</t>
  </si>
  <si>
    <t>English</t>
  </si>
  <si>
    <t>French</t>
  </si>
  <si>
    <t>German</t>
  </si>
  <si>
    <t>Other Foreign Languages</t>
  </si>
  <si>
    <t>Spanish</t>
  </si>
  <si>
    <t>Foreign Language Total</t>
  </si>
  <si>
    <t>Forensic Science</t>
  </si>
  <si>
    <t>Forensic Psychology</t>
  </si>
  <si>
    <t>Forensic Science Total</t>
  </si>
  <si>
    <t>Furniture and Fittings</t>
  </si>
  <si>
    <t>Furniture and Fittings Total</t>
  </si>
  <si>
    <t>Gandhian Studies Total</t>
  </si>
  <si>
    <t>Food Science &amp; Nutrition</t>
  </si>
  <si>
    <t>Nutrition</t>
  </si>
  <si>
    <t>Home Science Total</t>
  </si>
  <si>
    <t>Hospitality &amp; Tourism Management</t>
  </si>
  <si>
    <t>Hospitality Administration</t>
  </si>
  <si>
    <t>Hospitality and Tourism Total</t>
  </si>
  <si>
    <t>Bengali</t>
  </si>
  <si>
    <t>Hindi</t>
  </si>
  <si>
    <t>Kannada</t>
  </si>
  <si>
    <t>Malayalam</t>
  </si>
  <si>
    <t>Odiya</t>
  </si>
  <si>
    <t>Punjabi</t>
  </si>
  <si>
    <t>Sanskrit</t>
  </si>
  <si>
    <t>Tamil</t>
  </si>
  <si>
    <t>Telugu</t>
  </si>
  <si>
    <t>Indian Language Total</t>
  </si>
  <si>
    <t>Software Application Development</t>
  </si>
  <si>
    <t>Information Technology Total</t>
  </si>
  <si>
    <t>Animation</t>
  </si>
  <si>
    <t>Computer Application</t>
  </si>
  <si>
    <t>Computer Science</t>
  </si>
  <si>
    <t>Multi Media</t>
  </si>
  <si>
    <t>IT &amp; Computer Total</t>
  </si>
  <si>
    <t>Journalism &amp; Mass Communication Total</t>
  </si>
  <si>
    <t>Civil Law</t>
  </si>
  <si>
    <t>Constitutional Law</t>
  </si>
  <si>
    <t>Cyber Crime</t>
  </si>
  <si>
    <t>International Law</t>
  </si>
  <si>
    <t>Law Total</t>
  </si>
  <si>
    <t>Library &amp; Information Science Total</t>
  </si>
  <si>
    <t>Humanities &amp; Social Sciences</t>
  </si>
  <si>
    <t>Linguistics Total</t>
  </si>
  <si>
    <t>Agri-Business Management</t>
  </si>
  <si>
    <t>Business Administration</t>
  </si>
  <si>
    <t>Business Management</t>
  </si>
  <si>
    <t>Business Studies</t>
  </si>
  <si>
    <t>Consultancy Management</t>
  </si>
  <si>
    <t>Financial Management</t>
  </si>
  <si>
    <t>FinTech</t>
  </si>
  <si>
    <t>Hotel Management</t>
  </si>
  <si>
    <t>Human Resource Management</t>
  </si>
  <si>
    <t>International Business</t>
  </si>
  <si>
    <t>Management Studies &amp; Research</t>
  </si>
  <si>
    <t>Marketing Management</t>
  </si>
  <si>
    <t>Other Management</t>
  </si>
  <si>
    <t>Pharmaceutical Technology</t>
  </si>
  <si>
    <t>Project Management</t>
  </si>
  <si>
    <t>Technology</t>
  </si>
  <si>
    <t>Tourism Management</t>
  </si>
  <si>
    <t>Management Total</t>
  </si>
  <si>
    <t>Marine Science / Oceanography Total</t>
  </si>
  <si>
    <t>Mass Communication</t>
  </si>
  <si>
    <t>Media &amp; Entertainment Total</t>
  </si>
  <si>
    <t>Anesthesiology</t>
  </si>
  <si>
    <t>Bio-Physics</t>
  </si>
  <si>
    <t>Bio-Statistics</t>
  </si>
  <si>
    <t>Bio-Technology</t>
  </si>
  <si>
    <t>Cardiology</t>
  </si>
  <si>
    <t>Dermatology</t>
  </si>
  <si>
    <t>Endocrinology</t>
  </si>
  <si>
    <t>Gastroenterology</t>
  </si>
  <si>
    <t>Haematology</t>
  </si>
  <si>
    <t>Hepatology</t>
  </si>
  <si>
    <t>Lab Medicine</t>
  </si>
  <si>
    <t>Medical Physics</t>
  </si>
  <si>
    <t>Microbiology</t>
  </si>
  <si>
    <t>Nephrology</t>
  </si>
  <si>
    <t>Neurology</t>
  </si>
  <si>
    <t>Nuclear Medicine</t>
  </si>
  <si>
    <t>Oncology</t>
  </si>
  <si>
    <t>Orthopaedics</t>
  </si>
  <si>
    <t>Physiology</t>
  </si>
  <si>
    <t>Plastic Surgery</t>
  </si>
  <si>
    <t>Psychiatry</t>
  </si>
  <si>
    <t>Radiology</t>
  </si>
  <si>
    <t>Radiothrapy</t>
  </si>
  <si>
    <t>Urology</t>
  </si>
  <si>
    <t>Jyotisha</t>
  </si>
  <si>
    <t>Oreintal Learning</t>
  </si>
  <si>
    <t>Veda</t>
  </si>
  <si>
    <t>Oriental Learning Total</t>
  </si>
  <si>
    <t>Medical Lab Technology</t>
  </si>
  <si>
    <t>Paramedical Science Total</t>
  </si>
  <si>
    <t>Physical Education Total</t>
  </si>
  <si>
    <t>Psychology</t>
  </si>
  <si>
    <t>Psychology Total</t>
  </si>
  <si>
    <t>Buddhist Studies</t>
  </si>
  <si>
    <t>Christian Studies</t>
  </si>
  <si>
    <t>Islamic Studies</t>
  </si>
  <si>
    <t>Jainism</t>
  </si>
  <si>
    <t>Theology</t>
  </si>
  <si>
    <t>Religious Studies Total</t>
  </si>
  <si>
    <t>Retail Management</t>
  </si>
  <si>
    <t>Retails Total</t>
  </si>
  <si>
    <t>Applied Sciences &amp; Humanities</t>
  </si>
  <si>
    <t>Bio-Science</t>
  </si>
  <si>
    <t>Botany</t>
  </si>
  <si>
    <t>Chemistry</t>
  </si>
  <si>
    <t>Economic Science</t>
  </si>
  <si>
    <t>Electronics</t>
  </si>
  <si>
    <t>Environmental Science</t>
  </si>
  <si>
    <t>Genetics</t>
  </si>
  <si>
    <t>Geology</t>
  </si>
  <si>
    <t>Geo-Physics</t>
  </si>
  <si>
    <t>Life Science</t>
  </si>
  <si>
    <t>Mathematics</t>
  </si>
  <si>
    <t>Other Science</t>
  </si>
  <si>
    <t>Physics</t>
  </si>
  <si>
    <t>Zoology</t>
  </si>
  <si>
    <t>Science Total</t>
  </si>
  <si>
    <t>Anthropology</t>
  </si>
  <si>
    <t>Archaeology</t>
  </si>
  <si>
    <t>Economics</t>
  </si>
  <si>
    <t>Geography</t>
  </si>
  <si>
    <t>History</t>
  </si>
  <si>
    <t>Other Social Science</t>
  </si>
  <si>
    <t>Philosophy</t>
  </si>
  <si>
    <t>Political Science</t>
  </si>
  <si>
    <t>Population Studies</t>
  </si>
  <si>
    <t>Public Administration</t>
  </si>
  <si>
    <t>Social Science Total</t>
  </si>
  <si>
    <t>Social Work Total</t>
  </si>
  <si>
    <t>Dairy Science</t>
  </si>
  <si>
    <t>Veterinary &amp; Animal Sciences Total</t>
  </si>
  <si>
    <t>Women Studies Total</t>
  </si>
  <si>
    <t xml:space="preserve">Table </t>
  </si>
  <si>
    <t>All Categories</t>
  </si>
  <si>
    <t>Scheduled Caste</t>
  </si>
  <si>
    <t>Scheduled Tribe</t>
  </si>
  <si>
    <t>Other Backward Classes</t>
  </si>
  <si>
    <t>Table 16.</t>
  </si>
  <si>
    <t>Country Name</t>
  </si>
  <si>
    <t>AFGHANISTAN</t>
  </si>
  <si>
    <t>ÅLAND ISLANDS</t>
  </si>
  <si>
    <t>ALGERIA</t>
  </si>
  <si>
    <t>All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</si>
  <si>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</si>
  <si>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</si>
  <si>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</si>
  <si>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</si>
  <si>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</si>
  <si>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</si>
  <si>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</si>
  <si>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</si>
  <si>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</si>
  <si>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</si>
  <si>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</si>
  <si>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</si>
  <si>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</si>
  <si>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</si>
  <si>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</si>
  <si>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</si>
  <si>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BHUTAN</t>
  </si>
  <si>
    <t>BOTSWANA</t>
  </si>
  <si>
    <t>BRAZIL</t>
  </si>
  <si>
    <t>BRITISH INDIAN OCEAN TERRITORY</t>
  </si>
  <si>
    <t>BRUNEI DARUSSALAM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</si>
  <si>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</si>
  <si>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</si>
  <si>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</si>
  <si>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</si>
  <si>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</si>
  <si>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</si>
  <si>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</si>
  <si>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</si>
  <si>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</si>
  <si>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</si>
  <si>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SPECIAL ADMINISTRATIVE REGION</t>
  </si>
  <si>
    <t>COCOS (KEELING) ISLANDS</t>
  </si>
  <si>
    <t>COLOMBIA</t>
  </si>
  <si>
    <t>COMOROS</t>
  </si>
  <si>
    <t>CONGO</t>
  </si>
  <si>
    <t>COSTA RICA</t>
  </si>
  <si>
    <t>CÔTE D'IVOIRE</t>
  </si>
  <si>
    <t>CROATIA</t>
  </si>
  <si>
    <t>CYPRUS</t>
  </si>
  <si>
    <t>DEMOCRATIC PEOPLE'S REPUBLIC OF KOREA(NORTH KOREA)</t>
  </si>
  <si>
    <t>DEMOCRATIC REPUBLIC OF THE CONGO</t>
  </si>
  <si>
    <t>DENMARK</t>
  </si>
  <si>
    <t>DJIBOUTI</t>
  </si>
  <si>
    <t>DOMINICAN REPUBLIC</t>
  </si>
  <si>
    <t>EGYPT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</si>
  <si>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</si>
  <si>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</si>
  <si>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</si>
  <si>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</si>
  <si>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</si>
  <si>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</si>
  <si>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</si>
  <si>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</si>
  <si>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</si>
  <si>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</si>
  <si>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</si>
  <si>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</si>
  <si>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</si>
  <si>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</si>
  <si>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</si>
  <si>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</si>
  <si>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GUINEA</t>
  </si>
  <si>
    <t>GUINEA-BISSAU</t>
  </si>
  <si>
    <t>GUYANA</t>
  </si>
  <si>
    <t>HUNGARY</t>
  </si>
  <si>
    <t>ICELAND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</si>
  <si>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</si>
  <si>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</si>
  <si>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</si>
  <si>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</si>
  <si>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</si>
  <si>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</si>
  <si>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</si>
  <si>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</si>
  <si>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</si>
  <si>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</si>
  <si>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</si>
  <si>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</si>
  <si>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</si>
  <si>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</si>
  <si>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</si>
  <si>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</si>
  <si>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</si>
  <si>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</si>
  <si>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</si>
  <si>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</si>
  <si>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</si>
  <si>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</si>
  <si>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</si>
  <si>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</si>
  <si>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</si>
  <si>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</si>
  <si>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</si>
  <si>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</si>
  <si>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</si>
  <si>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</si>
  <si>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</si>
  <si>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</si>
  <si>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</si>
  <si>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</si>
  <si>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</si>
  <si>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</si>
  <si>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</si>
  <si>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</si>
  <si>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</si>
  <si>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</si>
  <si>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</si>
  <si>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</si>
  <si>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</si>
  <si>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</si>
  <si>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</si>
  <si>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PALESTINE</t>
  </si>
  <si>
    <t>PANAMA</t>
  </si>
  <si>
    <t>PAPUA NEW GUINEA</t>
  </si>
  <si>
    <t>PERU</t>
  </si>
  <si>
    <t>PHILIPPINES</t>
  </si>
  <si>
    <t>POLAND</t>
  </si>
  <si>
    <t>PORTUGAL</t>
  </si>
  <si>
    <t>QATAR</t>
  </si>
  <si>
    <t>REPUBLIC OF KOREA (SOUTH KOREA)</t>
  </si>
  <si>
    <t>ROMANIA</t>
  </si>
  <si>
    <t>RUSSIAN FEDERATION</t>
  </si>
  <si>
    <t>RWANDA</t>
  </si>
  <si>
    <t>SAINT KITTS AND NEVIS</t>
  </si>
  <si>
    <t>SAINT LUCIA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</si>
  <si>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</si>
  <si>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</si>
  <si>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</si>
  <si>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</si>
  <si>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</si>
  <si>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</si>
  <si>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</si>
  <si>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</si>
  <si>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</si>
  <si>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</si>
  <si>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</si>
  <si>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</si>
  <si>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</si>
  <si>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</si>
  <si>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</si>
  <si>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SUDAN (PRE-SECESSION)</t>
  </si>
  <si>
    <t>SURINAME</t>
  </si>
  <si>
    <t>SWEDEN</t>
  </si>
  <si>
    <t>SWITZERLAND</t>
  </si>
  <si>
    <t>SYRIAN ARAB REPUBLIC</t>
  </si>
  <si>
    <t>TAIWAN(Republic of China)</t>
  </si>
  <si>
    <t>TAJIKISTAN</t>
  </si>
  <si>
    <t>THAILAND</t>
  </si>
  <si>
    <t>TIBETAN REFUGEES</t>
  </si>
  <si>
    <t>TIMOR-LESTE</t>
  </si>
  <si>
    <t>TOGO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</si>
  <si>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</si>
  <si>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</si>
  <si>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</si>
  <si>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</si>
  <si>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</si>
  <si>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</si>
  <si>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</si>
  <si>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</si>
  <si>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</si>
  <si>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</si>
  <si>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</si>
  <si>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UZBEKISTAN</t>
  </si>
  <si>
    <t>VENEZUELA (BOLIVARIAN REPUBLIC OF)</t>
  </si>
  <si>
    <t>VIET NAM</t>
  </si>
  <si>
    <t>YEMEN</t>
  </si>
  <si>
    <t>ZAMBIA</t>
  </si>
  <si>
    <t>ZIMBABWE</t>
  </si>
  <si>
    <t>Table 17.</t>
  </si>
  <si>
    <t xml:space="preserve"> Male</t>
  </si>
  <si>
    <t xml:space="preserve"> Female</t>
  </si>
  <si>
    <t>SC</t>
  </si>
  <si>
    <t>ST</t>
  </si>
  <si>
    <t>Chhatisgarh</t>
  </si>
  <si>
    <t>Uttrakhand</t>
  </si>
  <si>
    <t>States/UTs</t>
  </si>
  <si>
    <t>SC Students</t>
  </si>
  <si>
    <t>ST Students</t>
  </si>
  <si>
    <t>Lakshdweep</t>
  </si>
  <si>
    <t>Table 21.</t>
  </si>
  <si>
    <t>OBC</t>
  </si>
  <si>
    <t>PWD</t>
  </si>
  <si>
    <t>Table 22.</t>
  </si>
  <si>
    <t>Professor &amp; Equivalent</t>
  </si>
  <si>
    <t>Reader &amp; Associate Professor</t>
  </si>
  <si>
    <t>Lecturer/ Assistant Professor</t>
  </si>
  <si>
    <t>Demonstrator/ Tutor</t>
  </si>
  <si>
    <t>Temporary Teacher etc</t>
  </si>
  <si>
    <t>Visiting Teacher</t>
  </si>
  <si>
    <t>Table 22a.</t>
  </si>
  <si>
    <t>Table 22b.</t>
  </si>
  <si>
    <t>Temporary Teacher etc.</t>
  </si>
  <si>
    <t>Table 23.</t>
  </si>
  <si>
    <t>Group-A</t>
  </si>
  <si>
    <t>Group-B</t>
  </si>
  <si>
    <t>Group-C</t>
  </si>
  <si>
    <t>Group-D</t>
  </si>
  <si>
    <t>Table 24.</t>
  </si>
  <si>
    <t>All Institutions</t>
  </si>
  <si>
    <t>University &amp; Colleges</t>
  </si>
  <si>
    <t>University &amp; its Constituent Units</t>
  </si>
  <si>
    <t>Regular &amp; Distance Mode</t>
  </si>
  <si>
    <t>Regular Mode</t>
  </si>
  <si>
    <t>Table 26.</t>
  </si>
  <si>
    <t>Level-wise Enrolment in various types of Universities
(a) Teaching departments and it's Constituent Units/Off-campus Centres</t>
  </si>
  <si>
    <t>Type of University</t>
  </si>
  <si>
    <t xml:space="preserve">Central University </t>
  </si>
  <si>
    <t xml:space="preserve">Central Open University </t>
  </si>
  <si>
    <t xml:space="preserve">Institute of National Importance </t>
  </si>
  <si>
    <t xml:space="preserve">State Public University </t>
  </si>
  <si>
    <t xml:space="preserve">State Open University </t>
  </si>
  <si>
    <t xml:space="preserve">State Private University </t>
  </si>
  <si>
    <t xml:space="preserve">State Private Open University </t>
  </si>
  <si>
    <t xml:space="preserve">Institute under State Legislature Act </t>
  </si>
  <si>
    <t xml:space="preserve">Deemed University-Government </t>
  </si>
  <si>
    <t xml:space="preserve">Deemed University-Government Aided </t>
  </si>
  <si>
    <t xml:space="preserve">Deemed University-Private </t>
  </si>
  <si>
    <t>Level-wise Enrolment in various types of Universities
(b) Affiliated and Constituent Colleges
(Based on Actual Response)</t>
  </si>
  <si>
    <t>27. Social Group-wise Enrolment in various types of Universities
(a) Teaching departments and it's Constituent Units/Off-campus Centres
(Based on Actual Response)</t>
  </si>
  <si>
    <t>28. PWD and Minority Enrolment in various types of Universities (based on actual response)
(a) Teaching departments and it's Constituent Units/Off-campus Centres
(Based on Actual Response)</t>
  </si>
  <si>
    <t>28. PWD and Minority Enrolment in various types of Universities (based on actual response)
(b) Affiliated and Constituent Colleges
(Based on Actual Response)</t>
  </si>
  <si>
    <t>Table 29.</t>
  </si>
  <si>
    <t>Post-wise Number of Teachers in various types of Universities 
(Based on Actual Response)
(a) Teaching Departments and it's Constituent Units/Off-campus Centres</t>
  </si>
  <si>
    <t>Post-wise Number of Teachers in various types of Universities 
(Based on Actual Response)
(b) Affiliated and Constituent Colleges</t>
  </si>
  <si>
    <t>Table 30.</t>
  </si>
  <si>
    <t>Social Group-wise Number of Teachers in various types of Universities
(Based on Actual Response)
(a) Teaching Departments and it's Constituent Units/Off-campus Centres</t>
  </si>
  <si>
    <t>Social Group-wise Number of Teachers in various types of Universities (Based on Actual Response)
(b) Affiliated and Constituent Colleges</t>
  </si>
  <si>
    <t>Boys Hostel</t>
  </si>
  <si>
    <t>Girls Hostel</t>
  </si>
  <si>
    <t>Others Hostel</t>
  </si>
  <si>
    <t>Total Hostel</t>
  </si>
  <si>
    <t>Intake</t>
  </si>
  <si>
    <t>Residing</t>
  </si>
  <si>
    <t>Table 32.</t>
  </si>
  <si>
    <t xml:space="preserve"> Number of Hostels, Intake and Student Residing in various types of Universities
(a) Teaching departments and it's Constituent Units/Off-campus Centres</t>
  </si>
  <si>
    <t>Deemed University-Government Aided</t>
  </si>
  <si>
    <t>Table 33.</t>
  </si>
  <si>
    <t>Table 34. Programme-wise Out-turn/Pass-Out (Based on Actual Response)</t>
  </si>
  <si>
    <t>Programme</t>
  </si>
  <si>
    <t>A.N.M.-Auxiliary Nurse &amp; Midwife</t>
  </si>
  <si>
    <t>Alankar-Alankar</t>
  </si>
  <si>
    <t>Art Education</t>
  </si>
  <si>
    <t>Ayurveda Vachaspati-Ph.D in Ayurveda</t>
  </si>
  <si>
    <t>B.B.A-L.L.B(Hons)</t>
  </si>
  <si>
    <t>B.C.E.-Bachelor of Civil Engineering</t>
  </si>
  <si>
    <t>B.Chem.Tech.-Bachelor of Chemical Technology</t>
  </si>
  <si>
    <t>B.Com. B.Ed.-Bachelor of Commerce, Bachelor of Education</t>
  </si>
  <si>
    <t>B.Dance-Bachelor of Dance</t>
  </si>
  <si>
    <t>B.Ed. -M.Ed-Bachelor of Education,Master of Education</t>
  </si>
  <si>
    <t>B.F.Sc.-Bachelor of Fisheries Science</t>
  </si>
  <si>
    <t>B.F.Tech.-Bachelor of Fashion Technology</t>
  </si>
  <si>
    <t>B.G.L.-Bachelor of General Law</t>
  </si>
  <si>
    <t>B.H.M-Bachelor of Hospital Management</t>
  </si>
  <si>
    <t>B.I.B.F.-Bachelor of International Business and Finance</t>
  </si>
  <si>
    <t>B.I.M.-Bachelor of Indian Medicine</t>
  </si>
  <si>
    <t>B.Lib.I.Sc.-Bachelor of Library &amp; Information Science</t>
  </si>
  <si>
    <t>B.Litt.-Bachelor of Literature</t>
  </si>
  <si>
    <t>B.O.L.-Bachelor of Oriental Learning</t>
  </si>
  <si>
    <t>B.P.S.-Bachelor of Professional Studies</t>
  </si>
  <si>
    <t>B.Pharm.(Ayu.) -Bachelor of Ayurved in Pharmacy</t>
  </si>
  <si>
    <t>B.Plan.-Bachelor of Planning</t>
  </si>
  <si>
    <t>B.R.S-Bachelor of Rural Studies</t>
  </si>
  <si>
    <t>B.S.Course-Bachelor of Science (Physician Assistant and Emergency &amp; Trauma Care Management)</t>
  </si>
  <si>
    <t>B.S.S.-Bachelor in Social Sciences</t>
  </si>
  <si>
    <t>B.SC. (IT)- M.Sc. (IT)</t>
  </si>
  <si>
    <t>B.Sc. L.L.B.-Bachelor of Science, Bachelor of Law or Laws</t>
  </si>
  <si>
    <t>B.Sc.(RFM)-Bachelor of Science in Retail and Fashion Merchandize</t>
  </si>
  <si>
    <t>B.Sc.(Sericulture)-Bachelor of Science in Sericulture</t>
  </si>
  <si>
    <t>Bachelor in Fashion and Apparel Designing</t>
  </si>
  <si>
    <t>BAJMC(Bachelor of Arts-Journalism and Mass Communication)  4 years Honours Course</t>
  </si>
  <si>
    <t>BTTM MTTM</t>
  </si>
  <si>
    <t>D.El.Ed.-Diploma in Elementary Education</t>
  </si>
  <si>
    <t>D.Litt.-Doctor of Literature</t>
  </si>
  <si>
    <t>D.M.L.T - Diploma in Medical Laboratory Technician</t>
  </si>
  <si>
    <t>D.Mus.-Doctor of Music</t>
  </si>
  <si>
    <t>D.Voc.-Diploma in Vocational Education</t>
  </si>
  <si>
    <t>D.X-ray - Diploma in X-Ray Technician</t>
  </si>
  <si>
    <t>EMBA - Executive MBA</t>
  </si>
  <si>
    <t>Entrepreneurship</t>
  </si>
  <si>
    <t>Fashion and Apparel Design</t>
  </si>
  <si>
    <t>Geo Informatics</t>
  </si>
  <si>
    <t>Integrated M.C.A.-Integrated Master of Computer Applications</t>
  </si>
  <si>
    <t>Integrated M.Com.-Integrated Master of Commerce</t>
  </si>
  <si>
    <t>L.L.D.-Doctor of Laws</t>
  </si>
  <si>
    <t>M.A. B.Ed.-Master of Arts, Bachelor of Education</t>
  </si>
  <si>
    <t>M.Com. B.Ed.-Master of Commerce, Bachelor of Education</t>
  </si>
  <si>
    <t>M.F.M. -Master of Financial Management</t>
  </si>
  <si>
    <t>M.F.M.-Master of Fashion Management</t>
  </si>
  <si>
    <t>M.F.Sc. -Master of Fishery Science</t>
  </si>
  <si>
    <t>M.F.Tech.-Master of Fashion Technology</t>
  </si>
  <si>
    <t>M.H.M.S.-Master of Homeopathic Medicine and Science</t>
  </si>
  <si>
    <t>M.I.B.-Master of International Business</t>
  </si>
  <si>
    <t>M.Litt.-Master of Literature or Master of Letters</t>
  </si>
  <si>
    <t>M.M.C.-Master in Mass Communication</t>
  </si>
  <si>
    <t>M.M.S.-Master of Management Studies</t>
  </si>
  <si>
    <t>M.Mkt.M. -Master of Marketing Management</t>
  </si>
  <si>
    <t>M.O.L. -Master of Oriental Learning</t>
  </si>
  <si>
    <t>M.P.E.-Master of Physical Education</t>
  </si>
  <si>
    <t>M.P.S. -Master of Population Studies</t>
  </si>
  <si>
    <t>M.Sc. B.Ed.-Master of Science, Bachelor of Education</t>
  </si>
  <si>
    <t>M.Sc. in Biosciences and Bioinformatics</t>
  </si>
  <si>
    <t>M.Sc. -Master of Science and M.Tech. -Master of Technology</t>
  </si>
  <si>
    <t>M.Sc. Tech.(Applied Geo-Physics)-Master of Science in Technology (Applied Geo-Physics)</t>
  </si>
  <si>
    <t>M.Sc.(Medical Pharmacology)-Master of Science in Medical Pharmacology</t>
  </si>
  <si>
    <t>M.Sc.M.Ed.-Master of Science and Master of Education</t>
  </si>
  <si>
    <t>M.Tech. -Master of Technology and Ph.D.-Doctor of Philosophy</t>
  </si>
  <si>
    <t>M.U.P.-Master of Urban Planning</t>
  </si>
  <si>
    <t>M.V.Sc. -Master of Veterinary Sciences</t>
  </si>
  <si>
    <t>MAJMC(Master of Arts-Journalism and Mass Communication) 2 years Course</t>
  </si>
  <si>
    <t>MBA in Travel and Tourism Management</t>
  </si>
  <si>
    <t>Medical Laboratory Technician</t>
  </si>
  <si>
    <t>MSc. -Master of Science and Ph.D.-Doctor of Philosophy</t>
  </si>
  <si>
    <t>P.G.D.M.-Post-Graduate Diploma in Management</t>
  </si>
  <si>
    <t>PGDBA</t>
  </si>
  <si>
    <t>Samaj Karya Parangat-Samaj Karya Parangat</t>
  </si>
  <si>
    <t>Samaj Vidya Visharad-Samaj Vidya Visharad</t>
  </si>
  <si>
    <t>Shiksha Acharya-Shiksha Acharya</t>
  </si>
  <si>
    <t>Shiksha Shastri-Shiksha Shastri</t>
  </si>
  <si>
    <t>Vachaspati-Vachaspati</t>
  </si>
  <si>
    <t>Vidhyalankar-Vidhyalankar</t>
  </si>
  <si>
    <t>Vidya Vachaspati-Vidya Vachaspati</t>
  </si>
  <si>
    <t>Visharad-Visharad</t>
  </si>
  <si>
    <t>Ward Technician</t>
  </si>
  <si>
    <t>Table 34a.</t>
  </si>
  <si>
    <t xml:space="preserve">Electronics and Communication Engineering </t>
  </si>
  <si>
    <t xml:space="preserve">Plastic and Polymer Technology </t>
  </si>
  <si>
    <t xml:space="preserve">Disability Studies_x000D_
</t>
  </si>
  <si>
    <t>Disability Studies_x000D_
 Total</t>
  </si>
  <si>
    <t xml:space="preserve">Oriental Learning </t>
  </si>
  <si>
    <t xml:space="preserve">Religious Studies </t>
  </si>
  <si>
    <t xml:space="preserve">Mathematics </t>
  </si>
  <si>
    <t>Table 39.</t>
  </si>
  <si>
    <t>2018-19</t>
  </si>
  <si>
    <t>2019-20</t>
  </si>
  <si>
    <t>2020-21</t>
  </si>
  <si>
    <t>2021-22</t>
  </si>
  <si>
    <t>2022-23</t>
  </si>
  <si>
    <t>India</t>
  </si>
  <si>
    <t>Veterinary</t>
  </si>
  <si>
    <t>Technical</t>
  </si>
  <si>
    <t>Sports/Yoga/Physical Education</t>
  </si>
  <si>
    <t>Others</t>
  </si>
  <si>
    <t>Medical</t>
  </si>
  <si>
    <t>Language</t>
  </si>
  <si>
    <t>Education/Teacher Education</t>
  </si>
  <si>
    <t>Gandhian / Religious Study</t>
  </si>
  <si>
    <t>Fisheries</t>
  </si>
  <si>
    <t>Culture</t>
  </si>
  <si>
    <t>General</t>
  </si>
  <si>
    <t>Table 2.</t>
  </si>
  <si>
    <t>Table 11.</t>
  </si>
  <si>
    <t>ALL</t>
  </si>
  <si>
    <t>SCHEDULED CASTE</t>
  </si>
  <si>
    <t>SCHEDULED TRIBE</t>
  </si>
  <si>
    <t>OTHER BACKWARD CLASS</t>
  </si>
  <si>
    <t>B.Com. M.Com-Bachelor of Commerce, Master of Commerce</t>
  </si>
  <si>
    <t>B.Des. (Communication Design)</t>
  </si>
  <si>
    <t>B.Sc -Medical Radiology Technician</t>
  </si>
  <si>
    <t>B.Sc- Operation Theatre Technician</t>
  </si>
  <si>
    <t>B.Sc.(FD&amp;P)-Bachelor of Science in Footwear Design and Production</t>
  </si>
  <si>
    <t>D.O.L.-Doctor of Oriental Learning</t>
  </si>
  <si>
    <t>Dialysis Technician</t>
  </si>
  <si>
    <t>Hindi Shiksha Visharad-Hindi Shiksha Visharad</t>
  </si>
  <si>
    <t>\</t>
  </si>
  <si>
    <t>Programme-wise Enrolment - Regular Mode
(Based on Actual Response)</t>
  </si>
  <si>
    <t>Programme-wise Enrolment - Distance Mode
(Based on actual Response)</t>
  </si>
  <si>
    <t>Programme-wise Enrolment - Private Mode
(Based on Actual Response)</t>
  </si>
  <si>
    <t>Programme-wise Enrolment - Online Mode
(Based on Actual Response)</t>
  </si>
  <si>
    <t>ALL Categories</t>
  </si>
  <si>
    <t xml:space="preserve">Madhya Pradesh </t>
  </si>
  <si>
    <t>Tamilnadu</t>
  </si>
  <si>
    <t>All Institute</t>
  </si>
  <si>
    <t>Central University Total</t>
  </si>
  <si>
    <t>State Public University Total</t>
  </si>
  <si>
    <t>State Private University Total</t>
  </si>
  <si>
    <t>Deemed University-Government Total</t>
  </si>
  <si>
    <t>Deemed University-Government Aided Total</t>
  </si>
  <si>
    <t>Deemed University-Private Total</t>
  </si>
  <si>
    <t>Institute of National Importance Total</t>
  </si>
  <si>
    <t>Institute under State Legislature Act Total</t>
  </si>
  <si>
    <t>Affiliated College</t>
  </si>
  <si>
    <t>Constituent / University College</t>
  </si>
  <si>
    <t>PG Center / Off-Campus Center</t>
  </si>
  <si>
    <t>Recognized Center</t>
  </si>
  <si>
    <t>Autonomous College</t>
  </si>
  <si>
    <t>Table 4(a).</t>
  </si>
  <si>
    <t>Education/ Teacher Education</t>
  </si>
  <si>
    <t>Hotel &amp; Tourism Management</t>
  </si>
  <si>
    <t>Medical-Allopathy</t>
  </si>
  <si>
    <t>Medical-Ayurveda</t>
  </si>
  <si>
    <t>Medical-Dental</t>
  </si>
  <si>
    <t>Medical-Homeopathy</t>
  </si>
  <si>
    <t>Medical-Others</t>
  </si>
  <si>
    <t>Para Medical</t>
  </si>
  <si>
    <t>Table 42:</t>
  </si>
  <si>
    <t>Average Enrolment per College</t>
  </si>
  <si>
    <t>College per Lakh Population</t>
  </si>
  <si>
    <t>Table 43:</t>
  </si>
  <si>
    <t>Sl. 
No.</t>
  </si>
  <si>
    <t>Both</t>
  </si>
  <si>
    <t>184942</t>
  </si>
  <si>
    <t>12696</t>
  </si>
  <si>
    <t>Table 44:</t>
  </si>
  <si>
    <t>Table 45:</t>
  </si>
  <si>
    <t>Scheduled  Caste</t>
  </si>
  <si>
    <t xml:space="preserve">Table 46: </t>
  </si>
  <si>
    <t xml:space="preserve">Table 47: </t>
  </si>
  <si>
    <t>-</t>
  </si>
  <si>
    <t>The Dadra and Nagar Haveli &amp; Daman and Diu</t>
  </si>
  <si>
    <t xml:space="preserve">Table 48: </t>
  </si>
  <si>
    <t>Table 49:</t>
  </si>
  <si>
    <t>* In the year 2011-12 to 2015-16 1st row is for Dadra and Nagar Haveli and 2nd row for Daman &amp; Diu</t>
  </si>
  <si>
    <t xml:space="preserve">Table 50: </t>
  </si>
  <si>
    <t>All University Types</t>
  </si>
  <si>
    <t xml:space="preserve">Table 51: </t>
  </si>
  <si>
    <t>All Teacher</t>
  </si>
  <si>
    <t>Table 1.</t>
  </si>
  <si>
    <t>State/ UTs</t>
  </si>
  <si>
    <t>More than
1000</t>
  </si>
  <si>
    <t>No. of Colleges</t>
  </si>
  <si>
    <t>No. of Colleges per lakh population</t>
  </si>
  <si>
    <t>College Average Enrolment</t>
  </si>
  <si>
    <t>Responsed</t>
  </si>
  <si>
    <t>Table 35.Major Disciplines/ Subjects wise Out-turn/Pass-Out at Under Graduate Level
              (Based on Actual Response)</t>
  </si>
  <si>
    <t>Table 36. Major Disciplines/ Subjects wise Out-turn/Pass-Out at Ph.D., M.Phil. &amp; Post Graduate Level
                 (Based on Actual Response)</t>
  </si>
  <si>
    <t>Table 38: Population (18-23 YEARS) -2022-23</t>
  </si>
  <si>
    <t>State/UTs &amp; Specialisation-wise Number of Universities
(Based on Actual Response)</t>
  </si>
  <si>
    <t>Table 3. State/UTs-wise Distribution of Districts in Different Ranges of Colleges</t>
  </si>
  <si>
    <t>State/UTs &amp; Specialisation-wise number of Colleges 
(Based on Actual Response)</t>
  </si>
  <si>
    <t>State/Uts</t>
  </si>
  <si>
    <t>6. State/UTs-wise Estimated Enrolment at various levels</t>
  </si>
  <si>
    <t>State/UTs-wise Enrolment through Regular Mode at various levels</t>
  </si>
  <si>
    <t>State/UTs-wise Enrolment through Distance Mode at various levels
(Based on Actual Response)</t>
  </si>
  <si>
    <t>State/UTs-wise Enrolment through Private Mode at various levels
(Based on Actual Response)</t>
  </si>
  <si>
    <t>State/UTs-wise Enrolment through Online Mode at various levels
(Based on Actual Response)</t>
  </si>
  <si>
    <t>State/UTs-wise Enrolment in Universities Teaching Departments and it's Constituent Units/Off-campus Centres
(Based on Actual Response)</t>
  </si>
  <si>
    <t>State/UTs-wise Number of Registered and Responsed Standalone and their Enrolment at various Institution Type
(Based on Actual Response)</t>
  </si>
  <si>
    <t>State/UTs-wise Standalone Enrolment at various Level
(Based on Actual Response)</t>
  </si>
  <si>
    <t>Table 10. State/UTs-wise Estimated Enrolment for different Institutions (University, College and Standalone)</t>
  </si>
  <si>
    <r>
      <t xml:space="preserve">Table 19.State/UTs-wise Gross Enrolment Ratio (GER) in Higher Education (18-23 Years) 
</t>
    </r>
    <r>
      <rPr>
        <b/>
        <sz val="8"/>
        <rFont val="Times New Roman"/>
        <family val="1"/>
      </rPr>
      <t>(Based on 2011 Population)</t>
    </r>
  </si>
  <si>
    <t>Table 20. State/UTs-wise Gender Parity Index (GPI) in Higher Education (18-23 Years)</t>
  </si>
  <si>
    <t>State/UTs-wsie Number of Teachers in Universities teaching departments and it's Constituent Units/Off-campus Centres (Based on Actual Response)</t>
  </si>
  <si>
    <t>State/UTs-Wise Number of Male &amp; Female Non-Teaching staff at different post
(Based on Actual Response)</t>
  </si>
  <si>
    <t>Table 25.State/UTs-wise Pupil Teacher Ratio (PTR) in Higher Education</t>
  </si>
  <si>
    <t>Table31. State/UTs-wise Number of Hostels, Intake and Student Residing
(Based on Actual Response)</t>
  </si>
  <si>
    <t>State/UTs-wise Out-turn/Pass-Out at various levels
(Based on Actual Response)</t>
  </si>
  <si>
    <t>33a. State/UTs-wise  Out-Turn for various Social Groups</t>
  </si>
  <si>
    <t>33b. State/UTs-wise  Out-Turn in PWD, Muslim, Minority Communities and EWS</t>
  </si>
  <si>
    <t>Private 
(Aided)</t>
  </si>
  <si>
    <t>Private (Un-Aided)</t>
  </si>
  <si>
    <t>State/UTs-wise Number of Registered and Responsed Colleges and their Enrolment at various levels (Based on Actual Response)</t>
  </si>
  <si>
    <t>Table 11.(b)</t>
  </si>
  <si>
    <t>State/UTs-Wise Number of Teachers in Universities &amp; It's Colleges at different post (Based on Actual Response)</t>
  </si>
  <si>
    <t xml:space="preserve"> Programme-wise Out-turn/Pass-Out at Various Social group  
(Based on Actual Response)</t>
  </si>
  <si>
    <t>Sl.No.</t>
  </si>
  <si>
    <t>State/ UTs &amp; Type - Wise Number of Universities in AISHE 2022-23</t>
  </si>
  <si>
    <t>State/UTs-wiseTotal Number of Institutions Registered and Responded in AISHE 2022-23</t>
  </si>
  <si>
    <t>Table 4. State/UTs wise Number of Colleges per Lakh Population (18-23 YEARS) and Average Enrolment in AISHE 2022-23</t>
  </si>
  <si>
    <t>Number of Universities</t>
  </si>
  <si>
    <t>Program-Wise Enrollment Analysis for Diverse Social Groups (Based on Actual Responses)</t>
  </si>
  <si>
    <t>14.State/UT-Wise Estimated Enrolment for Various Social Groups (SC, ST, and OBC)</t>
  </si>
  <si>
    <t>15. State/UTs-wise  Estimated Enrolment for PWD, Muslim, Other Minority Communities and EWS</t>
  </si>
  <si>
    <t>Table 13.Enrolment Analysis by Major Disciplines/Subjects at Ph.D., M.Phil., and Postgraduate Levels (Based on Actual Responses)</t>
  </si>
  <si>
    <t>Table 12.Undergraduate Enrolment Analysis by Major Disciplines/Subjects (Based on Actual Responses)</t>
  </si>
  <si>
    <t>Program-Wise Enrolment Analysis for Diverse Social Groups in Distance Mode (Based on Actual Responses)</t>
  </si>
  <si>
    <t>Program-Wise Enrolment Analysis for Diverse Social Groups (Based on Actual Responses)</t>
  </si>
  <si>
    <t>Country-Wise Enrolment of Foreign Students at Various Levels (Based on Actual Responses)</t>
  </si>
  <si>
    <t>State/UTs-Wise and Level-Wise Enrolment of Foreign Students (Based on Actual Responses)</t>
  </si>
  <si>
    <t>18.  Program-Wise Enrolment of Foreign Students (Based on Actual Responses)</t>
  </si>
  <si>
    <t>State/UTs-Wise Distribution of Male and Female Teachers by Position (Based on Actual Responses)</t>
  </si>
  <si>
    <t>Post-Wise Teacher Distribution Over the Last 5 Years</t>
  </si>
  <si>
    <t>Enrolment Trends by University Type at Various Levels Over the Last 5 Years</t>
  </si>
  <si>
    <t>Pupil-Teacher Ratio (PTR) Trends Over the Last 5 Years</t>
  </si>
  <si>
    <t>Gender Parity Index (GPI) Trends Over the Last 5 Years</t>
  </si>
  <si>
    <t>Gross Enrollment Ratio (GER) Trends Over the Last 5 Years</t>
  </si>
  <si>
    <t>Enrolment Trends in Minority Communities and PwBDs Over the Last 5 Years</t>
  </si>
  <si>
    <t xml:space="preserve">
Social Group-Wise Enrollment Trends Over the Last 5 Years</t>
  </si>
  <si>
    <t>Student Enrolment Trends at Various Levels in Regular Mode Over the Last 5 Years</t>
  </si>
  <si>
    <t>Estimated Student Enrolment Trends at Various Levels Over the Last 5 Years</t>
  </si>
  <si>
    <t>Trends in Various College Indicators Over the Last 5 Years</t>
  </si>
  <si>
    <t>Table 41: Number of Universities by Type Over the Last 5 Years</t>
  </si>
  <si>
    <t>Table 40: Number of Registered Universities Over the Last 5 Years</t>
  </si>
  <si>
    <t>State/UTs-Wise Enrolment by Type in University Teaching Departments and Constituent Units/Off-Campus Centers (Based on Actual Responses)</t>
  </si>
  <si>
    <t>Table 37. Number of Various Types of Institutions Affiliated with Universities</t>
  </si>
  <si>
    <t>Table 6(d)</t>
  </si>
  <si>
    <t>State/UT-Wise Teacher Distribution Across Various Social Groups (Based on Actual Responses)</t>
  </si>
  <si>
    <t>State/UTs-wise Number of Non-Teaching staff at various social groups
(Based on Actual response)</t>
  </si>
  <si>
    <t>24. (a) State/UTs-wise Number of Non-Teaching staff at various social groups
(Based on Actual response)</t>
  </si>
  <si>
    <t>27. Social Group-wise Enrolment in various types of Universities
(b) Affiliated and Constituent Colleges
(Based on Actual Response)</t>
  </si>
  <si>
    <t>T-27</t>
  </si>
  <si>
    <t>T-28</t>
  </si>
  <si>
    <t>T-33a</t>
  </si>
  <si>
    <t>T-33b</t>
  </si>
  <si>
    <t>All-India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</si>
</sst>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;\-0;;@"/>
    <numFmt numFmtId="165" formatCode="0.0"/>
    <numFmt numFmtId="166" formatCode="_ * #,##0_ ;_ * \-#,##0_ ;_ * &quot;-&quot;??_ ;_ @_ "/>
  </numFmts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1"/>
      <scheme val="major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MS Sans Serif"/>
    </font>
    <font>
      <sz val="10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b/>
      <sz val="12"/>
      <name val="Arial"/>
      <family val="2"/>
    </font>
    <font>
      <sz val="12"/>
      <color theme="1"/>
      <name val="Cambria"/>
      <family val="2"/>
    </font>
    <font>
      <sz val="12"/>
      <name val="Calibri"/>
      <family val="2"/>
      <scheme val="minor"/>
    </font>
    <font>
      <b/>
      <sz val="10"/>
      <name val="Times New Roman"/>
      <family val="1"/>
    </font>
    <font>
      <i/>
      <sz val="9"/>
      <color theme="1"/>
      <name val="Times New Roman"/>
      <family val="1"/>
    </font>
    <font>
      <sz val="11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name val="Times New Roman"/>
      <family val="1"/>
    </font>
    <font>
      <sz val="11"/>
      <color indexed="8"/>
      <name val="Times New Roman"/>
      <family val="1"/>
    </font>
    <font>
      <i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1.5"/>
      <color indexed="8"/>
      <name val="Times New Roman"/>
      <family val="1"/>
    </font>
    <font>
      <sz val="11.5"/>
      <name val="Times New Roman"/>
      <family val="1"/>
    </font>
    <font>
      <b/>
      <sz val="10"/>
      <color indexed="8"/>
      <name val="Times New Roman"/>
      <family val="1"/>
    </font>
    <font>
      <sz val="10"/>
      <name val="MS Sans Serif"/>
      <family val="2"/>
    </font>
    <font>
      <sz val="10"/>
      <color theme="5" tint="-0.249977111117893"/>
      <name val="Times New Roman"/>
      <family val="1"/>
    </font>
    <font>
      <b/>
      <sz val="12"/>
      <color indexed="8"/>
      <name val="Times New Roman"/>
      <family val="1"/>
    </font>
    <font>
      <b/>
      <sz val="11.5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.5"/>
      <name val="Times New Roman"/>
      <family val="1"/>
    </font>
    <font>
      <b/>
      <sz val="11.5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8"/>
      <name val="Times New Roman"/>
      <family val="1"/>
    </font>
    <font>
      <i/>
      <sz val="8"/>
      <name val="Times New Roman"/>
      <family val="1"/>
    </font>
    <font>
      <sz val="11.5"/>
      <color theme="1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0.5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b/>
      <i/>
      <sz val="10"/>
      <name val="Times New Roman"/>
      <family val="1"/>
    </font>
    <font>
      <b/>
      <sz val="14"/>
      <color indexed="8"/>
      <name val="Times New Roman"/>
      <family val="1"/>
    </font>
    <font>
      <b/>
      <i/>
      <sz val="8"/>
      <color indexed="8"/>
      <name val="Times New Roman"/>
      <family val="1"/>
    </font>
    <font>
      <b/>
      <i/>
      <sz val="8"/>
      <color theme="1"/>
      <name val="Times New Roman"/>
      <family val="1"/>
    </font>
    <font>
      <b/>
      <sz val="8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9" fillId="0" borderId="0"/>
    <xf numFmtId="0" fontId="1" fillId="0" borderId="0"/>
    <xf numFmtId="0" fontId="2" fillId="0" borderId="0"/>
    <xf numFmtId="0" fontId="11" fillId="0" borderId="0"/>
    <xf numFmtId="0" fontId="2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083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0" xfId="1" applyFont="1"/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64" fontId="4" fillId="0" borderId="0" xfId="1" applyNumberFormat="1" applyFont="1"/>
    <xf numFmtId="0" fontId="8" fillId="0" borderId="1" xfId="1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4" fillId="0" borderId="1" xfId="6" applyFont="1" applyBorder="1" applyAlignment="1">
      <alignment horizontal="center" vertical="center"/>
    </xf>
    <xf numFmtId="0" fontId="4" fillId="0" borderId="1" xfId="6" applyFont="1" applyBorder="1" applyAlignment="1">
      <alignment vertical="center" wrapText="1"/>
    </xf>
    <xf numFmtId="0" fontId="10" fillId="0" borderId="1" xfId="7" applyFont="1" applyBorder="1" applyAlignment="1">
      <alignment horizontal="center" vertical="center"/>
    </xf>
    <xf numFmtId="1" fontId="10" fillId="0" borderId="0" xfId="3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12" fillId="0" borderId="1" xfId="7" applyFont="1" applyBorder="1" applyAlignment="1">
      <alignment horizontal="center" vertical="center"/>
    </xf>
    <xf numFmtId="1" fontId="10" fillId="0" borderId="0" xfId="3" applyNumberFormat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/>
    <xf numFmtId="0" fontId="4" fillId="0" borderId="0" xfId="3" applyFont="1"/>
    <xf numFmtId="0" fontId="5" fillId="0" borderId="0" xfId="3" applyFont="1" applyAlignment="1">
      <alignment horizontal="right" vertical="top"/>
    </xf>
    <xf numFmtId="0" fontId="5" fillId="0" borderId="0" xfId="3" applyFont="1" applyAlignment="1">
      <alignment vertical="center" wrapText="1"/>
    </xf>
    <xf numFmtId="0" fontId="5" fillId="3" borderId="1" xfId="3" applyFont="1" applyFill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16" fillId="0" borderId="8" xfId="3" applyFont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5" xfId="3" applyFont="1" applyBorder="1" applyAlignment="1">
      <alignment vertical="center" wrapText="1"/>
    </xf>
    <xf numFmtId="0" fontId="5" fillId="0" borderId="5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0" fontId="5" fillId="0" borderId="0" xfId="3" applyFont="1" applyAlignment="1">
      <alignment vertical="center"/>
    </xf>
    <xf numFmtId="0" fontId="13" fillId="0" borderId="0" xfId="3" applyFont="1" applyAlignment="1">
      <alignment vertical="center" wrapText="1"/>
    </xf>
    <xf numFmtId="0" fontId="13" fillId="0" borderId="1" xfId="3" applyFont="1" applyBorder="1" applyAlignment="1">
      <alignment horizontal="center" vertical="center"/>
    </xf>
    <xf numFmtId="0" fontId="14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14" fillId="0" borderId="1" xfId="3" applyFont="1" applyBorder="1" applyAlignment="1">
      <alignment horizontal="center" vertical="center"/>
    </xf>
    <xf numFmtId="0" fontId="13" fillId="0" borderId="5" xfId="3" applyFont="1" applyBorder="1" applyAlignment="1">
      <alignment vertical="center" wrapText="1"/>
    </xf>
    <xf numFmtId="164" fontId="14" fillId="0" borderId="1" xfId="3" applyNumberFormat="1" applyFont="1" applyBorder="1" applyAlignment="1">
      <alignment horizontal="right" vertical="center"/>
    </xf>
    <xf numFmtId="0" fontId="13" fillId="0" borderId="5" xfId="3" applyFont="1" applyBorder="1" applyAlignment="1">
      <alignment vertical="center"/>
    </xf>
    <xf numFmtId="164" fontId="13" fillId="0" borderId="1" xfId="3" applyNumberFormat="1" applyFont="1" applyBorder="1" applyAlignment="1">
      <alignment horizontal="right" vertical="center"/>
    </xf>
    <xf numFmtId="0" fontId="13" fillId="0" borderId="0" xfId="3" applyFont="1" applyAlignment="1">
      <alignment vertical="center"/>
    </xf>
    <xf numFmtId="0" fontId="14" fillId="0" borderId="0" xfId="3" applyFont="1"/>
    <xf numFmtId="164" fontId="14" fillId="0" borderId="0" xfId="3" applyNumberFormat="1" applyFont="1"/>
    <xf numFmtId="0" fontId="19" fillId="0" borderId="1" xfId="3" applyFont="1" applyBorder="1"/>
    <xf numFmtId="0" fontId="20" fillId="0" borderId="1" xfId="3" applyFont="1" applyBorder="1" applyAlignment="1">
      <alignment horizontal="right" vertical="top"/>
    </xf>
    <xf numFmtId="0" fontId="20" fillId="0" borderId="1" xfId="3" applyFont="1" applyBorder="1" applyAlignment="1">
      <alignment vertical="center" wrapText="1"/>
    </xf>
    <xf numFmtId="0" fontId="20" fillId="3" borderId="1" xfId="3" applyFont="1" applyFill="1" applyBorder="1" applyAlignment="1">
      <alignment horizontal="center" vertical="center"/>
    </xf>
    <xf numFmtId="164" fontId="20" fillId="3" borderId="1" xfId="3" applyNumberFormat="1" applyFont="1" applyFill="1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/>
    </xf>
    <xf numFmtId="164" fontId="19" fillId="0" borderId="1" xfId="3" applyNumberFormat="1" applyFont="1" applyBorder="1" applyAlignment="1">
      <alignment horizontal="center" vertical="center"/>
    </xf>
    <xf numFmtId="0" fontId="20" fillId="0" borderId="1" xfId="3" applyFont="1" applyBorder="1" applyAlignment="1">
      <alignment vertical="center"/>
    </xf>
    <xf numFmtId="164" fontId="19" fillId="0" borderId="0" xfId="3" applyNumberFormat="1" applyFont="1"/>
    <xf numFmtId="164" fontId="20" fillId="0" borderId="0" xfId="3" applyNumberFormat="1" applyFont="1" applyAlignment="1">
      <alignment horizontal="right" vertical="top"/>
    </xf>
    <xf numFmtId="164" fontId="20" fillId="0" borderId="0" xfId="3" applyNumberFormat="1" applyFont="1" applyAlignment="1">
      <alignment vertical="center" wrapText="1"/>
    </xf>
    <xf numFmtId="164" fontId="19" fillId="0" borderId="0" xfId="3" applyNumberFormat="1" applyFont="1" applyAlignment="1">
      <alignment vertical="center"/>
    </xf>
    <xf numFmtId="164" fontId="21" fillId="0" borderId="8" xfId="3" applyNumberFormat="1" applyFont="1" applyBorder="1" applyAlignment="1">
      <alignment horizontal="center" vertical="center" wrapText="1"/>
    </xf>
    <xf numFmtId="164" fontId="21" fillId="0" borderId="0" xfId="3" applyNumberFormat="1" applyFont="1" applyAlignment="1">
      <alignment vertical="center"/>
    </xf>
    <xf numFmtId="164" fontId="20" fillId="0" borderId="1" xfId="3" applyNumberFormat="1" applyFont="1" applyBorder="1" applyAlignment="1">
      <alignment vertical="center" wrapText="1"/>
    </xf>
    <xf numFmtId="164" fontId="20" fillId="0" borderId="1" xfId="3" applyNumberFormat="1" applyFont="1" applyBorder="1" applyAlignment="1">
      <alignment vertical="center"/>
    </xf>
    <xf numFmtId="0" fontId="4" fillId="0" borderId="0" xfId="3" applyFont="1" applyAlignment="1">
      <alignment vertical="top"/>
    </xf>
    <xf numFmtId="0" fontId="5" fillId="3" borderId="1" xfId="6" applyFont="1" applyFill="1" applyBorder="1" applyAlignment="1">
      <alignment horizontal="center" vertical="center" wrapText="1"/>
    </xf>
    <xf numFmtId="0" fontId="5" fillId="0" borderId="0" xfId="6" applyFont="1" applyAlignment="1">
      <alignment vertical="center" wrapText="1"/>
    </xf>
    <xf numFmtId="0" fontId="5" fillId="3" borderId="1" xfId="6" applyFont="1" applyFill="1" applyBorder="1" applyAlignment="1">
      <alignment vertical="center" wrapText="1"/>
    </xf>
    <xf numFmtId="0" fontId="5" fillId="3" borderId="1" xfId="6" applyFont="1" applyFill="1" applyBorder="1" applyAlignment="1">
      <alignment horizontal="center" vertical="center"/>
    </xf>
    <xf numFmtId="0" fontId="4" fillId="0" borderId="0" xfId="6" applyFont="1" applyAlignment="1">
      <alignment vertical="center"/>
    </xf>
    <xf numFmtId="0" fontId="5" fillId="0" borderId="1" xfId="6" applyFont="1" applyBorder="1" applyAlignment="1">
      <alignment vertical="center" wrapText="1"/>
    </xf>
    <xf numFmtId="0" fontId="5" fillId="0" borderId="1" xfId="6" applyFont="1" applyBorder="1" applyAlignment="1">
      <alignment vertical="center"/>
    </xf>
    <xf numFmtId="0" fontId="5" fillId="0" borderId="1" xfId="3" applyFont="1" applyBorder="1" applyAlignment="1">
      <alignment vertical="center"/>
    </xf>
    <xf numFmtId="0" fontId="5" fillId="0" borderId="0" xfId="6" applyFont="1" applyAlignment="1">
      <alignment vertical="center"/>
    </xf>
    <xf numFmtId="0" fontId="6" fillId="0" borderId="0" xfId="6" applyFont="1"/>
    <xf numFmtId="0" fontId="4" fillId="0" borderId="0" xfId="6" applyFont="1" applyAlignment="1">
      <alignment wrapText="1"/>
    </xf>
    <xf numFmtId="0" fontId="4" fillId="0" borderId="0" xfId="6" applyFont="1"/>
    <xf numFmtId="0" fontId="4" fillId="0" borderId="0" xfId="8" applyFont="1" applyAlignment="1">
      <alignment vertical="top"/>
    </xf>
    <xf numFmtId="0" fontId="5" fillId="0" borderId="1" xfId="3" applyFont="1" applyBorder="1" applyAlignment="1">
      <alignment vertical="center" wrapText="1"/>
    </xf>
    <xf numFmtId="0" fontId="24" fillId="0" borderId="0" xfId="3" applyFont="1" applyAlignment="1">
      <alignment vertical="top"/>
    </xf>
    <xf numFmtId="0" fontId="13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13" fillId="0" borderId="0" xfId="3" applyFont="1"/>
    <xf numFmtId="0" fontId="25" fillId="3" borderId="1" xfId="3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vertical="center" wrapText="1"/>
    </xf>
    <xf numFmtId="0" fontId="10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5" fillId="0" borderId="0" xfId="8" applyFont="1" applyAlignment="1">
      <alignment vertical="top"/>
    </xf>
    <xf numFmtId="0" fontId="4" fillId="0" borderId="0" xfId="8" applyFont="1"/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6" fillId="0" borderId="8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26" fillId="0" borderId="1" xfId="10" applyFont="1" applyBorder="1" applyAlignment="1">
      <alignment horizontal="center" vertical="center" wrapText="1"/>
    </xf>
    <xf numFmtId="0" fontId="27" fillId="0" borderId="1" xfId="10" applyFont="1" applyBorder="1" applyAlignment="1">
      <alignment horizontal="center" vertical="center"/>
    </xf>
    <xf numFmtId="0" fontId="27" fillId="0" borderId="0" xfId="10" applyFont="1" applyAlignment="1">
      <alignment vertical="center"/>
    </xf>
    <xf numFmtId="0" fontId="12" fillId="0" borderId="1" xfId="10" applyFont="1" applyBorder="1" applyAlignment="1">
      <alignment horizontal="center" vertical="center"/>
    </xf>
    <xf numFmtId="0" fontId="27" fillId="0" borderId="0" xfId="10" applyFont="1" applyAlignment="1">
      <alignment vertical="center" wrapText="1"/>
    </xf>
    <xf numFmtId="0" fontId="12" fillId="0" borderId="1" xfId="10" applyFont="1" applyBorder="1" applyAlignment="1">
      <alignment horizontal="left" vertical="center"/>
    </xf>
    <xf numFmtId="0" fontId="27" fillId="0" borderId="1" xfId="10" applyFont="1" applyBorder="1" applyAlignment="1">
      <alignment vertical="center"/>
    </xf>
    <xf numFmtId="0" fontId="28" fillId="0" borderId="1" xfId="10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0" fontId="12" fillId="0" borderId="1" xfId="10" applyFont="1" applyBorder="1" applyAlignment="1">
      <alignment vertical="center"/>
    </xf>
    <xf numFmtId="0" fontId="12" fillId="0" borderId="0" xfId="10" applyFont="1" applyAlignment="1">
      <alignment vertical="center"/>
    </xf>
    <xf numFmtId="0" fontId="12" fillId="0" borderId="0" xfId="10" applyFont="1" applyAlignment="1">
      <alignment horizontal="center" vertical="center"/>
    </xf>
    <xf numFmtId="0" fontId="12" fillId="3" borderId="1" xfId="10" applyFont="1" applyFill="1" applyBorder="1" applyAlignment="1">
      <alignment horizontal="center" vertical="center"/>
    </xf>
    <xf numFmtId="0" fontId="12" fillId="3" borderId="1" xfId="10" applyFont="1" applyFill="1" applyBorder="1" applyAlignment="1">
      <alignment horizontal="center" vertical="center" wrapText="1"/>
    </xf>
    <xf numFmtId="0" fontId="29" fillId="0" borderId="1" xfId="10" applyFont="1" applyBorder="1" applyAlignment="1">
      <alignment horizontal="center" vertical="center" wrapText="1"/>
    </xf>
    <xf numFmtId="0" fontId="30" fillId="0" borderId="1" xfId="9" applyFont="1" applyBorder="1" applyAlignment="1">
      <alignment horizontal="center" vertical="center"/>
    </xf>
    <xf numFmtId="0" fontId="31" fillId="0" borderId="0" xfId="10" applyFont="1" applyAlignment="1">
      <alignment vertical="center" wrapText="1"/>
    </xf>
    <xf numFmtId="0" fontId="12" fillId="0" borderId="1" xfId="9" applyFont="1" applyBorder="1" applyAlignment="1">
      <alignment vertical="center"/>
    </xf>
    <xf numFmtId="0" fontId="14" fillId="0" borderId="1" xfId="9" applyFont="1" applyBorder="1" applyAlignment="1">
      <alignment horizontal="left" vertical="center" wrapText="1"/>
    </xf>
    <xf numFmtId="0" fontId="27" fillId="0" borderId="1" xfId="9" applyFont="1" applyBorder="1" applyAlignment="1">
      <alignment vertical="center" wrapText="1"/>
    </xf>
    <xf numFmtId="0" fontId="12" fillId="0" borderId="1" xfId="9" applyFont="1" applyBorder="1" applyAlignment="1">
      <alignment vertical="top"/>
    </xf>
    <xf numFmtId="0" fontId="27" fillId="0" borderId="1" xfId="9" applyFont="1" applyBorder="1" applyAlignment="1">
      <alignment vertical="center"/>
    </xf>
    <xf numFmtId="0" fontId="12" fillId="0" borderId="1" xfId="9" applyFont="1" applyBorder="1" applyAlignment="1">
      <alignment vertical="center" wrapText="1"/>
    </xf>
    <xf numFmtId="0" fontId="13" fillId="0" borderId="1" xfId="9" applyFont="1" applyBorder="1" applyAlignment="1">
      <alignment horizontal="left" vertical="center" wrapText="1"/>
    </xf>
    <xf numFmtId="0" fontId="14" fillId="0" borderId="1" xfId="9" applyFont="1" applyBorder="1" applyAlignment="1">
      <alignment vertical="center"/>
    </xf>
    <xf numFmtId="0" fontId="27" fillId="0" borderId="1" xfId="10" applyFont="1" applyBorder="1" applyAlignment="1">
      <alignment vertical="center" wrapText="1"/>
    </xf>
    <xf numFmtId="164" fontId="27" fillId="0" borderId="1" xfId="10" applyNumberFormat="1" applyFont="1" applyBorder="1" applyAlignment="1">
      <alignment horizontal="center" vertical="center"/>
    </xf>
    <xf numFmtId="0" fontId="12" fillId="0" borderId="1" xfId="10" applyFont="1" applyBorder="1" applyAlignment="1">
      <alignment vertical="center" wrapText="1"/>
    </xf>
    <xf numFmtId="0" fontId="12" fillId="0" borderId="0" xfId="10" applyFont="1" applyAlignment="1">
      <alignment horizontal="left" vertical="center"/>
    </xf>
    <xf numFmtId="0" fontId="27" fillId="0" borderId="0" xfId="10" applyFont="1" applyAlignment="1">
      <alignment horizontal="center" vertical="center"/>
    </xf>
    <xf numFmtId="0" fontId="13" fillId="3" borderId="1" xfId="11" applyFont="1" applyFill="1" applyBorder="1" applyAlignment="1">
      <alignment horizontal="center" vertical="center"/>
    </xf>
    <xf numFmtId="0" fontId="16" fillId="0" borderId="8" xfId="11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13" fillId="0" borderId="1" xfId="11" applyFont="1" applyBorder="1" applyAlignment="1">
      <alignment vertical="center" wrapText="1"/>
    </xf>
    <xf numFmtId="0" fontId="13" fillId="0" borderId="1" xfId="11" applyFont="1" applyBorder="1" applyAlignment="1">
      <alignment vertical="center"/>
    </xf>
    <xf numFmtId="0" fontId="4" fillId="0" borderId="0" xfId="10" applyFont="1" applyAlignment="1">
      <alignment vertical="top"/>
    </xf>
    <xf numFmtId="0" fontId="14" fillId="0" borderId="0" xfId="10" applyFont="1"/>
    <xf numFmtId="0" fontId="13" fillId="3" borderId="1" xfId="10" applyFont="1" applyFill="1" applyBorder="1" applyAlignment="1">
      <alignment horizontal="center" vertical="center"/>
    </xf>
    <xf numFmtId="0" fontId="16" fillId="0" borderId="1" xfId="10" applyFont="1" applyBorder="1" applyAlignment="1">
      <alignment horizontal="center" vertical="center" wrapText="1"/>
    </xf>
    <xf numFmtId="0" fontId="16" fillId="0" borderId="0" xfId="10" applyFont="1"/>
    <xf numFmtId="0" fontId="13" fillId="0" borderId="1" xfId="10" applyFont="1" applyBorder="1" applyAlignment="1">
      <alignment horizontal="center" vertical="center"/>
    </xf>
    <xf numFmtId="0" fontId="12" fillId="0" borderId="1" xfId="7" applyFont="1" applyBorder="1" applyAlignment="1">
      <alignment horizontal="left" vertical="center"/>
    </xf>
    <xf numFmtId="0" fontId="13" fillId="0" borderId="0" xfId="10" applyFont="1"/>
    <xf numFmtId="0" fontId="14" fillId="0" borderId="0" xfId="10" applyFont="1" applyAlignment="1">
      <alignment wrapText="1"/>
    </xf>
    <xf numFmtId="0" fontId="13" fillId="0" borderId="0" xfId="10" applyFont="1" applyAlignment="1">
      <alignment horizontal="center" vertical="center"/>
    </xf>
    <xf numFmtId="0" fontId="14" fillId="0" borderId="0" xfId="10" applyFont="1" applyAlignment="1">
      <alignment vertical="center"/>
    </xf>
    <xf numFmtId="0" fontId="32" fillId="0" borderId="1" xfId="10" applyFont="1" applyBorder="1" applyAlignment="1">
      <alignment horizontal="center" vertical="center" wrapText="1"/>
    </xf>
    <xf numFmtId="0" fontId="32" fillId="0" borderId="0" xfId="10" applyFont="1" applyAlignment="1">
      <alignment vertical="center"/>
    </xf>
    <xf numFmtId="0" fontId="13" fillId="0" borderId="1" xfId="10" applyFont="1" applyBorder="1" applyAlignment="1">
      <alignment horizontal="left" vertical="center" wrapText="1"/>
    </xf>
    <xf numFmtId="0" fontId="14" fillId="0" borderId="0" xfId="10" applyFont="1" applyAlignment="1">
      <alignment vertical="center" wrapText="1"/>
    </xf>
    <xf numFmtId="0" fontId="8" fillId="0" borderId="0" xfId="10" applyFont="1" applyAlignment="1">
      <alignment horizontal="left" vertical="center" wrapText="1"/>
    </xf>
    <xf numFmtId="0" fontId="8" fillId="3" borderId="1" xfId="10" applyFont="1" applyFill="1" applyBorder="1" applyAlignment="1">
      <alignment horizontal="center" vertical="center"/>
    </xf>
    <xf numFmtId="0" fontId="8" fillId="0" borderId="0" xfId="10" applyFont="1" applyAlignment="1">
      <alignment horizontal="left" vertical="center"/>
    </xf>
    <xf numFmtId="0" fontId="8" fillId="3" borderId="1" xfId="10" applyFont="1" applyFill="1" applyBorder="1" applyAlignment="1">
      <alignment horizontal="center" vertical="center" wrapText="1"/>
    </xf>
    <xf numFmtId="0" fontId="7" fillId="0" borderId="0" xfId="10" applyFont="1" applyAlignment="1">
      <alignment vertical="center"/>
    </xf>
    <xf numFmtId="0" fontId="6" fillId="0" borderId="1" xfId="10" applyFont="1" applyBorder="1" applyAlignment="1">
      <alignment horizontal="center" vertical="center" wrapText="1"/>
    </xf>
    <xf numFmtId="0" fontId="7" fillId="0" borderId="5" xfId="10" applyFont="1" applyBorder="1" applyAlignment="1">
      <alignment horizontal="center" vertical="center"/>
    </xf>
    <xf numFmtId="0" fontId="8" fillId="0" borderId="1" xfId="7" applyFont="1" applyBorder="1" applyAlignment="1">
      <alignment horizontal="left" vertical="top"/>
    </xf>
    <xf numFmtId="0" fontId="4" fillId="0" borderId="1" xfId="7" applyFont="1" applyBorder="1" applyAlignment="1">
      <alignment horizontal="center" vertical="center"/>
    </xf>
    <xf numFmtId="0" fontId="8" fillId="0" borderId="1" xfId="7" applyFont="1" applyBorder="1" applyAlignment="1">
      <alignment vertical="top"/>
    </xf>
    <xf numFmtId="0" fontId="8" fillId="0" borderId="0" xfId="10" applyFont="1" applyAlignment="1">
      <alignment vertical="center"/>
    </xf>
    <xf numFmtId="0" fontId="7" fillId="0" borderId="0" xfId="10" applyFont="1" applyAlignment="1">
      <alignment vertical="center" wrapText="1"/>
    </xf>
    <xf numFmtId="0" fontId="13" fillId="3" borderId="1" xfId="6" applyFont="1" applyFill="1" applyBorder="1" applyAlignment="1">
      <alignment horizontal="center" vertical="center" wrapText="1"/>
    </xf>
    <xf numFmtId="0" fontId="14" fillId="0" borderId="0" xfId="6" applyFont="1"/>
    <xf numFmtId="0" fontId="14" fillId="0" borderId="1" xfId="6" applyFont="1" applyBorder="1" applyAlignment="1">
      <alignment horizontal="center" vertical="center"/>
    </xf>
    <xf numFmtId="0" fontId="14" fillId="0" borderId="1" xfId="6" applyFont="1" applyBorder="1" applyAlignment="1">
      <alignment vertical="center" wrapText="1"/>
    </xf>
    <xf numFmtId="165" fontId="27" fillId="0" borderId="1" xfId="7" applyNumberFormat="1" applyFont="1" applyBorder="1" applyAlignment="1">
      <alignment horizontal="center" vertical="center"/>
    </xf>
    <xf numFmtId="0" fontId="14" fillId="0" borderId="1" xfId="6" applyFont="1" applyBorder="1" applyAlignment="1">
      <alignment vertical="center"/>
    </xf>
    <xf numFmtId="0" fontId="14" fillId="0" borderId="1" xfId="6" applyFont="1" applyBorder="1" applyAlignment="1">
      <alignment horizontal="left" vertical="center" wrapText="1"/>
    </xf>
    <xf numFmtId="0" fontId="14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vertical="center"/>
    </xf>
    <xf numFmtId="165" fontId="12" fillId="0" borderId="1" xfId="7" applyNumberFormat="1" applyFont="1" applyBorder="1" applyAlignment="1">
      <alignment horizontal="center" vertical="center"/>
    </xf>
    <xf numFmtId="0" fontId="13" fillId="5" borderId="0" xfId="6" applyFont="1" applyFill="1" applyAlignment="1">
      <alignment vertical="center"/>
    </xf>
    <xf numFmtId="0" fontId="5" fillId="0" borderId="0" xfId="13" applyFont="1" applyAlignment="1">
      <alignment horizontal="center" vertical="center" wrapText="1"/>
    </xf>
    <xf numFmtId="0" fontId="13" fillId="3" borderId="1" xfId="13" applyFont="1" applyFill="1" applyBorder="1" applyAlignment="1">
      <alignment horizontal="center" vertical="center" wrapText="1"/>
    </xf>
    <xf numFmtId="0" fontId="13" fillId="3" borderId="1" xfId="13" applyFont="1" applyFill="1" applyBorder="1" applyAlignment="1">
      <alignment horizontal="center" vertical="center" wrapText="1" shrinkToFit="1"/>
    </xf>
    <xf numFmtId="0" fontId="13" fillId="3" borderId="1" xfId="13" applyFont="1" applyFill="1" applyBorder="1" applyAlignment="1">
      <alignment horizontal="center" vertical="center"/>
    </xf>
    <xf numFmtId="0" fontId="14" fillId="5" borderId="0" xfId="13" applyFont="1" applyFill="1"/>
    <xf numFmtId="0" fontId="14" fillId="0" borderId="1" xfId="13" applyFont="1" applyBorder="1" applyAlignment="1">
      <alignment horizontal="center" vertical="center"/>
    </xf>
    <xf numFmtId="0" fontId="14" fillId="0" borderId="1" xfId="13" applyFont="1" applyBorder="1" applyAlignment="1">
      <alignment vertical="center"/>
    </xf>
    <xf numFmtId="2" fontId="4" fillId="0" borderId="1" xfId="13" applyNumberFormat="1" applyFont="1" applyBorder="1" applyAlignment="1">
      <alignment horizontal="center" vertical="center"/>
    </xf>
    <xf numFmtId="0" fontId="14" fillId="0" borderId="0" xfId="13" applyFont="1" applyAlignment="1">
      <alignment vertical="center"/>
    </xf>
    <xf numFmtId="0" fontId="14" fillId="0" borderId="1" xfId="13" applyFont="1" applyBorder="1" applyAlignment="1">
      <alignment vertical="center" wrapText="1"/>
    </xf>
    <xf numFmtId="0" fontId="33" fillId="0" borderId="1" xfId="13" applyFont="1" applyBorder="1" applyAlignment="1">
      <alignment vertical="center"/>
    </xf>
    <xf numFmtId="0" fontId="13" fillId="0" borderId="1" xfId="13" applyFont="1" applyBorder="1" applyAlignment="1">
      <alignment vertical="center"/>
    </xf>
    <xf numFmtId="0" fontId="13" fillId="5" borderId="0" xfId="13" applyFont="1" applyFill="1" applyAlignment="1">
      <alignment vertical="center"/>
    </xf>
    <xf numFmtId="0" fontId="34" fillId="0" borderId="0" xfId="13" applyFont="1"/>
    <xf numFmtId="0" fontId="14" fillId="0" borderId="0" xfId="13" applyFont="1"/>
    <xf numFmtId="0" fontId="4" fillId="0" borderId="0" xfId="1" applyFont="1" applyAlignment="1">
      <alignment horizontal="center" vertical="center"/>
    </xf>
    <xf numFmtId="0" fontId="5" fillId="0" borderId="4" xfId="9" applyFont="1" applyBorder="1" applyAlignment="1">
      <alignment horizontal="right" vertical="top"/>
    </xf>
    <xf numFmtId="0" fontId="4" fillId="3" borderId="0" xfId="1" applyFont="1" applyFill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3" borderId="0" xfId="1" applyFont="1" applyFill="1"/>
    <xf numFmtId="0" fontId="5" fillId="0" borderId="1" xfId="1" applyFont="1" applyBorder="1" applyAlignment="1">
      <alignment horizontal="left" vertical="center" wrapText="1"/>
    </xf>
    <xf numFmtId="0" fontId="5" fillId="0" borderId="1" xfId="9" applyFont="1" applyBorder="1" applyAlignment="1">
      <alignment vertical="center"/>
    </xf>
    <xf numFmtId="0" fontId="5" fillId="0" borderId="0" xfId="1" applyFont="1"/>
    <xf numFmtId="0" fontId="5" fillId="0" borderId="0" xfId="9" applyFont="1" applyAlignment="1">
      <alignment horizontal="right" vertical="top"/>
    </xf>
    <xf numFmtId="0" fontId="36" fillId="3" borderId="1" xfId="1" applyFont="1" applyFill="1" applyBorder="1" applyAlignment="1">
      <alignment horizontal="center" vertical="center" wrapText="1"/>
    </xf>
    <xf numFmtId="0" fontId="36" fillId="3" borderId="1" xfId="14" applyFont="1" applyFill="1" applyBorder="1" applyAlignment="1">
      <alignment horizontal="center" vertical="center" wrapText="1"/>
    </xf>
    <xf numFmtId="0" fontId="14" fillId="3" borderId="0" xfId="1" applyFont="1" applyFill="1" applyAlignment="1">
      <alignment vertical="center"/>
    </xf>
    <xf numFmtId="0" fontId="13" fillId="3" borderId="0" xfId="1" applyFont="1" applyFill="1" applyAlignment="1">
      <alignment vertical="center"/>
    </xf>
    <xf numFmtId="164" fontId="33" fillId="2" borderId="1" xfId="1" applyNumberFormat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4" fillId="0" borderId="0" xfId="15" applyFont="1" applyAlignment="1">
      <alignment vertical="center"/>
    </xf>
    <xf numFmtId="0" fontId="14" fillId="3" borderId="0" xfId="15" applyFont="1" applyFill="1" applyAlignment="1">
      <alignment vertical="center"/>
    </xf>
    <xf numFmtId="0" fontId="13" fillId="3" borderId="0" xfId="15" applyFont="1" applyFill="1" applyAlignment="1">
      <alignment vertical="center"/>
    </xf>
    <xf numFmtId="0" fontId="14" fillId="0" borderId="1" xfId="15" applyFont="1" applyBorder="1" applyAlignment="1">
      <alignment horizontal="center" vertical="center"/>
    </xf>
    <xf numFmtId="0" fontId="14" fillId="0" borderId="0" xfId="15" applyFont="1" applyAlignment="1">
      <alignment vertical="center"/>
    </xf>
    <xf numFmtId="0" fontId="13" fillId="0" borderId="0" xfId="15" applyFont="1" applyAlignment="1">
      <alignment vertical="center"/>
    </xf>
    <xf numFmtId="0" fontId="14" fillId="0" borderId="0" xfId="15" applyFont="1" applyAlignment="1">
      <alignment horizontal="center" vertical="center"/>
    </xf>
    <xf numFmtId="1" fontId="4" fillId="0" borderId="0" xfId="3" applyNumberFormat="1" applyFont="1" applyAlignment="1">
      <alignment vertical="top"/>
    </xf>
    <xf numFmtId="0" fontId="33" fillId="3" borderId="0" xfId="3" applyFont="1" applyFill="1" applyAlignment="1">
      <alignment horizontal="left" vertical="center" wrapText="1"/>
    </xf>
    <xf numFmtId="0" fontId="14" fillId="3" borderId="0" xfId="3" applyFont="1" applyFill="1" applyAlignment="1">
      <alignment vertical="center"/>
    </xf>
    <xf numFmtId="1" fontId="14" fillId="3" borderId="0" xfId="3" applyNumberFormat="1" applyFont="1" applyFill="1" applyAlignment="1">
      <alignment vertical="center"/>
    </xf>
    <xf numFmtId="0" fontId="33" fillId="3" borderId="1" xfId="3" applyFont="1" applyFill="1" applyBorder="1" applyAlignment="1">
      <alignment horizontal="center" vertical="center" wrapText="1"/>
    </xf>
    <xf numFmtId="0" fontId="13" fillId="0" borderId="1" xfId="3" applyFont="1" applyBorder="1" applyAlignment="1">
      <alignment horizontal="left" vertical="center" wrapText="1"/>
    </xf>
    <xf numFmtId="0" fontId="33" fillId="2" borderId="0" xfId="3" applyFont="1" applyFill="1" applyAlignment="1">
      <alignment horizontal="left" vertical="center" wrapText="1"/>
    </xf>
    <xf numFmtId="1" fontId="14" fillId="0" borderId="0" xfId="3" applyNumberFormat="1" applyFont="1" applyAlignment="1">
      <alignment vertical="center"/>
    </xf>
    <xf numFmtId="0" fontId="36" fillId="2" borderId="1" xfId="3" applyFont="1" applyFill="1" applyBorder="1" applyAlignment="1">
      <alignment horizontal="center" vertical="center" wrapText="1"/>
    </xf>
    <xf numFmtId="0" fontId="36" fillId="2" borderId="0" xfId="3" applyFont="1" applyFill="1" applyAlignment="1">
      <alignment horizontal="left" vertical="center" wrapText="1"/>
    </xf>
    <xf numFmtId="0" fontId="14" fillId="3" borderId="0" xfId="3" applyFont="1" applyFill="1"/>
    <xf numFmtId="0" fontId="5" fillId="0" borderId="0" xfId="17" applyFont="1" applyAlignment="1">
      <alignment horizontal="center" vertical="center" wrapText="1"/>
    </xf>
    <xf numFmtId="0" fontId="13" fillId="3" borderId="1" xfId="17" applyFont="1" applyFill="1" applyBorder="1" applyAlignment="1">
      <alignment horizontal="center" vertical="center" wrapText="1"/>
    </xf>
    <xf numFmtId="0" fontId="14" fillId="0" borderId="1" xfId="17" applyFont="1" applyBorder="1" applyAlignment="1">
      <alignment horizontal="center" vertical="center"/>
    </xf>
    <xf numFmtId="0" fontId="13" fillId="0" borderId="1" xfId="17" applyFont="1" applyBorder="1" applyAlignment="1">
      <alignment vertical="center" wrapText="1"/>
    </xf>
    <xf numFmtId="164" fontId="14" fillId="0" borderId="1" xfId="17" applyNumberFormat="1" applyFont="1" applyBorder="1" applyAlignment="1">
      <alignment horizontal="center" vertical="center"/>
    </xf>
    <xf numFmtId="0" fontId="14" fillId="0" borderId="0" xfId="17" applyFont="1" applyAlignment="1">
      <alignment vertical="center"/>
    </xf>
    <xf numFmtId="0" fontId="13" fillId="0" borderId="1" xfId="17" applyFont="1" applyBorder="1" applyAlignment="1">
      <alignment vertical="center"/>
    </xf>
    <xf numFmtId="0" fontId="36" fillId="0" borderId="1" xfId="17" applyFont="1" applyBorder="1" applyAlignment="1">
      <alignment vertical="center"/>
    </xf>
    <xf numFmtId="0" fontId="13" fillId="0" borderId="0" xfId="14" applyFont="1" applyAlignment="1">
      <alignment vertical="center" wrapText="1"/>
    </xf>
    <xf numFmtId="0" fontId="13" fillId="0" borderId="1" xfId="14" applyFont="1" applyBorder="1" applyAlignment="1">
      <alignment horizontal="left" vertical="center" wrapText="1"/>
    </xf>
    <xf numFmtId="0" fontId="13" fillId="0" borderId="1" xfId="14" applyFont="1" applyBorder="1" applyAlignment="1">
      <alignment vertical="center" wrapText="1"/>
    </xf>
    <xf numFmtId="0" fontId="13" fillId="0" borderId="1" xfId="18" applyFont="1" applyBorder="1" applyAlignment="1">
      <alignment horizontal="left" vertical="center" wrapText="1"/>
    </xf>
    <xf numFmtId="164" fontId="13" fillId="0" borderId="1" xfId="17" applyNumberFormat="1" applyFont="1" applyBorder="1" applyAlignment="1">
      <alignment horizontal="center" vertical="center"/>
    </xf>
    <xf numFmtId="0" fontId="13" fillId="5" borderId="0" xfId="17" applyFont="1" applyFill="1" applyAlignment="1">
      <alignment vertical="center"/>
    </xf>
    <xf numFmtId="0" fontId="34" fillId="0" borderId="0" xfId="17" applyFont="1"/>
    <xf numFmtId="0" fontId="14" fillId="0" borderId="0" xfId="17" applyFont="1"/>
    <xf numFmtId="0" fontId="10" fillId="0" borderId="0" xfId="19" applyFont="1"/>
    <xf numFmtId="0" fontId="10" fillId="3" borderId="0" xfId="19" applyFont="1" applyFill="1"/>
    <xf numFmtId="0" fontId="14" fillId="3" borderId="0" xfId="19" applyFont="1" applyFill="1"/>
    <xf numFmtId="0" fontId="16" fillId="0" borderId="1" xfId="19" applyFont="1" applyBorder="1" applyAlignment="1">
      <alignment horizontal="center" vertical="center" wrapText="1"/>
    </xf>
    <xf numFmtId="0" fontId="5" fillId="0" borderId="5" xfId="3" applyFont="1" applyBorder="1" applyAlignment="1">
      <alignment horizontal="left" vertical="center" wrapText="1"/>
    </xf>
    <xf numFmtId="0" fontId="25" fillId="0" borderId="1" xfId="7" applyFont="1" applyBorder="1" applyAlignment="1">
      <alignment horizontal="center" vertical="center"/>
    </xf>
    <xf numFmtId="0" fontId="25" fillId="0" borderId="0" xfId="19" applyFont="1"/>
    <xf numFmtId="0" fontId="5" fillId="0" borderId="5" xfId="3" applyFont="1" applyBorder="1" applyAlignment="1">
      <alignment horizontal="right" vertical="top"/>
    </xf>
    <xf numFmtId="0" fontId="41" fillId="8" borderId="0" xfId="19" applyFont="1" applyFill="1"/>
    <xf numFmtId="0" fontId="4" fillId="0" borderId="0" xfId="20" applyFont="1" applyAlignment="1">
      <alignment vertical="top"/>
    </xf>
    <xf numFmtId="0" fontId="13" fillId="3" borderId="1" xfId="20" applyFont="1" applyFill="1" applyBorder="1" applyAlignment="1">
      <alignment horizontal="center" vertical="center" wrapText="1"/>
    </xf>
    <xf numFmtId="0" fontId="14" fillId="0" borderId="0" xfId="20" applyFont="1" applyAlignment="1">
      <alignment vertical="center"/>
    </xf>
    <xf numFmtId="0" fontId="16" fillId="0" borderId="1" xfId="20" applyFont="1" applyBorder="1" applyAlignment="1">
      <alignment horizontal="center" vertical="center" wrapText="1"/>
    </xf>
    <xf numFmtId="0" fontId="14" fillId="0" borderId="1" xfId="20" applyFont="1" applyBorder="1" applyAlignment="1">
      <alignment horizontal="left" vertical="center" wrapText="1"/>
    </xf>
    <xf numFmtId="0" fontId="39" fillId="2" borderId="1" xfId="20" applyFont="1" applyFill="1" applyBorder="1" applyAlignment="1">
      <alignment horizontal="center" vertical="center" wrapText="1"/>
    </xf>
    <xf numFmtId="0" fontId="25" fillId="0" borderId="0" xfId="20" applyFont="1" applyAlignment="1">
      <alignment vertical="center"/>
    </xf>
    <xf numFmtId="0" fontId="4" fillId="0" borderId="0" xfId="6" applyFont="1" applyAlignment="1">
      <alignment vertical="top"/>
    </xf>
    <xf numFmtId="0" fontId="42" fillId="3" borderId="1" xfId="6" applyFont="1" applyFill="1" applyBorder="1" applyAlignment="1">
      <alignment horizontal="center" vertical="center" wrapText="1"/>
    </xf>
    <xf numFmtId="0" fontId="4" fillId="3" borderId="0" xfId="6" applyFont="1" applyFill="1" applyAlignment="1">
      <alignment vertical="center"/>
    </xf>
    <xf numFmtId="0" fontId="6" fillId="0" borderId="1" xfId="6" applyFont="1" applyBorder="1" applyAlignment="1">
      <alignment horizontal="center" vertical="center" wrapText="1"/>
    </xf>
    <xf numFmtId="0" fontId="6" fillId="3" borderId="0" xfId="6" applyFont="1" applyFill="1" applyAlignment="1">
      <alignment vertical="center"/>
    </xf>
    <xf numFmtId="0" fontId="5" fillId="0" borderId="1" xfId="6" applyFont="1" applyBorder="1" applyAlignment="1">
      <alignment horizontal="left" vertical="center" wrapText="1"/>
    </xf>
    <xf numFmtId="0" fontId="18" fillId="9" borderId="2" xfId="6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right" vertical="top"/>
    </xf>
    <xf numFmtId="0" fontId="5" fillId="0" borderId="8" xfId="6" applyFont="1" applyBorder="1" applyAlignment="1">
      <alignment horizontal="left" vertical="center" wrapText="1"/>
    </xf>
    <xf numFmtId="0" fontId="18" fillId="9" borderId="1" xfId="6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 wrapText="1"/>
    </xf>
    <xf numFmtId="0" fontId="4" fillId="0" borderId="0" xfId="19" applyFont="1" applyAlignment="1">
      <alignment vertical="center"/>
    </xf>
    <xf numFmtId="0" fontId="5" fillId="3" borderId="1" xfId="21" applyFont="1" applyFill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 wrapText="1"/>
    </xf>
    <xf numFmtId="0" fontId="6" fillId="0" borderId="1" xfId="21" applyFont="1" applyBorder="1" applyAlignment="1">
      <alignment horizontal="center" vertical="center" wrapText="1"/>
    </xf>
    <xf numFmtId="0" fontId="4" fillId="0" borderId="1" xfId="19" applyFont="1" applyBorder="1" applyAlignment="1">
      <alignment horizontal="center" vertical="center"/>
    </xf>
    <xf numFmtId="0" fontId="8" fillId="0" borderId="1" xfId="17" applyFont="1" applyBorder="1" applyAlignment="1">
      <alignment horizontal="left" vertical="center" wrapText="1"/>
    </xf>
    <xf numFmtId="0" fontId="5" fillId="0" borderId="0" xfId="19" applyFont="1" applyAlignment="1">
      <alignment vertical="center"/>
    </xf>
    <xf numFmtId="0" fontId="4" fillId="0" borderId="0" xfId="19" applyFont="1" applyAlignment="1">
      <alignment vertical="center" wrapText="1"/>
    </xf>
    <xf numFmtId="0" fontId="7" fillId="0" borderId="0" xfId="22" applyFont="1"/>
    <xf numFmtId="0" fontId="5" fillId="3" borderId="1" xfId="20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1" xfId="20" applyFont="1" applyBorder="1" applyAlignment="1">
      <alignment horizontal="center" vertical="center" wrapText="1"/>
    </xf>
    <xf numFmtId="0" fontId="4" fillId="0" borderId="1" xfId="20" applyFont="1" applyBorder="1" applyAlignment="1">
      <alignment horizontal="left" vertical="center" wrapText="1"/>
    </xf>
    <xf numFmtId="0" fontId="42" fillId="2" borderId="1" xfId="20" applyFont="1" applyFill="1" applyBorder="1" applyAlignment="1">
      <alignment horizontal="center" vertical="center" wrapText="1"/>
    </xf>
    <xf numFmtId="0" fontId="13" fillId="3" borderId="1" xfId="14" applyFont="1" applyFill="1" applyBorder="1" applyAlignment="1">
      <alignment horizontal="center" vertical="center"/>
    </xf>
    <xf numFmtId="0" fontId="12" fillId="0" borderId="1" xfId="9" applyFont="1" applyBorder="1" applyAlignment="1">
      <alignment horizontal="center" vertical="center"/>
    </xf>
    <xf numFmtId="0" fontId="10" fillId="0" borderId="5" xfId="9" applyFont="1" applyBorder="1"/>
    <xf numFmtId="0" fontId="48" fillId="0" borderId="0" xfId="10" applyFont="1" applyAlignment="1">
      <alignment vertical="center"/>
    </xf>
    <xf numFmtId="0" fontId="49" fillId="3" borderId="1" xfId="9" applyFont="1" applyFill="1" applyBorder="1" applyAlignment="1">
      <alignment horizontal="center" vertical="center"/>
    </xf>
    <xf numFmtId="0" fontId="10" fillId="0" borderId="1" xfId="9" applyFont="1" applyBorder="1" applyAlignment="1">
      <alignment horizontal="center" vertical="center"/>
    </xf>
    <xf numFmtId="0" fontId="10" fillId="0" borderId="1" xfId="9" applyFont="1" applyBorder="1" applyAlignment="1">
      <alignment wrapText="1"/>
    </xf>
    <xf numFmtId="0" fontId="16" fillId="0" borderId="9" xfId="11" applyFont="1" applyBorder="1" applyAlignment="1">
      <alignment horizontal="center" vertical="center" wrapText="1"/>
    </xf>
    <xf numFmtId="0" fontId="12" fillId="0" borderId="1" xfId="18" applyFont="1" applyBorder="1" applyAlignment="1">
      <alignment horizontal="center"/>
    </xf>
    <xf numFmtId="0" fontId="12" fillId="0" borderId="1" xfId="18" applyFont="1" applyBorder="1"/>
    <xf numFmtId="0" fontId="12" fillId="0" borderId="1" xfId="18" applyFont="1" applyBorder="1" applyAlignment="1">
      <alignment wrapText="1"/>
    </xf>
    <xf numFmtId="0" fontId="27" fillId="3" borderId="0" xfId="10" applyFont="1" applyFill="1" applyAlignment="1">
      <alignment vertical="center" wrapText="1"/>
    </xf>
    <xf numFmtId="164" fontId="14" fillId="3" borderId="1" xfId="14" applyNumberFormat="1" applyFont="1" applyFill="1" applyBorder="1" applyAlignment="1">
      <alignment horizontal="center" vertical="center"/>
    </xf>
    <xf numFmtId="164" fontId="51" fillId="0" borderId="1" xfId="10" applyNumberFormat="1" applyFont="1" applyBorder="1" applyAlignment="1">
      <alignment horizontal="center" vertical="center" wrapText="1"/>
    </xf>
    <xf numFmtId="164" fontId="51" fillId="0" borderId="1" xfId="10" applyNumberFormat="1" applyFont="1" applyBorder="1" applyAlignment="1">
      <alignment horizontal="center" vertical="top" wrapText="1"/>
    </xf>
    <xf numFmtId="0" fontId="51" fillId="0" borderId="0" xfId="10" applyFont="1" applyAlignment="1">
      <alignment vertical="center" wrapText="1"/>
    </xf>
    <xf numFmtId="164" fontId="12" fillId="0" borderId="1" xfId="10" applyNumberFormat="1" applyFont="1" applyBorder="1" applyAlignment="1">
      <alignment vertical="top" wrapText="1"/>
    </xf>
    <xf numFmtId="164" fontId="27" fillId="0" borderId="1" xfId="10" applyNumberFormat="1" applyFont="1" applyBorder="1" applyAlignment="1">
      <alignment vertical="top" wrapText="1"/>
    </xf>
    <xf numFmtId="164" fontId="12" fillId="0" borderId="1" xfId="10" applyNumberFormat="1" applyFont="1" applyBorder="1" applyAlignment="1">
      <alignment horizontal="left" vertical="top" wrapText="1"/>
    </xf>
    <xf numFmtId="164" fontId="27" fillId="0" borderId="1" xfId="10" applyNumberFormat="1" applyFont="1" applyBorder="1" applyAlignment="1">
      <alignment vertical="center" wrapText="1"/>
    </xf>
    <xf numFmtId="0" fontId="12" fillId="0" borderId="0" xfId="10" applyFont="1" applyAlignment="1">
      <alignment horizontal="left" vertical="top" wrapText="1"/>
    </xf>
    <xf numFmtId="0" fontId="5" fillId="3" borderId="0" xfId="3" applyFont="1" applyFill="1" applyAlignment="1">
      <alignment vertical="center" wrapText="1"/>
    </xf>
    <xf numFmtId="0" fontId="4" fillId="3" borderId="0" xfId="3" applyFont="1" applyFill="1" applyAlignment="1">
      <alignment vertical="center"/>
    </xf>
    <xf numFmtId="0" fontId="6" fillId="0" borderId="0" xfId="19" applyFont="1" applyAlignment="1">
      <alignment horizontal="right"/>
    </xf>
    <xf numFmtId="0" fontId="6" fillId="0" borderId="0" xfId="19" applyFont="1"/>
    <xf numFmtId="0" fontId="4" fillId="0" borderId="0" xfId="3" applyFont="1" applyAlignment="1">
      <alignment horizontal="right"/>
    </xf>
    <xf numFmtId="0" fontId="27" fillId="0" borderId="0" xfId="24" applyFont="1"/>
    <xf numFmtId="0" fontId="27" fillId="0" borderId="0" xfId="24" applyFont="1" applyAlignment="1">
      <alignment horizontal="center" vertical="center"/>
    </xf>
    <xf numFmtId="0" fontId="5" fillId="3" borderId="1" xfId="24" applyFont="1" applyFill="1" applyBorder="1" applyAlignment="1">
      <alignment horizontal="center" vertical="center" wrapText="1"/>
    </xf>
    <xf numFmtId="0" fontId="27" fillId="0" borderId="0" xfId="24" applyFont="1" applyAlignment="1">
      <alignment wrapText="1"/>
    </xf>
    <xf numFmtId="0" fontId="52" fillId="0" borderId="1" xfId="24" applyFont="1" applyBorder="1" applyAlignment="1">
      <alignment horizontal="center" vertical="center" wrapText="1"/>
    </xf>
    <xf numFmtId="0" fontId="53" fillId="0" borderId="0" xfId="24" applyFont="1" applyAlignment="1">
      <alignment wrapText="1"/>
    </xf>
    <xf numFmtId="0" fontId="27" fillId="0" borderId="1" xfId="24" applyFont="1" applyBorder="1" applyAlignment="1">
      <alignment vertical="center"/>
    </xf>
    <xf numFmtId="0" fontId="8" fillId="0" borderId="1" xfId="24" applyFont="1" applyBorder="1" applyAlignment="1">
      <alignment horizontal="left" vertical="center" wrapText="1"/>
    </xf>
    <xf numFmtId="0" fontId="12" fillId="0" borderId="1" xfId="24" applyFont="1" applyBorder="1" applyAlignment="1">
      <alignment horizontal="center" vertical="center"/>
    </xf>
    <xf numFmtId="0" fontId="27" fillId="0" borderId="0" xfId="24" applyFont="1" applyAlignment="1">
      <alignment vertical="center"/>
    </xf>
    <xf numFmtId="0" fontId="27" fillId="0" borderId="1" xfId="24" applyFont="1" applyBorder="1" applyAlignment="1">
      <alignment horizontal="center" vertical="center"/>
    </xf>
    <xf numFmtId="0" fontId="54" fillId="3" borderId="0" xfId="10" applyFont="1" applyFill="1" applyAlignment="1">
      <alignment vertical="center"/>
    </xf>
    <xf numFmtId="0" fontId="54" fillId="3" borderId="0" xfId="10" applyFont="1" applyFill="1" applyAlignment="1">
      <alignment vertical="center" wrapText="1"/>
    </xf>
    <xf numFmtId="0" fontId="26" fillId="0" borderId="0" xfId="10" applyFont="1" applyAlignment="1">
      <alignment vertical="center" wrapText="1"/>
    </xf>
    <xf numFmtId="0" fontId="25" fillId="0" borderId="1" xfId="9" applyFont="1" applyBorder="1" applyAlignment="1">
      <alignment wrapText="1"/>
    </xf>
    <xf numFmtId="0" fontId="12" fillId="3" borderId="0" xfId="10" applyFont="1" applyFill="1" applyAlignment="1">
      <alignment vertical="center"/>
    </xf>
    <xf numFmtId="0" fontId="13" fillId="3" borderId="1" xfId="9" applyFont="1" applyFill="1" applyBorder="1" applyAlignment="1">
      <alignment horizontal="center" vertical="center"/>
    </xf>
    <xf numFmtId="0" fontId="12" fillId="3" borderId="0" xfId="10" applyFont="1" applyFill="1" applyAlignment="1">
      <alignment vertical="center" wrapText="1"/>
    </xf>
    <xf numFmtId="0" fontId="26" fillId="0" borderId="1" xfId="10" applyFont="1" applyBorder="1" applyAlignment="1">
      <alignment wrapText="1"/>
    </xf>
    <xf numFmtId="0" fontId="27" fillId="0" borderId="1" xfId="10" applyFont="1" applyBorder="1"/>
    <xf numFmtId="0" fontId="27" fillId="0" borderId="1" xfId="10" applyFont="1" applyBorder="1" applyAlignment="1">
      <alignment wrapText="1"/>
    </xf>
    <xf numFmtId="1" fontId="27" fillId="0" borderId="0" xfId="27" applyNumberFormat="1" applyFont="1"/>
    <xf numFmtId="1" fontId="13" fillId="3" borderId="1" xfId="6" applyNumberFormat="1" applyFont="1" applyFill="1" applyBorder="1" applyAlignment="1">
      <alignment horizontal="center" vertical="center" wrapText="1"/>
    </xf>
    <xf numFmtId="1" fontId="13" fillId="3" borderId="5" xfId="6" applyNumberFormat="1" applyFont="1" applyFill="1" applyBorder="1" applyAlignment="1">
      <alignment horizontal="center" vertical="center" wrapText="1"/>
    </xf>
    <xf numFmtId="1" fontId="34" fillId="0" borderId="1" xfId="6" applyNumberFormat="1" applyFont="1" applyBorder="1" applyAlignment="1">
      <alignment horizontal="center" vertical="center"/>
    </xf>
    <xf numFmtId="1" fontId="34" fillId="0" borderId="5" xfId="6" applyNumberFormat="1" applyFont="1" applyBorder="1" applyAlignment="1">
      <alignment horizontal="center" vertical="center"/>
    </xf>
    <xf numFmtId="1" fontId="27" fillId="0" borderId="1" xfId="27" applyNumberFormat="1" applyFont="1" applyBorder="1"/>
    <xf numFmtId="1" fontId="12" fillId="0" borderId="1" xfId="27" applyNumberFormat="1" applyFont="1" applyBorder="1" applyAlignment="1">
      <alignment wrapText="1"/>
    </xf>
    <xf numFmtId="0" fontId="25" fillId="0" borderId="0" xfId="1" applyFont="1" applyAlignment="1">
      <alignment horizontal="center" vertical="center" textRotation="90" wrapText="1"/>
    </xf>
    <xf numFmtId="164" fontId="4" fillId="0" borderId="1" xfId="25" applyNumberFormat="1" applyFont="1" applyBorder="1" applyAlignment="1">
      <alignment horizontal="center" vertical="center"/>
    </xf>
    <xf numFmtId="164" fontId="5" fillId="0" borderId="1" xfId="25" applyNumberFormat="1" applyFont="1" applyBorder="1" applyAlignment="1">
      <alignment horizontal="center" vertical="center"/>
    </xf>
    <xf numFmtId="0" fontId="13" fillId="0" borderId="8" xfId="11" applyFont="1" applyBorder="1" applyAlignment="1">
      <alignment vertical="center"/>
    </xf>
    <xf numFmtId="0" fontId="5" fillId="5" borderId="1" xfId="3" applyFont="1" applyFill="1" applyBorder="1" applyAlignment="1">
      <alignment vertical="center"/>
    </xf>
    <xf numFmtId="0" fontId="48" fillId="0" borderId="0" xfId="29" applyFont="1" applyAlignment="1">
      <alignment vertical="center"/>
    </xf>
    <xf numFmtId="0" fontId="48" fillId="0" borderId="1" xfId="29" applyFont="1" applyBorder="1" applyAlignment="1">
      <alignment horizontal="center" vertical="center"/>
    </xf>
    <xf numFmtId="164" fontId="48" fillId="0" borderId="1" xfId="29" applyNumberFormat="1" applyFont="1" applyBorder="1" applyAlignment="1">
      <alignment horizontal="center" vertical="center"/>
    </xf>
    <xf numFmtId="164" fontId="47" fillId="0" borderId="1" xfId="29" applyNumberFormat="1" applyFont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 wrapText="1"/>
    </xf>
    <xf numFmtId="0" fontId="7" fillId="0" borderId="1" xfId="26" applyFont="1" applyBorder="1" applyAlignment="1">
      <alignment horizontal="center"/>
    </xf>
    <xf numFmtId="0" fontId="8" fillId="0" borderId="1" xfId="26" applyFont="1" applyBorder="1" applyAlignment="1">
      <alignment horizontal="center"/>
    </xf>
    <xf numFmtId="0" fontId="4" fillId="0" borderId="0" xfId="4" applyFont="1"/>
    <xf numFmtId="0" fontId="4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/>
    <xf numFmtId="0" fontId="25" fillId="0" borderId="1" xfId="1" applyFont="1" applyBorder="1" applyAlignment="1">
      <alignment horizontal="center" vertical="center"/>
    </xf>
    <xf numFmtId="0" fontId="25" fillId="0" borderId="0" xfId="1" applyFont="1" applyAlignment="1">
      <alignment vertical="top"/>
    </xf>
    <xf numFmtId="0" fontId="15" fillId="10" borderId="1" xfId="18" applyFont="1" applyFill="1" applyBorder="1" applyAlignment="1">
      <alignment horizontal="center" vertical="center" wrapText="1"/>
    </xf>
    <xf numFmtId="0" fontId="25" fillId="0" borderId="0" xfId="1" applyFont="1" applyAlignment="1">
      <alignment vertical="center" wrapText="1"/>
    </xf>
    <xf numFmtId="0" fontId="15" fillId="10" borderId="1" xfId="18" applyFont="1" applyFill="1" applyBorder="1" applyAlignment="1">
      <alignment horizontal="center" vertical="center" textRotation="90"/>
    </xf>
    <xf numFmtId="0" fontId="32" fillId="0" borderId="1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left" vertical="center" wrapText="1"/>
    </xf>
    <xf numFmtId="0" fontId="10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/>
    </xf>
    <xf numFmtId="0" fontId="10" fillId="0" borderId="5" xfId="9" applyFont="1" applyBorder="1" applyAlignment="1">
      <alignment wrapText="1"/>
    </xf>
    <xf numFmtId="0" fontId="10" fillId="0" borderId="5" xfId="9" applyFont="1" applyBorder="1" applyAlignment="1">
      <alignment horizontal="left" wrapText="1"/>
    </xf>
    <xf numFmtId="0" fontId="55" fillId="0" borderId="1" xfId="30" applyFont="1" applyBorder="1" applyAlignment="1">
      <alignment horizontal="center" vertical="center"/>
    </xf>
    <xf numFmtId="0" fontId="55" fillId="0" borderId="0" xfId="30" applyFont="1" applyAlignment="1">
      <alignment horizontal="center"/>
    </xf>
    <xf numFmtId="0" fontId="55" fillId="0" borderId="0" xfId="30" applyFont="1"/>
    <xf numFmtId="0" fontId="61" fillId="3" borderId="1" xfId="30" applyFont="1" applyFill="1" applyBorder="1" applyAlignment="1">
      <alignment horizontal="center" vertical="center" wrapText="1"/>
    </xf>
    <xf numFmtId="0" fontId="61" fillId="3" borderId="1" xfId="30" applyFont="1" applyFill="1" applyBorder="1" applyAlignment="1">
      <alignment horizontal="center" vertical="center" textRotation="90" wrapText="1"/>
    </xf>
    <xf numFmtId="0" fontId="55" fillId="0" borderId="0" xfId="30" applyFont="1" applyAlignment="1">
      <alignment wrapText="1"/>
    </xf>
    <xf numFmtId="0" fontId="57" fillId="0" borderId="1" xfId="30" applyFont="1" applyBorder="1" applyAlignment="1">
      <alignment horizontal="center" vertical="center" wrapText="1"/>
    </xf>
    <xf numFmtId="0" fontId="57" fillId="0" borderId="14" xfId="30" applyFont="1" applyBorder="1" applyAlignment="1">
      <alignment horizontal="center" vertical="center" wrapText="1"/>
    </xf>
    <xf numFmtId="0" fontId="58" fillId="0" borderId="0" xfId="30" applyFont="1" applyAlignment="1">
      <alignment wrapText="1"/>
    </xf>
    <xf numFmtId="0" fontId="55" fillId="0" borderId="1" xfId="30" applyFont="1" applyBorder="1"/>
    <xf numFmtId="0" fontId="56" fillId="0" borderId="0" xfId="30" applyFont="1" applyAlignment="1">
      <alignment vertical="center"/>
    </xf>
    <xf numFmtId="0" fontId="59" fillId="3" borderId="0" xfId="30" applyFont="1" applyFill="1"/>
    <xf numFmtId="0" fontId="55" fillId="0" borderId="1" xfId="30" applyFont="1" applyBorder="1" applyAlignment="1">
      <alignment vertical="center"/>
    </xf>
    <xf numFmtId="0" fontId="59" fillId="0" borderId="1" xfId="30" applyFont="1" applyBorder="1" applyAlignment="1">
      <alignment horizontal="left" vertical="center" wrapText="1"/>
    </xf>
    <xf numFmtId="0" fontId="59" fillId="0" borderId="0" xfId="30" applyFont="1" applyAlignment="1">
      <alignment vertical="center"/>
    </xf>
    <xf numFmtId="0" fontId="55" fillId="0" borderId="0" xfId="30" applyFont="1" applyAlignment="1">
      <alignment vertical="center"/>
    </xf>
    <xf numFmtId="0" fontId="62" fillId="0" borderId="0" xfId="30" applyFont="1" applyAlignment="1">
      <alignment vertical="center"/>
    </xf>
    <xf numFmtId="0" fontId="59" fillId="0" borderId="0" xfId="30" applyFont="1"/>
    <xf numFmtId="0" fontId="58" fillId="0" borderId="2" xfId="30" applyFont="1" applyBorder="1" applyAlignment="1">
      <alignment horizontal="center" vertical="center"/>
    </xf>
    <xf numFmtId="0" fontId="63" fillId="0" borderId="0" xfId="30" applyFont="1"/>
    <xf numFmtId="0" fontId="1" fillId="0" borderId="0" xfId="31"/>
    <xf numFmtId="0" fontId="55" fillId="0" borderId="0" xfId="32" applyFont="1"/>
    <xf numFmtId="0" fontId="55" fillId="0" borderId="0" xfId="32" applyFont="1" applyAlignment="1">
      <alignment horizontal="center" vertical="center"/>
    </xf>
    <xf numFmtId="0" fontId="57" fillId="0" borderId="1" xfId="32" applyFont="1" applyBorder="1" applyAlignment="1">
      <alignment horizontal="center" vertical="center"/>
    </xf>
    <xf numFmtId="0" fontId="57" fillId="0" borderId="1" xfId="32" applyFont="1" applyBorder="1" applyAlignment="1">
      <alignment horizontal="center" vertical="center" wrapText="1"/>
    </xf>
    <xf numFmtId="0" fontId="55" fillId="0" borderId="1" xfId="32" applyFont="1" applyBorder="1" applyAlignment="1">
      <alignment horizontal="center" vertical="center"/>
    </xf>
    <xf numFmtId="0" fontId="60" fillId="0" borderId="1" xfId="3" applyFont="1" applyBorder="1" applyAlignment="1">
      <alignment horizontal="center" vertical="center"/>
    </xf>
    <xf numFmtId="0" fontId="56" fillId="0" borderId="0" xfId="32" applyFont="1" applyAlignment="1">
      <alignment horizontal="center" vertical="center"/>
    </xf>
    <xf numFmtId="0" fontId="57" fillId="0" borderId="14" xfId="32" applyFont="1" applyBorder="1" applyAlignment="1">
      <alignment horizontal="center" vertical="center"/>
    </xf>
    <xf numFmtId="0" fontId="57" fillId="0" borderId="6" xfId="32" applyFont="1" applyBorder="1" applyAlignment="1">
      <alignment horizontal="center" vertical="center" wrapText="1"/>
    </xf>
    <xf numFmtId="1" fontId="55" fillId="0" borderId="1" xfId="32" applyNumberFormat="1" applyFont="1" applyBorder="1" applyAlignment="1">
      <alignment horizontal="center" vertical="center"/>
    </xf>
    <xf numFmtId="0" fontId="44" fillId="0" borderId="1" xfId="32" applyFont="1" applyBorder="1" applyAlignment="1">
      <alignment horizontal="center" vertical="center"/>
    </xf>
    <xf numFmtId="2" fontId="56" fillId="0" borderId="1" xfId="32" applyNumberFormat="1" applyFont="1" applyBorder="1" applyAlignment="1">
      <alignment horizontal="center" vertical="center"/>
    </xf>
    <xf numFmtId="2" fontId="62" fillId="0" borderId="1" xfId="32" applyNumberFormat="1" applyFont="1" applyBorder="1" applyAlignment="1">
      <alignment horizontal="center" vertical="center" wrapText="1"/>
    </xf>
    <xf numFmtId="2" fontId="62" fillId="0" borderId="1" xfId="32" applyNumberFormat="1" applyFont="1" applyBorder="1" applyAlignment="1">
      <alignment horizontal="center" vertical="center"/>
    </xf>
    <xf numFmtId="0" fontId="66" fillId="0" borderId="0" xfId="36" applyFont="1" applyAlignment="1">
      <alignment horizontal="center" vertical="center"/>
    </xf>
    <xf numFmtId="0" fontId="67" fillId="0" borderId="0" xfId="36" applyFont="1" applyAlignment="1">
      <alignment horizontal="center" vertical="center"/>
    </xf>
    <xf numFmtId="0" fontId="46" fillId="3" borderId="1" xfId="36" applyFont="1" applyFill="1" applyBorder="1" applyAlignment="1">
      <alignment horizontal="center" vertical="center" wrapText="1"/>
    </xf>
    <xf numFmtId="0" fontId="57" fillId="0" borderId="1" xfId="36" applyFont="1" applyBorder="1" applyAlignment="1">
      <alignment horizontal="center" vertical="center"/>
    </xf>
    <xf numFmtId="0" fontId="57" fillId="0" borderId="1" xfId="36" applyFont="1" applyBorder="1" applyAlignment="1">
      <alignment horizontal="center" vertical="center" wrapText="1"/>
    </xf>
    <xf numFmtId="164" fontId="60" fillId="0" borderId="1" xfId="17" applyNumberFormat="1" applyFont="1" applyBorder="1" applyAlignment="1">
      <alignment horizontal="center" vertical="center"/>
    </xf>
    <xf numFmtId="0" fontId="44" fillId="0" borderId="14" xfId="36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0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71" fillId="2" borderId="1" xfId="1" applyFont="1" applyFill="1" applyBorder="1" applyAlignment="1">
      <alignment horizontal="left" vertical="center" wrapText="1"/>
    </xf>
    <xf numFmtId="164" fontId="7" fillId="0" borderId="1" xfId="17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164" fontId="7" fillId="0" borderId="1" xfId="10" applyNumberFormat="1" applyFont="1" applyBorder="1" applyAlignment="1">
      <alignment vertical="top" wrapText="1"/>
    </xf>
    <xf numFmtId="0" fontId="7" fillId="0" borderId="1" xfId="7" applyFont="1" applyBorder="1" applyAlignment="1">
      <alignment horizontal="center" vertical="center"/>
    </xf>
    <xf numFmtId="2" fontId="7" fillId="0" borderId="1" xfId="13" applyNumberFormat="1" applyFont="1" applyBorder="1" applyAlignment="1">
      <alignment horizontal="center" vertical="center"/>
    </xf>
    <xf numFmtId="165" fontId="7" fillId="0" borderId="1" xfId="7" applyNumberFormat="1" applyFont="1" applyBorder="1" applyAlignment="1">
      <alignment horizontal="center" vertical="center"/>
    </xf>
    <xf numFmtId="0" fontId="7" fillId="0" borderId="1" xfId="9" applyFont="1" applyBorder="1" applyAlignment="1">
      <alignment vertical="center" wrapText="1"/>
    </xf>
    <xf numFmtId="0" fontId="7" fillId="0" borderId="1" xfId="1" applyFont="1" applyBorder="1" applyAlignment="1">
      <alignment horizontal="left" vertical="center"/>
    </xf>
    <xf numFmtId="164" fontId="7" fillId="0" borderId="1" xfId="3" applyNumberFormat="1" applyFont="1" applyBorder="1" applyAlignment="1">
      <alignment horizontal="right" vertical="center"/>
    </xf>
    <xf numFmtId="164" fontId="7" fillId="0" borderId="1" xfId="29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5" fillId="0" borderId="1" xfId="35" applyFont="1" applyBorder="1" applyAlignment="1">
      <alignment horizontal="center" vertical="center" wrapText="1"/>
    </xf>
    <xf numFmtId="0" fontId="70" fillId="0" borderId="1" xfId="35" applyFont="1" applyBorder="1" applyAlignment="1">
      <alignment horizontal="center" vertical="center"/>
    </xf>
    <xf numFmtId="165" fontId="4" fillId="0" borderId="1" xfId="6" applyNumberFormat="1" applyFont="1" applyBorder="1" applyAlignment="1">
      <alignment horizontal="center" vertical="center"/>
    </xf>
    <xf numFmtId="0" fontId="8" fillId="0" borderId="0" xfId="35" applyFont="1" applyAlignment="1">
      <alignment horizontal="center" vertical="center"/>
    </xf>
    <xf numFmtId="165" fontId="7" fillId="0" borderId="1" xfId="6" applyNumberFormat="1" applyFont="1" applyBorder="1" applyAlignment="1">
      <alignment horizontal="center" vertical="center"/>
    </xf>
    <xf numFmtId="0" fontId="8" fillId="0" borderId="1" xfId="35" applyFont="1" applyBorder="1" applyAlignment="1">
      <alignment horizontal="center" vertical="center"/>
    </xf>
    <xf numFmtId="0" fontId="55" fillId="0" borderId="0" xfId="35" applyFont="1" applyAlignment="1">
      <alignment horizontal="center" vertical="center"/>
    </xf>
    <xf numFmtId="0" fontId="7" fillId="0" borderId="1" xfId="35" applyFont="1" applyBorder="1" applyAlignment="1">
      <alignment horizontal="center" vertical="center"/>
    </xf>
    <xf numFmtId="165" fontId="7" fillId="0" borderId="1" xfId="35" applyNumberFormat="1" applyFont="1" applyBorder="1" applyAlignment="1">
      <alignment horizontal="center" vertical="center"/>
    </xf>
    <xf numFmtId="0" fontId="59" fillId="0" borderId="0" xfId="35" applyFont="1" applyAlignment="1">
      <alignment horizontal="center" vertical="center"/>
    </xf>
    <xf numFmtId="0" fontId="72" fillId="0" borderId="1" xfId="17" applyFont="1" applyBorder="1" applyAlignment="1">
      <alignment horizontal="center" vertical="center" wrapText="1"/>
    </xf>
    <xf numFmtId="0" fontId="13" fillId="5" borderId="0" xfId="17" applyFont="1" applyFill="1"/>
    <xf numFmtId="0" fontId="42" fillId="3" borderId="1" xfId="14" applyFont="1" applyFill="1" applyBorder="1" applyAlignment="1">
      <alignment horizontal="center" vertical="center" wrapText="1"/>
    </xf>
    <xf numFmtId="0" fontId="5" fillId="0" borderId="1" xfId="17" applyFont="1" applyBorder="1" applyAlignment="1">
      <alignment vertical="center" wrapText="1"/>
    </xf>
    <xf numFmtId="0" fontId="5" fillId="0" borderId="1" xfId="17" applyFont="1" applyBorder="1" applyAlignment="1">
      <alignment vertical="center"/>
    </xf>
    <xf numFmtId="0" fontId="5" fillId="0" borderId="1" xfId="3" applyFont="1" applyBorder="1" applyAlignment="1">
      <alignment horizontal="left" vertical="center" wrapText="1"/>
    </xf>
    <xf numFmtId="0" fontId="42" fillId="0" borderId="1" xfId="17" applyFont="1" applyBorder="1" applyAlignment="1">
      <alignment vertical="center"/>
    </xf>
    <xf numFmtId="0" fontId="5" fillId="0" borderId="0" xfId="14" applyFont="1" applyAlignment="1">
      <alignment vertical="center" wrapText="1"/>
    </xf>
    <xf numFmtId="0" fontId="5" fillId="0" borderId="1" xfId="14" applyFont="1" applyBorder="1" applyAlignment="1">
      <alignment horizontal="left" vertical="center" wrapText="1"/>
    </xf>
    <xf numFmtId="0" fontId="5" fillId="0" borderId="1" xfId="14" applyFont="1" applyBorder="1" applyAlignment="1">
      <alignment vertical="center" wrapText="1"/>
    </xf>
    <xf numFmtId="0" fontId="5" fillId="0" borderId="1" xfId="18" applyFont="1" applyBorder="1" applyAlignment="1">
      <alignment horizontal="left" vertical="center" wrapText="1"/>
    </xf>
    <xf numFmtId="0" fontId="19" fillId="0" borderId="0" xfId="1" applyFont="1" applyAlignment="1">
      <alignment vertical="center"/>
    </xf>
    <xf numFmtId="0" fontId="73" fillId="2" borderId="0" xfId="1" applyFont="1" applyFill="1" applyAlignment="1">
      <alignment horizontal="right" vertical="center"/>
    </xf>
    <xf numFmtId="0" fontId="47" fillId="4" borderId="1" xfId="1" applyFont="1" applyFill="1" applyBorder="1" applyAlignment="1">
      <alignment horizontal="center" vertical="center" textRotation="90" wrapText="1"/>
    </xf>
    <xf numFmtId="0" fontId="20" fillId="3" borderId="1" xfId="1" applyFont="1" applyFill="1" applyBorder="1" applyAlignment="1">
      <alignment horizontal="center" vertical="center" textRotation="90" wrapText="1"/>
    </xf>
    <xf numFmtId="0" fontId="74" fillId="2" borderId="1" xfId="1" applyFont="1" applyFill="1" applyBorder="1" applyAlignment="1">
      <alignment horizontal="center" vertical="center" wrapText="1"/>
    </xf>
    <xf numFmtId="0" fontId="74" fillId="2" borderId="2" xfId="1" applyFont="1" applyFill="1" applyBorder="1" applyAlignment="1">
      <alignment horizontal="center" vertical="center" wrapText="1"/>
    </xf>
    <xf numFmtId="0" fontId="19" fillId="0" borderId="0" xfId="1" applyFont="1"/>
    <xf numFmtId="0" fontId="20" fillId="0" borderId="0" xfId="1" applyFont="1" applyAlignment="1">
      <alignment horizontal="right" vertical="center"/>
    </xf>
    <xf numFmtId="0" fontId="20" fillId="3" borderId="1" xfId="1" applyFont="1" applyFill="1" applyBorder="1" applyAlignment="1">
      <alignment horizontal="center" vertical="center"/>
    </xf>
    <xf numFmtId="0" fontId="5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10" fillId="0" borderId="0" xfId="1" applyFont="1"/>
    <xf numFmtId="0" fontId="19" fillId="0" borderId="0" xfId="1" applyFont="1" applyAlignment="1">
      <alignment horizontal="center" vertical="center"/>
    </xf>
    <xf numFmtId="0" fontId="73" fillId="2" borderId="0" xfId="1" applyFont="1" applyFill="1" applyAlignment="1">
      <alignment horizontal="right" vertical="top"/>
    </xf>
    <xf numFmtId="0" fontId="19" fillId="0" borderId="0" xfId="1" applyFont="1" applyAlignment="1">
      <alignment vertical="top"/>
    </xf>
    <xf numFmtId="0" fontId="19" fillId="3" borderId="0" xfId="1" applyFont="1" applyFill="1"/>
    <xf numFmtId="0" fontId="53" fillId="0" borderId="0" xfId="1" applyFont="1"/>
    <xf numFmtId="0" fontId="74" fillId="2" borderId="1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74" fillId="2" borderId="2" xfId="7" applyFont="1" applyFill="1" applyBorder="1" applyAlignment="1">
      <alignment horizontal="center" vertical="center" wrapText="1"/>
    </xf>
    <xf numFmtId="0" fontId="74" fillId="2" borderId="1" xfId="7" applyFont="1" applyFill="1" applyBorder="1" applyAlignment="1">
      <alignment horizontal="center" vertical="center" wrapText="1"/>
    </xf>
    <xf numFmtId="1" fontId="4" fillId="0" borderId="1" xfId="7" applyNumberFormat="1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1" fontId="8" fillId="0" borderId="1" xfId="7" applyNumberFormat="1" applyFont="1" applyBorder="1" applyAlignment="1">
      <alignment horizontal="center" vertical="center"/>
    </xf>
    <xf numFmtId="0" fontId="75" fillId="0" borderId="1" xfId="29" applyFont="1" applyBorder="1" applyAlignment="1">
      <alignment horizontal="center" vertical="center"/>
    </xf>
    <xf numFmtId="0" fontId="75" fillId="0" borderId="0" xfId="29" applyFont="1" applyAlignment="1">
      <alignment horizontal="center" vertical="center" wrapText="1"/>
    </xf>
    <xf numFmtId="0" fontId="48" fillId="0" borderId="1" xfId="29" applyFont="1" applyBorder="1" applyAlignment="1">
      <alignment horizontal="left" vertical="center" wrapText="1"/>
    </xf>
    <xf numFmtId="0" fontId="48" fillId="0" borderId="1" xfId="29" applyFont="1" applyBorder="1" applyAlignment="1">
      <alignment vertical="center" wrapText="1"/>
    </xf>
    <xf numFmtId="0" fontId="76" fillId="0" borderId="0" xfId="1" applyFont="1" applyAlignment="1">
      <alignment horizontal="center"/>
    </xf>
    <xf numFmtId="0" fontId="12" fillId="3" borderId="0" xfId="10" applyFont="1" applyFill="1" applyAlignment="1">
      <alignment horizontal="center" vertical="center"/>
    </xf>
    <xf numFmtId="0" fontId="12" fillId="3" borderId="0" xfId="10" applyFont="1" applyFill="1" applyAlignment="1">
      <alignment horizontal="center" vertical="center" wrapText="1"/>
    </xf>
    <xf numFmtId="0" fontId="56" fillId="0" borderId="1" xfId="30" applyFont="1" applyBorder="1" applyAlignment="1">
      <alignment horizontal="right" vertical="center" wrapText="1"/>
    </xf>
    <xf numFmtId="0" fontId="3" fillId="0" borderId="1" xfId="3" applyFont="1" applyBorder="1" applyAlignment="1">
      <alignment horizontal="center" vertical="center"/>
    </xf>
    <xf numFmtId="0" fontId="56" fillId="0" borderId="0" xfId="30" applyFont="1" applyAlignment="1">
      <alignment horizontal="center"/>
    </xf>
    <xf numFmtId="0" fontId="55" fillId="0" borderId="0" xfId="30" applyFont="1" applyAlignment="1">
      <alignment horizontal="center" vertical="center"/>
    </xf>
    <xf numFmtId="0" fontId="59" fillId="0" borderId="1" xfId="30" applyFont="1" applyBorder="1" applyAlignment="1">
      <alignment horizontal="center" vertical="center"/>
    </xf>
    <xf numFmtId="0" fontId="7" fillId="0" borderId="1" xfId="30" applyFont="1" applyBorder="1" applyAlignment="1">
      <alignment horizontal="center" vertical="center"/>
    </xf>
    <xf numFmtId="0" fontId="44" fillId="3" borderId="1" xfId="30" applyFont="1" applyFill="1" applyBorder="1" applyAlignment="1">
      <alignment horizontal="center" wrapText="1"/>
    </xf>
    <xf numFmtId="1" fontId="7" fillId="0" borderId="1" xfId="30" applyNumberFormat="1" applyFont="1" applyBorder="1" applyAlignment="1">
      <alignment horizontal="center"/>
    </xf>
    <xf numFmtId="0" fontId="12" fillId="0" borderId="12" xfId="30" applyFont="1" applyBorder="1" applyAlignment="1">
      <alignment horizontal="center"/>
    </xf>
    <xf numFmtId="0" fontId="12" fillId="0" borderId="14" xfId="30" applyFont="1" applyBorder="1" applyAlignment="1">
      <alignment horizontal="center"/>
    </xf>
    <xf numFmtId="0" fontId="12" fillId="0" borderId="3" xfId="30" applyFont="1" applyBorder="1" applyAlignment="1">
      <alignment horizontal="center"/>
    </xf>
    <xf numFmtId="0" fontId="12" fillId="0" borderId="15" xfId="30" applyFont="1" applyBorder="1" applyAlignment="1">
      <alignment horizontal="center"/>
    </xf>
    <xf numFmtId="1" fontId="27" fillId="0" borderId="1" xfId="30" applyNumberFormat="1" applyFont="1" applyBorder="1" applyAlignment="1">
      <alignment horizontal="center"/>
    </xf>
    <xf numFmtId="1" fontId="27" fillId="0" borderId="14" xfId="30" applyNumberFormat="1" applyFont="1" applyBorder="1" applyAlignment="1">
      <alignment horizontal="center"/>
    </xf>
    <xf numFmtId="0" fontId="12" fillId="0" borderId="10" xfId="30" applyFont="1" applyBorder="1" applyAlignment="1">
      <alignment horizontal="center"/>
    </xf>
    <xf numFmtId="0" fontId="12" fillId="0" borderId="12" xfId="30" applyFont="1" applyBorder="1" applyAlignment="1">
      <alignment horizontal="center" wrapText="1"/>
    </xf>
    <xf numFmtId="0" fontId="27" fillId="0" borderId="1" xfId="30" applyFont="1" applyBorder="1" applyAlignment="1">
      <alignment horizontal="center"/>
    </xf>
    <xf numFmtId="0" fontId="12" fillId="0" borderId="1" xfId="30" applyFont="1" applyBorder="1" applyAlignment="1">
      <alignment horizontal="center"/>
    </xf>
    <xf numFmtId="0" fontId="62" fillId="0" borderId="0" xfId="30" applyFont="1" applyAlignment="1">
      <alignment horizontal="center"/>
    </xf>
    <xf numFmtId="0" fontId="44" fillId="3" borderId="7" xfId="30" applyFont="1" applyFill="1" applyBorder="1" applyAlignment="1">
      <alignment horizontal="center" wrapText="1"/>
    </xf>
    <xf numFmtId="0" fontId="58" fillId="0" borderId="2" xfId="30" applyFont="1" applyBorder="1" applyAlignment="1">
      <alignment horizontal="center" wrapText="1"/>
    </xf>
    <xf numFmtId="0" fontId="58" fillId="0" borderId="2" xfId="30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55" fillId="0" borderId="8" xfId="32" applyFont="1" applyBorder="1" applyAlignment="1">
      <alignment horizontal="center" vertical="center"/>
    </xf>
    <xf numFmtId="0" fontId="59" fillId="0" borderId="0" xfId="32" applyFont="1" applyAlignment="1">
      <alignment horizontal="center" vertical="center"/>
    </xf>
    <xf numFmtId="0" fontId="55" fillId="0" borderId="12" xfId="32" applyFont="1" applyBorder="1" applyAlignment="1">
      <alignment horizontal="center" vertical="center"/>
    </xf>
    <xf numFmtId="0" fontId="59" fillId="0" borderId="5" xfId="32" applyFont="1" applyBorder="1" applyAlignment="1">
      <alignment horizontal="center" vertical="center"/>
    </xf>
    <xf numFmtId="0" fontId="59" fillId="3" borderId="0" xfId="32" applyFont="1" applyFill="1" applyAlignment="1">
      <alignment horizontal="center" vertical="center"/>
    </xf>
    <xf numFmtId="0" fontId="59" fillId="0" borderId="1" xfId="32" applyFont="1" applyBorder="1" applyAlignment="1">
      <alignment horizontal="center" vertical="center"/>
    </xf>
    <xf numFmtId="0" fontId="55" fillId="0" borderId="10" xfId="32" applyFont="1" applyBorder="1" applyAlignment="1">
      <alignment horizontal="center" vertical="center"/>
    </xf>
    <xf numFmtId="0" fontId="12" fillId="0" borderId="12" xfId="33" applyFont="1" applyBorder="1" applyAlignment="1">
      <alignment horizontal="center" vertical="center"/>
    </xf>
    <xf numFmtId="0" fontId="27" fillId="0" borderId="12" xfId="33" applyFont="1" applyBorder="1" applyAlignment="1">
      <alignment horizontal="center" vertical="center"/>
    </xf>
    <xf numFmtId="0" fontId="27" fillId="0" borderId="1" xfId="33" applyFont="1" applyBorder="1" applyAlignment="1">
      <alignment horizontal="center" vertical="center"/>
    </xf>
    <xf numFmtId="0" fontId="59" fillId="0" borderId="12" xfId="33" applyFont="1" applyBorder="1" applyAlignment="1">
      <alignment horizontal="center" vertical="center"/>
    </xf>
    <xf numFmtId="0" fontId="12" fillId="0" borderId="10" xfId="33" applyFont="1" applyBorder="1" applyAlignment="1">
      <alignment horizontal="center" vertical="center"/>
    </xf>
    <xf numFmtId="0" fontId="59" fillId="0" borderId="5" xfId="32" applyFont="1" applyBorder="1" applyAlignment="1">
      <alignment horizontal="center" vertical="center" wrapText="1"/>
    </xf>
    <xf numFmtId="0" fontId="8" fillId="0" borderId="0" xfId="34" applyFont="1" applyAlignment="1">
      <alignment horizontal="center" vertical="center"/>
    </xf>
    <xf numFmtId="0" fontId="55" fillId="0" borderId="0" xfId="34" applyFont="1" applyAlignment="1">
      <alignment horizontal="center" vertical="center"/>
    </xf>
    <xf numFmtId="0" fontId="2" fillId="0" borderId="0" xfId="9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56" fillId="0" borderId="0" xfId="36" applyFont="1" applyAlignment="1">
      <alignment horizontal="center" vertical="center"/>
    </xf>
    <xf numFmtId="0" fontId="62" fillId="0" borderId="0" xfId="36" applyFont="1" applyAlignment="1">
      <alignment horizontal="center" vertical="center"/>
    </xf>
    <xf numFmtId="0" fontId="68" fillId="0" borderId="0" xfId="36" applyFont="1" applyAlignment="1">
      <alignment horizontal="center" vertical="center"/>
    </xf>
    <xf numFmtId="0" fontId="68" fillId="0" borderId="0" xfId="36" applyFont="1" applyAlignment="1">
      <alignment horizontal="center" vertical="center" wrapText="1"/>
    </xf>
    <xf numFmtId="0" fontId="69" fillId="0" borderId="1" xfId="36" applyFont="1" applyBorder="1" applyAlignment="1">
      <alignment horizontal="center" vertical="center"/>
    </xf>
    <xf numFmtId="0" fontId="68" fillId="0" borderId="1" xfId="36" applyFont="1" applyBorder="1" applyAlignment="1">
      <alignment horizontal="center" vertical="center"/>
    </xf>
    <xf numFmtId="0" fontId="55" fillId="0" borderId="0" xfId="36" applyFont="1" applyAlignment="1">
      <alignment horizontal="center" vertical="center"/>
    </xf>
    <xf numFmtId="0" fontId="59" fillId="0" borderId="1" xfId="36" applyFont="1" applyBorder="1" applyAlignment="1">
      <alignment horizontal="center" vertical="center"/>
    </xf>
    <xf numFmtId="0" fontId="55" fillId="0" borderId="1" xfId="36" applyFont="1" applyBorder="1" applyAlignment="1">
      <alignment horizontal="center" vertical="center"/>
    </xf>
    <xf numFmtId="0" fontId="59" fillId="0" borderId="0" xfId="36" applyFont="1" applyAlignment="1">
      <alignment horizontal="center" vertical="center"/>
    </xf>
    <xf numFmtId="0" fontId="55" fillId="0" borderId="1" xfId="36" applyFont="1" applyBorder="1" applyAlignment="1">
      <alignment horizontal="center" vertical="center" wrapText="1"/>
    </xf>
    <xf numFmtId="0" fontId="35" fillId="0" borderId="3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25" fillId="3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textRotation="90" wrapText="1"/>
    </xf>
    <xf numFmtId="0" fontId="5" fillId="0" borderId="1" xfId="3" applyFont="1" applyBorder="1" applyAlignment="1">
      <alignment horizontal="center" vertical="center" wrapText="1"/>
    </xf>
    <xf numFmtId="0" fontId="8" fillId="3" borderId="1" xfId="29" applyFont="1" applyFill="1" applyBorder="1" applyAlignment="1">
      <alignment horizontal="center" vertical="center" wrapText="1"/>
    </xf>
    <xf numFmtId="0" fontId="8" fillId="3" borderId="1" xfId="29" applyFont="1" applyFill="1" applyBorder="1" applyAlignment="1">
      <alignment horizontal="center" vertical="center" textRotation="90" wrapText="1"/>
    </xf>
    <xf numFmtId="0" fontId="8" fillId="0" borderId="0" xfId="29" applyFont="1" applyAlignment="1">
      <alignment horizontal="center" vertical="center" wrapText="1"/>
    </xf>
    <xf numFmtId="0" fontId="4" fillId="6" borderId="0" xfId="1" applyFont="1" applyFill="1" applyAlignment="1">
      <alignment horizontal="center"/>
    </xf>
    <xf numFmtId="0" fontId="4" fillId="0" borderId="0" xfId="1" applyFont="1" applyAlignment="1">
      <alignment vertical="top"/>
    </xf>
    <xf numFmtId="0" fontId="14" fillId="0" borderId="1" xfId="1" applyFont="1" applyBorder="1" applyAlignment="1">
      <alignment vertical="center" wrapText="1"/>
    </xf>
    <xf numFmtId="0" fontId="15" fillId="4" borderId="8" xfId="1" applyFont="1" applyFill="1" applyBorder="1" applyAlignment="1">
      <alignment horizontal="center" vertical="center"/>
    </xf>
    <xf numFmtId="0" fontId="10" fillId="0" borderId="0" xfId="3" applyFont="1"/>
    <xf numFmtId="0" fontId="25" fillId="0" borderId="0" xfId="3" applyFont="1" applyAlignment="1">
      <alignment horizontal="right" vertical="top"/>
    </xf>
    <xf numFmtId="0" fontId="25" fillId="0" borderId="0" xfId="3" applyFont="1" applyAlignment="1">
      <alignment vertical="center" wrapText="1"/>
    </xf>
    <xf numFmtId="0" fontId="32" fillId="0" borderId="8" xfId="3" applyFont="1" applyBorder="1" applyAlignment="1">
      <alignment horizontal="center" vertical="center" wrapText="1"/>
    </xf>
    <xf numFmtId="0" fontId="10" fillId="0" borderId="1" xfId="3" applyFont="1" applyBorder="1" applyAlignment="1">
      <alignment vertical="center"/>
    </xf>
    <xf numFmtId="0" fontId="25" fillId="0" borderId="0" xfId="3" applyFont="1" applyAlignment="1">
      <alignment vertical="center"/>
    </xf>
    <xf numFmtId="0" fontId="19" fillId="0" borderId="0" xfId="3" applyFont="1"/>
    <xf numFmtId="0" fontId="20" fillId="0" borderId="0" xfId="3" applyFont="1" applyAlignment="1">
      <alignment vertical="center" wrapText="1"/>
    </xf>
    <xf numFmtId="0" fontId="19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0" fillId="0" borderId="0" xfId="3" applyFont="1" applyAlignment="1">
      <alignment vertical="center"/>
    </xf>
    <xf numFmtId="0" fontId="32" fillId="0" borderId="8" xfId="6" applyFont="1" applyBorder="1" applyAlignment="1">
      <alignment horizontal="center" vertical="center" wrapText="1"/>
    </xf>
    <xf numFmtId="0" fontId="10" fillId="0" borderId="0" xfId="6" applyFont="1" applyAlignment="1">
      <alignment vertical="center"/>
    </xf>
    <xf numFmtId="0" fontId="10" fillId="0" borderId="0" xfId="8" applyFont="1" applyAlignment="1">
      <alignment vertical="top"/>
    </xf>
    <xf numFmtId="0" fontId="25" fillId="0" borderId="1" xfId="3" applyFont="1" applyBorder="1" applyAlignment="1">
      <alignment vertical="center" wrapText="1"/>
    </xf>
    <xf numFmtId="0" fontId="25" fillId="0" borderId="1" xfId="3" applyFont="1" applyBorder="1" applyAlignment="1">
      <alignment vertical="center"/>
    </xf>
    <xf numFmtId="0" fontId="25" fillId="0" borderId="1" xfId="6" applyFont="1" applyBorder="1" applyAlignment="1">
      <alignment vertical="center" wrapText="1"/>
    </xf>
    <xf numFmtId="0" fontId="25" fillId="0" borderId="0" xfId="3" applyFont="1"/>
    <xf numFmtId="0" fontId="32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/>
    </xf>
    <xf numFmtId="0" fontId="82" fillId="0" borderId="0" xfId="3" applyFont="1"/>
    <xf numFmtId="0" fontId="47" fillId="0" borderId="4" xfId="10" applyFont="1" applyBorder="1" applyAlignment="1">
      <alignment vertical="center"/>
    </xf>
    <xf numFmtId="0" fontId="25" fillId="3" borderId="1" xfId="11" applyFont="1" applyFill="1" applyBorder="1" applyAlignment="1">
      <alignment horizontal="center" vertical="center"/>
    </xf>
    <xf numFmtId="0" fontId="25" fillId="0" borderId="0" xfId="11" applyFont="1" applyAlignment="1">
      <alignment vertical="center" wrapText="1"/>
    </xf>
    <xf numFmtId="0" fontId="25" fillId="0" borderId="0" xfId="11" applyFont="1" applyAlignment="1">
      <alignment vertical="center"/>
    </xf>
    <xf numFmtId="0" fontId="72" fillId="0" borderId="8" xfId="11" applyFont="1" applyBorder="1" applyAlignment="1">
      <alignment horizontal="center" vertical="center" wrapText="1"/>
    </xf>
    <xf numFmtId="0" fontId="25" fillId="0" borderId="1" xfId="11" applyFont="1" applyBorder="1" applyAlignment="1">
      <alignment horizontal="center" vertical="center"/>
    </xf>
    <xf numFmtId="0" fontId="25" fillId="0" borderId="1" xfId="11" applyFont="1" applyBorder="1" applyAlignment="1">
      <alignment vertical="center" wrapText="1"/>
    </xf>
    <xf numFmtId="0" fontId="10" fillId="0" borderId="0" xfId="11" applyFont="1" applyAlignment="1">
      <alignment vertical="center"/>
    </xf>
    <xf numFmtId="0" fontId="25" fillId="0" borderId="1" xfId="11" applyFont="1" applyBorder="1" applyAlignment="1">
      <alignment vertical="center"/>
    </xf>
    <xf numFmtId="0" fontId="25" fillId="0" borderId="0" xfId="11" applyFont="1"/>
    <xf numFmtId="0" fontId="10" fillId="0" borderId="0" xfId="11" applyFont="1"/>
    <xf numFmtId="0" fontId="10" fillId="0" borderId="0" xfId="15" applyFont="1" applyAlignment="1">
      <alignment horizontal="center" vertical="center"/>
    </xf>
    <xf numFmtId="0" fontId="25" fillId="0" borderId="0" xfId="9" applyFont="1" applyAlignment="1">
      <alignment horizontal="center" vertical="center"/>
    </xf>
    <xf numFmtId="0" fontId="39" fillId="3" borderId="1" xfId="1" applyFont="1" applyFill="1" applyBorder="1" applyAlignment="1">
      <alignment horizontal="center" vertical="center" wrapText="1"/>
    </xf>
    <xf numFmtId="0" fontId="39" fillId="3" borderId="1" xfId="14" applyFont="1" applyFill="1" applyBorder="1" applyAlignment="1">
      <alignment horizontal="center" vertical="center" wrapText="1"/>
    </xf>
    <xf numFmtId="0" fontId="10" fillId="3" borderId="0" xfId="15" applyFont="1" applyFill="1" applyAlignment="1">
      <alignment horizontal="center" vertical="center"/>
    </xf>
    <xf numFmtId="0" fontId="72" fillId="0" borderId="1" xfId="15" applyFont="1" applyBorder="1" applyAlignment="1">
      <alignment horizontal="center" vertical="center" wrapText="1"/>
    </xf>
    <xf numFmtId="0" fontId="10" fillId="0" borderId="1" xfId="15" applyFont="1" applyBorder="1" applyAlignment="1">
      <alignment horizontal="center" vertical="center"/>
    </xf>
    <xf numFmtId="0" fontId="25" fillId="0" borderId="1" xfId="18" applyFont="1" applyBorder="1" applyAlignment="1">
      <alignment horizontal="left" vertical="center" wrapText="1"/>
    </xf>
    <xf numFmtId="0" fontId="5" fillId="0" borderId="1" xfId="3" applyFont="1" applyBorder="1" applyAlignment="1">
      <alignment horizontal="right" vertical="top"/>
    </xf>
    <xf numFmtId="0" fontId="5" fillId="0" borderId="5" xfId="6" applyFont="1" applyBorder="1" applyAlignment="1">
      <alignment horizontal="left" vertical="center" wrapText="1"/>
    </xf>
    <xf numFmtId="0" fontId="42" fillId="2" borderId="14" xfId="6" applyFont="1" applyFill="1" applyBorder="1" applyAlignment="1">
      <alignment horizontal="left" vertical="center" wrapText="1"/>
    </xf>
    <xf numFmtId="0" fontId="5" fillId="0" borderId="10" xfId="6" applyFont="1" applyBorder="1" applyAlignment="1">
      <alignment horizontal="left" vertical="center" wrapText="1"/>
    </xf>
    <xf numFmtId="0" fontId="42" fillId="2" borderId="5" xfId="6" applyFont="1" applyFill="1" applyBorder="1" applyAlignment="1">
      <alignment horizontal="left" vertical="center" wrapText="1"/>
    </xf>
    <xf numFmtId="0" fontId="4" fillId="0" borderId="1" xfId="6" applyFont="1" applyBorder="1" applyAlignment="1">
      <alignment vertical="center"/>
    </xf>
    <xf numFmtId="0" fontId="65" fillId="0" borderId="0" xfId="0" applyFont="1"/>
    <xf numFmtId="0" fontId="15" fillId="0" borderId="1" xfId="17" applyFont="1" applyBorder="1" applyAlignment="1">
      <alignment horizontal="left" vertical="center" wrapText="1"/>
    </xf>
    <xf numFmtId="0" fontId="78" fillId="0" borderId="0" xfId="0" applyFont="1"/>
    <xf numFmtId="0" fontId="25" fillId="3" borderId="1" xfId="9" applyFont="1" applyFill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0" fontId="84" fillId="0" borderId="0" xfId="0" applyFont="1"/>
    <xf numFmtId="0" fontId="14" fillId="0" borderId="0" xfId="18" applyFont="1"/>
    <xf numFmtId="0" fontId="31" fillId="0" borderId="1" xfId="10" applyFont="1" applyBorder="1" applyAlignment="1">
      <alignment horizontal="center" vertical="center"/>
    </xf>
    <xf numFmtId="0" fontId="14" fillId="0" borderId="1" xfId="18" applyFont="1" applyBorder="1"/>
    <xf numFmtId="0" fontId="13" fillId="0" borderId="1" xfId="18" applyFont="1" applyBorder="1"/>
    <xf numFmtId="0" fontId="45" fillId="0" borderId="1" xfId="30" applyFont="1" applyBorder="1" applyAlignment="1">
      <alignment horizontal="center" vertical="center" wrapText="1"/>
    </xf>
    <xf numFmtId="0" fontId="45" fillId="0" borderId="0" xfId="30" applyFont="1"/>
    <xf numFmtId="164" fontId="59" fillId="0" borderId="1" xfId="30" applyNumberFormat="1" applyFont="1" applyBorder="1" applyAlignment="1">
      <alignment horizontal="center" vertical="center"/>
    </xf>
    <xf numFmtId="164" fontId="55" fillId="0" borderId="1" xfId="30" applyNumberFormat="1" applyFont="1" applyBorder="1" applyAlignment="1">
      <alignment horizontal="center" vertical="center"/>
    </xf>
    <xf numFmtId="164" fontId="60" fillId="0" borderId="1" xfId="6" applyNumberFormat="1" applyFont="1" applyBorder="1" applyAlignment="1">
      <alignment horizontal="center" vertical="center"/>
    </xf>
    <xf numFmtId="164" fontId="7" fillId="0" borderId="1" xfId="30" applyNumberFormat="1" applyFont="1" applyBorder="1" applyAlignment="1">
      <alignment horizontal="center" vertical="center"/>
    </xf>
    <xf numFmtId="0" fontId="68" fillId="0" borderId="0" xfId="36" applyFont="1" applyAlignment="1">
      <alignment horizontal="left" vertical="center"/>
    </xf>
    <xf numFmtId="0" fontId="55" fillId="0" borderId="8" xfId="32" applyFont="1" applyBorder="1" applyAlignment="1">
      <alignment horizontal="left" vertical="center"/>
    </xf>
    <xf numFmtId="0" fontId="59" fillId="0" borderId="1" xfId="32" applyFont="1" applyBorder="1" applyAlignment="1">
      <alignment horizontal="center" vertical="center" wrapText="1"/>
    </xf>
    <xf numFmtId="0" fontId="14" fillId="0" borderId="1" xfId="3" applyFont="1" applyBorder="1" applyAlignment="1">
      <alignment vertical="center" wrapText="1"/>
    </xf>
    <xf numFmtId="0" fontId="14" fillId="0" borderId="1" xfId="3" applyFont="1" applyBorder="1" applyAlignment="1">
      <alignment vertical="center"/>
    </xf>
    <xf numFmtId="0" fontId="51" fillId="0" borderId="1" xfId="10" applyFont="1" applyBorder="1" applyAlignment="1">
      <alignment horizontal="center" vertical="center" wrapText="1"/>
    </xf>
    <xf numFmtId="0" fontId="85" fillId="0" borderId="0" xfId="0" applyFont="1"/>
    <xf numFmtId="0" fontId="10" fillId="0" borderId="1" xfId="9" applyFont="1" applyBorder="1" applyAlignment="1">
      <alignment vertical="top" wrapText="1"/>
    </xf>
    <xf numFmtId="0" fontId="55" fillId="0" borderId="1" xfId="32" applyFont="1" applyBorder="1" applyAlignment="1">
      <alignment horizontal="center" vertical="center" wrapText="1"/>
    </xf>
    <xf numFmtId="0" fontId="12" fillId="0" borderId="12" xfId="33" applyFont="1" applyBorder="1" applyAlignment="1">
      <alignment horizontal="left" vertical="center"/>
    </xf>
    <xf numFmtId="0" fontId="56" fillId="0" borderId="4" xfId="32" applyFont="1" applyBorder="1" applyAlignment="1">
      <alignment horizontal="right" vertical="center"/>
    </xf>
    <xf numFmtId="0" fontId="56" fillId="0" borderId="0" xfId="36" applyFont="1" applyAlignment="1">
      <alignment horizontal="left" vertical="center"/>
    </xf>
    <xf numFmtId="0" fontId="4" fillId="0" borderId="1" xfId="3" applyFont="1" applyBorder="1" applyAlignment="1">
      <alignment vertical="top"/>
    </xf>
    <xf numFmtId="0" fontId="14" fillId="0" borderId="1" xfId="3" applyFont="1" applyBorder="1"/>
    <xf numFmtId="0" fontId="43" fillId="0" borderId="2" xfId="32" applyFont="1" applyBorder="1" applyAlignment="1">
      <alignment horizontal="center" vertical="center"/>
    </xf>
    <xf numFmtId="0" fontId="43" fillId="0" borderId="8" xfId="32" applyFont="1" applyBorder="1" applyAlignment="1">
      <alignment horizontal="center" vertical="center"/>
    </xf>
    <xf numFmtId="0" fontId="55" fillId="0" borderId="1" xfId="32" applyFont="1" applyBorder="1" applyAlignment="1">
      <alignment vertical="center"/>
    </xf>
    <xf numFmtId="0" fontId="56" fillId="0" borderId="1" xfId="32" applyFont="1" applyBorder="1" applyAlignment="1">
      <alignment horizontal="left" vertical="center" wrapText="1"/>
    </xf>
    <xf numFmtId="0" fontId="25" fillId="3" borderId="0" xfId="11" applyFont="1" applyFill="1" applyAlignment="1">
      <alignment horizontal="center" vertical="center"/>
    </xf>
    <xf numFmtId="0" fontId="81" fillId="0" borderId="0" xfId="20" applyFont="1" applyAlignment="1">
      <alignment horizontal="right" vertical="center"/>
    </xf>
    <xf numFmtId="1" fontId="10" fillId="0" borderId="0" xfId="11" applyNumberFormat="1" applyFont="1"/>
    <xf numFmtId="166" fontId="27" fillId="0" borderId="1" xfId="40" applyNumberFormat="1" applyFont="1" applyBorder="1"/>
    <xf numFmtId="166" fontId="7" fillId="0" borderId="1" xfId="40" applyNumberFormat="1" applyFont="1" applyBorder="1"/>
    <xf numFmtId="166" fontId="12" fillId="0" borderId="1" xfId="40" applyNumberFormat="1" applyFont="1" applyBorder="1"/>
    <xf numFmtId="0" fontId="12" fillId="0" borderId="1" xfId="9" applyFont="1" applyBorder="1" applyAlignment="1">
      <alignment horizontal="left" vertical="center"/>
    </xf>
    <xf numFmtId="0" fontId="12" fillId="0" borderId="1" xfId="9" applyFont="1" applyBorder="1" applyAlignment="1">
      <alignment horizontal="left" vertical="top"/>
    </xf>
    <xf numFmtId="166" fontId="4" fillId="0" borderId="1" xfId="40" applyNumberFormat="1" applyFont="1" applyBorder="1" applyAlignment="1">
      <alignment horizontal="center" vertical="center"/>
    </xf>
    <xf numFmtId="166" fontId="7" fillId="0" borderId="1" xfId="40" applyNumberFormat="1" applyFont="1" applyBorder="1" applyAlignment="1">
      <alignment horizontal="center" vertical="center"/>
    </xf>
    <xf numFmtId="166" fontId="5" fillId="0" borderId="1" xfId="40" applyNumberFormat="1" applyFont="1" applyBorder="1" applyAlignment="1">
      <alignment horizontal="center" vertical="center"/>
    </xf>
    <xf numFmtId="166" fontId="10" fillId="0" borderId="1" xfId="40" applyNumberFormat="1" applyFont="1" applyBorder="1" applyAlignment="1">
      <alignment horizontal="center" vertical="center"/>
    </xf>
    <xf numFmtId="166" fontId="78" fillId="0" borderId="1" xfId="40" applyNumberFormat="1" applyFont="1" applyBorder="1" applyAlignment="1">
      <alignment horizontal="center" vertical="center"/>
    </xf>
    <xf numFmtId="166" fontId="25" fillId="0" borderId="1" xfId="40" applyNumberFormat="1" applyFont="1" applyBorder="1" applyAlignment="1">
      <alignment horizontal="center" vertical="center"/>
    </xf>
    <xf numFmtId="166" fontId="25" fillId="3" borderId="1" xfId="40" applyNumberFormat="1" applyFont="1" applyFill="1" applyBorder="1" applyAlignment="1">
      <alignment horizontal="center" vertical="center"/>
    </xf>
    <xf numFmtId="166" fontId="25" fillId="3" borderId="1" xfId="40" applyNumberFormat="1" applyFont="1" applyFill="1" applyBorder="1" applyAlignment="1">
      <alignment horizontal="center" vertical="center" wrapText="1"/>
    </xf>
    <xf numFmtId="166" fontId="32" fillId="0" borderId="1" xfId="40" applyNumberFormat="1" applyFont="1" applyBorder="1" applyAlignment="1">
      <alignment horizontal="center" vertical="center" wrapText="1"/>
    </xf>
    <xf numFmtId="166" fontId="15" fillId="0" borderId="1" xfId="40" applyNumberFormat="1" applyFont="1" applyBorder="1" applyAlignment="1">
      <alignment horizontal="center" vertical="center"/>
    </xf>
    <xf numFmtId="166" fontId="82" fillId="0" borderId="0" xfId="40" applyNumberFormat="1" applyFont="1"/>
    <xf numFmtId="166" fontId="5" fillId="3" borderId="1" xfId="40" applyNumberFormat="1" applyFont="1" applyFill="1" applyBorder="1" applyAlignment="1">
      <alignment horizontal="center" vertical="center"/>
    </xf>
    <xf numFmtId="166" fontId="16" fillId="0" borderId="8" xfId="40" applyNumberFormat="1" applyFont="1" applyBorder="1" applyAlignment="1">
      <alignment horizontal="center" vertical="center" wrapText="1"/>
    </xf>
    <xf numFmtId="166" fontId="14" fillId="0" borderId="1" xfId="40" applyNumberFormat="1" applyFont="1" applyBorder="1" applyAlignment="1">
      <alignment horizontal="center" vertical="center"/>
    </xf>
    <xf numFmtId="166" fontId="4" fillId="0" borderId="1" xfId="40" applyNumberFormat="1" applyFont="1" applyBorder="1" applyAlignment="1">
      <alignment vertical="center"/>
    </xf>
    <xf numFmtId="166" fontId="4" fillId="0" borderId="0" xfId="40" applyNumberFormat="1" applyFont="1"/>
    <xf numFmtId="166" fontId="27" fillId="0" borderId="1" xfId="40" applyNumberFormat="1" applyFont="1" applyBorder="1" applyAlignment="1">
      <alignment horizontal="center" vertical="center"/>
    </xf>
    <xf numFmtId="166" fontId="12" fillId="0" borderId="1" xfId="40" applyNumberFormat="1" applyFont="1" applyBorder="1" applyAlignment="1">
      <alignment horizontal="center" vertical="center"/>
    </xf>
    <xf numFmtId="166" fontId="13" fillId="0" borderId="1" xfId="40" applyNumberFormat="1" applyFont="1" applyBorder="1" applyAlignment="1">
      <alignment horizontal="center" vertical="center"/>
    </xf>
    <xf numFmtId="166" fontId="27" fillId="0" borderId="0" xfId="40" applyNumberFormat="1" applyFont="1" applyAlignment="1">
      <alignment vertical="center"/>
    </xf>
    <xf numFmtId="166" fontId="14" fillId="0" borderId="1" xfId="40" applyNumberFormat="1" applyFont="1" applyBorder="1" applyAlignment="1">
      <alignment horizontal="center" vertical="center" wrapText="1"/>
    </xf>
    <xf numFmtId="166" fontId="12" fillId="0" borderId="1" xfId="40" applyNumberFormat="1" applyFont="1" applyBorder="1" applyAlignment="1">
      <alignment horizontal="center" vertical="center" wrapText="1"/>
    </xf>
    <xf numFmtId="166" fontId="13" fillId="0" borderId="1" xfId="40" applyNumberFormat="1" applyFont="1" applyBorder="1" applyAlignment="1">
      <alignment horizontal="center" vertical="center" wrapText="1"/>
    </xf>
    <xf numFmtId="166" fontId="27" fillId="0" borderId="1" xfId="40" applyNumberFormat="1" applyFont="1" applyBorder="1" applyAlignment="1">
      <alignment horizontal="center" vertical="center" wrapText="1"/>
    </xf>
    <xf numFmtId="166" fontId="27" fillId="7" borderId="1" xfId="40" applyNumberFormat="1" applyFont="1" applyFill="1" applyBorder="1" applyAlignment="1">
      <alignment horizontal="center" vertical="center" wrapText="1"/>
    </xf>
    <xf numFmtId="166" fontId="78" fillId="6" borderId="1" xfId="40" applyNumberFormat="1" applyFont="1" applyFill="1" applyBorder="1" applyAlignment="1">
      <alignment horizontal="center" vertical="center"/>
    </xf>
    <xf numFmtId="166" fontId="14" fillId="0" borderId="1" xfId="40" applyNumberFormat="1" applyFont="1" applyBorder="1" applyAlignment="1">
      <alignment horizontal="center"/>
    </xf>
    <xf numFmtId="166" fontId="7" fillId="0" borderId="1" xfId="40" applyNumberFormat="1" applyFont="1" applyBorder="1" applyAlignment="1">
      <alignment horizontal="center"/>
    </xf>
    <xf numFmtId="165" fontId="4" fillId="0" borderId="0" xfId="6" applyNumberFormat="1" applyFont="1" applyAlignment="1">
      <alignment vertical="center"/>
    </xf>
    <xf numFmtId="166" fontId="77" fillId="0" borderId="1" xfId="40" applyNumberFormat="1" applyFont="1" applyBorder="1" applyAlignment="1">
      <alignment horizontal="center" vertical="center"/>
    </xf>
    <xf numFmtId="166" fontId="79" fillId="0" borderId="1" xfId="40" applyNumberFormat="1" applyFont="1" applyBorder="1" applyAlignment="1">
      <alignment horizontal="center" vertical="center"/>
    </xf>
    <xf numFmtId="166" fontId="28" fillId="0" borderId="1" xfId="40" applyNumberFormat="1" applyFont="1" applyBorder="1" applyAlignment="1">
      <alignment horizontal="center" vertical="center" wrapText="1"/>
    </xf>
    <xf numFmtId="0" fontId="12" fillId="0" borderId="5" xfId="10" applyFont="1" applyBorder="1" applyAlignment="1">
      <alignment horizontal="left" vertical="center" wrapText="1"/>
    </xf>
    <xf numFmtId="0" fontId="12" fillId="0" borderId="6" xfId="10" applyFont="1" applyBorder="1" applyAlignment="1">
      <alignment horizontal="left" vertical="center" wrapText="1"/>
    </xf>
    <xf numFmtId="0" fontId="12" fillId="0" borderId="7" xfId="10" applyFont="1" applyBorder="1" applyAlignment="1">
      <alignment horizontal="left" vertical="center" wrapText="1"/>
    </xf>
    <xf numFmtId="0" fontId="12" fillId="0" borderId="1" xfId="10" applyFont="1" applyBorder="1" applyAlignment="1" applyProtection="1">
      <alignment horizontal="center" vertical="center"/>
      <protection locked="0"/>
    </xf>
    <xf numFmtId="0" fontId="42" fillId="2" borderId="1" xfId="1" applyFont="1" applyFill="1" applyBorder="1" applyAlignment="1">
      <alignment horizontal="center" vertical="center" wrapText="1"/>
    </xf>
    <xf numFmtId="0" fontId="73" fillId="2" borderId="4" xfId="1" applyFont="1" applyFill="1" applyBorder="1" applyAlignment="1">
      <alignment horizontal="center" vertical="center"/>
    </xf>
    <xf numFmtId="0" fontId="32" fillId="0" borderId="3" xfId="1" applyFont="1" applyBorder="1" applyAlignment="1">
      <alignment horizontal="center" wrapText="1"/>
    </xf>
    <xf numFmtId="0" fontId="5" fillId="0" borderId="1" xfId="1" applyFont="1" applyBorder="1" applyAlignment="1">
      <alignment horizontal="center" vertical="center"/>
    </xf>
    <xf numFmtId="0" fontId="32" fillId="0" borderId="3" xfId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vertical="center"/>
    </xf>
    <xf numFmtId="0" fontId="25" fillId="3" borderId="1" xfId="1" applyFont="1" applyFill="1" applyBorder="1" applyAlignment="1">
      <alignment horizontal="center" vertical="center" wrapText="1"/>
    </xf>
    <xf numFmtId="0" fontId="25" fillId="3" borderId="1" xfId="1" applyFont="1" applyFill="1" applyBorder="1" applyAlignment="1">
      <alignment horizontal="center" vertical="center"/>
    </xf>
    <xf numFmtId="0" fontId="25" fillId="3" borderId="5" xfId="1" applyFont="1" applyFill="1" applyBorder="1" applyAlignment="1">
      <alignment horizontal="center" vertical="center"/>
    </xf>
    <xf numFmtId="0" fontId="25" fillId="3" borderId="6" xfId="1" applyFont="1" applyFill="1" applyBorder="1" applyAlignment="1">
      <alignment horizontal="center" vertical="center"/>
    </xf>
    <xf numFmtId="0" fontId="25" fillId="3" borderId="7" xfId="1" applyFont="1" applyFill="1" applyBorder="1" applyAlignment="1">
      <alignment horizontal="center" vertical="center"/>
    </xf>
    <xf numFmtId="0" fontId="73" fillId="2" borderId="4" xfId="1" applyFont="1" applyFill="1" applyBorder="1" applyAlignment="1">
      <alignment horizontal="left" vertical="top" wrapText="1"/>
    </xf>
    <xf numFmtId="0" fontId="42" fillId="0" borderId="5" xfId="1" applyFont="1" applyBorder="1" applyAlignment="1">
      <alignment horizontal="center" vertical="center" wrapText="1"/>
    </xf>
    <xf numFmtId="0" fontId="42" fillId="0" borderId="7" xfId="1" applyFont="1" applyBorder="1" applyAlignment="1">
      <alignment horizontal="center" vertical="center" wrapText="1"/>
    </xf>
    <xf numFmtId="0" fontId="73" fillId="2" borderId="4" xfId="1" applyFont="1" applyFill="1" applyBorder="1" applyAlignment="1">
      <alignment horizontal="center" vertical="top" wrapText="1"/>
    </xf>
    <xf numFmtId="0" fontId="5" fillId="0" borderId="1" xfId="3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8" fillId="0" borderId="1" xfId="5" applyFont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/>
    </xf>
    <xf numFmtId="0" fontId="5" fillId="3" borderId="8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8" xfId="3" applyFont="1" applyFill="1" applyBorder="1" applyAlignment="1">
      <alignment horizontal="center" vertical="center"/>
    </xf>
    <xf numFmtId="0" fontId="20" fillId="5" borderId="1" xfId="6" applyFont="1" applyFill="1" applyBorder="1" applyAlignment="1">
      <alignment horizontal="center" vertical="center" wrapText="1"/>
    </xf>
    <xf numFmtId="0" fontId="20" fillId="5" borderId="2" xfId="6" applyFont="1" applyFill="1" applyBorder="1" applyAlignment="1">
      <alignment horizontal="center" vertical="center" wrapText="1"/>
    </xf>
    <xf numFmtId="0" fontId="20" fillId="5" borderId="8" xfId="6" applyFont="1" applyFill="1" applyBorder="1" applyAlignment="1">
      <alignment horizontal="center" vertical="center" wrapText="1"/>
    </xf>
    <xf numFmtId="0" fontId="20" fillId="0" borderId="0" xfId="28" applyFont="1" applyAlignment="1">
      <alignment horizontal="right" vertical="center"/>
    </xf>
    <xf numFmtId="0" fontId="20" fillId="0" borderId="4" xfId="28" applyFont="1" applyBorder="1" applyAlignment="1">
      <alignment horizontal="left" vertical="center" wrapText="1"/>
    </xf>
    <xf numFmtId="0" fontId="20" fillId="0" borderId="4" xfId="28" applyFont="1" applyBorder="1" applyAlignment="1">
      <alignment horizontal="left" vertical="center"/>
    </xf>
    <xf numFmtId="0" fontId="47" fillId="0" borderId="4" xfId="29" applyFont="1" applyBorder="1" applyAlignment="1">
      <alignment horizontal="left" vertical="center" wrapText="1"/>
    </xf>
    <xf numFmtId="0" fontId="47" fillId="0" borderId="5" xfId="29" applyFont="1" applyBorder="1" applyAlignment="1">
      <alignment horizontal="center" vertical="center"/>
    </xf>
    <xf numFmtId="0" fontId="47" fillId="0" borderId="7" xfId="29" applyFont="1" applyBorder="1" applyAlignment="1">
      <alignment horizontal="center" vertical="center"/>
    </xf>
    <xf numFmtId="0" fontId="5" fillId="0" borderId="0" xfId="1" applyFont="1" applyAlignment="1">
      <alignment horizontal="right" vertical="top"/>
    </xf>
    <xf numFmtId="0" fontId="5" fillId="0" borderId="4" xfId="1" applyFont="1" applyBorder="1" applyAlignment="1">
      <alignment horizontal="left" vertical="top" wrapText="1"/>
    </xf>
    <xf numFmtId="0" fontId="5" fillId="3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15" fillId="4" borderId="5" xfId="1" applyFont="1" applyFill="1" applyBorder="1" applyAlignment="1">
      <alignment horizontal="center" vertical="center" wrapText="1"/>
    </xf>
    <xf numFmtId="0" fontId="15" fillId="4" borderId="7" xfId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0" borderId="4" xfId="3" applyFont="1" applyBorder="1" applyAlignment="1">
      <alignment horizontal="left" vertical="top"/>
    </xf>
    <xf numFmtId="0" fontId="13" fillId="0" borderId="1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left" vertical="top"/>
    </xf>
    <xf numFmtId="0" fontId="20" fillId="3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20" fillId="0" borderId="1" xfId="3" applyFont="1" applyBorder="1" applyAlignment="1">
      <alignment horizontal="left" vertical="top" wrapText="1"/>
    </xf>
    <xf numFmtId="164" fontId="20" fillId="0" borderId="1" xfId="3" applyNumberFormat="1" applyFont="1" applyBorder="1" applyAlignment="1">
      <alignment horizontal="center" vertical="center"/>
    </xf>
    <xf numFmtId="164" fontId="20" fillId="0" borderId="4" xfId="3" applyNumberFormat="1" applyFont="1" applyBorder="1" applyAlignment="1">
      <alignment horizontal="left" vertical="top" wrapText="1"/>
    </xf>
    <xf numFmtId="164" fontId="20" fillId="3" borderId="2" xfId="3" applyNumberFormat="1" applyFont="1" applyFill="1" applyBorder="1" applyAlignment="1">
      <alignment horizontal="center" vertical="center" wrapText="1"/>
    </xf>
    <xf numFmtId="164" fontId="20" fillId="3" borderId="8" xfId="3" applyNumberFormat="1" applyFont="1" applyFill="1" applyBorder="1" applyAlignment="1">
      <alignment horizontal="center" vertical="center" wrapText="1"/>
    </xf>
    <xf numFmtId="164" fontId="20" fillId="3" borderId="1" xfId="3" applyNumberFormat="1" applyFont="1" applyFill="1" applyBorder="1" applyAlignment="1">
      <alignment horizontal="center" vertical="center" wrapText="1"/>
    </xf>
    <xf numFmtId="164" fontId="20" fillId="3" borderId="5" xfId="3" applyNumberFormat="1" applyFont="1" applyFill="1" applyBorder="1" applyAlignment="1">
      <alignment horizontal="center" vertical="center" wrapText="1"/>
    </xf>
    <xf numFmtId="164" fontId="20" fillId="3" borderId="6" xfId="3" applyNumberFormat="1" applyFont="1" applyFill="1" applyBorder="1" applyAlignment="1">
      <alignment horizontal="center" vertical="center" wrapText="1"/>
    </xf>
    <xf numFmtId="164" fontId="20" fillId="3" borderId="7" xfId="3" applyNumberFormat="1" applyFont="1" applyFill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/>
    </xf>
    <xf numFmtId="0" fontId="5" fillId="0" borderId="4" xfId="3" applyFont="1" applyBorder="1" applyAlignment="1">
      <alignment horizontal="left" vertical="top" wrapText="1"/>
    </xf>
    <xf numFmtId="0" fontId="5" fillId="3" borderId="2" xfId="6" applyFont="1" applyFill="1" applyBorder="1" applyAlignment="1">
      <alignment horizontal="center" vertical="center" wrapText="1"/>
    </xf>
    <xf numFmtId="0" fontId="5" fillId="3" borderId="8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0" fontId="5" fillId="3" borderId="5" xfId="6" applyFont="1" applyFill="1" applyBorder="1" applyAlignment="1">
      <alignment horizontal="center" vertical="center" wrapText="1"/>
    </xf>
    <xf numFmtId="0" fontId="5" fillId="3" borderId="6" xfId="6" applyFont="1" applyFill="1" applyBorder="1" applyAlignment="1">
      <alignment horizontal="center" vertical="center" wrapText="1"/>
    </xf>
    <xf numFmtId="0" fontId="5" fillId="3" borderId="7" xfId="6" applyFont="1" applyFill="1" applyBorder="1" applyAlignment="1">
      <alignment horizontal="center" vertical="center" wrapText="1"/>
    </xf>
    <xf numFmtId="0" fontId="25" fillId="0" borderId="4" xfId="8" applyFont="1" applyBorder="1" applyAlignment="1">
      <alignment horizontal="left" vertical="top" wrapText="1"/>
    </xf>
    <xf numFmtId="0" fontId="25" fillId="0" borderId="4" xfId="8" applyFont="1" applyBorder="1" applyAlignment="1">
      <alignment horizontal="left" vertical="top"/>
    </xf>
    <xf numFmtId="0" fontId="25" fillId="3" borderId="2" xfId="3" applyFont="1" applyFill="1" applyBorder="1" applyAlignment="1">
      <alignment horizontal="center" vertical="center" wrapText="1"/>
    </xf>
    <xf numFmtId="0" fontId="25" fillId="3" borderId="8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166" fontId="5" fillId="0" borderId="4" xfId="40" applyNumberFormat="1" applyFont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/>
    </xf>
    <xf numFmtId="166" fontId="25" fillId="3" borderId="1" xfId="40" applyNumberFormat="1" applyFont="1" applyFill="1" applyBorder="1" applyAlignment="1">
      <alignment horizontal="center" vertical="center"/>
    </xf>
    <xf numFmtId="166" fontId="25" fillId="3" borderId="5" xfId="40" applyNumberFormat="1" applyFont="1" applyFill="1" applyBorder="1" applyAlignment="1">
      <alignment horizontal="center" vertical="center"/>
    </xf>
    <xf numFmtId="166" fontId="25" fillId="3" borderId="6" xfId="40" applyNumberFormat="1" applyFont="1" applyFill="1" applyBorder="1" applyAlignment="1">
      <alignment horizontal="center" vertical="center"/>
    </xf>
    <xf numFmtId="166" fontId="25" fillId="3" borderId="7" xfId="40" applyNumberFormat="1" applyFont="1" applyFill="1" applyBorder="1" applyAlignment="1">
      <alignment horizontal="center" vertical="center"/>
    </xf>
    <xf numFmtId="166" fontId="25" fillId="3" borderId="2" xfId="40" applyNumberFormat="1" applyFont="1" applyFill="1" applyBorder="1" applyAlignment="1">
      <alignment horizontal="center" vertical="center" textRotation="90" wrapText="1"/>
    </xf>
    <xf numFmtId="166" fontId="25" fillId="3" borderId="8" xfId="40" applyNumberFormat="1" applyFont="1" applyFill="1" applyBorder="1" applyAlignment="1">
      <alignment horizontal="center" vertical="center" textRotation="90" wrapText="1"/>
    </xf>
    <xf numFmtId="166" fontId="25" fillId="3" borderId="1" xfId="40" applyNumberFormat="1" applyFont="1" applyFill="1" applyBorder="1" applyAlignment="1">
      <alignment horizontal="center" vertical="center" wrapText="1"/>
    </xf>
    <xf numFmtId="0" fontId="25" fillId="3" borderId="2" xfId="3" applyFont="1" applyFill="1" applyBorder="1" applyAlignment="1">
      <alignment horizontal="center" vertical="center" textRotation="90" wrapText="1"/>
    </xf>
    <xf numFmtId="0" fontId="25" fillId="3" borderId="8" xfId="3" applyFont="1" applyFill="1" applyBorder="1" applyAlignment="1">
      <alignment horizontal="center" vertical="center" textRotation="90" wrapText="1"/>
    </xf>
    <xf numFmtId="166" fontId="5" fillId="0" borderId="4" xfId="40" applyNumberFormat="1" applyFont="1" applyBorder="1" applyAlignment="1">
      <alignment horizontal="center" vertical="top" wrapText="1"/>
    </xf>
    <xf numFmtId="166" fontId="5" fillId="3" borderId="5" xfId="40" applyNumberFormat="1" applyFont="1" applyFill="1" applyBorder="1" applyAlignment="1">
      <alignment horizontal="center" vertical="center" wrapText="1"/>
    </xf>
    <xf numFmtId="166" fontId="5" fillId="3" borderId="6" xfId="40" applyNumberFormat="1" applyFont="1" applyFill="1" applyBorder="1" applyAlignment="1">
      <alignment horizontal="center" vertical="center" wrapText="1"/>
    </xf>
    <xf numFmtId="166" fontId="5" fillId="3" borderId="7" xfId="40" applyNumberFormat="1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5" fillId="3" borderId="8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49" fillId="3" borderId="1" xfId="9" applyFont="1" applyFill="1" applyBorder="1" applyAlignment="1">
      <alignment horizontal="center" vertical="center" wrapText="1"/>
    </xf>
    <xf numFmtId="0" fontId="47" fillId="0" borderId="4" xfId="10" applyFont="1" applyBorder="1" applyAlignment="1">
      <alignment horizontal="left" vertical="center" wrapText="1"/>
    </xf>
    <xf numFmtId="0" fontId="20" fillId="0" borderId="0" xfId="9" applyFont="1" applyAlignment="1">
      <alignment horizontal="right" vertical="center"/>
    </xf>
    <xf numFmtId="0" fontId="49" fillId="3" borderId="1" xfId="10" applyFont="1" applyFill="1" applyBorder="1" applyAlignment="1">
      <alignment horizontal="center" vertical="center"/>
    </xf>
    <xf numFmtId="0" fontId="50" fillId="3" borderId="1" xfId="10" applyFont="1" applyFill="1" applyBorder="1" applyAlignment="1">
      <alignment horizontal="center" vertical="center"/>
    </xf>
    <xf numFmtId="0" fontId="50" fillId="3" borderId="1" xfId="10" applyFont="1" applyFill="1" applyBorder="1" applyAlignment="1">
      <alignment horizontal="center" vertical="center" wrapText="1"/>
    </xf>
    <xf numFmtId="0" fontId="5" fillId="0" borderId="1" xfId="9" applyFont="1" applyBorder="1" applyAlignment="1">
      <alignment horizontal="right" vertical="top"/>
    </xf>
    <xf numFmtId="0" fontId="8" fillId="0" borderId="1" xfId="10" applyFont="1" applyBorder="1" applyAlignment="1">
      <alignment horizontal="center" vertical="center" wrapText="1"/>
    </xf>
    <xf numFmtId="0" fontId="10" fillId="0" borderId="1" xfId="9" applyFont="1" applyBorder="1" applyAlignment="1">
      <alignment horizontal="center" vertical="center"/>
    </xf>
    <xf numFmtId="0" fontId="13" fillId="3" borderId="1" xfId="10" applyFont="1" applyFill="1" applyBorder="1" applyAlignment="1">
      <alignment horizontal="center" vertical="center" wrapText="1"/>
    </xf>
    <xf numFmtId="0" fontId="12" fillId="3" borderId="1" xfId="10" applyFont="1" applyFill="1" applyBorder="1" applyAlignment="1">
      <alignment horizontal="center" vertical="center" wrapText="1"/>
    </xf>
    <xf numFmtId="0" fontId="13" fillId="3" borderId="1" xfId="9" applyFont="1" applyFill="1" applyBorder="1" applyAlignment="1">
      <alignment horizontal="center" vertical="center" wrapText="1"/>
    </xf>
    <xf numFmtId="0" fontId="12" fillId="3" borderId="1" xfId="10" applyFont="1" applyFill="1" applyBorder="1" applyAlignment="1">
      <alignment horizontal="center" vertical="center"/>
    </xf>
    <xf numFmtId="0" fontId="12" fillId="0" borderId="2" xfId="10" applyFont="1" applyBorder="1" applyAlignment="1">
      <alignment horizontal="left" vertical="center"/>
    </xf>
    <xf numFmtId="0" fontId="12" fillId="0" borderId="9" xfId="10" applyFont="1" applyBorder="1" applyAlignment="1">
      <alignment horizontal="left" vertical="center"/>
    </xf>
    <xf numFmtId="0" fontId="12" fillId="0" borderId="8" xfId="10" applyFont="1" applyBorder="1" applyAlignment="1">
      <alignment horizontal="left" vertical="center"/>
    </xf>
    <xf numFmtId="0" fontId="12" fillId="0" borderId="2" xfId="9" applyFont="1" applyBorder="1" applyAlignment="1">
      <alignment horizontal="left" vertical="center"/>
    </xf>
    <xf numFmtId="0" fontId="12" fillId="0" borderId="9" xfId="9" applyFont="1" applyBorder="1" applyAlignment="1">
      <alignment horizontal="left" vertical="center"/>
    </xf>
    <xf numFmtId="0" fontId="12" fillId="0" borderId="8" xfId="9" applyFont="1" applyBorder="1" applyAlignment="1">
      <alignment horizontal="left" vertical="center"/>
    </xf>
    <xf numFmtId="0" fontId="25" fillId="3" borderId="0" xfId="11" applyFont="1" applyFill="1" applyAlignment="1">
      <alignment horizontal="center" vertical="center"/>
    </xf>
    <xf numFmtId="0" fontId="25" fillId="3" borderId="5" xfId="11" applyFont="1" applyFill="1" applyBorder="1" applyAlignment="1">
      <alignment horizontal="center" vertical="center"/>
    </xf>
    <xf numFmtId="0" fontId="25" fillId="3" borderId="6" xfId="11" applyFont="1" applyFill="1" applyBorder="1" applyAlignment="1">
      <alignment horizontal="center" vertical="center"/>
    </xf>
    <xf numFmtId="0" fontId="25" fillId="3" borderId="7" xfId="11" applyFont="1" applyFill="1" applyBorder="1" applyAlignment="1">
      <alignment horizontal="center" vertical="center"/>
    </xf>
    <xf numFmtId="0" fontId="25" fillId="3" borderId="1" xfId="11" applyFont="1" applyFill="1" applyBorder="1" applyAlignment="1">
      <alignment horizontal="center" vertical="center"/>
    </xf>
    <xf numFmtId="0" fontId="25" fillId="0" borderId="1" xfId="11" applyFont="1" applyBorder="1" applyAlignment="1">
      <alignment horizontal="center" vertical="center"/>
    </xf>
    <xf numFmtId="0" fontId="25" fillId="0" borderId="0" xfId="3" applyFont="1" applyAlignment="1">
      <alignment horizontal="left" vertical="top"/>
    </xf>
    <xf numFmtId="0" fontId="25" fillId="3" borderId="2" xfId="11" applyFont="1" applyFill="1" applyBorder="1" applyAlignment="1">
      <alignment horizontal="center" vertical="center" wrapText="1"/>
    </xf>
    <xf numFmtId="0" fontId="25" fillId="3" borderId="8" xfId="11" applyFont="1" applyFill="1" applyBorder="1" applyAlignment="1">
      <alignment horizontal="center" vertical="center" wrapText="1"/>
    </xf>
    <xf numFmtId="0" fontId="25" fillId="3" borderId="1" xfId="11" applyFont="1" applyFill="1" applyBorder="1" applyAlignment="1">
      <alignment horizontal="center" vertical="center" wrapText="1"/>
    </xf>
    <xf numFmtId="0" fontId="25" fillId="3" borderId="5" xfId="11" applyFont="1" applyFill="1" applyBorder="1" applyAlignment="1">
      <alignment horizontal="center" vertical="center" wrapText="1"/>
    </xf>
    <xf numFmtId="0" fontId="25" fillId="3" borderId="6" xfId="11" applyFont="1" applyFill="1" applyBorder="1" applyAlignment="1">
      <alignment horizontal="center" vertical="center" wrapText="1"/>
    </xf>
    <xf numFmtId="0" fontId="25" fillId="3" borderId="7" xfId="11" applyFont="1" applyFill="1" applyBorder="1" applyAlignment="1">
      <alignment horizontal="center" vertical="center" wrapText="1"/>
    </xf>
    <xf numFmtId="0" fontId="13" fillId="3" borderId="1" xfId="10" applyFont="1" applyFill="1" applyBorder="1" applyAlignment="1">
      <alignment horizontal="center" vertical="top" wrapText="1"/>
    </xf>
    <xf numFmtId="0" fontId="13" fillId="3" borderId="1" xfId="10" applyFont="1" applyFill="1" applyBorder="1" applyAlignment="1">
      <alignment horizontal="center"/>
    </xf>
    <xf numFmtId="0" fontId="5" fillId="0" borderId="0" xfId="10" applyFont="1" applyAlignment="1">
      <alignment horizontal="left" vertical="top" wrapText="1"/>
    </xf>
    <xf numFmtId="0" fontId="13" fillId="3" borderId="2" xfId="10" applyFont="1" applyFill="1" applyBorder="1" applyAlignment="1">
      <alignment horizontal="center" vertical="center" wrapText="1"/>
    </xf>
    <xf numFmtId="0" fontId="13" fillId="3" borderId="8" xfId="10" applyFont="1" applyFill="1" applyBorder="1" applyAlignment="1">
      <alignment horizontal="center" vertical="center" wrapText="1"/>
    </xf>
    <xf numFmtId="0" fontId="13" fillId="3" borderId="1" xfId="10" applyFont="1" applyFill="1" applyBorder="1" applyAlignment="1">
      <alignment horizontal="center" vertical="center"/>
    </xf>
    <xf numFmtId="0" fontId="5" fillId="0" borderId="4" xfId="10" applyFont="1" applyBorder="1" applyAlignment="1">
      <alignment horizontal="left" vertical="top" wrapText="1"/>
    </xf>
    <xf numFmtId="0" fontId="5" fillId="0" borderId="4" xfId="10" applyFont="1" applyBorder="1" applyAlignment="1">
      <alignment horizontal="left" vertical="top"/>
    </xf>
    <xf numFmtId="0" fontId="8" fillId="3" borderId="5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7" xfId="10" applyFont="1" applyFill="1" applyBorder="1" applyAlignment="1">
      <alignment horizontal="center" vertical="center"/>
    </xf>
    <xf numFmtId="0" fontId="5" fillId="0" borderId="4" xfId="6" applyFont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5" fillId="0" borderId="1" xfId="13" applyFont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42" fillId="3" borderId="14" xfId="1" applyFont="1" applyFill="1" applyBorder="1" applyAlignment="1">
      <alignment horizontal="center" vertical="center" wrapText="1"/>
    </xf>
    <xf numFmtId="0" fontId="42" fillId="3" borderId="3" xfId="1" applyFont="1" applyFill="1" applyBorder="1" applyAlignment="1">
      <alignment horizontal="center" vertical="center" wrapText="1"/>
    </xf>
    <xf numFmtId="0" fontId="42" fillId="3" borderId="15" xfId="1" applyFont="1" applyFill="1" applyBorder="1" applyAlignment="1">
      <alignment horizontal="center" vertical="center" wrapText="1"/>
    </xf>
    <xf numFmtId="0" fontId="42" fillId="3" borderId="1" xfId="14" applyFont="1" applyFill="1" applyBorder="1" applyAlignment="1">
      <alignment horizontal="center" vertical="center" wrapText="1"/>
    </xf>
    <xf numFmtId="0" fontId="4" fillId="3" borderId="1" xfId="14" applyFont="1" applyFill="1" applyBorder="1" applyAlignment="1">
      <alignment vertical="center"/>
    </xf>
    <xf numFmtId="0" fontId="5" fillId="0" borderId="4" xfId="9" applyFont="1" applyBorder="1" applyAlignment="1">
      <alignment horizontal="left" vertical="center" wrapText="1"/>
    </xf>
    <xf numFmtId="0" fontId="5" fillId="0" borderId="4" xfId="9" applyFont="1" applyBorder="1" applyAlignment="1">
      <alignment horizontal="left" vertical="top" wrapText="1"/>
    </xf>
    <xf numFmtId="0" fontId="42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/>
    </xf>
    <xf numFmtId="0" fontId="37" fillId="3" borderId="14" xfId="1" applyFont="1" applyFill="1" applyBorder="1" applyAlignment="1">
      <alignment horizontal="center" vertical="center" wrapText="1"/>
    </xf>
    <xf numFmtId="0" fontId="37" fillId="3" borderId="3" xfId="1" applyFont="1" applyFill="1" applyBorder="1" applyAlignment="1">
      <alignment horizontal="center" vertical="center" wrapText="1"/>
    </xf>
    <xf numFmtId="0" fontId="37" fillId="3" borderId="15" xfId="1" applyFont="1" applyFill="1" applyBorder="1" applyAlignment="1">
      <alignment horizontal="center" vertical="center" wrapText="1"/>
    </xf>
    <xf numFmtId="0" fontId="37" fillId="3" borderId="1" xfId="14" applyFont="1" applyFill="1" applyBorder="1" applyAlignment="1">
      <alignment horizontal="center" vertical="center" wrapText="1"/>
    </xf>
    <xf numFmtId="0" fontId="38" fillId="3" borderId="1" xfId="14" applyFont="1" applyFill="1" applyBorder="1" applyAlignment="1">
      <alignment vertical="center"/>
    </xf>
    <xf numFmtId="0" fontId="36" fillId="2" borderId="1" xfId="1" applyFont="1" applyFill="1" applyBorder="1" applyAlignment="1">
      <alignment horizontal="center" vertical="center" wrapText="1"/>
    </xf>
    <xf numFmtId="0" fontId="13" fillId="3" borderId="1" xfId="15" applyFont="1" applyFill="1" applyBorder="1" applyAlignment="1">
      <alignment horizontal="center" vertical="center" wrapText="1"/>
    </xf>
    <xf numFmtId="0" fontId="37" fillId="3" borderId="1" xfId="1" applyFont="1" applyFill="1" applyBorder="1" applyAlignment="1">
      <alignment horizontal="center" vertical="center" wrapText="1"/>
    </xf>
    <xf numFmtId="0" fontId="38" fillId="3" borderId="1" xfId="1" applyFont="1" applyFill="1" applyBorder="1" applyAlignment="1">
      <alignment vertical="center"/>
    </xf>
    <xf numFmtId="0" fontId="25" fillId="0" borderId="5" xfId="18" applyFont="1" applyBorder="1" applyAlignment="1">
      <alignment horizontal="center" vertical="center" wrapText="1"/>
    </xf>
    <xf numFmtId="0" fontId="25" fillId="0" borderId="7" xfId="18" applyFont="1" applyBorder="1" applyAlignment="1">
      <alignment horizontal="center" vertical="center" wrapText="1"/>
    </xf>
    <xf numFmtId="0" fontId="39" fillId="3" borderId="1" xfId="14" applyFont="1" applyFill="1" applyBorder="1" applyAlignment="1">
      <alignment horizontal="center" vertical="center" wrapText="1"/>
    </xf>
    <xf numFmtId="0" fontId="10" fillId="3" borderId="1" xfId="14" applyFont="1" applyFill="1" applyBorder="1" applyAlignment="1">
      <alignment horizontal="center" vertical="center"/>
    </xf>
    <xf numFmtId="0" fontId="25" fillId="0" borderId="4" xfId="9" applyFont="1" applyBorder="1" applyAlignment="1">
      <alignment horizontal="center" vertical="center" wrapText="1"/>
    </xf>
    <xf numFmtId="0" fontId="25" fillId="3" borderId="1" xfId="15" applyFont="1" applyFill="1" applyBorder="1" applyAlignment="1">
      <alignment horizontal="center" vertical="center" wrapText="1"/>
    </xf>
    <xf numFmtId="0" fontId="39" fillId="3" borderId="1" xfId="15" applyFont="1" applyFill="1" applyBorder="1" applyAlignment="1">
      <alignment horizontal="center" vertical="center" wrapText="1"/>
    </xf>
    <xf numFmtId="0" fontId="39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39" fillId="3" borderId="14" xfId="1" applyFont="1" applyFill="1" applyBorder="1" applyAlignment="1">
      <alignment horizontal="center" vertical="center" wrapText="1"/>
    </xf>
    <xf numFmtId="0" fontId="39" fillId="3" borderId="3" xfId="1" applyFont="1" applyFill="1" applyBorder="1" applyAlignment="1">
      <alignment horizontal="center" vertical="center" wrapText="1"/>
    </xf>
    <xf numFmtId="0" fontId="39" fillId="3" borderId="15" xfId="1" applyFont="1" applyFill="1" applyBorder="1" applyAlignment="1">
      <alignment horizontal="center" vertical="center" wrapText="1"/>
    </xf>
    <xf numFmtId="0" fontId="36" fillId="3" borderId="2" xfId="3" applyFont="1" applyFill="1" applyBorder="1" applyAlignment="1">
      <alignment horizontal="center" vertical="center" wrapText="1"/>
    </xf>
    <xf numFmtId="0" fontId="36" fillId="3" borderId="8" xfId="3" applyFont="1" applyFill="1" applyBorder="1" applyAlignment="1">
      <alignment horizontal="center" vertical="center" wrapText="1"/>
    </xf>
    <xf numFmtId="0" fontId="36" fillId="3" borderId="1" xfId="3" applyFont="1" applyFill="1" applyBorder="1" applyAlignment="1">
      <alignment horizontal="center" vertical="center" wrapText="1"/>
    </xf>
    <xf numFmtId="0" fontId="14" fillId="3" borderId="1" xfId="3" applyFont="1" applyFill="1" applyBorder="1" applyAlignment="1">
      <alignment vertical="center"/>
    </xf>
    <xf numFmtId="0" fontId="36" fillId="3" borderId="14" xfId="3" applyFont="1" applyFill="1" applyBorder="1" applyAlignment="1">
      <alignment horizontal="center" vertical="center" wrapText="1"/>
    </xf>
    <xf numFmtId="0" fontId="36" fillId="3" borderId="3" xfId="3" applyFont="1" applyFill="1" applyBorder="1" applyAlignment="1">
      <alignment horizontal="center" vertical="center" wrapText="1"/>
    </xf>
    <xf numFmtId="0" fontId="36" fillId="3" borderId="15" xfId="3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top" wrapText="1"/>
    </xf>
    <xf numFmtId="0" fontId="5" fillId="0" borderId="1" xfId="3" applyFont="1" applyBorder="1" applyAlignment="1">
      <alignment horizontal="left" vertical="top"/>
    </xf>
    <xf numFmtId="0" fontId="13" fillId="3" borderId="1" xfId="3" applyFont="1" applyFill="1" applyBorder="1" applyAlignment="1">
      <alignment horizontal="center" vertical="center" wrapText="1"/>
    </xf>
    <xf numFmtId="0" fontId="13" fillId="0" borderId="1" xfId="17" applyFont="1" applyBorder="1" applyAlignment="1">
      <alignment horizontal="center" vertical="center"/>
    </xf>
    <xf numFmtId="0" fontId="5" fillId="0" borderId="0" xfId="17" applyFont="1" applyAlignment="1">
      <alignment horizontal="center" vertical="center" wrapText="1"/>
    </xf>
    <xf numFmtId="0" fontId="13" fillId="3" borderId="2" xfId="17" applyFont="1" applyFill="1" applyBorder="1" applyAlignment="1">
      <alignment horizontal="center" vertical="center" wrapText="1"/>
    </xf>
    <xf numFmtId="0" fontId="13" fillId="3" borderId="8" xfId="17" applyFont="1" applyFill="1" applyBorder="1" applyAlignment="1">
      <alignment horizontal="center" vertical="center" wrapText="1"/>
    </xf>
    <xf numFmtId="0" fontId="13" fillId="3" borderId="5" xfId="17" applyFont="1" applyFill="1" applyBorder="1" applyAlignment="1">
      <alignment horizontal="center" vertical="center" wrapText="1"/>
    </xf>
    <xf numFmtId="0" fontId="13" fillId="3" borderId="7" xfId="17" applyFont="1" applyFill="1" applyBorder="1" applyAlignment="1">
      <alignment horizontal="center" vertical="center" wrapText="1"/>
    </xf>
    <xf numFmtId="0" fontId="13" fillId="3" borderId="1" xfId="20" applyFont="1" applyFill="1" applyBorder="1" applyAlignment="1">
      <alignment horizontal="center" vertical="center" wrapText="1"/>
    </xf>
    <xf numFmtId="164" fontId="5" fillId="0" borderId="1" xfId="3" applyNumberFormat="1" applyFont="1" applyBorder="1" applyAlignment="1">
      <alignment horizontal="left" vertical="top" wrapText="1"/>
    </xf>
    <xf numFmtId="0" fontId="42" fillId="3" borderId="1" xfId="6" applyFont="1" applyFill="1" applyBorder="1" applyAlignment="1">
      <alignment horizontal="center" vertical="center" wrapText="1"/>
    </xf>
    <xf numFmtId="0" fontId="4" fillId="3" borderId="1" xfId="6" applyFont="1" applyFill="1" applyBorder="1" applyAlignment="1">
      <alignment vertical="center"/>
    </xf>
    <xf numFmtId="0" fontId="42" fillId="3" borderId="14" xfId="6" applyFont="1" applyFill="1" applyBorder="1" applyAlignment="1">
      <alignment horizontal="center" vertical="center" wrapText="1"/>
    </xf>
    <xf numFmtId="0" fontId="42" fillId="3" borderId="3" xfId="6" applyFont="1" applyFill="1" applyBorder="1" applyAlignment="1">
      <alignment horizontal="center" vertical="center" wrapText="1"/>
    </xf>
    <xf numFmtId="0" fontId="42" fillId="3" borderId="15" xfId="6" applyFont="1" applyFill="1" applyBorder="1" applyAlignment="1">
      <alignment horizontal="center" vertical="center" wrapText="1"/>
    </xf>
    <xf numFmtId="0" fontId="5" fillId="0" borderId="5" xfId="19" applyFont="1" applyBorder="1" applyAlignment="1">
      <alignment horizontal="center" vertical="center" wrapText="1"/>
    </xf>
    <xf numFmtId="0" fontId="5" fillId="0" borderId="7" xfId="19" applyFont="1" applyBorder="1" applyAlignment="1">
      <alignment horizontal="center" vertical="center" wrapText="1"/>
    </xf>
    <xf numFmtId="0" fontId="5" fillId="3" borderId="1" xfId="19" applyFont="1" applyFill="1" applyBorder="1" applyAlignment="1">
      <alignment horizontal="center" vertical="center" wrapText="1"/>
    </xf>
    <xf numFmtId="0" fontId="5" fillId="3" borderId="1" xfId="21" applyFont="1" applyFill="1" applyBorder="1" applyAlignment="1">
      <alignment horizontal="center" vertical="center" wrapText="1"/>
    </xf>
    <xf numFmtId="0" fontId="5" fillId="3" borderId="5" xfId="20" applyFont="1" applyFill="1" applyBorder="1" applyAlignment="1">
      <alignment horizontal="center" vertical="center" wrapText="1"/>
    </xf>
    <xf numFmtId="0" fontId="5" fillId="3" borderId="6" xfId="20" applyFont="1" applyFill="1" applyBorder="1" applyAlignment="1">
      <alignment horizontal="center" vertical="center" wrapText="1"/>
    </xf>
    <xf numFmtId="0" fontId="5" fillId="3" borderId="7" xfId="20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/>
    </xf>
    <xf numFmtId="0" fontId="15" fillId="0" borderId="7" xfId="3" applyFont="1" applyBorder="1" applyAlignment="1">
      <alignment horizontal="center"/>
    </xf>
    <xf numFmtId="0" fontId="25" fillId="0" borderId="4" xfId="3" applyFont="1" applyBorder="1" applyAlignment="1">
      <alignment horizontal="left" vertical="top" wrapText="1"/>
    </xf>
    <xf numFmtId="0" fontId="13" fillId="3" borderId="5" xfId="11" applyFont="1" applyFill="1" applyBorder="1" applyAlignment="1">
      <alignment horizontal="center" vertical="center" wrapText="1"/>
    </xf>
    <xf numFmtId="0" fontId="13" fillId="3" borderId="6" xfId="11" applyFont="1" applyFill="1" applyBorder="1" applyAlignment="1">
      <alignment horizontal="center" vertical="center" wrapText="1"/>
    </xf>
    <xf numFmtId="0" fontId="13" fillId="3" borderId="7" xfId="11" applyFont="1" applyFill="1" applyBorder="1" applyAlignment="1">
      <alignment horizontal="center" vertical="center" wrapText="1"/>
    </xf>
    <xf numFmtId="0" fontId="13" fillId="3" borderId="5" xfId="11" applyFont="1" applyFill="1" applyBorder="1" applyAlignment="1">
      <alignment horizontal="center" vertical="center"/>
    </xf>
    <xf numFmtId="0" fontId="13" fillId="3" borderId="6" xfId="11" applyFont="1" applyFill="1" applyBorder="1" applyAlignment="1">
      <alignment horizontal="center" vertical="center"/>
    </xf>
    <xf numFmtId="0" fontId="13" fillId="3" borderId="7" xfId="11" applyFont="1" applyFill="1" applyBorder="1" applyAlignment="1">
      <alignment horizontal="center" vertical="center"/>
    </xf>
    <xf numFmtId="0" fontId="13" fillId="3" borderId="2" xfId="11" applyFont="1" applyFill="1" applyBorder="1" applyAlignment="1">
      <alignment horizontal="center" vertical="center" wrapText="1"/>
    </xf>
    <xf numFmtId="0" fontId="13" fillId="3" borderId="8" xfId="11" applyFont="1" applyFill="1" applyBorder="1" applyAlignment="1">
      <alignment horizontal="center" vertical="center" wrapText="1"/>
    </xf>
    <xf numFmtId="0" fontId="13" fillId="3" borderId="1" xfId="11" applyFont="1" applyFill="1" applyBorder="1" applyAlignment="1">
      <alignment horizontal="center" vertical="center" wrapText="1"/>
    </xf>
    <xf numFmtId="0" fontId="5" fillId="0" borderId="0" xfId="9" applyFont="1" applyAlignment="1">
      <alignment horizontal="center" vertical="center" wrapText="1"/>
    </xf>
    <xf numFmtId="0" fontId="25" fillId="3" borderId="1" xfId="9" applyFont="1" applyFill="1" applyBorder="1" applyAlignment="1">
      <alignment horizontal="center" vertical="center" wrapText="1"/>
    </xf>
    <xf numFmtId="0" fontId="80" fillId="0" borderId="0" xfId="9" applyFont="1" applyAlignment="1">
      <alignment horizontal="right" vertical="center"/>
    </xf>
    <xf numFmtId="0" fontId="83" fillId="0" borderId="0" xfId="10" applyFont="1" applyAlignment="1">
      <alignment horizontal="left" vertical="center" wrapText="1"/>
    </xf>
    <xf numFmtId="0" fontId="81" fillId="0" borderId="0" xfId="9" applyFont="1" applyAlignment="1">
      <alignment vertical="center"/>
    </xf>
    <xf numFmtId="0" fontId="83" fillId="0" borderId="0" xfId="10" applyFont="1" applyAlignment="1">
      <alignment horizontal="left" vertical="center"/>
    </xf>
    <xf numFmtId="0" fontId="25" fillId="3" borderId="1" xfId="10" applyFont="1" applyFill="1" applyBorder="1" applyAlignment="1">
      <alignment horizontal="center" vertical="center"/>
    </xf>
    <xf numFmtId="0" fontId="15" fillId="3" borderId="1" xfId="10" applyFont="1" applyFill="1" applyBorder="1" applyAlignment="1">
      <alignment horizontal="center" vertical="center"/>
    </xf>
    <xf numFmtId="0" fontId="15" fillId="3" borderId="1" xfId="10" applyFont="1" applyFill="1" applyBorder="1" applyAlignment="1">
      <alignment horizontal="center" vertical="center" wrapText="1"/>
    </xf>
    <xf numFmtId="0" fontId="25" fillId="3" borderId="5" xfId="9" applyFont="1" applyFill="1" applyBorder="1" applyAlignment="1">
      <alignment horizontal="center" vertical="center"/>
    </xf>
    <xf numFmtId="0" fontId="25" fillId="3" borderId="6" xfId="9" applyFont="1" applyFill="1" applyBorder="1" applyAlignment="1">
      <alignment horizontal="center" vertical="center"/>
    </xf>
    <xf numFmtId="0" fontId="25" fillId="3" borderId="7" xfId="9" applyFont="1" applyFill="1" applyBorder="1" applyAlignment="1">
      <alignment horizontal="center" vertical="center"/>
    </xf>
    <xf numFmtId="0" fontId="83" fillId="0" borderId="4" xfId="10" applyFont="1" applyBorder="1" applyAlignment="1">
      <alignment horizontal="left" vertical="center" wrapText="1"/>
    </xf>
    <xf numFmtId="0" fontId="12" fillId="0" borderId="1" xfId="10" applyFont="1" applyBorder="1" applyAlignment="1">
      <alignment horizontal="center" vertical="center" wrapText="1"/>
    </xf>
    <xf numFmtId="164" fontId="8" fillId="0" borderId="1" xfId="10" applyNumberFormat="1" applyFont="1" applyBorder="1" applyAlignment="1">
      <alignment horizontal="left" vertical="center" wrapText="1"/>
    </xf>
    <xf numFmtId="164" fontId="27" fillId="3" borderId="1" xfId="10" applyNumberFormat="1" applyFont="1" applyFill="1" applyBorder="1" applyAlignment="1">
      <alignment horizontal="center" vertical="center" wrapText="1"/>
    </xf>
    <xf numFmtId="164" fontId="12" fillId="3" borderId="1" xfId="10" applyNumberFormat="1" applyFont="1" applyFill="1" applyBorder="1" applyAlignment="1">
      <alignment horizontal="center" vertical="center"/>
    </xf>
    <xf numFmtId="164" fontId="12" fillId="0" borderId="2" xfId="10" applyNumberFormat="1" applyFont="1" applyBorder="1" applyAlignment="1">
      <alignment horizontal="left" vertical="center" wrapText="1"/>
    </xf>
    <xf numFmtId="164" fontId="12" fillId="0" borderId="9" xfId="10" applyNumberFormat="1" applyFont="1" applyBorder="1" applyAlignment="1">
      <alignment horizontal="left" vertical="center" wrapText="1"/>
    </xf>
    <xf numFmtId="164" fontId="12" fillId="0" borderId="8" xfId="1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5" fillId="0" borderId="1" xfId="1" applyFont="1" applyBorder="1" applyAlignment="1">
      <alignment horizontal="center" vertical="center"/>
    </xf>
    <xf numFmtId="0" fontId="15" fillId="10" borderId="1" xfId="18" applyFont="1" applyFill="1" applyBorder="1" applyAlignment="1">
      <alignment horizontal="center" vertical="center" wrapText="1"/>
    </xf>
    <xf numFmtId="0" fontId="25" fillId="11" borderId="1" xfId="1" applyFont="1" applyFill="1" applyBorder="1" applyAlignment="1">
      <alignment horizontal="center" vertical="center" wrapText="1"/>
    </xf>
    <xf numFmtId="0" fontId="25" fillId="10" borderId="1" xfId="1" applyFont="1" applyFill="1" applyBorder="1" applyAlignment="1">
      <alignment horizontal="center" vertical="center" wrapText="1"/>
    </xf>
    <xf numFmtId="1" fontId="12" fillId="0" borderId="1" xfId="27" applyNumberFormat="1" applyFont="1" applyBorder="1" applyAlignment="1">
      <alignment horizontal="center"/>
    </xf>
    <xf numFmtId="1" fontId="13" fillId="0" borderId="4" xfId="6" applyNumberFormat="1" applyFont="1" applyBorder="1" applyAlignment="1">
      <alignment horizontal="center" vertical="center" wrapText="1"/>
    </xf>
    <xf numFmtId="1" fontId="13" fillId="0" borderId="4" xfId="6" applyNumberFormat="1" applyFont="1" applyBorder="1" applyAlignment="1">
      <alignment horizontal="center" vertical="center"/>
    </xf>
    <xf numFmtId="1" fontId="13" fillId="3" borderId="2" xfId="6" applyNumberFormat="1" applyFont="1" applyFill="1" applyBorder="1" applyAlignment="1">
      <alignment horizontal="center" vertical="center" wrapText="1"/>
    </xf>
    <xf numFmtId="1" fontId="13" fillId="3" borderId="8" xfId="6" applyNumberFormat="1" applyFont="1" applyFill="1" applyBorder="1" applyAlignment="1">
      <alignment horizontal="center" vertical="center" wrapText="1"/>
    </xf>
    <xf numFmtId="1" fontId="13" fillId="3" borderId="1" xfId="6" applyNumberFormat="1" applyFont="1" applyFill="1" applyBorder="1" applyAlignment="1">
      <alignment horizontal="center" vertical="center" wrapText="1"/>
    </xf>
    <xf numFmtId="1" fontId="13" fillId="3" borderId="5" xfId="6" applyNumberFormat="1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8" fillId="0" borderId="4" xfId="24" applyFont="1" applyBorder="1" applyAlignment="1">
      <alignment horizontal="left" vertical="center"/>
    </xf>
    <xf numFmtId="0" fontId="55" fillId="0" borderId="2" xfId="30" applyFont="1" applyBorder="1" applyAlignment="1">
      <alignment horizontal="center" vertical="top"/>
    </xf>
    <xf numFmtId="0" fontId="55" fillId="0" borderId="9" xfId="30" applyFont="1" applyBorder="1" applyAlignment="1">
      <alignment horizontal="center" vertical="top"/>
    </xf>
    <xf numFmtId="0" fontId="55" fillId="0" borderId="1" xfId="30" applyFont="1" applyBorder="1" applyAlignment="1">
      <alignment horizontal="center" vertical="top"/>
    </xf>
    <xf numFmtId="0" fontId="56" fillId="0" borderId="4" xfId="30" applyFont="1" applyBorder="1" applyAlignment="1">
      <alignment horizontal="left" vertical="center"/>
    </xf>
    <xf numFmtId="0" fontId="55" fillId="0" borderId="2" xfId="30" applyFont="1" applyBorder="1" applyAlignment="1">
      <alignment horizontal="center"/>
    </xf>
    <xf numFmtId="0" fontId="55" fillId="0" borderId="9" xfId="30" applyFont="1" applyBorder="1" applyAlignment="1">
      <alignment horizontal="center"/>
    </xf>
    <xf numFmtId="0" fontId="55" fillId="0" borderId="15" xfId="30" applyFont="1" applyBorder="1" applyAlignment="1">
      <alignment horizontal="center" vertical="top"/>
    </xf>
    <xf numFmtId="0" fontId="55" fillId="0" borderId="13" xfId="30" applyFont="1" applyBorder="1" applyAlignment="1">
      <alignment horizontal="center" vertical="top"/>
    </xf>
    <xf numFmtId="0" fontId="44" fillId="3" borderId="1" xfId="30" applyFont="1" applyFill="1" applyBorder="1" applyAlignment="1">
      <alignment horizontal="center" vertical="center" wrapText="1"/>
    </xf>
    <xf numFmtId="0" fontId="56" fillId="0" borderId="1" xfId="30" applyFont="1" applyBorder="1" applyAlignment="1">
      <alignment horizontal="left" vertical="center"/>
    </xf>
    <xf numFmtId="0" fontId="22" fillId="3" borderId="1" xfId="30" applyFont="1" applyFill="1" applyBorder="1" applyAlignment="1">
      <alignment horizontal="center" vertical="center" wrapText="1"/>
    </xf>
    <xf numFmtId="0" fontId="56" fillId="0" borderId="5" xfId="30" applyFont="1" applyBorder="1" applyAlignment="1">
      <alignment horizontal="left" vertical="center"/>
    </xf>
    <xf numFmtId="0" fontId="56" fillId="0" borderId="6" xfId="30" applyFont="1" applyBorder="1" applyAlignment="1">
      <alignment horizontal="left" vertical="center"/>
    </xf>
    <xf numFmtId="0" fontId="56" fillId="0" borderId="7" xfId="30" applyFont="1" applyBorder="1" applyAlignment="1">
      <alignment horizontal="left" vertical="center"/>
    </xf>
    <xf numFmtId="0" fontId="44" fillId="3" borderId="1" xfId="30" applyFont="1" applyFill="1" applyBorder="1" applyAlignment="1">
      <alignment horizontal="center" wrapText="1"/>
    </xf>
    <xf numFmtId="0" fontId="44" fillId="3" borderId="1" xfId="30" applyFont="1" applyFill="1" applyBorder="1" applyAlignment="1">
      <alignment horizontal="center"/>
    </xf>
    <xf numFmtId="0" fontId="55" fillId="0" borderId="13" xfId="30" applyFont="1" applyBorder="1" applyAlignment="1">
      <alignment horizontal="center"/>
    </xf>
    <xf numFmtId="0" fontId="61" fillId="3" borderId="2" xfId="30" applyFont="1" applyFill="1" applyBorder="1" applyAlignment="1">
      <alignment horizontal="center" vertical="center" wrapText="1"/>
    </xf>
    <xf numFmtId="0" fontId="61" fillId="3" borderId="8" xfId="30" applyFont="1" applyFill="1" applyBorder="1" applyAlignment="1">
      <alignment horizontal="center" vertical="center" wrapText="1"/>
    </xf>
    <xf numFmtId="0" fontId="56" fillId="0" borderId="4" xfId="30" applyFont="1" applyBorder="1" applyAlignment="1">
      <alignment horizontal="left"/>
    </xf>
    <xf numFmtId="0" fontId="44" fillId="3" borderId="1" xfId="32" applyFont="1" applyFill="1" applyBorder="1" applyAlignment="1">
      <alignment horizontal="center" vertical="center"/>
    </xf>
    <xf numFmtId="0" fontId="55" fillId="0" borderId="2" xfId="32" applyFont="1" applyBorder="1" applyAlignment="1">
      <alignment horizontal="center" vertical="center"/>
    </xf>
    <xf numFmtId="0" fontId="55" fillId="0" borderId="9" xfId="32" applyFont="1" applyBorder="1" applyAlignment="1">
      <alignment horizontal="center" vertical="center"/>
    </xf>
    <xf numFmtId="0" fontId="61" fillId="3" borderId="2" xfId="32" applyFont="1" applyFill="1" applyBorder="1" applyAlignment="1">
      <alignment horizontal="center" vertical="center" wrapText="1"/>
    </xf>
    <xf numFmtId="0" fontId="61" fillId="3" borderId="8" xfId="32" applyFont="1" applyFill="1" applyBorder="1" applyAlignment="1">
      <alignment horizontal="center" vertical="center" wrapText="1"/>
    </xf>
    <xf numFmtId="0" fontId="55" fillId="0" borderId="8" xfId="32" applyFont="1" applyBorder="1" applyAlignment="1">
      <alignment horizontal="center" vertical="center"/>
    </xf>
    <xf numFmtId="0" fontId="55" fillId="0" borderId="15" xfId="32" applyFont="1" applyBorder="1" applyAlignment="1">
      <alignment horizontal="center" vertical="center"/>
    </xf>
    <xf numFmtId="0" fontId="55" fillId="0" borderId="13" xfId="32" applyFont="1" applyBorder="1" applyAlignment="1">
      <alignment horizontal="center" vertical="center"/>
    </xf>
    <xf numFmtId="0" fontId="56" fillId="0" borderId="4" xfId="32" applyFont="1" applyBorder="1" applyAlignment="1">
      <alignment horizontal="left" vertical="center"/>
    </xf>
    <xf numFmtId="0" fontId="44" fillId="3" borderId="2" xfId="32" applyFont="1" applyFill="1" applyBorder="1" applyAlignment="1">
      <alignment horizontal="center" vertical="center"/>
    </xf>
    <xf numFmtId="0" fontId="55" fillId="0" borderId="1" xfId="32" applyFont="1" applyBorder="1" applyAlignment="1">
      <alignment horizontal="center" vertical="center"/>
    </xf>
    <xf numFmtId="0" fontId="7" fillId="0" borderId="2" xfId="34" applyFont="1" applyBorder="1" applyAlignment="1">
      <alignment horizontal="center" vertical="center"/>
    </xf>
    <xf numFmtId="0" fontId="7" fillId="0" borderId="9" xfId="34" applyFont="1" applyBorder="1" applyAlignment="1">
      <alignment horizontal="center" vertical="center"/>
    </xf>
    <xf numFmtId="0" fontId="8" fillId="0" borderId="0" xfId="35" applyFont="1" applyAlignment="1">
      <alignment horizontal="center" vertical="center"/>
    </xf>
    <xf numFmtId="0" fontId="5" fillId="0" borderId="2" xfId="34" applyFont="1" applyBorder="1" applyAlignment="1">
      <alignment horizontal="center" vertical="center" wrapText="1"/>
    </xf>
    <xf numFmtId="0" fontId="5" fillId="0" borderId="8" xfId="34" applyFont="1" applyBorder="1" applyAlignment="1">
      <alignment horizontal="center" vertical="center" wrapText="1"/>
    </xf>
    <xf numFmtId="0" fontId="5" fillId="0" borderId="1" xfId="35" applyFont="1" applyBorder="1" applyAlignment="1">
      <alignment horizontal="center" vertical="center"/>
    </xf>
    <xf numFmtId="0" fontId="5" fillId="0" borderId="1" xfId="35" applyFont="1" applyBorder="1" applyAlignment="1">
      <alignment horizontal="center" vertical="center" wrapText="1"/>
    </xf>
    <xf numFmtId="0" fontId="7" fillId="0" borderId="1" xfId="34" applyFont="1" applyBorder="1" applyAlignment="1">
      <alignment horizontal="center" vertical="center"/>
    </xf>
    <xf numFmtId="0" fontId="43" fillId="0" borderId="5" xfId="32" applyFont="1" applyBorder="1" applyAlignment="1">
      <alignment horizontal="center" vertical="center"/>
    </xf>
    <xf numFmtId="0" fontId="43" fillId="0" borderId="6" xfId="32" applyFont="1" applyBorder="1" applyAlignment="1">
      <alignment horizontal="center" vertical="center"/>
    </xf>
    <xf numFmtId="0" fontId="44" fillId="3" borderId="1" xfId="36" applyFont="1" applyFill="1" applyBorder="1" applyAlignment="1">
      <alignment horizontal="center" vertical="center" wrapText="1"/>
    </xf>
    <xf numFmtId="0" fontId="44" fillId="3" borderId="1" xfId="36" applyFont="1" applyFill="1" applyBorder="1" applyAlignment="1">
      <alignment horizontal="center" vertical="center"/>
    </xf>
    <xf numFmtId="0" fontId="61" fillId="3" borderId="1" xfId="32" applyFont="1" applyFill="1" applyBorder="1" applyAlignment="1">
      <alignment horizontal="center" vertical="center" wrapText="1"/>
    </xf>
    <xf numFmtId="0" fontId="44" fillId="0" borderId="1" xfId="36" applyFont="1" applyBorder="1" applyAlignment="1">
      <alignment horizontal="center" vertical="center"/>
    </xf>
    <xf numFmtId="0" fontId="61" fillId="0" borderId="2" xfId="32" applyFont="1" applyBorder="1" applyAlignment="1">
      <alignment horizontal="center" vertical="center" wrapText="1"/>
    </xf>
    <xf numFmtId="0" fontId="61" fillId="0" borderId="8" xfId="32" applyFont="1" applyBorder="1" applyAlignment="1">
      <alignment horizontal="center" vertical="center" wrapText="1"/>
    </xf>
    <xf numFmtId="0" fontId="44" fillId="0" borderId="2" xfId="36" applyFont="1" applyBorder="1" applyAlignment="1">
      <alignment horizontal="center" vertical="center"/>
    </xf>
    <xf numFmtId="0" fontId="43" fillId="3" borderId="1" xfId="36" applyFont="1" applyFill="1" applyBorder="1" applyAlignment="1">
      <alignment horizontal="center" vertical="center"/>
    </xf>
    <xf numFmtId="166" fontId="14" fillId="0" borderId="1" xfId="40" applyNumberFormat="1" applyFont="1" applyBorder="1" applyAlignment="1">
      <alignment horizontal="right" vertical="center"/>
    </xf>
    <xf numFmtId="166" fontId="13" fillId="0" borderId="1" xfId="40" applyNumberFormat="1" applyFont="1" applyBorder="1" applyAlignment="1">
      <alignment horizontal="right" vertical="center"/>
    </xf>
    <xf numFmtId="166" fontId="19" fillId="0" borderId="1" xfId="40" applyNumberFormat="1" applyFont="1" applyBorder="1" applyAlignment="1">
      <alignment horizontal="center" vertical="center"/>
    </xf>
    <xf numFmtId="166" fontId="20" fillId="0" borderId="1" xfId="40" applyNumberFormat="1" applyFont="1" applyBorder="1" applyAlignment="1">
      <alignment horizontal="center" vertical="center"/>
    </xf>
    <xf numFmtId="166" fontId="19" fillId="0" borderId="1" xfId="40" applyNumberFormat="1" applyFont="1" applyBorder="1"/>
    <xf numFmtId="166" fontId="20" fillId="0" borderId="1" xfId="40" applyNumberFormat="1" applyFont="1" applyBorder="1"/>
    <xf numFmtId="166" fontId="27" fillId="0" borderId="1" xfId="40" applyNumberFormat="1" applyFont="1" applyBorder="1" applyAlignment="1">
      <alignment wrapText="1"/>
    </xf>
    <xf numFmtId="166" fontId="14" fillId="0" borderId="1" xfId="40" applyNumberFormat="1" applyFont="1" applyBorder="1" applyAlignment="1">
      <alignment wrapText="1"/>
    </xf>
    <xf numFmtId="166" fontId="13" fillId="0" borderId="1" xfId="40" applyNumberFormat="1" applyFont="1" applyBorder="1" applyAlignment="1">
      <alignment wrapText="1"/>
    </xf>
    <xf numFmtId="166" fontId="25" fillId="11" borderId="1" xfId="40" applyNumberFormat="1" applyFont="1" applyFill="1" applyBorder="1" applyAlignment="1">
      <alignment horizontal="center" vertical="center"/>
    </xf>
    <xf numFmtId="166" fontId="10" fillId="0" borderId="7" xfId="40" applyNumberFormat="1" applyFont="1" applyBorder="1" applyAlignment="1">
      <alignment horizontal="center" vertical="center"/>
    </xf>
    <xf numFmtId="166" fontId="13" fillId="0" borderId="8" xfId="40" applyNumberFormat="1" applyFont="1" applyBorder="1" applyAlignment="1">
      <alignment horizontal="center" vertical="center"/>
    </xf>
    <xf numFmtId="166" fontId="42" fillId="2" borderId="1" xfId="40" applyNumberFormat="1" applyFont="1" applyFill="1" applyBorder="1" applyAlignment="1">
      <alignment horizontal="center" vertical="center" wrapText="1"/>
    </xf>
    <xf numFmtId="166" fontId="8" fillId="0" borderId="1" xfId="40" applyNumberFormat="1" applyFont="1" applyBorder="1" applyAlignment="1">
      <alignment horizontal="center" vertical="center"/>
    </xf>
    <xf numFmtId="166" fontId="14" fillId="0" borderId="1" xfId="40" applyNumberFormat="1" applyFont="1" applyBorder="1" applyAlignment="1">
      <alignment vertical="center"/>
    </xf>
    <xf numFmtId="166" fontId="5" fillId="3" borderId="6" xfId="40" applyNumberFormat="1" applyFont="1" applyFill="1" applyBorder="1" applyAlignment="1">
      <alignment horizontal="left" vertical="top" wrapText="1"/>
    </xf>
    <xf numFmtId="166" fontId="5" fillId="3" borderId="7" xfId="40" applyNumberFormat="1" applyFont="1" applyFill="1" applyBorder="1" applyAlignment="1">
      <alignment horizontal="left" vertical="top" wrapText="1"/>
    </xf>
    <xf numFmtId="166" fontId="5" fillId="3" borderId="5" xfId="40" applyNumberFormat="1" applyFont="1" applyFill="1" applyBorder="1" applyAlignment="1">
      <alignment horizontal="left" vertical="top" wrapText="1"/>
    </xf>
    <xf numFmtId="166" fontId="71" fillId="2" borderId="1" xfId="40" applyNumberFormat="1" applyFont="1" applyFill="1" applyBorder="1" applyAlignment="1">
      <alignment horizontal="center" vertical="center" wrapText="1"/>
    </xf>
    <xf numFmtId="166" fontId="7" fillId="2" borderId="1" xfId="40" applyNumberFormat="1" applyFont="1" applyFill="1" applyBorder="1" applyAlignment="1">
      <alignment horizontal="center" vertical="center" wrapText="1"/>
    </xf>
    <xf numFmtId="166" fontId="33" fillId="2" borderId="1" xfId="40" applyNumberFormat="1" applyFont="1" applyFill="1" applyBorder="1" applyAlignment="1">
      <alignment horizontal="center" vertical="center" wrapText="1"/>
    </xf>
    <xf numFmtId="166" fontId="36" fillId="2" borderId="1" xfId="40" applyNumberFormat="1" applyFont="1" applyFill="1" applyBorder="1" applyAlignment="1">
      <alignment horizontal="center" vertical="center" wrapText="1"/>
    </xf>
    <xf numFmtId="0" fontId="25" fillId="0" borderId="0" xfId="15" applyFont="1" applyAlignment="1">
      <alignment horizontal="center" vertical="center"/>
    </xf>
    <xf numFmtId="0" fontId="10" fillId="0" borderId="0" xfId="3" applyFont="1" applyBorder="1"/>
    <xf numFmtId="0" fontId="25" fillId="0" borderId="0" xfId="3" applyFont="1" applyBorder="1" applyAlignment="1">
      <alignment vertical="center" wrapText="1"/>
    </xf>
    <xf numFmtId="0" fontId="10" fillId="0" borderId="0" xfId="3" applyFont="1" applyBorder="1" applyAlignment="1">
      <alignment vertical="center"/>
    </xf>
    <xf numFmtId="0" fontId="25" fillId="0" borderId="0" xfId="3" applyFont="1" applyBorder="1" applyAlignment="1">
      <alignment vertical="center"/>
    </xf>
    <xf numFmtId="0" fontId="10" fillId="0" borderId="1" xfId="3" applyFont="1" applyBorder="1"/>
    <xf numFmtId="0" fontId="25" fillId="0" borderId="1" xfId="3" applyFont="1" applyBorder="1" applyAlignment="1">
      <alignment horizontal="right" vertical="top"/>
    </xf>
    <xf numFmtId="0" fontId="25" fillId="0" borderId="1" xfId="3" applyFont="1" applyBorder="1" applyAlignment="1">
      <alignment horizontal="left" vertical="top"/>
    </xf>
    <xf numFmtId="0" fontId="10" fillId="0" borderId="1" xfId="3" applyFont="1" applyBorder="1" applyAlignment="1">
      <alignment vertical="center" wrapText="1"/>
    </xf>
    <xf numFmtId="166" fontId="12" fillId="0" borderId="3" xfId="40" applyNumberFormat="1" applyFont="1" applyBorder="1" applyAlignment="1">
      <alignment horizontal="center"/>
    </xf>
    <xf numFmtId="166" fontId="12" fillId="0" borderId="15" xfId="40" applyNumberFormat="1" applyFont="1" applyBorder="1" applyAlignment="1">
      <alignment horizontal="center"/>
    </xf>
    <xf numFmtId="166" fontId="12" fillId="0" borderId="14" xfId="40" applyNumberFormat="1" applyFont="1" applyBorder="1" applyAlignment="1">
      <alignment horizontal="center"/>
    </xf>
    <xf numFmtId="166" fontId="27" fillId="0" borderId="3" xfId="40" applyNumberFormat="1" applyFont="1" applyBorder="1" applyAlignment="1">
      <alignment horizontal="center"/>
    </xf>
    <xf numFmtId="166" fontId="27" fillId="0" borderId="15" xfId="40" applyNumberFormat="1" applyFont="1" applyBorder="1" applyAlignment="1">
      <alignment horizontal="center"/>
    </xf>
    <xf numFmtId="166" fontId="27" fillId="0" borderId="14" xfId="40" applyNumberFormat="1" applyFont="1" applyBorder="1" applyAlignment="1">
      <alignment horizontal="center"/>
    </xf>
    <xf numFmtId="166" fontId="27" fillId="0" borderId="1" xfId="40" applyNumberFormat="1" applyFont="1" applyBorder="1" applyAlignment="1">
      <alignment horizontal="center"/>
    </xf>
    <xf numFmtId="166" fontId="17" fillId="0" borderId="1" xfId="40" applyNumberFormat="1" applyFont="1" applyBorder="1" applyAlignment="1">
      <alignment horizontal="center"/>
    </xf>
    <xf numFmtId="166" fontId="4" fillId="0" borderId="1" xfId="40" applyNumberFormat="1" applyFont="1" applyBorder="1" applyAlignment="1">
      <alignment horizontal="center"/>
    </xf>
    <xf numFmtId="166" fontId="59" fillId="0" borderId="4" xfId="40" applyNumberFormat="1" applyFont="1" applyBorder="1" applyAlignment="1">
      <alignment horizontal="left" vertical="center"/>
    </xf>
    <xf numFmtId="166" fontId="44" fillId="3" borderId="1" xfId="40" applyNumberFormat="1" applyFont="1" applyFill="1" applyBorder="1" applyAlignment="1">
      <alignment horizontal="center" vertical="center" wrapText="1"/>
    </xf>
    <xf numFmtId="166" fontId="44" fillId="3" borderId="1" xfId="40" applyNumberFormat="1" applyFont="1" applyFill="1" applyBorder="1" applyAlignment="1">
      <alignment horizontal="center" vertical="center"/>
    </xf>
    <xf numFmtId="166" fontId="44" fillId="3" borderId="1" xfId="40" applyNumberFormat="1" applyFont="1" applyFill="1" applyBorder="1" applyAlignment="1">
      <alignment horizontal="center" vertical="center" wrapText="1"/>
    </xf>
    <xf numFmtId="166" fontId="57" fillId="0" borderId="1" xfId="40" applyNumberFormat="1" applyFont="1" applyBorder="1" applyAlignment="1">
      <alignment horizontal="center" vertical="center" wrapText="1"/>
    </xf>
    <xf numFmtId="166" fontId="57" fillId="0" borderId="1" xfId="40" applyNumberFormat="1" applyFont="1" applyBorder="1" applyAlignment="1">
      <alignment horizontal="center" vertical="center"/>
    </xf>
    <xf numFmtId="166" fontId="55" fillId="0" borderId="14" xfId="40" applyNumberFormat="1" applyFont="1" applyBorder="1" applyAlignment="1">
      <alignment horizontal="center" vertical="center"/>
    </xf>
    <xf numFmtId="166" fontId="55" fillId="0" borderId="3" xfId="40" applyNumberFormat="1" applyFont="1" applyBorder="1" applyAlignment="1">
      <alignment horizontal="center" vertical="center"/>
    </xf>
    <xf numFmtId="166" fontId="55" fillId="0" borderId="15" xfId="40" applyNumberFormat="1" applyFont="1" applyBorder="1" applyAlignment="1">
      <alignment horizontal="center" vertical="center"/>
    </xf>
    <xf numFmtId="166" fontId="55" fillId="0" borderId="1" xfId="40" applyNumberFormat="1" applyFont="1" applyBorder="1" applyAlignment="1">
      <alignment horizontal="center" vertical="center"/>
    </xf>
    <xf numFmtId="166" fontId="60" fillId="0" borderId="1" xfId="40" applyNumberFormat="1" applyFont="1" applyBorder="1" applyAlignment="1">
      <alignment horizontal="center" vertical="center"/>
    </xf>
    <xf numFmtId="166" fontId="7" fillId="0" borderId="14" xfId="40" applyNumberFormat="1" applyFont="1" applyBorder="1" applyAlignment="1">
      <alignment horizontal="center" vertical="center"/>
    </xf>
    <xf numFmtId="166" fontId="55" fillId="0" borderId="5" xfId="40" applyNumberFormat="1" applyFont="1" applyBorder="1" applyAlignment="1">
      <alignment horizontal="center" vertical="center"/>
    </xf>
    <xf numFmtId="166" fontId="55" fillId="0" borderId="6" xfId="40" applyNumberFormat="1" applyFont="1" applyBorder="1" applyAlignment="1">
      <alignment horizontal="center" vertical="center"/>
    </xf>
    <xf numFmtId="166" fontId="55" fillId="0" borderId="7" xfId="40" applyNumberFormat="1" applyFont="1" applyBorder="1" applyAlignment="1">
      <alignment horizontal="center" vertical="center"/>
    </xf>
    <xf numFmtId="166" fontId="60" fillId="0" borderId="14" xfId="40" applyNumberFormat="1" applyFont="1" applyBorder="1" applyAlignment="1">
      <alignment horizontal="center" vertical="center"/>
    </xf>
    <xf numFmtId="166" fontId="60" fillId="0" borderId="3" xfId="40" applyNumberFormat="1" applyFont="1" applyBorder="1" applyAlignment="1">
      <alignment horizontal="center" vertical="center"/>
    </xf>
    <xf numFmtId="166" fontId="64" fillId="2" borderId="3" xfId="40" applyNumberFormat="1" applyFont="1" applyFill="1" applyBorder="1" applyAlignment="1">
      <alignment horizontal="center" vertical="center" wrapText="1"/>
    </xf>
    <xf numFmtId="166" fontId="64" fillId="2" borderId="15" xfId="40" applyNumberFormat="1" applyFont="1" applyFill="1" applyBorder="1" applyAlignment="1">
      <alignment horizontal="center" vertical="center" wrapText="1"/>
    </xf>
    <xf numFmtId="166" fontId="64" fillId="2" borderId="1" xfId="40" applyNumberFormat="1" applyFont="1" applyFill="1" applyBorder="1" applyAlignment="1">
      <alignment horizontal="center" vertical="center" wrapText="1"/>
    </xf>
    <xf numFmtId="166" fontId="55" fillId="0" borderId="0" xfId="40" applyNumberFormat="1" applyFont="1" applyAlignment="1">
      <alignment horizontal="center" vertical="center"/>
    </xf>
    <xf numFmtId="166" fontId="56" fillId="0" borderId="4" xfId="40" applyNumberFormat="1" applyFont="1" applyBorder="1" applyAlignment="1">
      <alignment horizontal="left" vertical="center" wrapText="1"/>
    </xf>
    <xf numFmtId="166" fontId="56" fillId="0" borderId="4" xfId="40" applyNumberFormat="1" applyFont="1" applyBorder="1" applyAlignment="1">
      <alignment horizontal="left" vertical="center"/>
    </xf>
    <xf numFmtId="166" fontId="27" fillId="0" borderId="14" xfId="40" applyNumberFormat="1" applyFont="1" applyBorder="1" applyAlignment="1">
      <alignment horizontal="center" vertical="center"/>
    </xf>
    <xf numFmtId="166" fontId="27" fillId="0" borderId="3" xfId="40" applyNumberFormat="1" applyFont="1" applyBorder="1" applyAlignment="1">
      <alignment horizontal="center" vertical="center"/>
    </xf>
    <xf numFmtId="166" fontId="27" fillId="0" borderId="15" xfId="40" applyNumberFormat="1" applyFont="1" applyBorder="1" applyAlignment="1">
      <alignment horizontal="center" vertical="center"/>
    </xf>
    <xf numFmtId="166" fontId="44" fillId="3" borderId="5" xfId="40" applyNumberFormat="1" applyFont="1" applyFill="1" applyBorder="1" applyAlignment="1">
      <alignment horizontal="center" vertical="center" wrapText="1"/>
    </xf>
    <xf numFmtId="166" fontId="44" fillId="3" borderId="6" xfId="40" applyNumberFormat="1" applyFont="1" applyFill="1" applyBorder="1" applyAlignment="1">
      <alignment horizontal="center" vertical="center" wrapText="1"/>
    </xf>
    <xf numFmtId="166" fontId="44" fillId="3" borderId="7" xfId="40" applyNumberFormat="1" applyFont="1" applyFill="1" applyBorder="1" applyAlignment="1">
      <alignment horizontal="center" vertical="center" wrapText="1"/>
    </xf>
    <xf numFmtId="166" fontId="57" fillId="0" borderId="6" xfId="40" applyNumberFormat="1" applyFont="1" applyBorder="1" applyAlignment="1">
      <alignment horizontal="center" vertical="center" wrapText="1"/>
    </xf>
    <xf numFmtId="166" fontId="57" fillId="0" borderId="14" xfId="40" applyNumberFormat="1" applyFont="1" applyBorder="1" applyAlignment="1">
      <alignment horizontal="center" vertical="center"/>
    </xf>
    <xf numFmtId="166" fontId="55" fillId="0" borderId="1" xfId="40" applyNumberFormat="1" applyFont="1" applyBorder="1" applyAlignment="1">
      <alignment vertical="center"/>
    </xf>
    <xf numFmtId="166" fontId="8" fillId="0" borderId="6" xfId="40" applyNumberFormat="1" applyFont="1" applyBorder="1" applyAlignment="1">
      <alignment horizontal="center" vertical="center"/>
    </xf>
    <xf numFmtId="166" fontId="59" fillId="0" borderId="6" xfId="40" applyNumberFormat="1" applyFont="1" applyBorder="1" applyAlignment="1">
      <alignment horizontal="center" vertical="center"/>
    </xf>
    <xf numFmtId="166" fontId="59" fillId="0" borderId="7" xfId="40" applyNumberFormat="1" applyFont="1" applyBorder="1" applyAlignment="1">
      <alignment horizontal="center" vertical="center"/>
    </xf>
    <xf numFmtId="166" fontId="59" fillId="0" borderId="6" xfId="40" applyNumberFormat="1" applyFont="1" applyBorder="1" applyAlignment="1">
      <alignment horizontal="center" vertical="center" wrapText="1"/>
    </xf>
    <xf numFmtId="166" fontId="59" fillId="0" borderId="7" xfId="40" applyNumberFormat="1" applyFont="1" applyBorder="1" applyAlignment="1">
      <alignment horizontal="center" vertical="center" wrapText="1"/>
    </xf>
    <xf numFmtId="166" fontId="55" fillId="0" borderId="6" xfId="40" applyNumberFormat="1" applyFont="1" applyBorder="1" applyAlignment="1">
      <alignment horizontal="center" vertical="center" wrapText="1"/>
    </xf>
    <xf numFmtId="166" fontId="55" fillId="0" borderId="7" xfId="40" applyNumberFormat="1" applyFont="1" applyBorder="1" applyAlignment="1">
      <alignment horizontal="center" vertical="center" wrapText="1"/>
    </xf>
    <xf numFmtId="166" fontId="56" fillId="0" borderId="0" xfId="40" applyNumberFormat="1" applyFont="1" applyAlignment="1">
      <alignment horizontal="center" vertical="center"/>
    </xf>
    <xf numFmtId="166" fontId="44" fillId="0" borderId="1" xfId="40" applyNumberFormat="1" applyFont="1" applyBorder="1" applyAlignment="1">
      <alignment horizontal="center" vertical="center" wrapText="1"/>
    </xf>
    <xf numFmtId="166" fontId="44" fillId="0" borderId="1" xfId="40" applyNumberFormat="1" applyFont="1" applyBorder="1" applyAlignment="1">
      <alignment horizontal="center" vertical="center"/>
    </xf>
    <xf numFmtId="166" fontId="44" fillId="0" borderId="2" xfId="40" applyNumberFormat="1" applyFont="1" applyBorder="1" applyAlignment="1">
      <alignment horizontal="center" vertical="center" wrapText="1"/>
    </xf>
    <xf numFmtId="166" fontId="44" fillId="0" borderId="14" xfId="40" applyNumberFormat="1" applyFont="1" applyBorder="1" applyAlignment="1">
      <alignment horizontal="center" vertical="center" wrapText="1"/>
    </xf>
    <xf numFmtId="166" fontId="44" fillId="0" borderId="3" xfId="40" applyNumberFormat="1" applyFont="1" applyBorder="1" applyAlignment="1">
      <alignment horizontal="center" vertical="center" wrapText="1"/>
    </xf>
    <xf numFmtId="166" fontId="44" fillId="0" borderId="14" xfId="40" applyNumberFormat="1" applyFont="1" applyBorder="1" applyAlignment="1">
      <alignment horizontal="center" vertical="center"/>
    </xf>
    <xf numFmtId="166" fontId="3" fillId="0" borderId="1" xfId="40" applyNumberFormat="1" applyFont="1" applyBorder="1" applyAlignment="1">
      <alignment horizontal="center" vertical="center"/>
    </xf>
    <xf numFmtId="166" fontId="56" fillId="0" borderId="4" xfId="40" applyNumberFormat="1" applyFont="1" applyBorder="1" applyAlignment="1">
      <alignment horizontal="left" vertical="center"/>
    </xf>
    <xf numFmtId="166" fontId="62" fillId="0" borderId="0" xfId="40" applyNumberFormat="1" applyFont="1" applyAlignment="1">
      <alignment horizontal="left" vertical="center"/>
    </xf>
    <xf numFmtId="166" fontId="43" fillId="3" borderId="1" xfId="40" applyNumberFormat="1" applyFont="1" applyFill="1" applyBorder="1" applyAlignment="1">
      <alignment horizontal="center" vertical="center"/>
    </xf>
    <xf numFmtId="166" fontId="43" fillId="3" borderId="1" xfId="40" applyNumberFormat="1" applyFont="1" applyFill="1" applyBorder="1" applyAlignment="1">
      <alignment horizontal="center" vertical="center" wrapText="1"/>
    </xf>
    <xf numFmtId="166" fontId="61" fillId="3" borderId="1" xfId="40" applyNumberFormat="1" applyFont="1" applyFill="1" applyBorder="1" applyAlignment="1">
      <alignment horizontal="center" vertical="center"/>
    </xf>
  </cellXfs>
  <cellStyles count="41">
    <cellStyle name="Comma" xfId="40" builtinId="3"/>
    <cellStyle name="Normal" xfId="0" builtinId="0"/>
    <cellStyle name="Normal 10 2" xfId="18" xr:uid="{B0B4C09E-BB05-49A1-AE7C-FDDF29604E32}"/>
    <cellStyle name="Normal 13" xfId="4" xr:uid="{E698B553-4340-4F79-A17A-16C9A77FC0BB}"/>
    <cellStyle name="Normal 14" xfId="22" xr:uid="{3160D573-E9A8-4064-BBA0-78C007EB47D4}"/>
    <cellStyle name="Normal 14 2 2 2 2" xfId="31" xr:uid="{DEB62BB7-3DE3-4D26-95EC-28AE1E82B97F}"/>
    <cellStyle name="Normal 14 2 2 2 2 2 2 2 2" xfId="36" xr:uid="{284D8A27-5A5E-4249-BB1E-0AF8C50F8A4E}"/>
    <cellStyle name="Normal 14 2 2 2 2 2 2 2 2 2" xfId="37" xr:uid="{61B52BF0-0BA3-4E4C-9511-60DCCC5B1F76}"/>
    <cellStyle name="Normal 14 2 2 3 2 2 2 2 2" xfId="32" xr:uid="{AEF996BC-8E8E-4A26-8879-53A66D1F7B12}"/>
    <cellStyle name="Normal 14 2 2 3 2 2 2 2 3" xfId="33" xr:uid="{D7567785-B122-4BF4-BCEA-A3E2D308ACD3}"/>
    <cellStyle name="Normal 14 2 2 3 2 2 2 2 4" xfId="35" xr:uid="{84DE6FC2-67B8-4036-830F-4D920F2FD72B}"/>
    <cellStyle name="Normal 14 2 2 3 2 2 2 3" xfId="30" xr:uid="{B9E8DCFD-BD73-4E25-A214-062C3F72A3DD}"/>
    <cellStyle name="Normal 14 2 2 3 2 2 2 4" xfId="24" xr:uid="{7DFCB82A-ABCB-4131-898E-CB5693079721}"/>
    <cellStyle name="Normal 14 2 2 3 2 2 2 5" xfId="34" xr:uid="{8B658777-A905-4036-BD73-D3025F5FA3C2}"/>
    <cellStyle name="Normal 15" xfId="27" xr:uid="{8871FBAE-EB05-4FCC-81E7-8864A3681566}"/>
    <cellStyle name="Normal 17" xfId="12" xr:uid="{6E7F0E27-28A5-48AA-8506-ADBEEF0C5DD3}"/>
    <cellStyle name="Normal 18" xfId="26" xr:uid="{05A1C5E3-61FB-4D16-8A13-9349C652A591}"/>
    <cellStyle name="Normal 2" xfId="1" xr:uid="{D9312A53-3330-471F-A3C4-58B9B995A6D3}"/>
    <cellStyle name="Normal 2 2" xfId="3" xr:uid="{CED84661-9149-4AC0-A249-D9D76CD3B426}"/>
    <cellStyle name="Normal 2 2 2" xfId="9" xr:uid="{68623003-0EBE-4499-98AB-D7B09CD372D7}"/>
    <cellStyle name="Normal 2 3" xfId="8" xr:uid="{11C602A8-479A-405E-96B4-3273EB38A16C}"/>
    <cellStyle name="Normal 2 4" xfId="19" xr:uid="{2672A03A-104F-469A-AA8D-5A60C73786AF}"/>
    <cellStyle name="Normal 2 7" xfId="11" xr:uid="{CD06B0DD-4235-4F05-AB17-AB328B13E45F}"/>
    <cellStyle name="Normal 2 7 2" xfId="23" xr:uid="{1C798ADC-FB84-48D7-A09D-DDE2F2EF6282}"/>
    <cellStyle name="Normal 3" xfId="7" xr:uid="{9A74A79F-7333-4041-A4D4-1A3A1B985E47}"/>
    <cellStyle name="Normal 3 2 2" xfId="6" xr:uid="{417042F2-D7F3-4EB3-802A-A51AAF9E0E06}"/>
    <cellStyle name="Normal 3 2 2 2" xfId="14" xr:uid="{9910A223-FCDE-4EA9-895B-621EBB2A9765}"/>
    <cellStyle name="Normal 3 2 3 4" xfId="5" xr:uid="{DB1F002C-1583-40FA-97F7-EAC4971CB769}"/>
    <cellStyle name="Normal 3 3 2" xfId="20" xr:uid="{68E46C6F-56B5-4821-934E-46B41E98341C}"/>
    <cellStyle name="Normal 3 3 2 2" xfId="21" xr:uid="{42892973-ADAB-4C2A-8ECD-819ECF7FDE0D}"/>
    <cellStyle name="Normal 3 4 2" xfId="15" xr:uid="{D5B6542F-545B-41F8-9E06-C8E306775C07}"/>
    <cellStyle name="Normal 3 5" xfId="16" xr:uid="{DF54B3A5-E645-41E4-8F04-A59322C98247}"/>
    <cellStyle name="Normal 4 2" xfId="13" xr:uid="{D56FE052-AE1D-4863-9BF7-947C78A01151}"/>
    <cellStyle name="Normal 4 2 2" xfId="17" xr:uid="{6B74B398-F2EF-417C-A075-9B95C2C3A0B3}"/>
    <cellStyle name="Normal 5 2 2 2 2 2 2 2 2 2" xfId="39" xr:uid="{85E9298E-04DC-4D3E-B157-904CE4EDDC43}"/>
    <cellStyle name="Normal 5 2 3 2 2 2 2 2 2" xfId="38" xr:uid="{24C0C1E4-456E-47BD-8729-C0F54B574443}"/>
    <cellStyle name="Normal 7 2 2" xfId="29" xr:uid="{C7DB0F16-9AEA-4FC1-88BF-9CB5A6427869}"/>
    <cellStyle name="Normal 7 3 2" xfId="10" xr:uid="{0AA32714-A775-4064-AE1E-494D206FB6A6}"/>
    <cellStyle name="Normal 8 2 2" xfId="28" xr:uid="{2ED17650-4C28-4118-A614-CB3CB67FB49F}"/>
    <cellStyle name="Per cent" xfId="25" builtinId="5"/>
    <cellStyle name="Percent 2" xfId="2" xr:uid="{715458B7-A592-4A95-A6C8-9F26E6219DDE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8F4481-81D2-45D0-8D24-EA5133BB2FBA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BA4E-7846-4462-9B09-800E355958A6}">
  <sheetPr codeName="Sheet1">
    <tabColor rgb="FF92D050"/>
    <pageSetUpPr fitToPage="1"/>
  </sheetPr>
  <dimension ref="A1:O38"/>
  <sheetViews>
    <sheetView showZeros="0" view="pageBreakPreview" topLeftCell="A7" zoomScaleSheetLayoutView="100" workbookViewId="0">
      <selection activeCell="S9" sqref="S9"/>
    </sheetView>
  </sheetViews>
  <sheetFormatPr defaultColWidth="9.26953125" defaultRowHeight="15.5" x14ac:dyDescent="0.35"/>
  <cols>
    <col min="1" max="1" width="7.7265625" style="96" bestFit="1" customWidth="1"/>
    <col min="2" max="2" width="17.7265625" style="96" bestFit="1" customWidth="1"/>
    <col min="3" max="14" width="7.26953125" style="96" customWidth="1"/>
    <col min="15" max="15" width="10.54296875" style="96" bestFit="1" customWidth="1"/>
    <col min="16" max="18" width="9.26953125" style="96"/>
    <col min="19" max="19" width="40.26953125" style="96" customWidth="1"/>
    <col min="20" max="16384" width="9.26953125" style="96"/>
  </cols>
  <sheetData>
    <row r="1" spans="1:15" ht="18" x14ac:dyDescent="0.35">
      <c r="A1" s="449"/>
      <c r="B1" s="450" t="s">
        <v>992</v>
      </c>
      <c r="C1" s="668" t="s">
        <v>1031</v>
      </c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</row>
    <row r="2" spans="1:15" s="414" customFormat="1" ht="240.5" x14ac:dyDescent="0.35">
      <c r="A2" s="4" t="s">
        <v>1</v>
      </c>
      <c r="B2" s="457" t="s">
        <v>50</v>
      </c>
      <c r="C2" s="451" t="s">
        <v>2</v>
      </c>
      <c r="D2" s="451" t="s">
        <v>3</v>
      </c>
      <c r="E2" s="451" t="s">
        <v>4</v>
      </c>
      <c r="F2" s="451" t="s">
        <v>5</v>
      </c>
      <c r="G2" s="451" t="s">
        <v>6</v>
      </c>
      <c r="H2" s="451" t="s">
        <v>7</v>
      </c>
      <c r="I2" s="451" t="s">
        <v>8</v>
      </c>
      <c r="J2" s="451" t="s">
        <v>9</v>
      </c>
      <c r="K2" s="451" t="s">
        <v>10</v>
      </c>
      <c r="L2" s="451" t="s">
        <v>811</v>
      </c>
      <c r="M2" s="451" t="s">
        <v>11</v>
      </c>
      <c r="N2" s="452" t="s">
        <v>12</v>
      </c>
      <c r="O2" s="2"/>
    </row>
    <row r="3" spans="1:15" s="414" customFormat="1" x14ac:dyDescent="0.35">
      <c r="A3" s="453">
        <v>1</v>
      </c>
      <c r="B3" s="453">
        <v>2</v>
      </c>
      <c r="C3" s="453">
        <v>3</v>
      </c>
      <c r="D3" s="453">
        <v>4</v>
      </c>
      <c r="E3" s="453">
        <v>5</v>
      </c>
      <c r="F3" s="454">
        <v>6</v>
      </c>
      <c r="G3" s="454">
        <v>7</v>
      </c>
      <c r="H3" s="454">
        <v>8</v>
      </c>
      <c r="I3" s="454">
        <v>9</v>
      </c>
      <c r="J3" s="454">
        <v>10</v>
      </c>
      <c r="K3" s="454">
        <v>11</v>
      </c>
      <c r="L3" s="454">
        <v>12</v>
      </c>
      <c r="M3" s="454">
        <v>13</v>
      </c>
      <c r="N3" s="454">
        <v>14</v>
      </c>
      <c r="O3" s="2"/>
    </row>
    <row r="4" spans="1:15" ht="19.5" customHeight="1" x14ac:dyDescent="0.35">
      <c r="A4" s="6">
        <v>1</v>
      </c>
      <c r="B4" s="415" t="s">
        <v>13</v>
      </c>
      <c r="C4" s="6">
        <v>3</v>
      </c>
      <c r="D4" s="6"/>
      <c r="E4" s="6">
        <v>10</v>
      </c>
      <c r="F4" s="6">
        <v>26</v>
      </c>
      <c r="G4" s="6">
        <v>1</v>
      </c>
      <c r="H4" s="6"/>
      <c r="I4" s="6">
        <v>7</v>
      </c>
      <c r="J4" s="6"/>
      <c r="K4" s="6"/>
      <c r="L4" s="6"/>
      <c r="M4" s="6">
        <v>4</v>
      </c>
      <c r="N4" s="412">
        <v>51</v>
      </c>
      <c r="O4" s="2"/>
    </row>
    <row r="5" spans="1:15" ht="19.5" customHeight="1" x14ac:dyDescent="0.35">
      <c r="A5" s="6">
        <v>2</v>
      </c>
      <c r="B5" s="415" t="s">
        <v>14</v>
      </c>
      <c r="C5" s="6">
        <v>1</v>
      </c>
      <c r="D5" s="6"/>
      <c r="E5" s="6">
        <v>1</v>
      </c>
      <c r="F5" s="6"/>
      <c r="G5" s="6"/>
      <c r="H5" s="6"/>
      <c r="I5" s="6">
        <v>6</v>
      </c>
      <c r="J5" s="6">
        <v>1</v>
      </c>
      <c r="K5" s="6">
        <v>1</v>
      </c>
      <c r="L5" s="6"/>
      <c r="M5" s="6"/>
      <c r="N5" s="412">
        <v>10</v>
      </c>
      <c r="O5" s="2"/>
    </row>
    <row r="6" spans="1:15" ht="19.5" customHeight="1" x14ac:dyDescent="0.35">
      <c r="A6" s="6">
        <v>3</v>
      </c>
      <c r="B6" s="415" t="s">
        <v>15</v>
      </c>
      <c r="C6" s="6">
        <v>2</v>
      </c>
      <c r="D6" s="6"/>
      <c r="E6" s="6">
        <v>6</v>
      </c>
      <c r="F6" s="6">
        <v>15</v>
      </c>
      <c r="G6" s="6"/>
      <c r="H6" s="6">
        <v>1</v>
      </c>
      <c r="I6" s="6">
        <v>6</v>
      </c>
      <c r="J6" s="6"/>
      <c r="K6" s="6">
        <v>1</v>
      </c>
      <c r="L6" s="6"/>
      <c r="M6" s="6"/>
      <c r="N6" s="412">
        <v>31</v>
      </c>
      <c r="O6" s="2"/>
    </row>
    <row r="7" spans="1:15" ht="19.5" customHeight="1" x14ac:dyDescent="0.35">
      <c r="A7" s="6">
        <v>4</v>
      </c>
      <c r="B7" s="415" t="s">
        <v>16</v>
      </c>
      <c r="C7" s="6">
        <v>4</v>
      </c>
      <c r="D7" s="6"/>
      <c r="E7" s="6">
        <v>6</v>
      </c>
      <c r="F7" s="6">
        <v>17</v>
      </c>
      <c r="G7" s="6">
        <v>1</v>
      </c>
      <c r="H7" s="6">
        <v>1</v>
      </c>
      <c r="I7" s="6">
        <v>7</v>
      </c>
      <c r="J7" s="6"/>
      <c r="K7" s="6">
        <v>1</v>
      </c>
      <c r="L7" s="6"/>
      <c r="M7" s="6"/>
      <c r="N7" s="412">
        <v>37</v>
      </c>
      <c r="O7" s="2"/>
    </row>
    <row r="8" spans="1:15" ht="19.5" customHeight="1" x14ac:dyDescent="0.35">
      <c r="A8" s="6">
        <v>5</v>
      </c>
      <c r="B8" s="415" t="s">
        <v>17</v>
      </c>
      <c r="C8" s="6"/>
      <c r="D8" s="6"/>
      <c r="E8" s="6">
        <v>1</v>
      </c>
      <c r="F8" s="6">
        <v>1</v>
      </c>
      <c r="G8" s="6"/>
      <c r="H8" s="6"/>
      <c r="I8" s="6"/>
      <c r="J8" s="6"/>
      <c r="K8" s="6">
        <v>1</v>
      </c>
      <c r="L8" s="6"/>
      <c r="M8" s="6"/>
      <c r="N8" s="412">
        <v>3</v>
      </c>
      <c r="O8" s="2"/>
    </row>
    <row r="9" spans="1:15" ht="19.5" customHeight="1" x14ac:dyDescent="0.35">
      <c r="A9" s="6">
        <v>6</v>
      </c>
      <c r="B9" s="416" t="s">
        <v>18</v>
      </c>
      <c r="C9" s="6">
        <v>1</v>
      </c>
      <c r="D9" s="6"/>
      <c r="E9" s="6">
        <v>4</v>
      </c>
      <c r="F9" s="6">
        <v>14</v>
      </c>
      <c r="G9" s="6"/>
      <c r="H9" s="6">
        <v>1</v>
      </c>
      <c r="I9" s="6">
        <v>14</v>
      </c>
      <c r="J9" s="6"/>
      <c r="K9" s="6"/>
      <c r="L9" s="6"/>
      <c r="M9" s="6"/>
      <c r="N9" s="412">
        <v>34</v>
      </c>
      <c r="O9" s="2"/>
    </row>
    <row r="10" spans="1:15" ht="19.5" customHeight="1" x14ac:dyDescent="0.35">
      <c r="A10" s="6">
        <v>7</v>
      </c>
      <c r="B10" s="415" t="s">
        <v>19</v>
      </c>
      <c r="C10" s="6">
        <v>6</v>
      </c>
      <c r="D10" s="6">
        <v>1</v>
      </c>
      <c r="E10" s="6">
        <v>6</v>
      </c>
      <c r="F10" s="6">
        <v>9</v>
      </c>
      <c r="G10" s="6"/>
      <c r="H10" s="6"/>
      <c r="I10" s="6"/>
      <c r="J10" s="6"/>
      <c r="K10" s="6">
        <v>6</v>
      </c>
      <c r="L10" s="6">
        <v>1</v>
      </c>
      <c r="M10" s="6">
        <v>1</v>
      </c>
      <c r="N10" s="412">
        <v>30</v>
      </c>
      <c r="O10" s="2"/>
    </row>
    <row r="11" spans="1:15" ht="19.5" customHeight="1" x14ac:dyDescent="0.35">
      <c r="A11" s="6">
        <v>8</v>
      </c>
      <c r="B11" s="415" t="s">
        <v>20</v>
      </c>
      <c r="C11" s="8"/>
      <c r="D11" s="6"/>
      <c r="E11" s="6">
        <v>2</v>
      </c>
      <c r="F11" s="6">
        <v>1</v>
      </c>
      <c r="G11" s="6"/>
      <c r="H11" s="6"/>
      <c r="I11" s="6">
        <v>1</v>
      </c>
      <c r="J11" s="6"/>
      <c r="K11" s="6"/>
      <c r="L11" s="6"/>
      <c r="M11" s="6"/>
      <c r="N11" s="412">
        <v>4</v>
      </c>
      <c r="O11" s="2"/>
    </row>
    <row r="12" spans="1:15" ht="19.5" customHeight="1" x14ac:dyDescent="0.35">
      <c r="A12" s="6">
        <v>9</v>
      </c>
      <c r="B12" s="415" t="s">
        <v>21</v>
      </c>
      <c r="C12" s="6">
        <v>2</v>
      </c>
      <c r="D12" s="6"/>
      <c r="E12" s="6">
        <v>10</v>
      </c>
      <c r="F12" s="6">
        <v>27</v>
      </c>
      <c r="G12" s="6"/>
      <c r="H12" s="6">
        <v>1</v>
      </c>
      <c r="I12" s="6">
        <v>60</v>
      </c>
      <c r="J12" s="6"/>
      <c r="K12" s="6"/>
      <c r="L12" s="6">
        <v>1</v>
      </c>
      <c r="M12" s="6">
        <v>1</v>
      </c>
      <c r="N12" s="412">
        <v>102</v>
      </c>
      <c r="O12" s="2"/>
    </row>
    <row r="13" spans="1:15" ht="19.5" customHeight="1" x14ac:dyDescent="0.35">
      <c r="A13" s="6">
        <v>10</v>
      </c>
      <c r="B13" s="415" t="s">
        <v>22</v>
      </c>
      <c r="C13" s="6">
        <v>1</v>
      </c>
      <c r="D13" s="6"/>
      <c r="E13" s="6">
        <v>5</v>
      </c>
      <c r="F13" s="6">
        <v>20</v>
      </c>
      <c r="G13" s="6"/>
      <c r="H13" s="6"/>
      <c r="I13" s="6">
        <v>25</v>
      </c>
      <c r="J13" s="6"/>
      <c r="K13" s="6">
        <v>3</v>
      </c>
      <c r="L13" s="6"/>
      <c r="M13" s="6">
        <v>3</v>
      </c>
      <c r="N13" s="412">
        <v>57</v>
      </c>
      <c r="O13" s="2"/>
    </row>
    <row r="14" spans="1:15" ht="19.5" customHeight="1" x14ac:dyDescent="0.35">
      <c r="A14" s="6">
        <v>11</v>
      </c>
      <c r="B14" s="415" t="s">
        <v>23</v>
      </c>
      <c r="C14" s="6">
        <v>1</v>
      </c>
      <c r="D14" s="6"/>
      <c r="E14" s="6">
        <v>5</v>
      </c>
      <c r="F14" s="6">
        <v>7</v>
      </c>
      <c r="G14" s="6"/>
      <c r="H14" s="6"/>
      <c r="I14" s="6">
        <v>16</v>
      </c>
      <c r="J14" s="6"/>
      <c r="K14" s="6"/>
      <c r="L14" s="6"/>
      <c r="M14" s="6"/>
      <c r="N14" s="412">
        <v>29</v>
      </c>
      <c r="O14" s="2"/>
    </row>
    <row r="15" spans="1:15" ht="31" x14ac:dyDescent="0.35">
      <c r="A15" s="6">
        <v>12</v>
      </c>
      <c r="B15" s="416" t="s">
        <v>24</v>
      </c>
      <c r="C15" s="6">
        <v>2</v>
      </c>
      <c r="D15" s="6"/>
      <c r="E15" s="6">
        <v>4</v>
      </c>
      <c r="F15" s="6">
        <v>9</v>
      </c>
      <c r="G15" s="6">
        <v>1</v>
      </c>
      <c r="H15" s="6"/>
      <c r="I15" s="6"/>
      <c r="J15" s="6"/>
      <c r="K15" s="6"/>
      <c r="L15" s="6"/>
      <c r="M15" s="6"/>
      <c r="N15" s="412">
        <v>16</v>
      </c>
      <c r="O15" s="2"/>
    </row>
    <row r="16" spans="1:15" ht="19.5" customHeight="1" x14ac:dyDescent="0.35">
      <c r="A16" s="6">
        <v>13</v>
      </c>
      <c r="B16" s="415" t="s">
        <v>25</v>
      </c>
      <c r="C16" s="6">
        <v>1</v>
      </c>
      <c r="D16" s="6"/>
      <c r="E16" s="6">
        <v>5</v>
      </c>
      <c r="F16" s="6">
        <v>12</v>
      </c>
      <c r="G16" s="6"/>
      <c r="H16" s="6"/>
      <c r="I16" s="6">
        <v>15</v>
      </c>
      <c r="J16" s="6"/>
      <c r="K16" s="6"/>
      <c r="L16" s="6"/>
      <c r="M16" s="6">
        <v>1</v>
      </c>
      <c r="N16" s="412">
        <v>34</v>
      </c>
      <c r="O16" s="2"/>
    </row>
    <row r="17" spans="1:15" ht="19.5" customHeight="1" x14ac:dyDescent="0.35">
      <c r="A17" s="6">
        <v>14</v>
      </c>
      <c r="B17" s="415" t="s">
        <v>26</v>
      </c>
      <c r="C17" s="6">
        <v>1</v>
      </c>
      <c r="D17" s="6"/>
      <c r="E17" s="6">
        <v>6</v>
      </c>
      <c r="F17" s="6">
        <v>34</v>
      </c>
      <c r="G17" s="6"/>
      <c r="H17" s="6">
        <v>1</v>
      </c>
      <c r="I17" s="6">
        <v>23</v>
      </c>
      <c r="J17" s="6"/>
      <c r="K17" s="6">
        <v>2</v>
      </c>
      <c r="L17" s="6"/>
      <c r="M17" s="6">
        <v>12</v>
      </c>
      <c r="N17" s="412">
        <v>79</v>
      </c>
      <c r="O17" s="2"/>
    </row>
    <row r="18" spans="1:15" ht="19.5" customHeight="1" x14ac:dyDescent="0.35">
      <c r="A18" s="6">
        <v>15</v>
      </c>
      <c r="B18" s="415" t="s">
        <v>27</v>
      </c>
      <c r="C18" s="6">
        <v>1</v>
      </c>
      <c r="D18" s="6"/>
      <c r="E18" s="6">
        <v>6</v>
      </c>
      <c r="F18" s="6">
        <v>14</v>
      </c>
      <c r="G18" s="6"/>
      <c r="H18" s="6">
        <v>1</v>
      </c>
      <c r="I18" s="6"/>
      <c r="J18" s="6"/>
      <c r="K18" s="6">
        <v>2</v>
      </c>
      <c r="L18" s="6"/>
      <c r="M18" s="6">
        <v>1</v>
      </c>
      <c r="N18" s="412">
        <v>25</v>
      </c>
      <c r="O18" s="2"/>
    </row>
    <row r="19" spans="1:15" ht="19.5" customHeight="1" x14ac:dyDescent="0.35">
      <c r="A19" s="6">
        <v>16</v>
      </c>
      <c r="B19" s="415" t="s">
        <v>28</v>
      </c>
      <c r="C19" s="6"/>
      <c r="D19" s="6"/>
      <c r="E19" s="6"/>
      <c r="F19" s="6">
        <v>1</v>
      </c>
      <c r="G19" s="6"/>
      <c r="H19" s="6"/>
      <c r="I19" s="6"/>
      <c r="J19" s="6"/>
      <c r="K19" s="6">
        <v>1</v>
      </c>
      <c r="L19" s="6"/>
      <c r="M19" s="6"/>
      <c r="N19" s="412">
        <v>2</v>
      </c>
      <c r="O19" s="2"/>
    </row>
    <row r="20" spans="1:15" ht="19.5" customHeight="1" x14ac:dyDescent="0.35">
      <c r="A20" s="6">
        <v>17</v>
      </c>
      <c r="B20" s="415" t="s">
        <v>29</v>
      </c>
      <c r="C20" s="6">
        <v>2</v>
      </c>
      <c r="D20" s="6"/>
      <c r="E20" s="6">
        <v>10</v>
      </c>
      <c r="F20" s="6">
        <v>23</v>
      </c>
      <c r="G20" s="6"/>
      <c r="H20" s="6">
        <v>1</v>
      </c>
      <c r="I20" s="6">
        <v>41</v>
      </c>
      <c r="J20" s="6"/>
      <c r="K20" s="6">
        <v>1</v>
      </c>
      <c r="L20" s="6"/>
      <c r="M20" s="6"/>
      <c r="N20" s="412">
        <v>78</v>
      </c>
      <c r="O20" s="2"/>
    </row>
    <row r="21" spans="1:15" ht="19.5" customHeight="1" x14ac:dyDescent="0.35">
      <c r="A21" s="6">
        <v>18</v>
      </c>
      <c r="B21" s="415" t="s">
        <v>30</v>
      </c>
      <c r="C21" s="6">
        <v>1</v>
      </c>
      <c r="D21" s="6"/>
      <c r="E21" s="6">
        <v>7</v>
      </c>
      <c r="F21" s="6">
        <v>27</v>
      </c>
      <c r="G21" s="6"/>
      <c r="H21" s="6">
        <v>1</v>
      </c>
      <c r="I21" s="6">
        <v>21</v>
      </c>
      <c r="J21" s="6"/>
      <c r="K21" s="6">
        <v>7</v>
      </c>
      <c r="L21" s="6">
        <v>3</v>
      </c>
      <c r="M21" s="6">
        <v>11</v>
      </c>
      <c r="N21" s="412">
        <v>78</v>
      </c>
      <c r="O21" s="2"/>
    </row>
    <row r="22" spans="1:15" ht="19.5" customHeight="1" x14ac:dyDescent="0.35">
      <c r="A22" s="6">
        <v>19</v>
      </c>
      <c r="B22" s="415" t="s">
        <v>31</v>
      </c>
      <c r="C22" s="6">
        <v>3</v>
      </c>
      <c r="D22" s="6"/>
      <c r="E22" s="6">
        <v>2</v>
      </c>
      <c r="F22" s="6">
        <v>3</v>
      </c>
      <c r="G22" s="6"/>
      <c r="H22" s="6"/>
      <c r="I22" s="6">
        <v>4</v>
      </c>
      <c r="J22" s="6"/>
      <c r="K22" s="6"/>
      <c r="L22" s="6"/>
      <c r="M22" s="6"/>
      <c r="N22" s="412">
        <v>12</v>
      </c>
      <c r="O22" s="2"/>
    </row>
    <row r="23" spans="1:15" ht="19.5" customHeight="1" x14ac:dyDescent="0.35">
      <c r="A23" s="6">
        <v>20</v>
      </c>
      <c r="B23" s="415" t="s">
        <v>32</v>
      </c>
      <c r="C23" s="6">
        <v>1</v>
      </c>
      <c r="D23" s="6"/>
      <c r="E23" s="6">
        <v>2</v>
      </c>
      <c r="F23" s="6"/>
      <c r="G23" s="6"/>
      <c r="H23" s="6"/>
      <c r="I23" s="6">
        <v>8</v>
      </c>
      <c r="J23" s="6"/>
      <c r="K23" s="6"/>
      <c r="L23" s="6"/>
      <c r="M23" s="6"/>
      <c r="N23" s="412">
        <v>11</v>
      </c>
      <c r="O23" s="2"/>
    </row>
    <row r="24" spans="1:15" ht="19.5" customHeight="1" x14ac:dyDescent="0.35">
      <c r="A24" s="6">
        <v>21</v>
      </c>
      <c r="B24" s="415" t="s">
        <v>33</v>
      </c>
      <c r="C24" s="6">
        <v>1</v>
      </c>
      <c r="D24" s="6"/>
      <c r="E24" s="6">
        <v>1</v>
      </c>
      <c r="F24" s="6"/>
      <c r="G24" s="6"/>
      <c r="H24" s="6"/>
      <c r="I24" s="6">
        <v>1</v>
      </c>
      <c r="J24" s="6"/>
      <c r="K24" s="6"/>
      <c r="L24" s="6"/>
      <c r="M24" s="6"/>
      <c r="N24" s="412">
        <v>3</v>
      </c>
      <c r="O24" s="2"/>
    </row>
    <row r="25" spans="1:15" ht="19.5" customHeight="1" x14ac:dyDescent="0.35">
      <c r="A25" s="6">
        <v>22</v>
      </c>
      <c r="B25" s="415" t="s">
        <v>34</v>
      </c>
      <c r="C25" s="6">
        <v>1</v>
      </c>
      <c r="D25" s="6"/>
      <c r="E25" s="6">
        <v>1</v>
      </c>
      <c r="F25" s="6"/>
      <c r="G25" s="6"/>
      <c r="H25" s="6"/>
      <c r="I25" s="6">
        <v>4</v>
      </c>
      <c r="J25" s="6"/>
      <c r="K25" s="6"/>
      <c r="L25" s="6"/>
      <c r="M25" s="6"/>
      <c r="N25" s="412">
        <v>6</v>
      </c>
      <c r="O25" s="2"/>
    </row>
    <row r="26" spans="1:15" ht="19.5" customHeight="1" x14ac:dyDescent="0.35">
      <c r="A26" s="6">
        <v>23</v>
      </c>
      <c r="B26" s="415" t="s">
        <v>35</v>
      </c>
      <c r="C26" s="6">
        <v>1</v>
      </c>
      <c r="D26" s="6"/>
      <c r="E26" s="6">
        <v>5</v>
      </c>
      <c r="F26" s="6">
        <v>21</v>
      </c>
      <c r="G26" s="6"/>
      <c r="H26" s="6">
        <v>1</v>
      </c>
      <c r="I26" s="6">
        <v>8</v>
      </c>
      <c r="J26" s="6"/>
      <c r="K26" s="6"/>
      <c r="L26" s="6"/>
      <c r="M26" s="6">
        <v>3</v>
      </c>
      <c r="N26" s="412">
        <v>39</v>
      </c>
      <c r="O26" s="2"/>
    </row>
    <row r="27" spans="1:15" ht="19.5" customHeight="1" x14ac:dyDescent="0.35">
      <c r="A27" s="6">
        <v>24</v>
      </c>
      <c r="B27" s="415" t="s">
        <v>36</v>
      </c>
      <c r="C27" s="6">
        <v>1</v>
      </c>
      <c r="D27" s="6"/>
      <c r="E27" s="6">
        <v>2</v>
      </c>
      <c r="F27" s="6">
        <v>1</v>
      </c>
      <c r="G27" s="6"/>
      <c r="H27" s="6"/>
      <c r="I27" s="6"/>
      <c r="J27" s="6"/>
      <c r="K27" s="6"/>
      <c r="L27" s="6"/>
      <c r="M27" s="6">
        <v>1</v>
      </c>
      <c r="N27" s="412">
        <v>5</v>
      </c>
      <c r="O27" s="2"/>
    </row>
    <row r="28" spans="1:15" ht="19.5" customHeight="1" x14ac:dyDescent="0.35">
      <c r="A28" s="6">
        <v>25</v>
      </c>
      <c r="B28" s="415" t="s">
        <v>37</v>
      </c>
      <c r="C28" s="6">
        <v>1</v>
      </c>
      <c r="D28" s="6"/>
      <c r="E28" s="6">
        <v>6</v>
      </c>
      <c r="F28" s="6">
        <v>12</v>
      </c>
      <c r="G28" s="6"/>
      <c r="H28" s="6">
        <v>1</v>
      </c>
      <c r="I28" s="6">
        <v>18</v>
      </c>
      <c r="J28" s="6"/>
      <c r="K28" s="6">
        <v>1</v>
      </c>
      <c r="L28" s="6"/>
      <c r="M28" s="6">
        <v>1</v>
      </c>
      <c r="N28" s="412">
        <v>40</v>
      </c>
      <c r="O28" s="2"/>
    </row>
    <row r="29" spans="1:15" ht="19.5" customHeight="1" x14ac:dyDescent="0.35">
      <c r="A29" s="6">
        <v>26</v>
      </c>
      <c r="B29" s="415" t="s">
        <v>38</v>
      </c>
      <c r="C29" s="6">
        <v>1</v>
      </c>
      <c r="D29" s="6"/>
      <c r="E29" s="6">
        <v>5</v>
      </c>
      <c r="F29" s="6">
        <v>27</v>
      </c>
      <c r="G29" s="6">
        <v>1</v>
      </c>
      <c r="H29" s="6">
        <v>1</v>
      </c>
      <c r="I29" s="6">
        <v>49</v>
      </c>
      <c r="J29" s="6"/>
      <c r="K29" s="6"/>
      <c r="L29" s="6"/>
      <c r="M29" s="6">
        <v>7</v>
      </c>
      <c r="N29" s="412">
        <v>91</v>
      </c>
      <c r="O29" s="2"/>
    </row>
    <row r="30" spans="1:15" ht="19.5" customHeight="1" x14ac:dyDescent="0.35">
      <c r="A30" s="6">
        <v>27</v>
      </c>
      <c r="B30" s="415" t="s">
        <v>39</v>
      </c>
      <c r="C30" s="6">
        <v>1</v>
      </c>
      <c r="D30" s="6"/>
      <c r="E30" s="6">
        <v>1</v>
      </c>
      <c r="F30" s="6">
        <v>1</v>
      </c>
      <c r="G30" s="6"/>
      <c r="H30" s="6"/>
      <c r="I30" s="6">
        <v>8</v>
      </c>
      <c r="J30" s="6"/>
      <c r="K30" s="6"/>
      <c r="L30" s="6"/>
      <c r="M30" s="6"/>
      <c r="N30" s="412">
        <v>11</v>
      </c>
      <c r="O30" s="2"/>
    </row>
    <row r="31" spans="1:15" ht="19.5" customHeight="1" x14ac:dyDescent="0.35">
      <c r="A31" s="6">
        <v>28</v>
      </c>
      <c r="B31" s="415" t="s">
        <v>40</v>
      </c>
      <c r="C31" s="6">
        <v>2</v>
      </c>
      <c r="D31" s="6"/>
      <c r="E31" s="6">
        <v>9</v>
      </c>
      <c r="F31" s="6">
        <v>21</v>
      </c>
      <c r="G31" s="6"/>
      <c r="H31" s="6">
        <v>1</v>
      </c>
      <c r="I31" s="6">
        <v>4</v>
      </c>
      <c r="J31" s="6"/>
      <c r="K31" s="6"/>
      <c r="L31" s="6">
        <v>2</v>
      </c>
      <c r="M31" s="6">
        <v>26</v>
      </c>
      <c r="N31" s="412">
        <v>65</v>
      </c>
      <c r="O31" s="2"/>
    </row>
    <row r="32" spans="1:15" ht="19.5" customHeight="1" x14ac:dyDescent="0.35">
      <c r="A32" s="6">
        <v>29</v>
      </c>
      <c r="B32" s="415" t="s">
        <v>41</v>
      </c>
      <c r="C32" s="6">
        <v>3</v>
      </c>
      <c r="D32" s="6"/>
      <c r="E32" s="6">
        <v>4</v>
      </c>
      <c r="F32" s="6">
        <v>15</v>
      </c>
      <c r="G32" s="6">
        <v>1</v>
      </c>
      <c r="H32" s="6">
        <v>1</v>
      </c>
      <c r="I32" s="6">
        <v>5</v>
      </c>
      <c r="J32" s="6"/>
      <c r="K32" s="6">
        <v>1</v>
      </c>
      <c r="L32" s="6"/>
      <c r="M32" s="6">
        <v>2</v>
      </c>
      <c r="N32" s="412">
        <v>32</v>
      </c>
      <c r="O32" s="2"/>
    </row>
    <row r="33" spans="1:15" ht="19.5" customHeight="1" x14ac:dyDescent="0.35">
      <c r="A33" s="6">
        <v>30</v>
      </c>
      <c r="B33" s="415" t="s">
        <v>42</v>
      </c>
      <c r="C33" s="6">
        <v>1</v>
      </c>
      <c r="D33" s="6"/>
      <c r="E33" s="6">
        <v>2</v>
      </c>
      <c r="F33" s="6">
        <v>1</v>
      </c>
      <c r="G33" s="6"/>
      <c r="H33" s="6"/>
      <c r="I33" s="6">
        <v>1</v>
      </c>
      <c r="J33" s="6"/>
      <c r="K33" s="6"/>
      <c r="L33" s="6"/>
      <c r="M33" s="6"/>
      <c r="N33" s="412">
        <v>5</v>
      </c>
      <c r="O33" s="2"/>
    </row>
    <row r="34" spans="1:15" ht="19.5" customHeight="1" x14ac:dyDescent="0.35">
      <c r="A34" s="6">
        <v>31</v>
      </c>
      <c r="B34" s="415" t="s">
        <v>43</v>
      </c>
      <c r="C34" s="6">
        <v>6</v>
      </c>
      <c r="D34" s="6"/>
      <c r="E34" s="6">
        <v>11</v>
      </c>
      <c r="F34" s="6">
        <v>35</v>
      </c>
      <c r="G34" s="6">
        <v>1</v>
      </c>
      <c r="H34" s="6">
        <v>1</v>
      </c>
      <c r="I34" s="6">
        <v>31</v>
      </c>
      <c r="J34" s="6"/>
      <c r="K34" s="6">
        <v>2</v>
      </c>
      <c r="L34" s="6">
        <v>2</v>
      </c>
      <c r="M34" s="6">
        <v>5</v>
      </c>
      <c r="N34" s="412">
        <v>94</v>
      </c>
      <c r="O34" s="2"/>
    </row>
    <row r="35" spans="1:15" ht="19.5" customHeight="1" x14ac:dyDescent="0.35">
      <c r="A35" s="6">
        <v>32</v>
      </c>
      <c r="B35" s="416" t="s">
        <v>44</v>
      </c>
      <c r="C35" s="6">
        <v>1</v>
      </c>
      <c r="D35" s="6"/>
      <c r="E35" s="6">
        <v>4</v>
      </c>
      <c r="F35" s="6">
        <v>10</v>
      </c>
      <c r="G35" s="6"/>
      <c r="H35" s="6">
        <v>1</v>
      </c>
      <c r="I35" s="6">
        <v>21</v>
      </c>
      <c r="J35" s="6"/>
      <c r="K35" s="6">
        <v>1</v>
      </c>
      <c r="L35" s="6">
        <v>1</v>
      </c>
      <c r="M35" s="6">
        <v>1</v>
      </c>
      <c r="N35" s="412">
        <v>40</v>
      </c>
      <c r="O35" s="2"/>
    </row>
    <row r="36" spans="1:15" ht="19.5" customHeight="1" x14ac:dyDescent="0.35">
      <c r="A36" s="6">
        <v>33</v>
      </c>
      <c r="B36" s="415" t="s">
        <v>45</v>
      </c>
      <c r="C36" s="6">
        <v>1</v>
      </c>
      <c r="D36" s="6"/>
      <c r="E36" s="6">
        <v>8</v>
      </c>
      <c r="F36" s="6">
        <v>36</v>
      </c>
      <c r="G36" s="6"/>
      <c r="H36" s="6">
        <v>1</v>
      </c>
      <c r="I36" s="6">
        <v>11</v>
      </c>
      <c r="J36" s="6"/>
      <c r="K36" s="6">
        <v>1</v>
      </c>
      <c r="L36" s="6"/>
      <c r="M36" s="6">
        <v>1</v>
      </c>
      <c r="N36" s="412">
        <v>59</v>
      </c>
      <c r="O36" s="2"/>
    </row>
    <row r="37" spans="1:15" ht="19.5" customHeight="1" x14ac:dyDescent="0.35">
      <c r="A37" s="667" t="s">
        <v>46</v>
      </c>
      <c r="B37" s="667"/>
      <c r="C37" s="412">
        <v>54</v>
      </c>
      <c r="D37" s="412">
        <v>1</v>
      </c>
      <c r="E37" s="412">
        <v>157</v>
      </c>
      <c r="F37" s="412">
        <v>440</v>
      </c>
      <c r="G37" s="412">
        <v>6</v>
      </c>
      <c r="H37" s="412">
        <v>16</v>
      </c>
      <c r="I37" s="412">
        <v>415</v>
      </c>
      <c r="J37" s="412">
        <v>1</v>
      </c>
      <c r="K37" s="412">
        <v>32</v>
      </c>
      <c r="L37" s="412">
        <v>10</v>
      </c>
      <c r="M37" s="412">
        <v>81</v>
      </c>
      <c r="N37" s="412">
        <v>1213</v>
      </c>
      <c r="O37" s="2"/>
    </row>
    <row r="38" spans="1:15" ht="15.65" customHeight="1" x14ac:dyDescent="0.35">
      <c r="A38" s="669" t="s">
        <v>47</v>
      </c>
      <c r="B38" s="669"/>
      <c r="C38" s="669"/>
      <c r="D38" s="669"/>
      <c r="E38" s="669"/>
      <c r="F38" s="669"/>
      <c r="G38" s="669"/>
      <c r="H38" s="669"/>
      <c r="I38" s="669"/>
      <c r="J38" s="669"/>
      <c r="K38" s="669"/>
      <c r="L38" s="669"/>
      <c r="M38" s="669"/>
      <c r="N38" s="669"/>
      <c r="O38" s="2"/>
    </row>
  </sheetData>
  <mergeCells count="3">
    <mergeCell ref="A37:B37"/>
    <mergeCell ref="C1:N1"/>
    <mergeCell ref="A38:N38"/>
  </mergeCells>
  <pageMargins left="0.59055118110236227" right="0.35433070866141736" top="0.39370078740157483" bottom="0.39370078740157483" header="0.31496062992125984" footer="0.19685039370078741"/>
  <pageSetup paperSize="9" scale="81" orientation="portrait" r:id="rId1"/>
  <headerFooter>
    <oddFooter>&amp;L&amp;"Arial,Italic"&amp;9AISHE 2022-23&amp;RT-1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D0BB-DA21-48D3-AF1E-844C6364DFDD}">
  <sheetPr codeName="Sheet2">
    <tabColor rgb="FF92D050"/>
    <pageSetUpPr fitToPage="1"/>
  </sheetPr>
  <dimension ref="A1:O42"/>
  <sheetViews>
    <sheetView view="pageBreakPreview" zoomScale="115" zoomScaleNormal="100" zoomScaleSheetLayoutView="115" workbookViewId="0">
      <selection activeCell="C47" sqref="C47"/>
    </sheetView>
  </sheetViews>
  <sheetFormatPr defaultColWidth="8.26953125" defaultRowHeight="15.5" x14ac:dyDescent="0.35"/>
  <cols>
    <col min="1" max="1" width="8.26953125" style="2" bestFit="1" customWidth="1"/>
    <col min="2" max="2" width="18.81640625" style="2" bestFit="1" customWidth="1"/>
    <col min="3" max="3" width="9.54296875" style="2" bestFit="1" customWidth="1"/>
    <col min="4" max="4" width="9.26953125" style="2" bestFit="1" customWidth="1"/>
    <col min="5" max="5" width="12.81640625" style="2" bestFit="1" customWidth="1"/>
    <col min="6" max="6" width="9.54296875" style="2" bestFit="1" customWidth="1"/>
    <col min="7" max="7" width="9.26953125" style="2" bestFit="1" customWidth="1"/>
    <col min="8" max="8" width="12.81640625" style="2" bestFit="1" customWidth="1"/>
    <col min="9" max="9" width="9.54296875" style="2" bestFit="1" customWidth="1"/>
    <col min="10" max="10" width="9.26953125" style="2" bestFit="1" customWidth="1"/>
    <col min="11" max="11" width="12.81640625" style="2" bestFit="1" customWidth="1"/>
    <col min="12" max="12" width="9.54296875" style="2" bestFit="1" customWidth="1"/>
    <col min="13" max="13" width="9.26953125" style="2" bestFit="1" customWidth="1"/>
    <col min="14" max="14" width="12.81640625" style="2" bestFit="1" customWidth="1"/>
    <col min="15" max="16384" width="8.26953125" style="2"/>
  </cols>
  <sheetData>
    <row r="1" spans="1:15" s="455" customFormat="1" ht="18" x14ac:dyDescent="0.4">
      <c r="B1" s="456" t="s">
        <v>48</v>
      </c>
      <c r="C1" s="672" t="s">
        <v>1032</v>
      </c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</row>
    <row r="2" spans="1:15" s="455" customFormat="1" ht="18" x14ac:dyDescent="0.4">
      <c r="A2" s="673" t="s">
        <v>49</v>
      </c>
      <c r="B2" s="673" t="s">
        <v>50</v>
      </c>
      <c r="C2" s="674" t="s">
        <v>51</v>
      </c>
      <c r="D2" s="674"/>
      <c r="E2" s="674"/>
      <c r="F2" s="674" t="s">
        <v>52</v>
      </c>
      <c r="G2" s="674"/>
      <c r="H2" s="674"/>
      <c r="I2" s="674" t="s">
        <v>53</v>
      </c>
      <c r="J2" s="674"/>
      <c r="K2" s="674"/>
      <c r="L2" s="675" t="s">
        <v>947</v>
      </c>
      <c r="M2" s="676"/>
      <c r="N2" s="677"/>
    </row>
    <row r="3" spans="1:15" s="455" customFormat="1" ht="18" x14ac:dyDescent="0.4">
      <c r="A3" s="673"/>
      <c r="B3" s="673"/>
      <c r="C3" s="533" t="s">
        <v>55</v>
      </c>
      <c r="D3" s="533" t="s">
        <v>56</v>
      </c>
      <c r="E3" s="533" t="s">
        <v>57</v>
      </c>
      <c r="F3" s="533" t="s">
        <v>55</v>
      </c>
      <c r="G3" s="533" t="s">
        <v>56</v>
      </c>
      <c r="H3" s="533" t="s">
        <v>57</v>
      </c>
      <c r="I3" s="533" t="s">
        <v>55</v>
      </c>
      <c r="J3" s="533" t="s">
        <v>56</v>
      </c>
      <c r="K3" s="533" t="s">
        <v>57</v>
      </c>
      <c r="L3" s="533" t="s">
        <v>55</v>
      </c>
      <c r="M3" s="533" t="s">
        <v>56</v>
      </c>
      <c r="N3" s="533" t="s">
        <v>57</v>
      </c>
    </row>
    <row r="4" spans="1:15" x14ac:dyDescent="0.35">
      <c r="A4" s="458">
        <v>1</v>
      </c>
      <c r="B4" s="458">
        <v>2</v>
      </c>
      <c r="C4" s="458">
        <v>3</v>
      </c>
      <c r="D4" s="458">
        <v>4</v>
      </c>
      <c r="E4" s="458">
        <v>5</v>
      </c>
      <c r="F4" s="458">
        <v>6</v>
      </c>
      <c r="G4" s="458">
        <v>7</v>
      </c>
      <c r="H4" s="458">
        <v>8</v>
      </c>
      <c r="I4" s="458">
        <v>9</v>
      </c>
      <c r="J4" s="458">
        <v>10</v>
      </c>
      <c r="K4" s="458">
        <v>11</v>
      </c>
      <c r="L4" s="458">
        <v>12</v>
      </c>
      <c r="M4" s="458">
        <v>13</v>
      </c>
      <c r="N4" s="458">
        <v>14</v>
      </c>
    </row>
    <row r="5" spans="1:15" ht="35.25" customHeight="1" x14ac:dyDescent="0.35">
      <c r="A5" s="6">
        <v>1</v>
      </c>
      <c r="B5" s="459" t="s">
        <v>58</v>
      </c>
      <c r="C5" s="8"/>
      <c r="D5" s="8"/>
      <c r="E5" s="9"/>
      <c r="F5" s="9">
        <v>9</v>
      </c>
      <c r="G5" s="9">
        <v>3</v>
      </c>
      <c r="H5" s="10">
        <v>0.33333333333333331</v>
      </c>
      <c r="I5" s="9">
        <v>1</v>
      </c>
      <c r="J5" s="9">
        <v>1</v>
      </c>
      <c r="K5" s="10">
        <v>1</v>
      </c>
      <c r="L5" s="340">
        <f>SUM(C5,F5,I5)</f>
        <v>10</v>
      </c>
      <c r="M5" s="340">
        <f>SUM(D5,G5,J5)</f>
        <v>4</v>
      </c>
      <c r="N5" s="10">
        <f>M5/L5</f>
        <v>0.4</v>
      </c>
      <c r="O5" s="11"/>
    </row>
    <row r="6" spans="1:15" ht="35.25" customHeight="1" x14ac:dyDescent="0.35">
      <c r="A6" s="6">
        <v>2</v>
      </c>
      <c r="B6" s="459" t="s">
        <v>13</v>
      </c>
      <c r="C6" s="8">
        <v>51</v>
      </c>
      <c r="D6" s="8">
        <v>51</v>
      </c>
      <c r="E6" s="10">
        <v>1</v>
      </c>
      <c r="F6" s="9">
        <v>2591</v>
      </c>
      <c r="G6" s="9">
        <v>2580</v>
      </c>
      <c r="H6" s="10">
        <v>0.995754534928599</v>
      </c>
      <c r="I6" s="9">
        <v>741</v>
      </c>
      <c r="J6" s="9">
        <v>488</v>
      </c>
      <c r="K6" s="10">
        <v>0.65856950067476383</v>
      </c>
      <c r="L6" s="340">
        <f t="shared" ref="L6:L41" si="0">SUM(C6,F6,I6)</f>
        <v>3383</v>
      </c>
      <c r="M6" s="340">
        <f t="shared" ref="M6:M41" si="1">SUM(D6,G6,J6)</f>
        <v>3119</v>
      </c>
      <c r="N6" s="10">
        <f t="shared" ref="N6:N41" si="2">M6/L6</f>
        <v>0.9219627549512267</v>
      </c>
      <c r="O6" s="11"/>
    </row>
    <row r="7" spans="1:15" ht="35.25" customHeight="1" x14ac:dyDescent="0.35">
      <c r="A7" s="6">
        <v>3</v>
      </c>
      <c r="B7" s="459" t="s">
        <v>14</v>
      </c>
      <c r="C7" s="8">
        <v>10</v>
      </c>
      <c r="D7" s="8">
        <v>10</v>
      </c>
      <c r="E7" s="10">
        <v>1</v>
      </c>
      <c r="F7" s="9">
        <v>44</v>
      </c>
      <c r="G7" s="9">
        <v>43</v>
      </c>
      <c r="H7" s="10">
        <v>0.97727272727272729</v>
      </c>
      <c r="I7" s="9">
        <v>22</v>
      </c>
      <c r="J7" s="9">
        <v>21</v>
      </c>
      <c r="K7" s="10">
        <v>0.95454545454545459</v>
      </c>
      <c r="L7" s="340">
        <f t="shared" si="0"/>
        <v>76</v>
      </c>
      <c r="M7" s="340">
        <f t="shared" si="1"/>
        <v>74</v>
      </c>
      <c r="N7" s="10">
        <f t="shared" si="2"/>
        <v>0.97368421052631582</v>
      </c>
      <c r="O7" s="11"/>
    </row>
    <row r="8" spans="1:15" ht="35.25" customHeight="1" x14ac:dyDescent="0.35">
      <c r="A8" s="6">
        <v>4</v>
      </c>
      <c r="B8" s="459" t="s">
        <v>15</v>
      </c>
      <c r="C8" s="8">
        <v>31</v>
      </c>
      <c r="D8" s="8">
        <v>31</v>
      </c>
      <c r="E8" s="10">
        <v>1</v>
      </c>
      <c r="F8" s="9">
        <v>655</v>
      </c>
      <c r="G8" s="9">
        <v>650</v>
      </c>
      <c r="H8" s="10">
        <v>0.99236641221374045</v>
      </c>
      <c r="I8" s="9">
        <v>146</v>
      </c>
      <c r="J8" s="9">
        <v>141</v>
      </c>
      <c r="K8" s="10">
        <v>0.96575342465753422</v>
      </c>
      <c r="L8" s="340">
        <f t="shared" si="0"/>
        <v>832</v>
      </c>
      <c r="M8" s="340">
        <f t="shared" si="1"/>
        <v>822</v>
      </c>
      <c r="N8" s="10">
        <f t="shared" si="2"/>
        <v>0.98798076923076927</v>
      </c>
      <c r="O8" s="11"/>
    </row>
    <row r="9" spans="1:15" ht="35.25" customHeight="1" x14ac:dyDescent="0.35">
      <c r="A9" s="6">
        <v>5</v>
      </c>
      <c r="B9" s="459" t="s">
        <v>16</v>
      </c>
      <c r="C9" s="8">
        <v>37</v>
      </c>
      <c r="D9" s="8">
        <v>37</v>
      </c>
      <c r="E9" s="10">
        <v>1</v>
      </c>
      <c r="F9" s="9">
        <v>1175</v>
      </c>
      <c r="G9" s="9">
        <v>1162</v>
      </c>
      <c r="H9" s="10">
        <v>0.98893617021276592</v>
      </c>
      <c r="I9" s="9">
        <v>341</v>
      </c>
      <c r="J9" s="9">
        <v>304</v>
      </c>
      <c r="K9" s="10">
        <v>0.89149560117302051</v>
      </c>
      <c r="L9" s="340">
        <f t="shared" si="0"/>
        <v>1553</v>
      </c>
      <c r="M9" s="340">
        <f t="shared" si="1"/>
        <v>1503</v>
      </c>
      <c r="N9" s="10">
        <f t="shared" si="2"/>
        <v>0.96780424983902125</v>
      </c>
      <c r="O9" s="11"/>
    </row>
    <row r="10" spans="1:15" ht="35.25" customHeight="1" x14ac:dyDescent="0.35">
      <c r="A10" s="6">
        <v>6</v>
      </c>
      <c r="B10" s="459" t="s">
        <v>17</v>
      </c>
      <c r="C10" s="8">
        <v>3</v>
      </c>
      <c r="D10" s="8">
        <v>3</v>
      </c>
      <c r="E10" s="10">
        <v>1</v>
      </c>
      <c r="F10" s="9">
        <v>26</v>
      </c>
      <c r="G10" s="9">
        <v>26</v>
      </c>
      <c r="H10" s="10">
        <v>1</v>
      </c>
      <c r="I10" s="9">
        <v>9</v>
      </c>
      <c r="J10" s="9">
        <v>9</v>
      </c>
      <c r="K10" s="10">
        <v>1</v>
      </c>
      <c r="L10" s="340">
        <f t="shared" si="0"/>
        <v>38</v>
      </c>
      <c r="M10" s="340">
        <f t="shared" si="1"/>
        <v>38</v>
      </c>
      <c r="N10" s="10">
        <f t="shared" si="2"/>
        <v>1</v>
      </c>
      <c r="O10" s="11"/>
    </row>
    <row r="11" spans="1:15" ht="35.25" customHeight="1" x14ac:dyDescent="0.35">
      <c r="A11" s="6">
        <v>7</v>
      </c>
      <c r="B11" s="459" t="s">
        <v>18</v>
      </c>
      <c r="C11" s="8">
        <v>34</v>
      </c>
      <c r="D11" s="8">
        <v>34</v>
      </c>
      <c r="E11" s="10">
        <v>1</v>
      </c>
      <c r="F11" s="9">
        <v>965</v>
      </c>
      <c r="G11" s="9">
        <v>927</v>
      </c>
      <c r="H11" s="10">
        <v>0.96062176165803104</v>
      </c>
      <c r="I11" s="9">
        <v>82</v>
      </c>
      <c r="J11" s="9">
        <v>71</v>
      </c>
      <c r="K11" s="10">
        <v>0.86585365853658536</v>
      </c>
      <c r="L11" s="340">
        <f t="shared" si="0"/>
        <v>1081</v>
      </c>
      <c r="M11" s="340">
        <f t="shared" si="1"/>
        <v>1032</v>
      </c>
      <c r="N11" s="10">
        <f t="shared" si="2"/>
        <v>0.95467160037002774</v>
      </c>
      <c r="O11" s="11"/>
    </row>
    <row r="12" spans="1:15" ht="35.25" customHeight="1" x14ac:dyDescent="0.35">
      <c r="A12" s="6">
        <v>8</v>
      </c>
      <c r="B12" s="459" t="s">
        <v>19</v>
      </c>
      <c r="C12" s="8">
        <v>30</v>
      </c>
      <c r="D12" s="8">
        <v>30</v>
      </c>
      <c r="E12" s="10">
        <v>1</v>
      </c>
      <c r="F12" s="9">
        <v>196</v>
      </c>
      <c r="G12" s="9">
        <v>167</v>
      </c>
      <c r="H12" s="10">
        <v>0.85204081632653061</v>
      </c>
      <c r="I12" s="9">
        <v>102</v>
      </c>
      <c r="J12" s="9">
        <v>80</v>
      </c>
      <c r="K12" s="10">
        <v>0.78431372549019607</v>
      </c>
      <c r="L12" s="340">
        <f t="shared" si="0"/>
        <v>328</v>
      </c>
      <c r="M12" s="340">
        <f t="shared" si="1"/>
        <v>277</v>
      </c>
      <c r="N12" s="10">
        <f t="shared" si="2"/>
        <v>0.84451219512195119</v>
      </c>
      <c r="O12" s="11"/>
    </row>
    <row r="13" spans="1:15" ht="35.25" customHeight="1" x14ac:dyDescent="0.35">
      <c r="A13" s="6">
        <v>9</v>
      </c>
      <c r="B13" s="459" t="s">
        <v>20</v>
      </c>
      <c r="C13" s="8">
        <v>4</v>
      </c>
      <c r="D13" s="8">
        <v>4</v>
      </c>
      <c r="E13" s="10">
        <v>1</v>
      </c>
      <c r="F13" s="9">
        <v>63</v>
      </c>
      <c r="G13" s="9">
        <v>63</v>
      </c>
      <c r="H13" s="10">
        <v>1</v>
      </c>
      <c r="I13" s="9">
        <v>18</v>
      </c>
      <c r="J13" s="9">
        <v>18</v>
      </c>
      <c r="K13" s="10">
        <v>1</v>
      </c>
      <c r="L13" s="340">
        <f t="shared" si="0"/>
        <v>85</v>
      </c>
      <c r="M13" s="340">
        <f t="shared" si="1"/>
        <v>85</v>
      </c>
      <c r="N13" s="10">
        <f t="shared" si="2"/>
        <v>1</v>
      </c>
      <c r="O13" s="11"/>
    </row>
    <row r="14" spans="1:15" ht="35.25" customHeight="1" x14ac:dyDescent="0.35">
      <c r="A14" s="6">
        <v>10</v>
      </c>
      <c r="B14" s="459" t="s">
        <v>21</v>
      </c>
      <c r="C14" s="8">
        <v>102</v>
      </c>
      <c r="D14" s="8">
        <v>102</v>
      </c>
      <c r="E14" s="10">
        <v>1</v>
      </c>
      <c r="F14" s="9">
        <v>2470</v>
      </c>
      <c r="G14" s="9">
        <v>2449</v>
      </c>
      <c r="H14" s="10">
        <v>0.99149797570850207</v>
      </c>
      <c r="I14" s="9">
        <v>348</v>
      </c>
      <c r="J14" s="9">
        <v>348</v>
      </c>
      <c r="K14" s="10">
        <v>1</v>
      </c>
      <c r="L14" s="340">
        <f t="shared" si="0"/>
        <v>2920</v>
      </c>
      <c r="M14" s="340">
        <f t="shared" si="1"/>
        <v>2899</v>
      </c>
      <c r="N14" s="10">
        <f t="shared" si="2"/>
        <v>0.99280821917808215</v>
      </c>
      <c r="O14" s="11"/>
    </row>
    <row r="15" spans="1:15" ht="35.25" customHeight="1" x14ac:dyDescent="0.35">
      <c r="A15" s="6">
        <v>11</v>
      </c>
      <c r="B15" s="459" t="s">
        <v>22</v>
      </c>
      <c r="C15" s="8">
        <v>57</v>
      </c>
      <c r="D15" s="8">
        <v>57</v>
      </c>
      <c r="E15" s="10">
        <v>1</v>
      </c>
      <c r="F15" s="9">
        <v>1123</v>
      </c>
      <c r="G15" s="9">
        <v>1122</v>
      </c>
      <c r="H15" s="10">
        <v>0.99910952804986641</v>
      </c>
      <c r="I15" s="9">
        <v>274</v>
      </c>
      <c r="J15" s="9">
        <v>274</v>
      </c>
      <c r="K15" s="10">
        <v>1</v>
      </c>
      <c r="L15" s="340">
        <f t="shared" si="0"/>
        <v>1454</v>
      </c>
      <c r="M15" s="340">
        <f t="shared" si="1"/>
        <v>1453</v>
      </c>
      <c r="N15" s="10">
        <f t="shared" si="2"/>
        <v>0.99931224209078406</v>
      </c>
      <c r="O15" s="11"/>
    </row>
    <row r="16" spans="1:15" ht="35.25" customHeight="1" x14ac:dyDescent="0.35">
      <c r="A16" s="6">
        <v>12</v>
      </c>
      <c r="B16" s="459" t="s">
        <v>23</v>
      </c>
      <c r="C16" s="8">
        <v>29</v>
      </c>
      <c r="D16" s="8">
        <v>29</v>
      </c>
      <c r="E16" s="10">
        <v>1</v>
      </c>
      <c r="F16" s="9">
        <v>357</v>
      </c>
      <c r="G16" s="9">
        <v>339</v>
      </c>
      <c r="H16" s="10">
        <v>0.94957983193277307</v>
      </c>
      <c r="I16" s="9">
        <v>87</v>
      </c>
      <c r="J16" s="9">
        <v>73</v>
      </c>
      <c r="K16" s="10">
        <v>0.83908045977011492</v>
      </c>
      <c r="L16" s="340">
        <f t="shared" si="0"/>
        <v>473</v>
      </c>
      <c r="M16" s="340">
        <f t="shared" si="1"/>
        <v>441</v>
      </c>
      <c r="N16" s="10">
        <f t="shared" si="2"/>
        <v>0.93234672304439747</v>
      </c>
      <c r="O16" s="11"/>
    </row>
    <row r="17" spans="1:15" ht="35.25" customHeight="1" x14ac:dyDescent="0.35">
      <c r="A17" s="6">
        <v>13</v>
      </c>
      <c r="B17" s="459" t="s">
        <v>24</v>
      </c>
      <c r="C17" s="8">
        <v>16</v>
      </c>
      <c r="D17" s="8">
        <v>16</v>
      </c>
      <c r="E17" s="10">
        <v>1</v>
      </c>
      <c r="F17" s="9">
        <v>330</v>
      </c>
      <c r="G17" s="9">
        <v>328</v>
      </c>
      <c r="H17" s="10">
        <v>0.9939393939393939</v>
      </c>
      <c r="I17" s="9">
        <v>166</v>
      </c>
      <c r="J17" s="9">
        <v>142</v>
      </c>
      <c r="K17" s="10">
        <v>0.85542168674698793</v>
      </c>
      <c r="L17" s="340">
        <f t="shared" si="0"/>
        <v>512</v>
      </c>
      <c r="M17" s="340">
        <f t="shared" si="1"/>
        <v>486</v>
      </c>
      <c r="N17" s="10">
        <f t="shared" si="2"/>
        <v>0.94921875</v>
      </c>
      <c r="O17" s="11"/>
    </row>
    <row r="18" spans="1:15" ht="35.25" customHeight="1" x14ac:dyDescent="0.35">
      <c r="A18" s="6">
        <v>14</v>
      </c>
      <c r="B18" s="459" t="s">
        <v>25</v>
      </c>
      <c r="C18" s="8">
        <v>34</v>
      </c>
      <c r="D18" s="8">
        <v>34</v>
      </c>
      <c r="E18" s="10">
        <v>1</v>
      </c>
      <c r="F18" s="9">
        <v>425</v>
      </c>
      <c r="G18" s="9">
        <v>410</v>
      </c>
      <c r="H18" s="10">
        <v>0.96470588235294119</v>
      </c>
      <c r="I18" s="9">
        <v>223</v>
      </c>
      <c r="J18" s="9">
        <v>196</v>
      </c>
      <c r="K18" s="10">
        <v>0.87892376681614348</v>
      </c>
      <c r="L18" s="340">
        <f t="shared" si="0"/>
        <v>682</v>
      </c>
      <c r="M18" s="340">
        <f t="shared" si="1"/>
        <v>640</v>
      </c>
      <c r="N18" s="10">
        <f t="shared" si="2"/>
        <v>0.93841642228739008</v>
      </c>
      <c r="O18" s="11"/>
    </row>
    <row r="19" spans="1:15" ht="35.25" customHeight="1" x14ac:dyDescent="0.35">
      <c r="A19" s="6">
        <v>15</v>
      </c>
      <c r="B19" s="459" t="s">
        <v>26</v>
      </c>
      <c r="C19" s="8">
        <v>79</v>
      </c>
      <c r="D19" s="8">
        <v>79</v>
      </c>
      <c r="E19" s="10">
        <v>1</v>
      </c>
      <c r="F19" s="9">
        <v>4524</v>
      </c>
      <c r="G19" s="9">
        <v>4220</v>
      </c>
      <c r="H19" s="10">
        <v>0.9328028293545535</v>
      </c>
      <c r="I19" s="9">
        <v>1770</v>
      </c>
      <c r="J19" s="9">
        <v>1237</v>
      </c>
      <c r="K19" s="10">
        <v>0.69887005649717515</v>
      </c>
      <c r="L19" s="340">
        <f t="shared" si="0"/>
        <v>6373</v>
      </c>
      <c r="M19" s="340">
        <f t="shared" si="1"/>
        <v>5536</v>
      </c>
      <c r="N19" s="10">
        <f t="shared" si="2"/>
        <v>0.86866467911501644</v>
      </c>
      <c r="O19" s="11"/>
    </row>
    <row r="20" spans="1:15" ht="35.25" customHeight="1" x14ac:dyDescent="0.35">
      <c r="A20" s="6">
        <v>16</v>
      </c>
      <c r="B20" s="459" t="s">
        <v>27</v>
      </c>
      <c r="C20" s="8">
        <v>25</v>
      </c>
      <c r="D20" s="8">
        <v>25</v>
      </c>
      <c r="E20" s="10">
        <v>1</v>
      </c>
      <c r="F20" s="9">
        <v>1504</v>
      </c>
      <c r="G20" s="9">
        <v>1398</v>
      </c>
      <c r="H20" s="10">
        <v>0.92952127659574468</v>
      </c>
      <c r="I20" s="9">
        <v>468</v>
      </c>
      <c r="J20" s="9">
        <v>424</v>
      </c>
      <c r="K20" s="10">
        <v>0.90598290598290598</v>
      </c>
      <c r="L20" s="340">
        <f t="shared" si="0"/>
        <v>1997</v>
      </c>
      <c r="M20" s="340">
        <f t="shared" si="1"/>
        <v>1847</v>
      </c>
      <c r="N20" s="10">
        <f t="shared" si="2"/>
        <v>0.92488733099649478</v>
      </c>
      <c r="O20" s="11"/>
    </row>
    <row r="21" spans="1:15" ht="35.25" customHeight="1" x14ac:dyDescent="0.35">
      <c r="A21" s="6">
        <v>17</v>
      </c>
      <c r="B21" s="459" t="s">
        <v>28</v>
      </c>
      <c r="C21" s="8">
        <v>2</v>
      </c>
      <c r="D21" s="8">
        <v>2</v>
      </c>
      <c r="E21" s="10">
        <v>1</v>
      </c>
      <c r="F21" s="9">
        <v>6</v>
      </c>
      <c r="G21" s="9">
        <v>6</v>
      </c>
      <c r="H21" s="10">
        <v>1</v>
      </c>
      <c r="I21" s="9">
        <v>7</v>
      </c>
      <c r="J21" s="9">
        <v>7</v>
      </c>
      <c r="K21" s="10">
        <v>1</v>
      </c>
      <c r="L21" s="340">
        <f t="shared" si="0"/>
        <v>15</v>
      </c>
      <c r="M21" s="340">
        <f t="shared" si="1"/>
        <v>15</v>
      </c>
      <c r="N21" s="10">
        <f t="shared" si="2"/>
        <v>1</v>
      </c>
      <c r="O21" s="11"/>
    </row>
    <row r="22" spans="1:15" ht="35.25" customHeight="1" x14ac:dyDescent="0.35">
      <c r="A22" s="6">
        <v>18</v>
      </c>
      <c r="B22" s="459" t="s">
        <v>59</v>
      </c>
      <c r="C22" s="8"/>
      <c r="D22" s="8"/>
      <c r="E22" s="9"/>
      <c r="F22" s="9">
        <v>4</v>
      </c>
      <c r="G22" s="9">
        <v>4</v>
      </c>
      <c r="H22" s="10">
        <v>1</v>
      </c>
      <c r="I22" s="9"/>
      <c r="J22" s="9"/>
      <c r="K22" s="9"/>
      <c r="L22" s="340">
        <f t="shared" si="0"/>
        <v>4</v>
      </c>
      <c r="M22" s="340">
        <f t="shared" si="1"/>
        <v>4</v>
      </c>
      <c r="N22" s="10">
        <f t="shared" si="2"/>
        <v>1</v>
      </c>
      <c r="O22" s="11"/>
    </row>
    <row r="23" spans="1:15" ht="35.25" customHeight="1" x14ac:dyDescent="0.35">
      <c r="A23" s="6">
        <v>19</v>
      </c>
      <c r="B23" s="459" t="s">
        <v>29</v>
      </c>
      <c r="C23" s="8">
        <v>78</v>
      </c>
      <c r="D23" s="8">
        <v>78</v>
      </c>
      <c r="E23" s="10">
        <v>1</v>
      </c>
      <c r="F23" s="9">
        <v>2582</v>
      </c>
      <c r="G23" s="9">
        <v>2528</v>
      </c>
      <c r="H23" s="10">
        <v>0.97908597986057322</v>
      </c>
      <c r="I23" s="9">
        <v>410</v>
      </c>
      <c r="J23" s="9">
        <v>308</v>
      </c>
      <c r="K23" s="10">
        <v>0.75121951219512195</v>
      </c>
      <c r="L23" s="340">
        <f t="shared" si="0"/>
        <v>3070</v>
      </c>
      <c r="M23" s="340">
        <f t="shared" si="1"/>
        <v>2914</v>
      </c>
      <c r="N23" s="10">
        <f t="shared" si="2"/>
        <v>0.94918566775244295</v>
      </c>
      <c r="O23" s="11"/>
    </row>
    <row r="24" spans="1:15" ht="35.25" customHeight="1" x14ac:dyDescent="0.35">
      <c r="A24" s="6">
        <v>20</v>
      </c>
      <c r="B24" s="459" t="s">
        <v>30</v>
      </c>
      <c r="C24" s="8">
        <v>78</v>
      </c>
      <c r="D24" s="8">
        <v>78</v>
      </c>
      <c r="E24" s="10">
        <v>1</v>
      </c>
      <c r="F24" s="9">
        <v>5390</v>
      </c>
      <c r="G24" s="9">
        <v>5061</v>
      </c>
      <c r="H24" s="10">
        <v>0.938961038961039</v>
      </c>
      <c r="I24" s="9">
        <v>2182</v>
      </c>
      <c r="J24" s="9">
        <v>1927</v>
      </c>
      <c r="K24" s="10">
        <v>0.88313473877176907</v>
      </c>
      <c r="L24" s="340">
        <f t="shared" si="0"/>
        <v>7650</v>
      </c>
      <c r="M24" s="340">
        <f t="shared" si="1"/>
        <v>7066</v>
      </c>
      <c r="N24" s="10">
        <f t="shared" si="2"/>
        <v>0.92366013071895425</v>
      </c>
      <c r="O24" s="11"/>
    </row>
    <row r="25" spans="1:15" ht="35.25" customHeight="1" x14ac:dyDescent="0.35">
      <c r="A25" s="6">
        <v>21</v>
      </c>
      <c r="B25" s="459" t="s">
        <v>31</v>
      </c>
      <c r="C25" s="8">
        <v>12</v>
      </c>
      <c r="D25" s="8">
        <v>11</v>
      </c>
      <c r="E25" s="10">
        <v>0.91666666666666663</v>
      </c>
      <c r="F25" s="9">
        <v>110</v>
      </c>
      <c r="G25" s="9">
        <v>106</v>
      </c>
      <c r="H25" s="10">
        <v>0.96363636363636362</v>
      </c>
      <c r="I25" s="9">
        <v>36</v>
      </c>
      <c r="J25" s="9">
        <v>30</v>
      </c>
      <c r="K25" s="10">
        <v>0.83333333333333337</v>
      </c>
      <c r="L25" s="340">
        <f t="shared" si="0"/>
        <v>158</v>
      </c>
      <c r="M25" s="340">
        <f t="shared" si="1"/>
        <v>147</v>
      </c>
      <c r="N25" s="10">
        <f t="shared" si="2"/>
        <v>0.930379746835443</v>
      </c>
      <c r="O25" s="11"/>
    </row>
    <row r="26" spans="1:15" ht="35.25" customHeight="1" x14ac:dyDescent="0.35">
      <c r="A26" s="6">
        <v>22</v>
      </c>
      <c r="B26" s="459" t="s">
        <v>32</v>
      </c>
      <c r="C26" s="8">
        <v>11</v>
      </c>
      <c r="D26" s="8">
        <v>11</v>
      </c>
      <c r="E26" s="10">
        <v>1</v>
      </c>
      <c r="F26" s="9">
        <v>79</v>
      </c>
      <c r="G26" s="9">
        <v>75</v>
      </c>
      <c r="H26" s="10">
        <v>0.94936708860759489</v>
      </c>
      <c r="I26" s="9">
        <v>23</v>
      </c>
      <c r="J26" s="9">
        <v>22</v>
      </c>
      <c r="K26" s="10">
        <v>0.95652173913043481</v>
      </c>
      <c r="L26" s="340">
        <f t="shared" si="0"/>
        <v>113</v>
      </c>
      <c r="M26" s="340">
        <f t="shared" si="1"/>
        <v>108</v>
      </c>
      <c r="N26" s="10">
        <f t="shared" si="2"/>
        <v>0.95575221238938057</v>
      </c>
      <c r="O26" s="11"/>
    </row>
    <row r="27" spans="1:15" ht="35.25" customHeight="1" x14ac:dyDescent="0.35">
      <c r="A27" s="6">
        <v>23</v>
      </c>
      <c r="B27" s="459" t="s">
        <v>33</v>
      </c>
      <c r="C27" s="8">
        <v>3</v>
      </c>
      <c r="D27" s="8">
        <v>3</v>
      </c>
      <c r="E27" s="10">
        <v>1</v>
      </c>
      <c r="F27" s="9">
        <v>40</v>
      </c>
      <c r="G27" s="9">
        <v>40</v>
      </c>
      <c r="H27" s="10">
        <v>1</v>
      </c>
      <c r="I27" s="9">
        <v>59</v>
      </c>
      <c r="J27" s="9">
        <v>59</v>
      </c>
      <c r="K27" s="10">
        <v>1</v>
      </c>
      <c r="L27" s="340">
        <f t="shared" si="0"/>
        <v>102</v>
      </c>
      <c r="M27" s="340">
        <f t="shared" si="1"/>
        <v>102</v>
      </c>
      <c r="N27" s="10">
        <f t="shared" si="2"/>
        <v>1</v>
      </c>
      <c r="O27" s="11"/>
    </row>
    <row r="28" spans="1:15" ht="35.25" customHeight="1" x14ac:dyDescent="0.35">
      <c r="A28" s="6">
        <v>24</v>
      </c>
      <c r="B28" s="459" t="s">
        <v>34</v>
      </c>
      <c r="C28" s="8">
        <v>6</v>
      </c>
      <c r="D28" s="8">
        <v>6</v>
      </c>
      <c r="E28" s="10">
        <v>1</v>
      </c>
      <c r="F28" s="9">
        <v>70</v>
      </c>
      <c r="G28" s="9">
        <v>69</v>
      </c>
      <c r="H28" s="10">
        <v>0.98571428571428577</v>
      </c>
      <c r="I28" s="9">
        <v>23</v>
      </c>
      <c r="J28" s="9">
        <v>23</v>
      </c>
      <c r="K28" s="10">
        <v>1</v>
      </c>
      <c r="L28" s="340">
        <f t="shared" si="0"/>
        <v>99</v>
      </c>
      <c r="M28" s="340">
        <f t="shared" si="1"/>
        <v>98</v>
      </c>
      <c r="N28" s="10">
        <f t="shared" si="2"/>
        <v>0.98989898989898994</v>
      </c>
      <c r="O28" s="11"/>
    </row>
    <row r="29" spans="1:15" ht="35.25" customHeight="1" x14ac:dyDescent="0.35">
      <c r="A29" s="6">
        <v>25</v>
      </c>
      <c r="B29" s="459" t="s">
        <v>35</v>
      </c>
      <c r="C29" s="8">
        <v>39</v>
      </c>
      <c r="D29" s="8">
        <v>39</v>
      </c>
      <c r="E29" s="10">
        <v>1</v>
      </c>
      <c r="F29" s="9">
        <v>1370</v>
      </c>
      <c r="G29" s="9">
        <v>1359</v>
      </c>
      <c r="H29" s="10">
        <v>0.99197080291970807</v>
      </c>
      <c r="I29" s="9">
        <v>525</v>
      </c>
      <c r="J29" s="9">
        <v>525</v>
      </c>
      <c r="K29" s="10">
        <v>1</v>
      </c>
      <c r="L29" s="340">
        <f t="shared" si="0"/>
        <v>1934</v>
      </c>
      <c r="M29" s="340">
        <f t="shared" si="1"/>
        <v>1923</v>
      </c>
      <c r="N29" s="10">
        <f t="shared" si="2"/>
        <v>0.99431230610134436</v>
      </c>
      <c r="O29" s="11"/>
    </row>
    <row r="30" spans="1:15" ht="35.25" customHeight="1" x14ac:dyDescent="0.35">
      <c r="A30" s="6">
        <v>26</v>
      </c>
      <c r="B30" s="459" t="s">
        <v>36</v>
      </c>
      <c r="C30" s="8">
        <v>5</v>
      </c>
      <c r="D30" s="8">
        <v>5</v>
      </c>
      <c r="E30" s="10">
        <v>1</v>
      </c>
      <c r="F30" s="9">
        <v>88</v>
      </c>
      <c r="G30" s="9">
        <v>72</v>
      </c>
      <c r="H30" s="10">
        <v>0.81818181818181823</v>
      </c>
      <c r="I30" s="9">
        <v>12</v>
      </c>
      <c r="J30" s="9">
        <v>9</v>
      </c>
      <c r="K30" s="10">
        <v>0.75</v>
      </c>
      <c r="L30" s="340">
        <f t="shared" si="0"/>
        <v>105</v>
      </c>
      <c r="M30" s="340">
        <f t="shared" si="1"/>
        <v>86</v>
      </c>
      <c r="N30" s="10">
        <f t="shared" si="2"/>
        <v>0.81904761904761902</v>
      </c>
      <c r="O30" s="11"/>
    </row>
    <row r="31" spans="1:15" ht="35.25" customHeight="1" x14ac:dyDescent="0.35">
      <c r="A31" s="6">
        <v>27</v>
      </c>
      <c r="B31" s="459" t="s">
        <v>37</v>
      </c>
      <c r="C31" s="8">
        <v>40</v>
      </c>
      <c r="D31" s="8">
        <v>40</v>
      </c>
      <c r="E31" s="10">
        <v>1</v>
      </c>
      <c r="F31" s="9">
        <v>1040</v>
      </c>
      <c r="G31" s="9">
        <v>1034</v>
      </c>
      <c r="H31" s="10">
        <v>0.99423076923076925</v>
      </c>
      <c r="I31" s="9">
        <v>353</v>
      </c>
      <c r="J31" s="9">
        <v>352</v>
      </c>
      <c r="K31" s="10">
        <v>0.99716713881019825</v>
      </c>
      <c r="L31" s="340">
        <f t="shared" si="0"/>
        <v>1433</v>
      </c>
      <c r="M31" s="340">
        <f t="shared" si="1"/>
        <v>1426</v>
      </c>
      <c r="N31" s="10">
        <f t="shared" si="2"/>
        <v>0.99511514305652482</v>
      </c>
      <c r="O31" s="11"/>
    </row>
    <row r="32" spans="1:15" ht="35.25" customHeight="1" x14ac:dyDescent="0.35">
      <c r="A32" s="6">
        <v>28</v>
      </c>
      <c r="B32" s="459" t="s">
        <v>38</v>
      </c>
      <c r="C32" s="8">
        <v>91</v>
      </c>
      <c r="D32" s="8">
        <v>90</v>
      </c>
      <c r="E32" s="10">
        <v>0.98901098901098905</v>
      </c>
      <c r="F32" s="9">
        <v>3889</v>
      </c>
      <c r="G32" s="9">
        <v>3809</v>
      </c>
      <c r="H32" s="10">
        <v>0.97942915916688089</v>
      </c>
      <c r="I32" s="9">
        <v>593</v>
      </c>
      <c r="J32" s="9">
        <v>526</v>
      </c>
      <c r="K32" s="10">
        <v>0.88701517706576727</v>
      </c>
      <c r="L32" s="340">
        <f t="shared" si="0"/>
        <v>4573</v>
      </c>
      <c r="M32" s="340">
        <f t="shared" si="1"/>
        <v>4425</v>
      </c>
      <c r="N32" s="10">
        <f t="shared" si="2"/>
        <v>0.96763612508200303</v>
      </c>
      <c r="O32" s="11"/>
    </row>
    <row r="33" spans="1:15" ht="35.25" customHeight="1" x14ac:dyDescent="0.35">
      <c r="A33" s="6">
        <v>29</v>
      </c>
      <c r="B33" s="459" t="s">
        <v>39</v>
      </c>
      <c r="C33" s="8">
        <v>11</v>
      </c>
      <c r="D33" s="8">
        <v>9</v>
      </c>
      <c r="E33" s="10">
        <v>0.81818181818181823</v>
      </c>
      <c r="F33" s="9">
        <v>24</v>
      </c>
      <c r="G33" s="9">
        <v>21</v>
      </c>
      <c r="H33" s="10">
        <v>0.875</v>
      </c>
      <c r="I33" s="9">
        <v>8</v>
      </c>
      <c r="J33" s="9">
        <v>7</v>
      </c>
      <c r="K33" s="10">
        <v>0.875</v>
      </c>
      <c r="L33" s="340">
        <f t="shared" si="0"/>
        <v>43</v>
      </c>
      <c r="M33" s="340">
        <f t="shared" si="1"/>
        <v>37</v>
      </c>
      <c r="N33" s="10">
        <f t="shared" si="2"/>
        <v>0.86046511627906974</v>
      </c>
      <c r="O33" s="11"/>
    </row>
    <row r="34" spans="1:15" ht="35.25" customHeight="1" x14ac:dyDescent="0.35">
      <c r="A34" s="6">
        <v>30</v>
      </c>
      <c r="B34" s="459" t="s">
        <v>40</v>
      </c>
      <c r="C34" s="8">
        <v>65</v>
      </c>
      <c r="D34" s="8">
        <v>65</v>
      </c>
      <c r="E34" s="10">
        <v>1</v>
      </c>
      <c r="F34" s="9">
        <v>2913</v>
      </c>
      <c r="G34" s="9">
        <v>2875</v>
      </c>
      <c r="H34" s="10">
        <v>0.98695502917954003</v>
      </c>
      <c r="I34" s="9">
        <v>910</v>
      </c>
      <c r="J34" s="9">
        <v>740</v>
      </c>
      <c r="K34" s="10">
        <v>0.81318681318681318</v>
      </c>
      <c r="L34" s="340">
        <f t="shared" si="0"/>
        <v>3888</v>
      </c>
      <c r="M34" s="340">
        <f t="shared" si="1"/>
        <v>3680</v>
      </c>
      <c r="N34" s="10">
        <f t="shared" si="2"/>
        <v>0.94650205761316875</v>
      </c>
      <c r="O34" s="11"/>
    </row>
    <row r="35" spans="1:15" ht="35.25" customHeight="1" x14ac:dyDescent="0.35">
      <c r="A35" s="6">
        <v>31</v>
      </c>
      <c r="B35" s="459" t="s">
        <v>41</v>
      </c>
      <c r="C35" s="8">
        <v>32</v>
      </c>
      <c r="D35" s="8">
        <v>31</v>
      </c>
      <c r="E35" s="10">
        <v>0.96875</v>
      </c>
      <c r="F35" s="9">
        <v>2100</v>
      </c>
      <c r="G35" s="9">
        <v>1803</v>
      </c>
      <c r="H35" s="10">
        <v>0.85857142857142854</v>
      </c>
      <c r="I35" s="9">
        <v>459</v>
      </c>
      <c r="J35" s="9">
        <v>283</v>
      </c>
      <c r="K35" s="10">
        <v>0.61655773420479298</v>
      </c>
      <c r="L35" s="340">
        <f t="shared" si="0"/>
        <v>2591</v>
      </c>
      <c r="M35" s="340">
        <f t="shared" si="1"/>
        <v>2117</v>
      </c>
      <c r="N35" s="10">
        <f t="shared" si="2"/>
        <v>0.81705905055962946</v>
      </c>
      <c r="O35" s="11"/>
    </row>
    <row r="36" spans="1:15" ht="35.25" customHeight="1" x14ac:dyDescent="0.35">
      <c r="A36" s="6">
        <v>32</v>
      </c>
      <c r="B36" s="459" t="s">
        <v>60</v>
      </c>
      <c r="C36" s="8"/>
      <c r="D36" s="8"/>
      <c r="E36" s="9"/>
      <c r="F36" s="9">
        <v>19</v>
      </c>
      <c r="G36" s="9">
        <v>19</v>
      </c>
      <c r="H36" s="10">
        <v>1</v>
      </c>
      <c r="I36" s="9">
        <v>2</v>
      </c>
      <c r="J36" s="9">
        <v>2</v>
      </c>
      <c r="K36" s="10">
        <v>1</v>
      </c>
      <c r="L36" s="340">
        <f t="shared" si="0"/>
        <v>21</v>
      </c>
      <c r="M36" s="340">
        <f t="shared" si="1"/>
        <v>21</v>
      </c>
      <c r="N36" s="10">
        <f t="shared" si="2"/>
        <v>1</v>
      </c>
      <c r="O36" s="11"/>
    </row>
    <row r="37" spans="1:15" ht="35.25" customHeight="1" x14ac:dyDescent="0.35">
      <c r="A37" s="6">
        <v>33</v>
      </c>
      <c r="B37" s="459" t="s">
        <v>42</v>
      </c>
      <c r="C37" s="8">
        <v>5</v>
      </c>
      <c r="D37" s="8">
        <v>5</v>
      </c>
      <c r="E37" s="10">
        <v>1</v>
      </c>
      <c r="F37" s="9">
        <v>59</v>
      </c>
      <c r="G37" s="9">
        <v>58</v>
      </c>
      <c r="H37" s="10">
        <v>0.98305084745762716</v>
      </c>
      <c r="I37" s="9">
        <v>15</v>
      </c>
      <c r="J37" s="9">
        <v>14</v>
      </c>
      <c r="K37" s="10">
        <v>0.93333333333333335</v>
      </c>
      <c r="L37" s="340">
        <f t="shared" si="0"/>
        <v>79</v>
      </c>
      <c r="M37" s="340">
        <f t="shared" si="1"/>
        <v>77</v>
      </c>
      <c r="N37" s="10">
        <f t="shared" si="2"/>
        <v>0.97468354430379744</v>
      </c>
      <c r="O37" s="11"/>
    </row>
    <row r="38" spans="1:15" ht="35.25" customHeight="1" x14ac:dyDescent="0.35">
      <c r="A38" s="6">
        <v>34</v>
      </c>
      <c r="B38" s="459" t="s">
        <v>43</v>
      </c>
      <c r="C38" s="8">
        <v>94</v>
      </c>
      <c r="D38" s="8">
        <v>94</v>
      </c>
      <c r="E38" s="10">
        <v>1</v>
      </c>
      <c r="F38" s="9">
        <v>8310</v>
      </c>
      <c r="G38" s="9">
        <v>7748</v>
      </c>
      <c r="H38" s="10">
        <v>0.9323706377858002</v>
      </c>
      <c r="I38" s="9">
        <v>1335</v>
      </c>
      <c r="J38" s="9">
        <v>1025</v>
      </c>
      <c r="K38" s="10">
        <v>0.76779026217228463</v>
      </c>
      <c r="L38" s="340">
        <f t="shared" si="0"/>
        <v>9739</v>
      </c>
      <c r="M38" s="340">
        <f t="shared" si="1"/>
        <v>8867</v>
      </c>
      <c r="N38" s="10">
        <f t="shared" si="2"/>
        <v>0.91046308655919495</v>
      </c>
      <c r="O38" s="11"/>
    </row>
    <row r="39" spans="1:15" ht="35.25" customHeight="1" x14ac:dyDescent="0.35">
      <c r="A39" s="6">
        <v>35</v>
      </c>
      <c r="B39" s="459" t="s">
        <v>44</v>
      </c>
      <c r="C39" s="8">
        <v>40</v>
      </c>
      <c r="D39" s="8">
        <v>40</v>
      </c>
      <c r="E39" s="10">
        <v>1</v>
      </c>
      <c r="F39" s="9">
        <v>513</v>
      </c>
      <c r="G39" s="9">
        <v>387</v>
      </c>
      <c r="H39" s="10">
        <v>0.75438596491228072</v>
      </c>
      <c r="I39" s="9">
        <v>164</v>
      </c>
      <c r="J39" s="9">
        <v>141</v>
      </c>
      <c r="K39" s="10">
        <v>0.8597560975609756</v>
      </c>
      <c r="L39" s="340">
        <f t="shared" si="0"/>
        <v>717</v>
      </c>
      <c r="M39" s="340">
        <f t="shared" si="1"/>
        <v>568</v>
      </c>
      <c r="N39" s="10">
        <f t="shared" si="2"/>
        <v>0.79218967921896788</v>
      </c>
      <c r="O39" s="11"/>
    </row>
    <row r="40" spans="1:15" ht="35.25" customHeight="1" x14ac:dyDescent="0.35">
      <c r="A40" s="6">
        <v>36</v>
      </c>
      <c r="B40" s="459" t="s">
        <v>45</v>
      </c>
      <c r="C40" s="8">
        <v>59</v>
      </c>
      <c r="D40" s="8">
        <v>59</v>
      </c>
      <c r="E40" s="10">
        <v>1</v>
      </c>
      <c r="F40" s="9">
        <v>1561</v>
      </c>
      <c r="G40" s="9">
        <v>1558</v>
      </c>
      <c r="H40" s="10">
        <v>0.99807815502882768</v>
      </c>
      <c r="I40" s="9">
        <v>629</v>
      </c>
      <c r="J40" s="9">
        <v>626</v>
      </c>
      <c r="K40" s="10">
        <v>0.99523052464228934</v>
      </c>
      <c r="L40" s="340">
        <f t="shared" si="0"/>
        <v>2249</v>
      </c>
      <c r="M40" s="340">
        <f t="shared" si="1"/>
        <v>2243</v>
      </c>
      <c r="N40" s="10">
        <f t="shared" si="2"/>
        <v>0.99733214762116495</v>
      </c>
      <c r="O40" s="11"/>
    </row>
    <row r="41" spans="1:15" ht="29.25" customHeight="1" x14ac:dyDescent="0.35">
      <c r="A41" s="670" t="s">
        <v>46</v>
      </c>
      <c r="B41" s="670"/>
      <c r="C41" s="12">
        <v>1213</v>
      </c>
      <c r="D41" s="12">
        <v>1208</v>
      </c>
      <c r="E41" s="13">
        <v>0.99587798845836772</v>
      </c>
      <c r="F41" s="12">
        <v>46624</v>
      </c>
      <c r="G41" s="12">
        <v>44519</v>
      </c>
      <c r="H41" s="13">
        <v>0.9548515785861359</v>
      </c>
      <c r="I41" s="12">
        <v>12543</v>
      </c>
      <c r="J41" s="12">
        <v>10453</v>
      </c>
      <c r="K41" s="13">
        <v>0.83337319620505457</v>
      </c>
      <c r="L41" s="341">
        <f t="shared" si="0"/>
        <v>60380</v>
      </c>
      <c r="M41" s="341">
        <f t="shared" si="1"/>
        <v>56180</v>
      </c>
      <c r="N41" s="13">
        <f t="shared" si="2"/>
        <v>0.93044054322623382</v>
      </c>
    </row>
    <row r="42" spans="1:15" s="460" customFormat="1" ht="13" x14ac:dyDescent="0.3">
      <c r="A42" s="671" t="s">
        <v>61</v>
      </c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</row>
  </sheetData>
  <mergeCells count="9">
    <mergeCell ref="A41:B41"/>
    <mergeCell ref="A42:N42"/>
    <mergeCell ref="C1:N1"/>
    <mergeCell ref="A2:A3"/>
    <mergeCell ref="B2:B3"/>
    <mergeCell ref="C2:E2"/>
    <mergeCell ref="F2:H2"/>
    <mergeCell ref="I2:K2"/>
    <mergeCell ref="L2:N2"/>
  </mergeCells>
  <pageMargins left="0.59055118110236227" right="0.35433070866141736" top="0.39370078740157483" bottom="0.39370078740157483" header="0.31496062992125984" footer="0.19685039370078741"/>
  <pageSetup paperSize="9" scale="56" orientation="portrait" r:id="rId1"/>
  <headerFooter>
    <oddFooter>&amp;L&amp;"Arial,Italic"&amp;9AISHE 2022-23&amp;RT-1 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FBE6-4B77-4A29-AF61-A7656D25CAA3}">
  <sheetPr codeName="Sheet3">
    <tabColor rgb="FF92D050"/>
  </sheetPr>
  <dimension ref="A1:X37"/>
  <sheetViews>
    <sheetView showZeros="0" view="pageBreakPreview" zoomScale="85" zoomScaleNormal="100" zoomScaleSheetLayoutView="85" workbookViewId="0">
      <pane ySplit="2" topLeftCell="A8" activePane="bottomLeft" state="frozen"/>
      <selection pane="bottomLeft" activeCell="S26" sqref="S26"/>
    </sheetView>
  </sheetViews>
  <sheetFormatPr defaultColWidth="9.26953125" defaultRowHeight="15.5" x14ac:dyDescent="0.35"/>
  <cols>
    <col min="1" max="1" width="5" style="193" bestFit="1" customWidth="1"/>
    <col min="2" max="2" width="17.7265625" style="2" bestFit="1" customWidth="1"/>
    <col min="3" max="23" width="5.7265625" style="2" customWidth="1"/>
    <col min="24" max="24" width="6.453125" style="2" customWidth="1"/>
    <col min="25" max="16384" width="9.26953125" style="2"/>
  </cols>
  <sheetData>
    <row r="1" spans="1:24" s="463" customFormat="1" ht="34.9" customHeight="1" x14ac:dyDescent="0.35">
      <c r="A1" s="461"/>
      <c r="B1" s="462" t="s">
        <v>925</v>
      </c>
      <c r="C1" s="681" t="s">
        <v>1002</v>
      </c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78" t="str">
        <f>C1</f>
        <v>State/UTs &amp; Specialisation-wise Number of Universities
(Based on Actual Response)</v>
      </c>
      <c r="O1" s="678"/>
      <c r="P1" s="678"/>
      <c r="Q1" s="678"/>
      <c r="R1" s="678"/>
      <c r="S1" s="678"/>
      <c r="T1" s="678"/>
      <c r="U1" s="678"/>
      <c r="V1" s="678"/>
      <c r="W1" s="678"/>
      <c r="X1" s="678"/>
    </row>
    <row r="2" spans="1:24" s="464" customFormat="1" ht="192.5" x14ac:dyDescent="0.4">
      <c r="A2" s="3" t="s">
        <v>49</v>
      </c>
      <c r="B2" s="348" t="s">
        <v>50</v>
      </c>
      <c r="C2" s="534" t="s">
        <v>924</v>
      </c>
      <c r="D2" s="534" t="s">
        <v>270</v>
      </c>
      <c r="E2" s="534" t="s">
        <v>923</v>
      </c>
      <c r="F2" s="534" t="s">
        <v>329</v>
      </c>
      <c r="G2" s="534" t="s">
        <v>922</v>
      </c>
      <c r="H2" s="534" t="s">
        <v>921</v>
      </c>
      <c r="I2" s="534" t="s">
        <v>920</v>
      </c>
      <c r="J2" s="534" t="s">
        <v>339</v>
      </c>
      <c r="K2" s="534" t="s">
        <v>919</v>
      </c>
      <c r="L2" s="534" t="s">
        <v>340</v>
      </c>
      <c r="M2" s="534" t="s">
        <v>344</v>
      </c>
      <c r="N2" s="534" t="s">
        <v>918</v>
      </c>
      <c r="O2" s="534" t="s">
        <v>373</v>
      </c>
      <c r="P2" s="534" t="s">
        <v>917</v>
      </c>
      <c r="Q2" s="534" t="s">
        <v>451</v>
      </c>
      <c r="R2" s="534" t="s">
        <v>379</v>
      </c>
      <c r="S2" s="534" t="s">
        <v>381</v>
      </c>
      <c r="T2" s="534" t="s">
        <v>382</v>
      </c>
      <c r="U2" s="534" t="s">
        <v>916</v>
      </c>
      <c r="V2" s="534" t="s">
        <v>915</v>
      </c>
      <c r="W2" s="534" t="s">
        <v>914</v>
      </c>
      <c r="X2" s="534" t="s">
        <v>12</v>
      </c>
    </row>
    <row r="3" spans="1:24" s="465" customFormat="1" ht="10.5" x14ac:dyDescent="0.25">
      <c r="A3" s="453">
        <v>1</v>
      </c>
      <c r="B3" s="453">
        <v>2</v>
      </c>
      <c r="C3" s="453">
        <v>3</v>
      </c>
      <c r="D3" s="453">
        <v>4</v>
      </c>
      <c r="E3" s="453">
        <v>5</v>
      </c>
      <c r="F3" s="453">
        <v>6</v>
      </c>
      <c r="G3" s="453">
        <v>7</v>
      </c>
      <c r="H3" s="453">
        <v>8</v>
      </c>
      <c r="I3" s="453">
        <v>9</v>
      </c>
      <c r="J3" s="453">
        <v>10</v>
      </c>
      <c r="K3" s="453">
        <v>11</v>
      </c>
      <c r="L3" s="453">
        <v>12</v>
      </c>
      <c r="M3" s="453">
        <v>13</v>
      </c>
      <c r="N3" s="453">
        <v>14</v>
      </c>
      <c r="O3" s="453">
        <v>15</v>
      </c>
      <c r="P3" s="453">
        <v>16</v>
      </c>
      <c r="Q3" s="453">
        <v>17</v>
      </c>
      <c r="R3" s="453">
        <v>18</v>
      </c>
      <c r="S3" s="453">
        <v>19</v>
      </c>
      <c r="T3" s="453">
        <v>20</v>
      </c>
      <c r="U3" s="453">
        <v>21</v>
      </c>
      <c r="V3" s="453">
        <v>22</v>
      </c>
      <c r="W3" s="453">
        <v>23</v>
      </c>
      <c r="X3" s="453">
        <v>24</v>
      </c>
    </row>
    <row r="4" spans="1:24" x14ac:dyDescent="0.35">
      <c r="A4" s="6">
        <v>1</v>
      </c>
      <c r="B4" s="416" t="s">
        <v>13</v>
      </c>
      <c r="C4" s="349">
        <v>24</v>
      </c>
      <c r="D4" s="349">
        <v>2</v>
      </c>
      <c r="E4" s="349"/>
      <c r="F4" s="349">
        <v>1</v>
      </c>
      <c r="G4" s="349"/>
      <c r="H4" s="349"/>
      <c r="I4" s="349"/>
      <c r="J4" s="349"/>
      <c r="K4" s="349">
        <v>1</v>
      </c>
      <c r="L4" s="349">
        <v>1</v>
      </c>
      <c r="M4" s="349">
        <v>1</v>
      </c>
      <c r="N4" s="349">
        <v>3</v>
      </c>
      <c r="O4" s="349"/>
      <c r="P4" s="349"/>
      <c r="Q4" s="349">
        <v>2</v>
      </c>
      <c r="R4" s="349">
        <v>3</v>
      </c>
      <c r="S4" s="349"/>
      <c r="T4" s="349"/>
      <c r="U4" s="349"/>
      <c r="V4" s="349">
        <v>12</v>
      </c>
      <c r="W4" s="349">
        <v>1</v>
      </c>
      <c r="X4" s="349">
        <v>51</v>
      </c>
    </row>
    <row r="5" spans="1:24" x14ac:dyDescent="0.35">
      <c r="A5" s="6">
        <v>2</v>
      </c>
      <c r="B5" s="416" t="s">
        <v>14</v>
      </c>
      <c r="C5" s="349">
        <v>7</v>
      </c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>
        <v>1</v>
      </c>
      <c r="O5" s="349"/>
      <c r="P5" s="349"/>
      <c r="Q5" s="349"/>
      <c r="R5" s="349"/>
      <c r="S5" s="349"/>
      <c r="T5" s="349"/>
      <c r="U5" s="349"/>
      <c r="V5" s="349">
        <v>2</v>
      </c>
      <c r="W5" s="349"/>
      <c r="X5" s="349">
        <v>10</v>
      </c>
    </row>
    <row r="6" spans="1:24" x14ac:dyDescent="0.35">
      <c r="A6" s="6">
        <v>3</v>
      </c>
      <c r="B6" s="416" t="s">
        <v>15</v>
      </c>
      <c r="C6" s="349">
        <v>16</v>
      </c>
      <c r="D6" s="349">
        <v>1</v>
      </c>
      <c r="E6" s="349">
        <v>1</v>
      </c>
      <c r="F6" s="349"/>
      <c r="G6" s="349"/>
      <c r="H6" s="349"/>
      <c r="I6" s="349"/>
      <c r="J6" s="349"/>
      <c r="K6" s="349"/>
      <c r="L6" s="349">
        <v>1</v>
      </c>
      <c r="M6" s="349"/>
      <c r="N6" s="349">
        <v>2</v>
      </c>
      <c r="O6" s="349"/>
      <c r="P6" s="349"/>
      <c r="Q6" s="349">
        <v>1</v>
      </c>
      <c r="R6" s="349">
        <v>1</v>
      </c>
      <c r="S6" s="349"/>
      <c r="T6" s="349"/>
      <c r="U6" s="349">
        <v>1</v>
      </c>
      <c r="V6" s="349">
        <v>7</v>
      </c>
      <c r="W6" s="349"/>
      <c r="X6" s="349">
        <v>31</v>
      </c>
    </row>
    <row r="7" spans="1:24" x14ac:dyDescent="0.35">
      <c r="A7" s="6">
        <v>4</v>
      </c>
      <c r="B7" s="416" t="s">
        <v>16</v>
      </c>
      <c r="C7" s="349">
        <v>25</v>
      </c>
      <c r="D7" s="349">
        <v>2</v>
      </c>
      <c r="E7" s="349"/>
      <c r="F7" s="349"/>
      <c r="G7" s="349"/>
      <c r="H7" s="349"/>
      <c r="I7" s="349"/>
      <c r="J7" s="349"/>
      <c r="K7" s="349"/>
      <c r="L7" s="349"/>
      <c r="M7" s="349">
        <v>1</v>
      </c>
      <c r="N7" s="349">
        <v>3</v>
      </c>
      <c r="O7" s="349">
        <v>1</v>
      </c>
      <c r="P7" s="349"/>
      <c r="Q7" s="349">
        <v>1</v>
      </c>
      <c r="R7" s="349"/>
      <c r="S7" s="349"/>
      <c r="T7" s="349"/>
      <c r="U7" s="349"/>
      <c r="V7" s="349">
        <v>3</v>
      </c>
      <c r="W7" s="349">
        <v>1</v>
      </c>
      <c r="X7" s="349">
        <v>37</v>
      </c>
    </row>
    <row r="8" spans="1:24" x14ac:dyDescent="0.35">
      <c r="A8" s="6">
        <v>5</v>
      </c>
      <c r="B8" s="416" t="s">
        <v>17</v>
      </c>
      <c r="C8" s="349">
        <v>1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>
        <v>1</v>
      </c>
      <c r="O8" s="349"/>
      <c r="P8" s="349"/>
      <c r="Q8" s="349"/>
      <c r="R8" s="349"/>
      <c r="S8" s="349"/>
      <c r="T8" s="349"/>
      <c r="U8" s="349"/>
      <c r="V8" s="349">
        <v>1</v>
      </c>
      <c r="W8" s="349"/>
      <c r="X8" s="349">
        <v>3</v>
      </c>
    </row>
    <row r="9" spans="1:24" x14ac:dyDescent="0.35">
      <c r="A9" s="6">
        <v>6</v>
      </c>
      <c r="B9" s="416" t="s">
        <v>18</v>
      </c>
      <c r="C9" s="349">
        <v>23</v>
      </c>
      <c r="D9" s="349"/>
      <c r="E9" s="349"/>
      <c r="F9" s="349"/>
      <c r="G9" s="349"/>
      <c r="H9" s="349"/>
      <c r="I9" s="349">
        <v>1</v>
      </c>
      <c r="J9" s="349">
        <v>1</v>
      </c>
      <c r="K9" s="349"/>
      <c r="L9" s="349">
        <v>1</v>
      </c>
      <c r="M9" s="349">
        <v>2</v>
      </c>
      <c r="N9" s="349">
        <v>2</v>
      </c>
      <c r="O9" s="349"/>
      <c r="P9" s="349"/>
      <c r="Q9" s="349"/>
      <c r="R9" s="349"/>
      <c r="S9" s="349"/>
      <c r="T9" s="349"/>
      <c r="U9" s="349"/>
      <c r="V9" s="349">
        <v>4</v>
      </c>
      <c r="W9" s="349"/>
      <c r="X9" s="349">
        <v>34</v>
      </c>
    </row>
    <row r="10" spans="1:24" x14ac:dyDescent="0.35">
      <c r="A10" s="6">
        <v>7</v>
      </c>
      <c r="B10" s="416" t="s">
        <v>19</v>
      </c>
      <c r="C10" s="349">
        <v>10</v>
      </c>
      <c r="D10" s="349">
        <v>1</v>
      </c>
      <c r="E10" s="349"/>
      <c r="F10" s="349">
        <v>1</v>
      </c>
      <c r="G10" s="349"/>
      <c r="H10" s="349"/>
      <c r="I10" s="349">
        <v>1</v>
      </c>
      <c r="J10" s="349"/>
      <c r="K10" s="349"/>
      <c r="L10" s="349">
        <v>2</v>
      </c>
      <c r="M10" s="349"/>
      <c r="N10" s="349">
        <v>3</v>
      </c>
      <c r="O10" s="349"/>
      <c r="P10" s="349">
        <v>1</v>
      </c>
      <c r="Q10" s="349">
        <v>2</v>
      </c>
      <c r="R10" s="349">
        <v>1</v>
      </c>
      <c r="S10" s="349"/>
      <c r="T10" s="349"/>
      <c r="U10" s="349"/>
      <c r="V10" s="349">
        <v>8</v>
      </c>
      <c r="W10" s="349"/>
      <c r="X10" s="349">
        <v>30</v>
      </c>
    </row>
    <row r="11" spans="1:24" x14ac:dyDescent="0.35">
      <c r="A11" s="6">
        <v>8</v>
      </c>
      <c r="B11" s="416" t="s">
        <v>20</v>
      </c>
      <c r="C11" s="349">
        <v>1</v>
      </c>
      <c r="D11" s="349"/>
      <c r="E11" s="349"/>
      <c r="F11" s="349"/>
      <c r="G11" s="349"/>
      <c r="H11" s="349"/>
      <c r="I11" s="349"/>
      <c r="J11" s="349"/>
      <c r="K11" s="349"/>
      <c r="L11" s="349">
        <v>1</v>
      </c>
      <c r="M11" s="349"/>
      <c r="N11" s="349"/>
      <c r="O11" s="349"/>
      <c r="P11" s="349"/>
      <c r="Q11" s="349"/>
      <c r="R11" s="349"/>
      <c r="S11" s="349"/>
      <c r="T11" s="349"/>
      <c r="U11" s="349"/>
      <c r="V11" s="349">
        <v>2</v>
      </c>
      <c r="W11" s="349"/>
      <c r="X11" s="349">
        <v>4</v>
      </c>
    </row>
    <row r="12" spans="1:24" x14ac:dyDescent="0.35">
      <c r="A12" s="6">
        <v>9</v>
      </c>
      <c r="B12" s="416" t="s">
        <v>21</v>
      </c>
      <c r="C12" s="349">
        <v>66</v>
      </c>
      <c r="D12" s="349">
        <v>4</v>
      </c>
      <c r="E12" s="349"/>
      <c r="F12" s="349"/>
      <c r="G12" s="349"/>
      <c r="H12" s="349"/>
      <c r="I12" s="349">
        <v>1</v>
      </c>
      <c r="J12" s="349"/>
      <c r="K12" s="349"/>
      <c r="L12" s="349">
        <v>1</v>
      </c>
      <c r="M12" s="349">
        <v>2</v>
      </c>
      <c r="N12" s="349">
        <v>6</v>
      </c>
      <c r="O12" s="349"/>
      <c r="P12" s="349">
        <v>1</v>
      </c>
      <c r="Q12" s="349">
        <v>1</v>
      </c>
      <c r="R12" s="349">
        <v>3</v>
      </c>
      <c r="S12" s="349"/>
      <c r="T12" s="349"/>
      <c r="U12" s="349">
        <v>2</v>
      </c>
      <c r="V12" s="349">
        <v>15</v>
      </c>
      <c r="W12" s="349"/>
      <c r="X12" s="349">
        <v>102</v>
      </c>
    </row>
    <row r="13" spans="1:24" x14ac:dyDescent="0.35">
      <c r="A13" s="6">
        <v>10</v>
      </c>
      <c r="B13" s="416" t="s">
        <v>22</v>
      </c>
      <c r="C13" s="349">
        <v>35</v>
      </c>
      <c r="D13" s="349">
        <v>3</v>
      </c>
      <c r="E13" s="349"/>
      <c r="F13" s="349"/>
      <c r="G13" s="349"/>
      <c r="H13" s="349"/>
      <c r="I13" s="349"/>
      <c r="J13" s="349"/>
      <c r="K13" s="349"/>
      <c r="L13" s="349">
        <v>1</v>
      </c>
      <c r="M13" s="349">
        <v>1</v>
      </c>
      <c r="N13" s="349">
        <v>3</v>
      </c>
      <c r="O13" s="349"/>
      <c r="P13" s="349"/>
      <c r="Q13" s="349">
        <v>1</v>
      </c>
      <c r="R13" s="349">
        <v>3</v>
      </c>
      <c r="S13" s="349">
        <v>1</v>
      </c>
      <c r="T13" s="349"/>
      <c r="U13" s="349"/>
      <c r="V13" s="349">
        <v>8</v>
      </c>
      <c r="W13" s="349">
        <v>1</v>
      </c>
      <c r="X13" s="349">
        <v>57</v>
      </c>
    </row>
    <row r="14" spans="1:24" x14ac:dyDescent="0.35">
      <c r="A14" s="6">
        <v>11</v>
      </c>
      <c r="B14" s="416" t="s">
        <v>23</v>
      </c>
      <c r="C14" s="349">
        <v>15</v>
      </c>
      <c r="D14" s="349">
        <v>2</v>
      </c>
      <c r="E14" s="349"/>
      <c r="F14" s="349"/>
      <c r="G14" s="349"/>
      <c r="H14" s="349"/>
      <c r="I14" s="349"/>
      <c r="J14" s="349"/>
      <c r="K14" s="349"/>
      <c r="L14" s="349">
        <v>1</v>
      </c>
      <c r="M14" s="349">
        <v>2</v>
      </c>
      <c r="N14" s="349">
        <v>2</v>
      </c>
      <c r="O14" s="349"/>
      <c r="P14" s="349"/>
      <c r="Q14" s="349"/>
      <c r="R14" s="349"/>
      <c r="S14" s="349"/>
      <c r="T14" s="349"/>
      <c r="U14" s="349"/>
      <c r="V14" s="349">
        <v>7</v>
      </c>
      <c r="W14" s="349"/>
      <c r="X14" s="349">
        <v>29</v>
      </c>
    </row>
    <row r="15" spans="1:24" ht="31" x14ac:dyDescent="0.35">
      <c r="A15" s="6">
        <v>12</v>
      </c>
      <c r="B15" s="416" t="s">
        <v>24</v>
      </c>
      <c r="C15" s="349">
        <v>8</v>
      </c>
      <c r="D15" s="349">
        <v>2</v>
      </c>
      <c r="E15" s="349"/>
      <c r="F15" s="349"/>
      <c r="G15" s="349"/>
      <c r="H15" s="349"/>
      <c r="I15" s="349"/>
      <c r="J15" s="349"/>
      <c r="K15" s="349"/>
      <c r="L15" s="349"/>
      <c r="M15" s="349">
        <v>1</v>
      </c>
      <c r="N15" s="349">
        <v>2</v>
      </c>
      <c r="O15" s="349"/>
      <c r="P15" s="349"/>
      <c r="Q15" s="349"/>
      <c r="R15" s="349">
        <v>1</v>
      </c>
      <c r="S15" s="349"/>
      <c r="T15" s="349"/>
      <c r="U15" s="349"/>
      <c r="V15" s="349">
        <v>2</v>
      </c>
      <c r="W15" s="349"/>
      <c r="X15" s="349">
        <v>16</v>
      </c>
    </row>
    <row r="16" spans="1:24" x14ac:dyDescent="0.35">
      <c r="A16" s="6">
        <v>13</v>
      </c>
      <c r="B16" s="416" t="s">
        <v>25</v>
      </c>
      <c r="C16" s="349">
        <v>22</v>
      </c>
      <c r="D16" s="349">
        <v>1</v>
      </c>
      <c r="E16" s="349"/>
      <c r="F16" s="349"/>
      <c r="G16" s="349"/>
      <c r="H16" s="349"/>
      <c r="I16" s="349"/>
      <c r="J16" s="349"/>
      <c r="K16" s="349"/>
      <c r="L16" s="349">
        <v>1</v>
      </c>
      <c r="M16" s="349">
        <v>2</v>
      </c>
      <c r="N16" s="349">
        <v>1</v>
      </c>
      <c r="O16" s="349"/>
      <c r="P16" s="349">
        <v>1</v>
      </c>
      <c r="Q16" s="349"/>
      <c r="R16" s="349"/>
      <c r="S16" s="349"/>
      <c r="T16" s="349"/>
      <c r="U16" s="349"/>
      <c r="V16" s="349">
        <v>6</v>
      </c>
      <c r="W16" s="349"/>
      <c r="X16" s="349">
        <v>34</v>
      </c>
    </row>
    <row r="17" spans="1:24" x14ac:dyDescent="0.35">
      <c r="A17" s="6">
        <v>14</v>
      </c>
      <c r="B17" s="416" t="s">
        <v>26</v>
      </c>
      <c r="C17" s="349">
        <v>48</v>
      </c>
      <c r="D17" s="349">
        <v>5</v>
      </c>
      <c r="E17" s="349"/>
      <c r="F17" s="349">
        <v>1</v>
      </c>
      <c r="G17" s="349"/>
      <c r="H17" s="349"/>
      <c r="I17" s="349"/>
      <c r="J17" s="349"/>
      <c r="K17" s="349"/>
      <c r="L17" s="349">
        <v>2</v>
      </c>
      <c r="M17" s="349">
        <v>1</v>
      </c>
      <c r="N17" s="349">
        <v>5</v>
      </c>
      <c r="O17" s="349"/>
      <c r="P17" s="349"/>
      <c r="Q17" s="349">
        <v>1</v>
      </c>
      <c r="R17" s="349">
        <v>4</v>
      </c>
      <c r="S17" s="349">
        <v>2</v>
      </c>
      <c r="T17" s="349">
        <v>1</v>
      </c>
      <c r="U17" s="349">
        <v>1</v>
      </c>
      <c r="V17" s="349">
        <v>7</v>
      </c>
      <c r="W17" s="349">
        <v>1</v>
      </c>
      <c r="X17" s="349">
        <v>79</v>
      </c>
    </row>
    <row r="18" spans="1:24" x14ac:dyDescent="0.35">
      <c r="A18" s="6">
        <v>15</v>
      </c>
      <c r="B18" s="416" t="s">
        <v>27</v>
      </c>
      <c r="C18" s="349">
        <v>8</v>
      </c>
      <c r="D18" s="349">
        <v>1</v>
      </c>
      <c r="E18" s="349"/>
      <c r="F18" s="349"/>
      <c r="G18" s="349">
        <v>1</v>
      </c>
      <c r="H18" s="349"/>
      <c r="I18" s="349"/>
      <c r="J18" s="349"/>
      <c r="K18" s="349">
        <v>1</v>
      </c>
      <c r="L18" s="349">
        <v>1</v>
      </c>
      <c r="M18" s="349">
        <v>1</v>
      </c>
      <c r="N18" s="349">
        <v>2</v>
      </c>
      <c r="O18" s="349"/>
      <c r="P18" s="349">
        <v>1</v>
      </c>
      <c r="Q18" s="349">
        <v>1</v>
      </c>
      <c r="R18" s="349">
        <v>2</v>
      </c>
      <c r="S18" s="349"/>
      <c r="T18" s="349"/>
      <c r="U18" s="349"/>
      <c r="V18" s="349">
        <v>5</v>
      </c>
      <c r="W18" s="349">
        <v>1</v>
      </c>
      <c r="X18" s="349">
        <v>25</v>
      </c>
    </row>
    <row r="19" spans="1:24" x14ac:dyDescent="0.35">
      <c r="A19" s="6">
        <v>16</v>
      </c>
      <c r="B19" s="415" t="s">
        <v>28</v>
      </c>
      <c r="C19" s="349">
        <v>1</v>
      </c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>
        <v>1</v>
      </c>
      <c r="P19" s="349"/>
      <c r="Q19" s="349"/>
      <c r="R19" s="349"/>
      <c r="S19" s="349"/>
      <c r="T19" s="349"/>
      <c r="U19" s="349"/>
      <c r="V19" s="349"/>
      <c r="W19" s="349"/>
      <c r="X19" s="349">
        <v>2</v>
      </c>
    </row>
    <row r="20" spans="1:24" x14ac:dyDescent="0.35">
      <c r="A20" s="6">
        <v>17</v>
      </c>
      <c r="B20" s="416" t="s">
        <v>29</v>
      </c>
      <c r="C20" s="349">
        <v>48</v>
      </c>
      <c r="D20" s="349">
        <v>2</v>
      </c>
      <c r="E20" s="349"/>
      <c r="F20" s="349">
        <v>1</v>
      </c>
      <c r="G20" s="349"/>
      <c r="H20" s="349">
        <v>1</v>
      </c>
      <c r="I20" s="349"/>
      <c r="J20" s="349">
        <v>1</v>
      </c>
      <c r="K20" s="349">
        <v>1</v>
      </c>
      <c r="L20" s="349">
        <v>2</v>
      </c>
      <c r="M20" s="349">
        <v>1</v>
      </c>
      <c r="N20" s="349">
        <v>4</v>
      </c>
      <c r="O20" s="349"/>
      <c r="P20" s="349"/>
      <c r="Q20" s="349">
        <v>2</v>
      </c>
      <c r="R20" s="349">
        <v>3</v>
      </c>
      <c r="S20" s="349">
        <v>1</v>
      </c>
      <c r="T20" s="349"/>
      <c r="U20" s="349">
        <v>1</v>
      </c>
      <c r="V20" s="349">
        <v>10</v>
      </c>
      <c r="W20" s="349"/>
      <c r="X20" s="349">
        <v>78</v>
      </c>
    </row>
    <row r="21" spans="1:24" x14ac:dyDescent="0.35">
      <c r="A21" s="6">
        <v>18</v>
      </c>
      <c r="B21" s="416" t="s">
        <v>30</v>
      </c>
      <c r="C21" s="349">
        <v>39</v>
      </c>
      <c r="D21" s="349">
        <v>5</v>
      </c>
      <c r="E21" s="349"/>
      <c r="F21" s="349">
        <v>1</v>
      </c>
      <c r="G21" s="349">
        <v>1</v>
      </c>
      <c r="H21" s="349"/>
      <c r="I21" s="349"/>
      <c r="J21" s="349"/>
      <c r="K21" s="349">
        <v>1</v>
      </c>
      <c r="L21" s="349">
        <v>3</v>
      </c>
      <c r="M21" s="349">
        <v>3</v>
      </c>
      <c r="N21" s="349">
        <v>7</v>
      </c>
      <c r="O21" s="349"/>
      <c r="P21" s="349"/>
      <c r="Q21" s="349">
        <v>1</v>
      </c>
      <c r="R21" s="349">
        <v>5</v>
      </c>
      <c r="S21" s="349">
        <v>3</v>
      </c>
      <c r="T21" s="349"/>
      <c r="U21" s="349"/>
      <c r="V21" s="349">
        <v>8</v>
      </c>
      <c r="W21" s="349">
        <v>1</v>
      </c>
      <c r="X21" s="349">
        <v>78</v>
      </c>
    </row>
    <row r="22" spans="1:24" x14ac:dyDescent="0.35">
      <c r="A22" s="6">
        <v>19</v>
      </c>
      <c r="B22" s="416" t="s">
        <v>31</v>
      </c>
      <c r="C22" s="349">
        <v>5</v>
      </c>
      <c r="D22" s="349">
        <v>1</v>
      </c>
      <c r="E22" s="349">
        <v>1</v>
      </c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349">
        <v>1</v>
      </c>
      <c r="V22" s="349">
        <v>3</v>
      </c>
      <c r="W22" s="349"/>
      <c r="X22" s="349">
        <v>11</v>
      </c>
    </row>
    <row r="23" spans="1:24" x14ac:dyDescent="0.35">
      <c r="A23" s="6">
        <v>20</v>
      </c>
      <c r="B23" s="416" t="s">
        <v>32</v>
      </c>
      <c r="C23" s="349">
        <v>6</v>
      </c>
      <c r="D23" s="349"/>
      <c r="E23" s="349"/>
      <c r="F23" s="349"/>
      <c r="G23" s="349"/>
      <c r="H23" s="349"/>
      <c r="I23" s="349"/>
      <c r="J23" s="349"/>
      <c r="K23" s="349"/>
      <c r="L23" s="349"/>
      <c r="M23" s="349">
        <v>2</v>
      </c>
      <c r="N23" s="349"/>
      <c r="O23" s="349"/>
      <c r="P23" s="349"/>
      <c r="Q23" s="349"/>
      <c r="R23" s="349">
        <v>1</v>
      </c>
      <c r="S23" s="349"/>
      <c r="T23" s="349"/>
      <c r="U23" s="349"/>
      <c r="V23" s="349">
        <v>2</v>
      </c>
      <c r="W23" s="349"/>
      <c r="X23" s="349">
        <v>11</v>
      </c>
    </row>
    <row r="24" spans="1:24" x14ac:dyDescent="0.35">
      <c r="A24" s="6">
        <v>21</v>
      </c>
      <c r="B24" s="416" t="s">
        <v>33</v>
      </c>
      <c r="C24" s="349">
        <v>1</v>
      </c>
      <c r="D24" s="349"/>
      <c r="E24" s="349"/>
      <c r="F24" s="349"/>
      <c r="G24" s="349"/>
      <c r="H24" s="349"/>
      <c r="I24" s="349"/>
      <c r="J24" s="349"/>
      <c r="K24" s="349"/>
      <c r="L24" s="349"/>
      <c r="M24" s="349">
        <v>1</v>
      </c>
      <c r="N24" s="349"/>
      <c r="O24" s="349"/>
      <c r="P24" s="349"/>
      <c r="Q24" s="349"/>
      <c r="R24" s="349"/>
      <c r="S24" s="349"/>
      <c r="T24" s="349"/>
      <c r="U24" s="349"/>
      <c r="V24" s="349">
        <v>1</v>
      </c>
      <c r="W24" s="349"/>
      <c r="X24" s="349">
        <v>3</v>
      </c>
    </row>
    <row r="25" spans="1:24" x14ac:dyDescent="0.35">
      <c r="A25" s="6">
        <v>22</v>
      </c>
      <c r="B25" s="416" t="s">
        <v>34</v>
      </c>
      <c r="C25" s="349">
        <v>4</v>
      </c>
      <c r="D25" s="349"/>
      <c r="E25" s="349"/>
      <c r="F25" s="349"/>
      <c r="G25" s="349"/>
      <c r="H25" s="349"/>
      <c r="I25" s="349"/>
      <c r="J25" s="349"/>
      <c r="K25" s="349"/>
      <c r="L25" s="349"/>
      <c r="M25" s="349">
        <v>1</v>
      </c>
      <c r="N25" s="349"/>
      <c r="O25" s="349"/>
      <c r="P25" s="349"/>
      <c r="Q25" s="349"/>
      <c r="R25" s="349"/>
      <c r="S25" s="349"/>
      <c r="T25" s="349"/>
      <c r="U25" s="349"/>
      <c r="V25" s="349">
        <v>1</v>
      </c>
      <c r="W25" s="349"/>
      <c r="X25" s="349">
        <v>6</v>
      </c>
    </row>
    <row r="26" spans="1:24" x14ac:dyDescent="0.35">
      <c r="A26" s="6">
        <v>23</v>
      </c>
      <c r="B26" s="416" t="s">
        <v>35</v>
      </c>
      <c r="C26" s="349">
        <v>19</v>
      </c>
      <c r="D26" s="349">
        <v>1</v>
      </c>
      <c r="E26" s="349">
        <v>1</v>
      </c>
      <c r="F26" s="349"/>
      <c r="G26" s="349"/>
      <c r="H26" s="349"/>
      <c r="I26" s="349"/>
      <c r="J26" s="349"/>
      <c r="K26" s="349"/>
      <c r="L26" s="349">
        <v>2</v>
      </c>
      <c r="M26" s="349">
        <v>1</v>
      </c>
      <c r="N26" s="349">
        <v>3</v>
      </c>
      <c r="O26" s="349"/>
      <c r="P26" s="349"/>
      <c r="Q26" s="349">
        <v>1</v>
      </c>
      <c r="R26" s="349">
        <v>2</v>
      </c>
      <c r="S26" s="349">
        <v>1</v>
      </c>
      <c r="T26" s="349"/>
      <c r="U26" s="349"/>
      <c r="V26" s="349">
        <v>8</v>
      </c>
      <c r="W26" s="349"/>
      <c r="X26" s="349">
        <v>39</v>
      </c>
    </row>
    <row r="27" spans="1:24" x14ac:dyDescent="0.35">
      <c r="A27" s="6">
        <v>24</v>
      </c>
      <c r="B27" s="416" t="s">
        <v>36</v>
      </c>
      <c r="C27" s="349">
        <v>2</v>
      </c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>
        <v>1</v>
      </c>
      <c r="O27" s="349"/>
      <c r="P27" s="349"/>
      <c r="Q27" s="349"/>
      <c r="R27" s="349">
        <v>1</v>
      </c>
      <c r="S27" s="349"/>
      <c r="T27" s="349"/>
      <c r="U27" s="349"/>
      <c r="V27" s="349">
        <v>1</v>
      </c>
      <c r="W27" s="349"/>
      <c r="X27" s="349">
        <v>5</v>
      </c>
    </row>
    <row r="28" spans="1:24" x14ac:dyDescent="0.35">
      <c r="A28" s="6">
        <v>25</v>
      </c>
      <c r="B28" s="416" t="s">
        <v>37</v>
      </c>
      <c r="C28" s="349">
        <v>22</v>
      </c>
      <c r="D28" s="349">
        <v>1</v>
      </c>
      <c r="E28" s="349"/>
      <c r="F28" s="349"/>
      <c r="G28" s="349"/>
      <c r="H28" s="349"/>
      <c r="I28" s="349"/>
      <c r="J28" s="349"/>
      <c r="K28" s="349"/>
      <c r="L28" s="349">
        <v>1</v>
      </c>
      <c r="M28" s="349">
        <v>1</v>
      </c>
      <c r="N28" s="349">
        <v>4</v>
      </c>
      <c r="O28" s="349"/>
      <c r="P28" s="349"/>
      <c r="Q28" s="349"/>
      <c r="R28" s="349">
        <v>1</v>
      </c>
      <c r="S28" s="349"/>
      <c r="T28" s="349"/>
      <c r="U28" s="349">
        <v>1</v>
      </c>
      <c r="V28" s="349">
        <v>8</v>
      </c>
      <c r="W28" s="349">
        <v>1</v>
      </c>
      <c r="X28" s="349">
        <v>40</v>
      </c>
    </row>
    <row r="29" spans="1:24" x14ac:dyDescent="0.35">
      <c r="A29" s="6">
        <v>26</v>
      </c>
      <c r="B29" s="416" t="s">
        <v>38</v>
      </c>
      <c r="C29" s="349">
        <v>56</v>
      </c>
      <c r="D29" s="349">
        <v>5</v>
      </c>
      <c r="E29" s="349"/>
      <c r="F29" s="349"/>
      <c r="G29" s="349"/>
      <c r="H29" s="349"/>
      <c r="I29" s="349"/>
      <c r="J29" s="349">
        <v>1</v>
      </c>
      <c r="K29" s="349"/>
      <c r="L29" s="349">
        <v>2</v>
      </c>
      <c r="M29" s="349">
        <v>1</v>
      </c>
      <c r="N29" s="349">
        <v>8</v>
      </c>
      <c r="O29" s="349"/>
      <c r="P29" s="349"/>
      <c r="Q29" s="349">
        <v>2</v>
      </c>
      <c r="R29" s="349">
        <v>2</v>
      </c>
      <c r="S29" s="349"/>
      <c r="T29" s="349"/>
      <c r="U29" s="349">
        <v>1</v>
      </c>
      <c r="V29" s="349">
        <v>11</v>
      </c>
      <c r="W29" s="349">
        <v>1</v>
      </c>
      <c r="X29" s="349">
        <v>90</v>
      </c>
    </row>
    <row r="30" spans="1:24" x14ac:dyDescent="0.35">
      <c r="A30" s="6">
        <v>27</v>
      </c>
      <c r="B30" s="416" t="s">
        <v>39</v>
      </c>
      <c r="C30" s="349">
        <v>7</v>
      </c>
      <c r="D30" s="349"/>
      <c r="E30" s="349"/>
      <c r="F30" s="349"/>
      <c r="G30" s="349"/>
      <c r="H30" s="349"/>
      <c r="I30" s="349"/>
      <c r="J30" s="349"/>
      <c r="K30" s="349"/>
      <c r="L30" s="349"/>
      <c r="M30" s="349">
        <v>1</v>
      </c>
      <c r="N30" s="349"/>
      <c r="O30" s="349"/>
      <c r="P30" s="349"/>
      <c r="Q30" s="349"/>
      <c r="R30" s="349"/>
      <c r="S30" s="349"/>
      <c r="T30" s="349"/>
      <c r="U30" s="349"/>
      <c r="V30" s="349">
        <v>1</v>
      </c>
      <c r="W30" s="349"/>
      <c r="X30" s="349">
        <v>9</v>
      </c>
    </row>
    <row r="31" spans="1:24" x14ac:dyDescent="0.35">
      <c r="A31" s="6">
        <v>28</v>
      </c>
      <c r="B31" s="416" t="s">
        <v>40</v>
      </c>
      <c r="C31" s="349">
        <v>29</v>
      </c>
      <c r="D31" s="349">
        <v>1</v>
      </c>
      <c r="E31" s="349"/>
      <c r="F31" s="349">
        <v>1</v>
      </c>
      <c r="G31" s="349">
        <v>1</v>
      </c>
      <c r="H31" s="349"/>
      <c r="I31" s="349"/>
      <c r="J31" s="349"/>
      <c r="K31" s="349">
        <v>1</v>
      </c>
      <c r="L31" s="349">
        <v>2</v>
      </c>
      <c r="M31" s="349">
        <v>1</v>
      </c>
      <c r="N31" s="349">
        <v>4</v>
      </c>
      <c r="O31" s="349"/>
      <c r="P31" s="349"/>
      <c r="Q31" s="349"/>
      <c r="R31" s="349">
        <v>3</v>
      </c>
      <c r="S31" s="349"/>
      <c r="T31" s="349">
        <v>1</v>
      </c>
      <c r="U31" s="349">
        <v>3</v>
      </c>
      <c r="V31" s="349">
        <v>17</v>
      </c>
      <c r="W31" s="349">
        <v>1</v>
      </c>
      <c r="X31" s="349">
        <v>65</v>
      </c>
    </row>
    <row r="32" spans="1:24" x14ac:dyDescent="0.35">
      <c r="A32" s="6">
        <v>29</v>
      </c>
      <c r="B32" s="416" t="s">
        <v>41</v>
      </c>
      <c r="C32" s="349">
        <v>16</v>
      </c>
      <c r="D32" s="349">
        <v>2</v>
      </c>
      <c r="E32" s="349"/>
      <c r="F32" s="349">
        <v>1</v>
      </c>
      <c r="G32" s="349"/>
      <c r="H32" s="349"/>
      <c r="I32" s="349"/>
      <c r="J32" s="349"/>
      <c r="K32" s="349">
        <v>1</v>
      </c>
      <c r="L32" s="349">
        <v>1</v>
      </c>
      <c r="M32" s="349"/>
      <c r="N32" s="349">
        <v>3</v>
      </c>
      <c r="O32" s="349">
        <v>1</v>
      </c>
      <c r="P32" s="349"/>
      <c r="Q32" s="349"/>
      <c r="R32" s="349"/>
      <c r="S32" s="349"/>
      <c r="T32" s="349"/>
      <c r="U32" s="349"/>
      <c r="V32" s="349">
        <v>5</v>
      </c>
      <c r="W32" s="349">
        <v>1</v>
      </c>
      <c r="X32" s="349">
        <v>31</v>
      </c>
    </row>
    <row r="33" spans="1:24" x14ac:dyDescent="0.35">
      <c r="A33" s="6">
        <v>30</v>
      </c>
      <c r="B33" s="416" t="s">
        <v>42</v>
      </c>
      <c r="C33" s="349">
        <v>2</v>
      </c>
      <c r="D33" s="349"/>
      <c r="E33" s="349"/>
      <c r="F33" s="349"/>
      <c r="G33" s="349"/>
      <c r="H33" s="349"/>
      <c r="I33" s="349"/>
      <c r="J33" s="349"/>
      <c r="K33" s="349"/>
      <c r="L33" s="349"/>
      <c r="M33" s="349">
        <v>1</v>
      </c>
      <c r="N33" s="349"/>
      <c r="O33" s="349"/>
      <c r="P33" s="349"/>
      <c r="Q33" s="349"/>
      <c r="R33" s="349"/>
      <c r="S33" s="349"/>
      <c r="T33" s="349"/>
      <c r="U33" s="349"/>
      <c r="V33" s="349">
        <v>2</v>
      </c>
      <c r="W33" s="349"/>
      <c r="X33" s="349">
        <v>5</v>
      </c>
    </row>
    <row r="34" spans="1:24" x14ac:dyDescent="0.35">
      <c r="A34" s="6">
        <v>31</v>
      </c>
      <c r="B34" s="416" t="s">
        <v>43</v>
      </c>
      <c r="C34" s="349">
        <v>54</v>
      </c>
      <c r="D34" s="349">
        <v>6</v>
      </c>
      <c r="E34" s="349"/>
      <c r="F34" s="349">
        <v>1</v>
      </c>
      <c r="G34" s="349"/>
      <c r="H34" s="349">
        <v>1</v>
      </c>
      <c r="I34" s="349">
        <v>1</v>
      </c>
      <c r="J34" s="349"/>
      <c r="K34" s="349">
        <v>1</v>
      </c>
      <c r="L34" s="349">
        <v>1</v>
      </c>
      <c r="M34" s="349">
        <v>1</v>
      </c>
      <c r="N34" s="349">
        <v>9</v>
      </c>
      <c r="O34" s="349"/>
      <c r="P34" s="349">
        <v>1</v>
      </c>
      <c r="Q34" s="349">
        <v>1</v>
      </c>
      <c r="R34" s="349">
        <v>1</v>
      </c>
      <c r="S34" s="349"/>
      <c r="T34" s="349"/>
      <c r="U34" s="349"/>
      <c r="V34" s="349">
        <v>14</v>
      </c>
      <c r="W34" s="349">
        <v>2</v>
      </c>
      <c r="X34" s="349">
        <v>94</v>
      </c>
    </row>
    <row r="35" spans="1:24" x14ac:dyDescent="0.35">
      <c r="A35" s="6">
        <v>32</v>
      </c>
      <c r="B35" s="416" t="s">
        <v>44</v>
      </c>
      <c r="C35" s="349">
        <v>26</v>
      </c>
      <c r="D35" s="349">
        <v>3</v>
      </c>
      <c r="E35" s="349"/>
      <c r="F35" s="349"/>
      <c r="G35" s="349"/>
      <c r="H35" s="349"/>
      <c r="I35" s="349"/>
      <c r="J35" s="349"/>
      <c r="K35" s="349"/>
      <c r="L35" s="349"/>
      <c r="M35" s="349">
        <v>1</v>
      </c>
      <c r="N35" s="349">
        <v>3</v>
      </c>
      <c r="O35" s="349"/>
      <c r="P35" s="349"/>
      <c r="Q35" s="349">
        <v>2</v>
      </c>
      <c r="R35" s="349"/>
      <c r="S35" s="349"/>
      <c r="T35" s="349"/>
      <c r="U35" s="349"/>
      <c r="V35" s="349">
        <v>5</v>
      </c>
      <c r="W35" s="349"/>
      <c r="X35" s="349">
        <v>40</v>
      </c>
    </row>
    <row r="36" spans="1:24" x14ac:dyDescent="0.35">
      <c r="A36" s="6">
        <v>33</v>
      </c>
      <c r="B36" s="416" t="s">
        <v>45</v>
      </c>
      <c r="C36" s="349">
        <v>41</v>
      </c>
      <c r="D36" s="349">
        <v>2</v>
      </c>
      <c r="E36" s="349"/>
      <c r="F36" s="349"/>
      <c r="G36" s="349">
        <v>1</v>
      </c>
      <c r="H36" s="349"/>
      <c r="I36" s="349">
        <v>1</v>
      </c>
      <c r="J36" s="349"/>
      <c r="K36" s="349">
        <v>1</v>
      </c>
      <c r="L36" s="349">
        <v>1</v>
      </c>
      <c r="M36" s="349">
        <v>1</v>
      </c>
      <c r="N36" s="349">
        <v>2</v>
      </c>
      <c r="O36" s="349"/>
      <c r="P36" s="349"/>
      <c r="Q36" s="349"/>
      <c r="R36" s="349">
        <v>3</v>
      </c>
      <c r="S36" s="349"/>
      <c r="T36" s="349"/>
      <c r="U36" s="349"/>
      <c r="V36" s="349">
        <v>6</v>
      </c>
      <c r="W36" s="349"/>
      <c r="X36" s="349">
        <v>59</v>
      </c>
    </row>
    <row r="37" spans="1:24" x14ac:dyDescent="0.35">
      <c r="A37" s="679" t="s">
        <v>46</v>
      </c>
      <c r="B37" s="680"/>
      <c r="C37" s="350">
        <v>687</v>
      </c>
      <c r="D37" s="350">
        <v>53</v>
      </c>
      <c r="E37" s="350">
        <v>3</v>
      </c>
      <c r="F37" s="350">
        <v>8</v>
      </c>
      <c r="G37" s="350">
        <v>4</v>
      </c>
      <c r="H37" s="350">
        <v>2</v>
      </c>
      <c r="I37" s="350">
        <v>5</v>
      </c>
      <c r="J37" s="350">
        <v>3</v>
      </c>
      <c r="K37" s="350">
        <v>8</v>
      </c>
      <c r="L37" s="350">
        <v>28</v>
      </c>
      <c r="M37" s="350">
        <v>31</v>
      </c>
      <c r="N37" s="350">
        <v>84</v>
      </c>
      <c r="O37" s="350">
        <v>3</v>
      </c>
      <c r="P37" s="350">
        <v>5</v>
      </c>
      <c r="Q37" s="350">
        <v>19</v>
      </c>
      <c r="R37" s="350">
        <v>40</v>
      </c>
      <c r="S37" s="350">
        <v>8</v>
      </c>
      <c r="T37" s="350">
        <v>2</v>
      </c>
      <c r="U37" s="350">
        <v>11</v>
      </c>
      <c r="V37" s="350">
        <v>192</v>
      </c>
      <c r="W37" s="350">
        <v>12</v>
      </c>
      <c r="X37" s="350">
        <v>1208</v>
      </c>
    </row>
  </sheetData>
  <mergeCells count="3">
    <mergeCell ref="N1:X1"/>
    <mergeCell ref="A37:B37"/>
    <mergeCell ref="C1:M1"/>
  </mergeCells>
  <pageMargins left="0.59055118110236227" right="0.35433070866141736" top="0.39370078740157483" bottom="0.39370078740157483" header="0.31496062992125984" footer="0.19685039370078741"/>
  <pageSetup paperSize="9" firstPageNumber="2" orientation="portrait" r:id="rId1"/>
  <headerFooter>
    <oddFooter>&amp;L&amp;"Arial,Italic"&amp;9AISHE 2022-23&amp;RT-2</oddFooter>
  </headerFooter>
  <colBreaks count="1" manualBreakCount="1">
    <brk id="13" max="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236C-0ACA-4A4D-9FA6-B23F52203BAB}">
  <sheetPr codeName="Sheet4">
    <tabColor rgb="FF92D050"/>
  </sheetPr>
  <dimension ref="A1:M41"/>
  <sheetViews>
    <sheetView view="pageBreakPreview" zoomScaleNormal="115" zoomScaleSheetLayoutView="100" workbookViewId="0">
      <pane ySplit="4" topLeftCell="A5" activePane="bottomLeft" state="frozen"/>
      <selection activeCell="S20" sqref="S20"/>
      <selection pane="bottomLeft" activeCell="S20" sqref="S20"/>
    </sheetView>
  </sheetViews>
  <sheetFormatPr defaultColWidth="23" defaultRowHeight="15.5" x14ac:dyDescent="0.35"/>
  <cols>
    <col min="1" max="1" width="8.7265625" style="351" bestFit="1" customWidth="1"/>
    <col min="2" max="2" width="30" style="351" customWidth="1"/>
    <col min="3" max="3" width="12.26953125" style="351" customWidth="1"/>
    <col min="4" max="6" width="8.1796875" style="351" customWidth="1"/>
    <col min="7" max="11" width="9.1796875" style="351" customWidth="1"/>
    <col min="12" max="12" width="8.1796875" style="351" customWidth="1"/>
    <col min="13" max="13" width="9.81640625" style="354" customWidth="1"/>
    <col min="14" max="16384" width="23" style="351"/>
  </cols>
  <sheetData>
    <row r="1" spans="1:13" ht="17.5" x14ac:dyDescent="0.35">
      <c r="A1" s="686" t="s">
        <v>1003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</row>
    <row r="2" spans="1:13" x14ac:dyDescent="0.35">
      <c r="A2" s="683" t="s">
        <v>49</v>
      </c>
      <c r="B2" s="682" t="s">
        <v>993</v>
      </c>
      <c r="C2" s="685" t="s">
        <v>62</v>
      </c>
      <c r="D2" s="685"/>
      <c r="E2" s="685"/>
      <c r="F2" s="685"/>
      <c r="G2" s="685"/>
      <c r="H2" s="685"/>
      <c r="I2" s="685"/>
      <c r="J2" s="685"/>
      <c r="K2" s="685"/>
      <c r="L2" s="685"/>
      <c r="M2" s="685"/>
    </row>
    <row r="3" spans="1:13" ht="45" x14ac:dyDescent="0.35">
      <c r="A3" s="683"/>
      <c r="B3" s="682"/>
      <c r="C3" s="535" t="s">
        <v>63</v>
      </c>
      <c r="D3" s="535" t="s">
        <v>64</v>
      </c>
      <c r="E3" s="535" t="s">
        <v>65</v>
      </c>
      <c r="F3" s="535" t="s">
        <v>66</v>
      </c>
      <c r="G3" s="535" t="s">
        <v>67</v>
      </c>
      <c r="H3" s="535" t="s">
        <v>68</v>
      </c>
      <c r="I3" s="535" t="s">
        <v>69</v>
      </c>
      <c r="J3" s="535" t="s">
        <v>70</v>
      </c>
      <c r="K3" s="535" t="s">
        <v>71</v>
      </c>
      <c r="L3" s="535" t="s">
        <v>994</v>
      </c>
      <c r="M3" s="535" t="s">
        <v>12</v>
      </c>
    </row>
    <row r="4" spans="1:13" x14ac:dyDescent="0.35">
      <c r="A4" s="466">
        <v>1</v>
      </c>
      <c r="B4" s="466">
        <v>2</v>
      </c>
      <c r="C4" s="466">
        <v>3</v>
      </c>
      <c r="D4" s="466">
        <v>4</v>
      </c>
      <c r="E4" s="466">
        <v>5</v>
      </c>
      <c r="F4" s="466">
        <v>6</v>
      </c>
      <c r="G4" s="466">
        <v>7</v>
      </c>
      <c r="H4" s="466">
        <v>8</v>
      </c>
      <c r="I4" s="466">
        <v>9</v>
      </c>
      <c r="J4" s="466">
        <v>10</v>
      </c>
      <c r="K4" s="466">
        <v>11</v>
      </c>
      <c r="L4" s="466">
        <v>12</v>
      </c>
      <c r="M4" s="466">
        <v>13</v>
      </c>
    </row>
    <row r="5" spans="1:13" ht="27.75" customHeight="1" x14ac:dyDescent="0.35">
      <c r="A5" s="352">
        <v>1</v>
      </c>
      <c r="B5" s="608" t="s">
        <v>58</v>
      </c>
      <c r="C5" s="352">
        <v>3</v>
      </c>
      <c r="D5" s="352"/>
      <c r="E5" s="352"/>
      <c r="F5" s="352"/>
      <c r="G5" s="352"/>
      <c r="H5" s="352"/>
      <c r="I5" s="352"/>
      <c r="J5" s="352"/>
      <c r="K5" s="352"/>
      <c r="L5" s="352"/>
      <c r="M5" s="353">
        <v>3</v>
      </c>
    </row>
    <row r="6" spans="1:13" ht="27.75" customHeight="1" x14ac:dyDescent="0.35">
      <c r="A6" s="352">
        <v>2</v>
      </c>
      <c r="B6" s="609" t="s">
        <v>13</v>
      </c>
      <c r="C6" s="352">
        <v>7</v>
      </c>
      <c r="D6" s="352">
        <v>3</v>
      </c>
      <c r="E6" s="352"/>
      <c r="F6" s="352"/>
      <c r="G6" s="352">
        <v>7</v>
      </c>
      <c r="H6" s="352">
        <v>6</v>
      </c>
      <c r="I6" s="352"/>
      <c r="J6" s="352"/>
      <c r="K6" s="352"/>
      <c r="L6" s="352"/>
      <c r="M6" s="353">
        <v>23</v>
      </c>
    </row>
    <row r="7" spans="1:13" ht="27.75" customHeight="1" x14ac:dyDescent="0.35">
      <c r="A7" s="352">
        <v>3</v>
      </c>
      <c r="B7" s="609" t="s">
        <v>14</v>
      </c>
      <c r="C7" s="352">
        <v>15</v>
      </c>
      <c r="D7" s="352">
        <v>1</v>
      </c>
      <c r="E7" s="352"/>
      <c r="F7" s="352"/>
      <c r="G7" s="352"/>
      <c r="H7" s="352"/>
      <c r="I7" s="352"/>
      <c r="J7" s="352"/>
      <c r="K7" s="352"/>
      <c r="L7" s="352"/>
      <c r="M7" s="353">
        <v>16</v>
      </c>
    </row>
    <row r="8" spans="1:13" ht="27.75" customHeight="1" x14ac:dyDescent="0.35">
      <c r="A8" s="352">
        <v>4</v>
      </c>
      <c r="B8" s="609" t="s">
        <v>15</v>
      </c>
      <c r="C8" s="352">
        <v>8</v>
      </c>
      <c r="D8" s="352">
        <v>15</v>
      </c>
      <c r="E8" s="352">
        <v>9</v>
      </c>
      <c r="F8" s="352">
        <v>2</v>
      </c>
      <c r="G8" s="352"/>
      <c r="H8" s="352"/>
      <c r="I8" s="352"/>
      <c r="J8" s="352"/>
      <c r="K8" s="352"/>
      <c r="L8" s="352"/>
      <c r="M8" s="353">
        <v>34</v>
      </c>
    </row>
    <row r="9" spans="1:13" ht="27.75" customHeight="1" x14ac:dyDescent="0.35">
      <c r="A9" s="352">
        <v>5</v>
      </c>
      <c r="B9" s="609" t="s">
        <v>16</v>
      </c>
      <c r="C9" s="352">
        <v>5</v>
      </c>
      <c r="D9" s="352">
        <v>9</v>
      </c>
      <c r="E9" s="352">
        <v>19</v>
      </c>
      <c r="F9" s="352">
        <v>4</v>
      </c>
      <c r="G9" s="352"/>
      <c r="H9" s="352">
        <v>1</v>
      </c>
      <c r="I9" s="352"/>
      <c r="J9" s="352"/>
      <c r="K9" s="352"/>
      <c r="L9" s="352"/>
      <c r="M9" s="353">
        <v>38</v>
      </c>
    </row>
    <row r="10" spans="1:13" ht="27.75" customHeight="1" x14ac:dyDescent="0.35">
      <c r="A10" s="352">
        <v>6</v>
      </c>
      <c r="B10" s="609" t="s">
        <v>17</v>
      </c>
      <c r="C10" s="352"/>
      <c r="D10" s="352"/>
      <c r="E10" s="352">
        <v>1</v>
      </c>
      <c r="F10" s="352"/>
      <c r="G10" s="352"/>
      <c r="H10" s="352"/>
      <c r="I10" s="352"/>
      <c r="J10" s="352"/>
      <c r="K10" s="352"/>
      <c r="L10" s="352"/>
      <c r="M10" s="353">
        <v>1</v>
      </c>
    </row>
    <row r="11" spans="1:13" ht="27.75" customHeight="1" x14ac:dyDescent="0.35">
      <c r="A11" s="352">
        <v>7</v>
      </c>
      <c r="B11" s="609" t="s">
        <v>18</v>
      </c>
      <c r="C11" s="352">
        <v>9</v>
      </c>
      <c r="D11" s="427">
        <v>11</v>
      </c>
      <c r="E11" s="352">
        <v>8</v>
      </c>
      <c r="F11" s="352">
        <v>2</v>
      </c>
      <c r="G11" s="352">
        <v>3</v>
      </c>
      <c r="H11" s="352"/>
      <c r="I11" s="352"/>
      <c r="J11" s="352"/>
      <c r="K11" s="352"/>
      <c r="L11" s="352"/>
      <c r="M11" s="353">
        <v>33</v>
      </c>
    </row>
    <row r="12" spans="1:13" ht="27.75" customHeight="1" x14ac:dyDescent="0.35">
      <c r="A12" s="352">
        <v>8</v>
      </c>
      <c r="B12" s="609" t="s">
        <v>19</v>
      </c>
      <c r="C12" s="352">
        <v>3</v>
      </c>
      <c r="D12" s="352">
        <v>3</v>
      </c>
      <c r="E12" s="352">
        <v>5</v>
      </c>
      <c r="F12" s="352"/>
      <c r="G12" s="352"/>
      <c r="H12" s="352"/>
      <c r="I12" s="352"/>
      <c r="J12" s="352"/>
      <c r="K12" s="352"/>
      <c r="L12" s="352"/>
      <c r="M12" s="353">
        <v>11</v>
      </c>
    </row>
    <row r="13" spans="1:13" ht="27.75" customHeight="1" x14ac:dyDescent="0.35">
      <c r="A13" s="352">
        <v>9</v>
      </c>
      <c r="B13" s="609" t="s">
        <v>20</v>
      </c>
      <c r="C13" s="352"/>
      <c r="D13" s="352"/>
      <c r="E13" s="352">
        <v>2</v>
      </c>
      <c r="F13" s="352"/>
      <c r="G13" s="352"/>
      <c r="H13" s="352"/>
      <c r="I13" s="352"/>
      <c r="J13" s="352"/>
      <c r="K13" s="352"/>
      <c r="L13" s="352"/>
      <c r="M13" s="353">
        <v>2</v>
      </c>
    </row>
    <row r="14" spans="1:13" ht="27.75" customHeight="1" x14ac:dyDescent="0.35">
      <c r="A14" s="352">
        <v>10</v>
      </c>
      <c r="B14" s="609" t="s">
        <v>21</v>
      </c>
      <c r="C14" s="352">
        <v>1</v>
      </c>
      <c r="D14" s="352">
        <v>2</v>
      </c>
      <c r="E14" s="352">
        <v>12</v>
      </c>
      <c r="F14" s="352">
        <v>10</v>
      </c>
      <c r="G14" s="352">
        <v>7</v>
      </c>
      <c r="H14" s="352">
        <v>1</v>
      </c>
      <c r="I14" s="352"/>
      <c r="J14" s="352"/>
      <c r="K14" s="352"/>
      <c r="L14" s="352"/>
      <c r="M14" s="353">
        <v>33</v>
      </c>
    </row>
    <row r="15" spans="1:13" ht="27.75" customHeight="1" x14ac:dyDescent="0.35">
      <c r="A15" s="352">
        <v>11</v>
      </c>
      <c r="B15" s="609" t="s">
        <v>22</v>
      </c>
      <c r="C15" s="352"/>
      <c r="D15" s="352">
        <v>2</v>
      </c>
      <c r="E15" s="352">
        <v>9</v>
      </c>
      <c r="F15" s="352">
        <v>11</v>
      </c>
      <c r="G15" s="352"/>
      <c r="H15" s="352"/>
      <c r="I15" s="352"/>
      <c r="J15" s="352"/>
      <c r="K15" s="352"/>
      <c r="L15" s="352"/>
      <c r="M15" s="353">
        <v>22</v>
      </c>
    </row>
    <row r="16" spans="1:13" ht="27.75" customHeight="1" x14ac:dyDescent="0.35">
      <c r="A16" s="352">
        <v>12</v>
      </c>
      <c r="B16" s="609" t="s">
        <v>23</v>
      </c>
      <c r="C16" s="352">
        <v>2</v>
      </c>
      <c r="D16" s="352">
        <v>2</v>
      </c>
      <c r="E16" s="352">
        <v>6</v>
      </c>
      <c r="F16" s="352">
        <v>2</v>
      </c>
      <c r="G16" s="352"/>
      <c r="H16" s="352"/>
      <c r="I16" s="352"/>
      <c r="J16" s="352"/>
      <c r="K16" s="352"/>
      <c r="L16" s="352"/>
      <c r="M16" s="353">
        <v>12</v>
      </c>
    </row>
    <row r="17" spans="1:13" ht="27.75" customHeight="1" x14ac:dyDescent="0.35">
      <c r="A17" s="352">
        <v>13</v>
      </c>
      <c r="B17" s="609" t="s">
        <v>24</v>
      </c>
      <c r="C17" s="352">
        <v>9</v>
      </c>
      <c r="D17" s="352">
        <v>7</v>
      </c>
      <c r="E17" s="352">
        <v>3</v>
      </c>
      <c r="F17" s="352">
        <v>1</v>
      </c>
      <c r="G17" s="352"/>
      <c r="H17" s="352"/>
      <c r="I17" s="352"/>
      <c r="J17" s="352"/>
      <c r="K17" s="352"/>
      <c r="L17" s="352"/>
      <c r="M17" s="353">
        <v>20</v>
      </c>
    </row>
    <row r="18" spans="1:13" ht="27.75" customHeight="1" x14ac:dyDescent="0.35">
      <c r="A18" s="352">
        <v>14</v>
      </c>
      <c r="B18" s="609" t="s">
        <v>25</v>
      </c>
      <c r="C18" s="352">
        <v>9</v>
      </c>
      <c r="D18" s="352">
        <v>6</v>
      </c>
      <c r="E18" s="352">
        <v>8</v>
      </c>
      <c r="F18" s="352">
        <v>1</v>
      </c>
      <c r="G18" s="352"/>
      <c r="H18" s="352"/>
      <c r="I18" s="352"/>
      <c r="J18" s="352"/>
      <c r="K18" s="352"/>
      <c r="L18" s="352"/>
      <c r="M18" s="353">
        <v>24</v>
      </c>
    </row>
    <row r="19" spans="1:13" ht="27.75" customHeight="1" x14ac:dyDescent="0.35">
      <c r="A19" s="352">
        <v>15</v>
      </c>
      <c r="B19" s="609" t="s">
        <v>26</v>
      </c>
      <c r="C19" s="352">
        <v>1</v>
      </c>
      <c r="D19" s="352"/>
      <c r="E19" s="352">
        <v>3</v>
      </c>
      <c r="F19" s="352">
        <v>13</v>
      </c>
      <c r="G19" s="352">
        <v>9</v>
      </c>
      <c r="H19" s="352">
        <v>3</v>
      </c>
      <c r="I19" s="352">
        <v>1</v>
      </c>
      <c r="J19" s="352"/>
      <c r="K19" s="352"/>
      <c r="L19" s="352">
        <v>1</v>
      </c>
      <c r="M19" s="353">
        <v>31</v>
      </c>
    </row>
    <row r="20" spans="1:13" ht="27.75" customHeight="1" x14ac:dyDescent="0.35">
      <c r="A20" s="352">
        <v>16</v>
      </c>
      <c r="B20" s="609" t="s">
        <v>27</v>
      </c>
      <c r="C20" s="352"/>
      <c r="D20" s="352"/>
      <c r="E20" s="352">
        <v>1</v>
      </c>
      <c r="F20" s="352">
        <v>5</v>
      </c>
      <c r="G20" s="352">
        <v>8</v>
      </c>
      <c r="H20" s="352"/>
      <c r="I20" s="352"/>
      <c r="J20" s="352"/>
      <c r="K20" s="352"/>
      <c r="L20" s="352"/>
      <c r="M20" s="353">
        <v>14</v>
      </c>
    </row>
    <row r="21" spans="1:13" ht="27.75" customHeight="1" x14ac:dyDescent="0.35">
      <c r="A21" s="352">
        <v>17</v>
      </c>
      <c r="B21" s="19" t="s">
        <v>28</v>
      </c>
      <c r="C21" s="352">
        <v>2</v>
      </c>
      <c r="D21" s="352"/>
      <c r="E21" s="352"/>
      <c r="F21" s="352"/>
      <c r="G21" s="352"/>
      <c r="H21" s="352"/>
      <c r="I21" s="352"/>
      <c r="J21" s="352"/>
      <c r="K21" s="352"/>
      <c r="L21" s="352"/>
      <c r="M21" s="353">
        <v>2</v>
      </c>
    </row>
    <row r="22" spans="1:13" ht="27.75" customHeight="1" x14ac:dyDescent="0.35">
      <c r="A22" s="352">
        <v>18</v>
      </c>
      <c r="B22" s="609" t="s">
        <v>72</v>
      </c>
      <c r="C22" s="352">
        <v>1</v>
      </c>
      <c r="D22" s="352"/>
      <c r="E22" s="352"/>
      <c r="F22" s="352"/>
      <c r="G22" s="352"/>
      <c r="H22" s="352"/>
      <c r="I22" s="352"/>
      <c r="J22" s="352"/>
      <c r="K22" s="352"/>
      <c r="L22" s="352"/>
      <c r="M22" s="353">
        <v>1</v>
      </c>
    </row>
    <row r="23" spans="1:13" ht="27.75" customHeight="1" x14ac:dyDescent="0.35">
      <c r="A23" s="352">
        <v>19</v>
      </c>
      <c r="B23" s="609" t="s">
        <v>29</v>
      </c>
      <c r="C23" s="352">
        <v>4</v>
      </c>
      <c r="D23" s="352">
        <v>7</v>
      </c>
      <c r="E23" s="352">
        <v>28</v>
      </c>
      <c r="F23" s="352">
        <v>9</v>
      </c>
      <c r="G23" s="352">
        <v>2</v>
      </c>
      <c r="H23" s="352">
        <v>1</v>
      </c>
      <c r="I23" s="352">
        <v>1</v>
      </c>
      <c r="J23" s="352"/>
      <c r="K23" s="352"/>
      <c r="L23" s="352"/>
      <c r="M23" s="353">
        <v>52</v>
      </c>
    </row>
    <row r="24" spans="1:13" ht="27.75" customHeight="1" x14ac:dyDescent="0.35">
      <c r="A24" s="352">
        <v>20</v>
      </c>
      <c r="B24" s="609" t="s">
        <v>30</v>
      </c>
      <c r="C24" s="352"/>
      <c r="D24" s="352"/>
      <c r="E24" s="352">
        <v>1</v>
      </c>
      <c r="F24" s="352">
        <v>10</v>
      </c>
      <c r="G24" s="352">
        <v>18</v>
      </c>
      <c r="H24" s="352">
        <v>4</v>
      </c>
      <c r="I24" s="352">
        <v>2</v>
      </c>
      <c r="J24" s="352"/>
      <c r="K24" s="352">
        <v>1</v>
      </c>
      <c r="L24" s="352"/>
      <c r="M24" s="353">
        <v>36</v>
      </c>
    </row>
    <row r="25" spans="1:13" ht="27.75" customHeight="1" x14ac:dyDescent="0.35">
      <c r="A25" s="352">
        <v>21</v>
      </c>
      <c r="B25" s="609" t="s">
        <v>31</v>
      </c>
      <c r="C25" s="352">
        <v>9</v>
      </c>
      <c r="D25" s="352">
        <v>2</v>
      </c>
      <c r="E25" s="352">
        <v>2</v>
      </c>
      <c r="F25" s="352"/>
      <c r="G25" s="352"/>
      <c r="H25" s="352"/>
      <c r="I25" s="352"/>
      <c r="J25" s="352"/>
      <c r="K25" s="352"/>
      <c r="L25" s="352"/>
      <c r="M25" s="353">
        <v>13</v>
      </c>
    </row>
    <row r="26" spans="1:13" ht="27.75" customHeight="1" x14ac:dyDescent="0.35">
      <c r="A26" s="352">
        <v>22</v>
      </c>
      <c r="B26" s="609" t="s">
        <v>32</v>
      </c>
      <c r="C26" s="352">
        <v>10</v>
      </c>
      <c r="D26" s="352">
        <v>1</v>
      </c>
      <c r="E26" s="352">
        <v>1</v>
      </c>
      <c r="F26" s="352"/>
      <c r="G26" s="352"/>
      <c r="H26" s="352"/>
      <c r="I26" s="352"/>
      <c r="J26" s="352"/>
      <c r="K26" s="352"/>
      <c r="L26" s="352"/>
      <c r="M26" s="353">
        <v>12</v>
      </c>
    </row>
    <row r="27" spans="1:13" ht="27.75" customHeight="1" x14ac:dyDescent="0.35">
      <c r="A27" s="352">
        <v>23</v>
      </c>
      <c r="B27" s="609" t="s">
        <v>33</v>
      </c>
      <c r="C27" s="352">
        <v>10</v>
      </c>
      <c r="D27" s="352"/>
      <c r="E27" s="352">
        <v>1</v>
      </c>
      <c r="F27" s="352"/>
      <c r="G27" s="352"/>
      <c r="H27" s="352"/>
      <c r="I27" s="352"/>
      <c r="J27" s="352"/>
      <c r="K27" s="352"/>
      <c r="L27" s="352"/>
      <c r="M27" s="353">
        <v>11</v>
      </c>
    </row>
    <row r="28" spans="1:13" ht="27.75" customHeight="1" x14ac:dyDescent="0.35">
      <c r="A28" s="352">
        <v>24</v>
      </c>
      <c r="B28" s="609" t="s">
        <v>34</v>
      </c>
      <c r="C28" s="352">
        <v>9</v>
      </c>
      <c r="D28" s="352"/>
      <c r="E28" s="352">
        <v>2</v>
      </c>
      <c r="F28" s="352"/>
      <c r="G28" s="352"/>
      <c r="H28" s="352"/>
      <c r="I28" s="352"/>
      <c r="J28" s="352"/>
      <c r="K28" s="352"/>
      <c r="L28" s="352"/>
      <c r="M28" s="353">
        <v>11</v>
      </c>
    </row>
    <row r="29" spans="1:13" ht="27.75" customHeight="1" x14ac:dyDescent="0.35">
      <c r="A29" s="352">
        <v>25</v>
      </c>
      <c r="B29" s="609" t="s">
        <v>35</v>
      </c>
      <c r="C29" s="352">
        <v>1</v>
      </c>
      <c r="D29" s="352">
        <v>6</v>
      </c>
      <c r="E29" s="352">
        <v>15</v>
      </c>
      <c r="F29" s="352">
        <v>5</v>
      </c>
      <c r="G29" s="352">
        <v>2</v>
      </c>
      <c r="H29" s="352">
        <v>1</v>
      </c>
      <c r="I29" s="352"/>
      <c r="J29" s="352"/>
      <c r="K29" s="352"/>
      <c r="L29" s="352"/>
      <c r="M29" s="353">
        <v>30</v>
      </c>
    </row>
    <row r="30" spans="1:13" ht="27.75" customHeight="1" x14ac:dyDescent="0.35">
      <c r="A30" s="352">
        <v>26</v>
      </c>
      <c r="B30" s="609" t="s">
        <v>36</v>
      </c>
      <c r="C30" s="352">
        <v>2</v>
      </c>
      <c r="D30" s="352">
        <v>1</v>
      </c>
      <c r="E30" s="352"/>
      <c r="F30" s="352">
        <v>1</v>
      </c>
      <c r="G30" s="352"/>
      <c r="H30" s="352"/>
      <c r="I30" s="352"/>
      <c r="J30" s="352"/>
      <c r="K30" s="352"/>
      <c r="L30" s="352"/>
      <c r="M30" s="353">
        <v>4</v>
      </c>
    </row>
    <row r="31" spans="1:13" ht="27.75" customHeight="1" x14ac:dyDescent="0.35">
      <c r="A31" s="352">
        <v>27</v>
      </c>
      <c r="B31" s="609" t="s">
        <v>37</v>
      </c>
      <c r="C31" s="352"/>
      <c r="D31" s="352">
        <v>3</v>
      </c>
      <c r="E31" s="352">
        <v>11</v>
      </c>
      <c r="F31" s="352">
        <v>8</v>
      </c>
      <c r="G31" s="352">
        <v>1</v>
      </c>
      <c r="H31" s="352"/>
      <c r="I31" s="352"/>
      <c r="J31" s="352"/>
      <c r="K31" s="352"/>
      <c r="L31" s="352"/>
      <c r="M31" s="353">
        <v>23</v>
      </c>
    </row>
    <row r="32" spans="1:13" ht="27.75" customHeight="1" x14ac:dyDescent="0.35">
      <c r="A32" s="352">
        <v>28</v>
      </c>
      <c r="B32" s="609" t="s">
        <v>38</v>
      </c>
      <c r="C32" s="352"/>
      <c r="D32" s="352"/>
      <c r="E32" s="352">
        <v>8</v>
      </c>
      <c r="F32" s="352">
        <v>12</v>
      </c>
      <c r="G32" s="352">
        <v>9</v>
      </c>
      <c r="H32" s="352">
        <v>2</v>
      </c>
      <c r="I32" s="352">
        <v>1</v>
      </c>
      <c r="J32" s="352"/>
      <c r="K32" s="352">
        <v>1</v>
      </c>
      <c r="L32" s="352"/>
      <c r="M32" s="353">
        <v>33</v>
      </c>
    </row>
    <row r="33" spans="1:13" ht="27.75" customHeight="1" x14ac:dyDescent="0.35">
      <c r="A33" s="352">
        <v>29</v>
      </c>
      <c r="B33" s="609" t="s">
        <v>39</v>
      </c>
      <c r="C33" s="352">
        <v>3</v>
      </c>
      <c r="D33" s="352">
        <v>1</v>
      </c>
      <c r="E33" s="352"/>
      <c r="F33" s="352"/>
      <c r="G33" s="352"/>
      <c r="H33" s="352"/>
      <c r="I33" s="352"/>
      <c r="J33" s="352"/>
      <c r="K33" s="352"/>
      <c r="L33" s="352"/>
      <c r="M33" s="353">
        <v>4</v>
      </c>
    </row>
    <row r="34" spans="1:13" ht="27.75" customHeight="1" x14ac:dyDescent="0.35">
      <c r="A34" s="352">
        <v>30</v>
      </c>
      <c r="B34" s="609" t="s">
        <v>40</v>
      </c>
      <c r="C34" s="352">
        <v>1</v>
      </c>
      <c r="D34" s="352">
        <v>3</v>
      </c>
      <c r="E34" s="352">
        <v>10</v>
      </c>
      <c r="F34" s="352">
        <v>15</v>
      </c>
      <c r="G34" s="352">
        <v>7</v>
      </c>
      <c r="H34" s="352">
        <v>2</v>
      </c>
      <c r="I34" s="352"/>
      <c r="J34" s="352"/>
      <c r="K34" s="352"/>
      <c r="L34" s="352"/>
      <c r="M34" s="353">
        <v>38</v>
      </c>
    </row>
    <row r="35" spans="1:13" ht="27.75" customHeight="1" x14ac:dyDescent="0.35">
      <c r="A35" s="352">
        <v>31</v>
      </c>
      <c r="B35" s="609" t="s">
        <v>41</v>
      </c>
      <c r="C35" s="352">
        <v>15</v>
      </c>
      <c r="D35" s="352">
        <v>6</v>
      </c>
      <c r="E35" s="352">
        <v>1</v>
      </c>
      <c r="F35" s="352">
        <v>4</v>
      </c>
      <c r="G35" s="352">
        <v>5</v>
      </c>
      <c r="H35" s="352"/>
      <c r="I35" s="352">
        <v>1</v>
      </c>
      <c r="J35" s="352">
        <v>1</v>
      </c>
      <c r="K35" s="352"/>
      <c r="L35" s="352"/>
      <c r="M35" s="353">
        <v>33</v>
      </c>
    </row>
    <row r="36" spans="1:13" ht="27.75" customHeight="1" x14ac:dyDescent="0.35">
      <c r="A36" s="352">
        <v>32</v>
      </c>
      <c r="B36" s="608" t="s">
        <v>60</v>
      </c>
      <c r="C36" s="352">
        <v>3</v>
      </c>
      <c r="D36" s="352"/>
      <c r="E36" s="352"/>
      <c r="F36" s="352"/>
      <c r="G36" s="352"/>
      <c r="H36" s="352"/>
      <c r="I36" s="352"/>
      <c r="J36" s="352"/>
      <c r="K36" s="352"/>
      <c r="L36" s="352"/>
      <c r="M36" s="353">
        <v>3</v>
      </c>
    </row>
    <row r="37" spans="1:13" ht="27.75" customHeight="1" x14ac:dyDescent="0.35">
      <c r="A37" s="352">
        <v>33</v>
      </c>
      <c r="B37" s="609" t="s">
        <v>42</v>
      </c>
      <c r="C37" s="352">
        <v>6</v>
      </c>
      <c r="D37" s="352"/>
      <c r="E37" s="352">
        <v>1</v>
      </c>
      <c r="F37" s="352"/>
      <c r="G37" s="352"/>
      <c r="H37" s="352"/>
      <c r="I37" s="352"/>
      <c r="J37" s="352"/>
      <c r="K37" s="352"/>
      <c r="L37" s="352"/>
      <c r="M37" s="353">
        <v>7</v>
      </c>
    </row>
    <row r="38" spans="1:13" ht="27.75" customHeight="1" x14ac:dyDescent="0.35">
      <c r="A38" s="352">
        <v>34</v>
      </c>
      <c r="B38" s="609" t="s">
        <v>43</v>
      </c>
      <c r="C38" s="352"/>
      <c r="D38" s="352">
        <v>2</v>
      </c>
      <c r="E38" s="352">
        <v>15</v>
      </c>
      <c r="F38" s="352">
        <v>27</v>
      </c>
      <c r="G38" s="352">
        <v>21</v>
      </c>
      <c r="H38" s="352">
        <v>8</v>
      </c>
      <c r="I38" s="352">
        <v>2</v>
      </c>
      <c r="J38" s="352"/>
      <c r="K38" s="352"/>
      <c r="L38" s="352"/>
      <c r="M38" s="353">
        <v>75</v>
      </c>
    </row>
    <row r="39" spans="1:13" ht="27.75" customHeight="1" x14ac:dyDescent="0.35">
      <c r="A39" s="352">
        <v>35</v>
      </c>
      <c r="B39" s="609" t="s">
        <v>44</v>
      </c>
      <c r="C39" s="352">
        <v>2</v>
      </c>
      <c r="D39" s="352">
        <v>5</v>
      </c>
      <c r="E39" s="352">
        <v>3</v>
      </c>
      <c r="F39" s="352">
        <v>1</v>
      </c>
      <c r="G39" s="352">
        <v>2</v>
      </c>
      <c r="H39" s="352"/>
      <c r="I39" s="352"/>
      <c r="J39" s="352"/>
      <c r="K39" s="352"/>
      <c r="L39" s="352"/>
      <c r="M39" s="353">
        <v>13</v>
      </c>
    </row>
    <row r="40" spans="1:13" ht="27.75" customHeight="1" x14ac:dyDescent="0.35">
      <c r="A40" s="352">
        <v>36</v>
      </c>
      <c r="B40" s="609" t="s">
        <v>45</v>
      </c>
      <c r="C40" s="352">
        <v>1</v>
      </c>
      <c r="D40" s="352">
        <v>1</v>
      </c>
      <c r="E40" s="352">
        <v>6</v>
      </c>
      <c r="F40" s="352">
        <v>8</v>
      </c>
      <c r="G40" s="352">
        <v>6</v>
      </c>
      <c r="H40" s="352"/>
      <c r="I40" s="352"/>
      <c r="J40" s="352"/>
      <c r="K40" s="352"/>
      <c r="L40" s="352"/>
      <c r="M40" s="353">
        <v>22</v>
      </c>
    </row>
    <row r="41" spans="1:13" ht="27.75" customHeight="1" x14ac:dyDescent="0.35">
      <c r="A41" s="684" t="s">
        <v>46</v>
      </c>
      <c r="B41" s="684"/>
      <c r="C41" s="353">
        <v>151</v>
      </c>
      <c r="D41" s="353">
        <v>99</v>
      </c>
      <c r="E41" s="353">
        <v>191</v>
      </c>
      <c r="F41" s="353">
        <v>151</v>
      </c>
      <c r="G41" s="353">
        <v>107</v>
      </c>
      <c r="H41" s="353">
        <v>29</v>
      </c>
      <c r="I41" s="353">
        <v>8</v>
      </c>
      <c r="J41" s="353">
        <v>1</v>
      </c>
      <c r="K41" s="353">
        <v>2</v>
      </c>
      <c r="L41" s="353">
        <v>1</v>
      </c>
      <c r="M41" s="353">
        <v>740</v>
      </c>
    </row>
  </sheetData>
  <mergeCells count="5">
    <mergeCell ref="B2:B3"/>
    <mergeCell ref="A2:A3"/>
    <mergeCell ref="A41:B41"/>
    <mergeCell ref="C2:M2"/>
    <mergeCell ref="A1:M1"/>
  </mergeCells>
  <pageMargins left="0.59055118110236227" right="0.19685039370078741" top="0.39370078740157483" bottom="0.39370078740157483" header="0.31496062992125984" footer="0.19685039370078741"/>
  <pageSetup paperSize="9" scale="66" orientation="portrait" r:id="rId1"/>
  <headerFooter>
    <oddFooter>&amp;L&amp;"Arial,Italic"&amp;9AISHE 2022-23&amp;RT-3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801E-E445-4D76-B6D6-B0C38B49E8E1}">
  <sheetPr codeName="Sheet5">
    <tabColor rgb="FF92D050"/>
    <pageSetUpPr fitToPage="1"/>
  </sheetPr>
  <dimension ref="A1:G43"/>
  <sheetViews>
    <sheetView view="pageBreakPreview" zoomScaleSheetLayoutView="100" workbookViewId="0">
      <selection activeCell="A2" sqref="A2:A3"/>
    </sheetView>
  </sheetViews>
  <sheetFormatPr defaultColWidth="9.7265625" defaultRowHeight="13" x14ac:dyDescent="0.35"/>
  <cols>
    <col min="1" max="1" width="7.7265625" style="14" bestFit="1" customWidth="1"/>
    <col min="2" max="2" width="18.81640625" style="14" bestFit="1" customWidth="1"/>
    <col min="3" max="3" width="19.453125" style="467" bestFit="1" customWidth="1"/>
    <col min="4" max="5" width="27.81640625" style="467" customWidth="1"/>
    <col min="6" max="16384" width="9.7265625" style="14"/>
  </cols>
  <sheetData>
    <row r="1" spans="1:7" ht="32.5" customHeight="1" x14ac:dyDescent="0.35">
      <c r="A1" s="689" t="s">
        <v>1033</v>
      </c>
      <c r="B1" s="689"/>
      <c r="C1" s="689"/>
      <c r="D1" s="689"/>
      <c r="E1" s="689"/>
    </row>
    <row r="2" spans="1:7" ht="17.5" customHeight="1" x14ac:dyDescent="0.35">
      <c r="A2" s="690" t="s">
        <v>1</v>
      </c>
      <c r="B2" s="692" t="s">
        <v>50</v>
      </c>
      <c r="C2" s="694" t="s">
        <v>995</v>
      </c>
      <c r="D2" s="694" t="s">
        <v>996</v>
      </c>
      <c r="E2" s="695" t="s">
        <v>997</v>
      </c>
    </row>
    <row r="3" spans="1:7" ht="17.5" customHeight="1" x14ac:dyDescent="0.35">
      <c r="A3" s="691"/>
      <c r="B3" s="693"/>
      <c r="C3" s="694"/>
      <c r="D3" s="694"/>
      <c r="E3" s="696"/>
    </row>
    <row r="4" spans="1:7" x14ac:dyDescent="0.35">
      <c r="A4" s="468">
        <v>1</v>
      </c>
      <c r="B4" s="469">
        <v>2</v>
      </c>
      <c r="C4" s="468">
        <v>3</v>
      </c>
      <c r="D4" s="469">
        <v>4</v>
      </c>
      <c r="E4" s="468">
        <v>5</v>
      </c>
    </row>
    <row r="5" spans="1:7" ht="19.5" customHeight="1" x14ac:dyDescent="0.35">
      <c r="A5" s="15">
        <v>1</v>
      </c>
      <c r="B5" s="16" t="s">
        <v>58</v>
      </c>
      <c r="C5" s="163">
        <v>9</v>
      </c>
      <c r="D5" s="470">
        <v>24.954174097974992</v>
      </c>
      <c r="E5" s="470">
        <v>335.88888888888891</v>
      </c>
      <c r="G5" s="18"/>
    </row>
    <row r="6" spans="1:7" ht="19.5" customHeight="1" x14ac:dyDescent="0.35">
      <c r="A6" s="15">
        <v>2</v>
      </c>
      <c r="B6" s="16" t="s">
        <v>13</v>
      </c>
      <c r="C6" s="163">
        <v>2591</v>
      </c>
      <c r="D6" s="470">
        <v>50.007720219254225</v>
      </c>
      <c r="E6" s="470">
        <v>533.10337367733234</v>
      </c>
      <c r="G6" s="18"/>
    </row>
    <row r="7" spans="1:7" ht="19.5" customHeight="1" x14ac:dyDescent="0.35">
      <c r="A7" s="15">
        <v>3</v>
      </c>
      <c r="B7" s="16" t="s">
        <v>14</v>
      </c>
      <c r="C7" s="163">
        <v>44</v>
      </c>
      <c r="D7" s="470">
        <v>24.849095396919687</v>
      </c>
      <c r="E7" s="470">
        <v>644.72727272727275</v>
      </c>
      <c r="G7" s="18"/>
    </row>
    <row r="8" spans="1:7" ht="19.5" customHeight="1" x14ac:dyDescent="0.35">
      <c r="A8" s="15">
        <v>4</v>
      </c>
      <c r="B8" s="16" t="s">
        <v>15</v>
      </c>
      <c r="C8" s="163">
        <v>655</v>
      </c>
      <c r="D8" s="470">
        <v>16.308136639776915</v>
      </c>
      <c r="E8" s="470">
        <v>851.94667393675036</v>
      </c>
      <c r="G8" s="18"/>
    </row>
    <row r="9" spans="1:7" ht="19.5" customHeight="1" x14ac:dyDescent="0.35">
      <c r="A9" s="15">
        <v>5</v>
      </c>
      <c r="B9" s="16" t="s">
        <v>16</v>
      </c>
      <c r="C9" s="163">
        <v>1175</v>
      </c>
      <c r="D9" s="470">
        <v>7.54501888077918</v>
      </c>
      <c r="E9" s="470">
        <v>1922.8173803627701</v>
      </c>
      <c r="G9" s="18"/>
    </row>
    <row r="10" spans="1:7" ht="19.5" customHeight="1" x14ac:dyDescent="0.35">
      <c r="A10" s="15">
        <v>6</v>
      </c>
      <c r="B10" s="16" t="s">
        <v>17</v>
      </c>
      <c r="C10" s="163">
        <v>26</v>
      </c>
      <c r="D10" s="470">
        <v>20.357942164115808</v>
      </c>
      <c r="E10" s="470">
        <v>1883.0384615384614</v>
      </c>
      <c r="G10" s="18"/>
    </row>
    <row r="11" spans="1:7" ht="19.5" customHeight="1" x14ac:dyDescent="0.35">
      <c r="A11" s="15">
        <v>7</v>
      </c>
      <c r="B11" s="16" t="s">
        <v>18</v>
      </c>
      <c r="C11" s="420">
        <v>965</v>
      </c>
      <c r="D11" s="470">
        <v>28.947684185265182</v>
      </c>
      <c r="E11" s="470">
        <v>588.04345703232377</v>
      </c>
      <c r="G11" s="18"/>
    </row>
    <row r="12" spans="1:7" ht="19.5" customHeight="1" x14ac:dyDescent="0.35">
      <c r="A12" s="15">
        <v>8</v>
      </c>
      <c r="B12" s="16" t="s">
        <v>19</v>
      </c>
      <c r="C12" s="163">
        <v>196</v>
      </c>
      <c r="D12" s="470">
        <v>7.7386124038566475</v>
      </c>
      <c r="E12" s="470">
        <v>2207.1376265132299</v>
      </c>
      <c r="G12" s="18"/>
    </row>
    <row r="13" spans="1:7" ht="19.5" customHeight="1" x14ac:dyDescent="0.35">
      <c r="A13" s="15">
        <v>9</v>
      </c>
      <c r="B13" s="16" t="s">
        <v>20</v>
      </c>
      <c r="C13" s="163">
        <v>63</v>
      </c>
      <c r="D13" s="470">
        <v>46.214668262453031</v>
      </c>
      <c r="E13" s="470">
        <v>670.96825396825398</v>
      </c>
      <c r="G13" s="18"/>
    </row>
    <row r="14" spans="1:7" ht="19.5" customHeight="1" x14ac:dyDescent="0.35">
      <c r="A14" s="15">
        <v>10</v>
      </c>
      <c r="B14" s="16" t="s">
        <v>21</v>
      </c>
      <c r="C14" s="163">
        <v>2470</v>
      </c>
      <c r="D14" s="470">
        <v>34.300707433290228</v>
      </c>
      <c r="E14" s="470">
        <v>519.10364372469633</v>
      </c>
      <c r="G14" s="18"/>
    </row>
    <row r="15" spans="1:7" ht="19.5" customHeight="1" x14ac:dyDescent="0.35">
      <c r="A15" s="15">
        <v>11</v>
      </c>
      <c r="B15" s="16" t="s">
        <v>22</v>
      </c>
      <c r="C15" s="163">
        <v>1123</v>
      </c>
      <c r="D15" s="470">
        <v>34.142040617779401</v>
      </c>
      <c r="E15" s="470">
        <v>620.75779162956371</v>
      </c>
      <c r="G15" s="18"/>
    </row>
    <row r="16" spans="1:7" ht="19.5" customHeight="1" x14ac:dyDescent="0.35">
      <c r="A16" s="15">
        <v>12</v>
      </c>
      <c r="B16" s="16" t="s">
        <v>23</v>
      </c>
      <c r="C16" s="163">
        <v>357</v>
      </c>
      <c r="D16" s="470">
        <v>48.677392964275974</v>
      </c>
      <c r="E16" s="470">
        <v>561.66530570561565</v>
      </c>
      <c r="G16" s="18"/>
    </row>
    <row r="17" spans="1:7" ht="19.5" customHeight="1" x14ac:dyDescent="0.35">
      <c r="A17" s="15">
        <v>13</v>
      </c>
      <c r="B17" s="16" t="s">
        <v>24</v>
      </c>
      <c r="C17" s="163">
        <v>330</v>
      </c>
      <c r="D17" s="470">
        <v>20.262802406975315</v>
      </c>
      <c r="E17" s="470">
        <v>652.07878787878792</v>
      </c>
      <c r="G17" s="18"/>
    </row>
    <row r="18" spans="1:7" ht="19.5" customHeight="1" x14ac:dyDescent="0.35">
      <c r="A18" s="15">
        <v>14</v>
      </c>
      <c r="B18" s="16" t="s">
        <v>25</v>
      </c>
      <c r="C18" s="163">
        <v>425</v>
      </c>
      <c r="D18" s="470">
        <v>8.9764710852025509</v>
      </c>
      <c r="E18" s="470">
        <v>1615.4705882352941</v>
      </c>
      <c r="G18" s="18"/>
    </row>
    <row r="19" spans="1:7" ht="19.5" customHeight="1" x14ac:dyDescent="0.35">
      <c r="A19" s="15">
        <v>15</v>
      </c>
      <c r="B19" s="16" t="s">
        <v>26</v>
      </c>
      <c r="C19" s="163">
        <v>4524</v>
      </c>
      <c r="D19" s="470">
        <v>67.97283490594387</v>
      </c>
      <c r="E19" s="470">
        <v>417.68497817015316</v>
      </c>
      <c r="G19" s="18"/>
    </row>
    <row r="20" spans="1:7" ht="19.5" customHeight="1" x14ac:dyDescent="0.35">
      <c r="A20" s="15">
        <v>16</v>
      </c>
      <c r="B20" s="16" t="s">
        <v>27</v>
      </c>
      <c r="C20" s="163">
        <v>1504</v>
      </c>
      <c r="D20" s="470">
        <v>48.069547430324725</v>
      </c>
      <c r="E20" s="470">
        <v>573.36933382080565</v>
      </c>
      <c r="G20" s="18"/>
    </row>
    <row r="21" spans="1:7" ht="19.5" customHeight="1" x14ac:dyDescent="0.35">
      <c r="A21" s="15">
        <v>17</v>
      </c>
      <c r="B21" s="19" t="s">
        <v>28</v>
      </c>
      <c r="C21" s="163">
        <v>6</v>
      </c>
      <c r="D21" s="470">
        <v>21.890277571596044</v>
      </c>
      <c r="E21" s="470">
        <v>518.33333333333337</v>
      </c>
      <c r="G21" s="18"/>
    </row>
    <row r="22" spans="1:7" ht="19.5" customHeight="1" x14ac:dyDescent="0.35">
      <c r="A22" s="15">
        <v>18</v>
      </c>
      <c r="B22" s="16" t="s">
        <v>72</v>
      </c>
      <c r="C22" s="163">
        <v>4</v>
      </c>
      <c r="D22" s="470">
        <v>65.779734514142064</v>
      </c>
      <c r="E22" s="470">
        <v>128.25</v>
      </c>
      <c r="G22" s="18"/>
    </row>
    <row r="23" spans="1:7" ht="19.5" customHeight="1" x14ac:dyDescent="0.35">
      <c r="A23" s="15">
        <v>19</v>
      </c>
      <c r="B23" s="16" t="s">
        <v>29</v>
      </c>
      <c r="C23" s="163">
        <v>2582</v>
      </c>
      <c r="D23" s="470">
        <v>26.720457552733784</v>
      </c>
      <c r="E23" s="470">
        <v>744.05959077893033</v>
      </c>
      <c r="G23" s="18"/>
    </row>
    <row r="24" spans="1:7" ht="19.5" customHeight="1" x14ac:dyDescent="0.35">
      <c r="A24" s="15">
        <v>20</v>
      </c>
      <c r="B24" s="16" t="s">
        <v>30</v>
      </c>
      <c r="C24" s="163">
        <v>5390</v>
      </c>
      <c r="D24" s="470">
        <v>41.889455359363346</v>
      </c>
      <c r="E24" s="470">
        <v>643.77152586907664</v>
      </c>
      <c r="G24" s="18"/>
    </row>
    <row r="25" spans="1:7" ht="19.5" customHeight="1" x14ac:dyDescent="0.35">
      <c r="A25" s="15">
        <v>21</v>
      </c>
      <c r="B25" s="16" t="s">
        <v>31</v>
      </c>
      <c r="C25" s="163">
        <v>110</v>
      </c>
      <c r="D25" s="470">
        <v>29.971378423473883</v>
      </c>
      <c r="E25" s="470">
        <v>891.6019573727707</v>
      </c>
      <c r="G25" s="18"/>
    </row>
    <row r="26" spans="1:7" ht="19.5" customHeight="1" x14ac:dyDescent="0.35">
      <c r="A26" s="15">
        <v>22</v>
      </c>
      <c r="B26" s="16" t="s">
        <v>32</v>
      </c>
      <c r="C26" s="163">
        <v>79</v>
      </c>
      <c r="D26" s="470">
        <v>20.84760888745706</v>
      </c>
      <c r="E26" s="470">
        <v>885.67548906789409</v>
      </c>
      <c r="G26" s="18"/>
    </row>
    <row r="27" spans="1:7" ht="19.5" customHeight="1" x14ac:dyDescent="0.35">
      <c r="A27" s="15">
        <v>23</v>
      </c>
      <c r="B27" s="16" t="s">
        <v>33</v>
      </c>
      <c r="C27" s="163">
        <v>40</v>
      </c>
      <c r="D27" s="470">
        <v>27.701406538917013</v>
      </c>
      <c r="E27" s="470">
        <v>659.77499999999998</v>
      </c>
      <c r="G27" s="18"/>
    </row>
    <row r="28" spans="1:7" ht="19.5" customHeight="1" x14ac:dyDescent="0.35">
      <c r="A28" s="15">
        <v>24</v>
      </c>
      <c r="B28" s="16" t="s">
        <v>34</v>
      </c>
      <c r="C28" s="163">
        <v>70</v>
      </c>
      <c r="D28" s="470">
        <v>25.724225134890489</v>
      </c>
      <c r="E28" s="470">
        <v>527.81428571428569</v>
      </c>
      <c r="G28" s="18"/>
    </row>
    <row r="29" spans="1:7" ht="19.5" customHeight="1" x14ac:dyDescent="0.35">
      <c r="A29" s="15">
        <v>25</v>
      </c>
      <c r="B29" s="16" t="s">
        <v>35</v>
      </c>
      <c r="C29" s="163">
        <v>1370</v>
      </c>
      <c r="D29" s="470">
        <v>28.430314601145515</v>
      </c>
      <c r="E29" s="470">
        <v>556.24671532846719</v>
      </c>
      <c r="G29" s="18"/>
    </row>
    <row r="30" spans="1:7" ht="19.5" customHeight="1" x14ac:dyDescent="0.35">
      <c r="A30" s="15">
        <v>26</v>
      </c>
      <c r="B30" s="16" t="s">
        <v>36</v>
      </c>
      <c r="C30" s="163">
        <v>88</v>
      </c>
      <c r="D30" s="470">
        <v>79.109616825375682</v>
      </c>
      <c r="E30" s="470">
        <v>658.23388157894738</v>
      </c>
      <c r="G30" s="18"/>
    </row>
    <row r="31" spans="1:7" ht="19.5" customHeight="1" x14ac:dyDescent="0.35">
      <c r="A31" s="15">
        <v>27</v>
      </c>
      <c r="B31" s="16" t="s">
        <v>37</v>
      </c>
      <c r="C31" s="163">
        <v>1040</v>
      </c>
      <c r="D31" s="470">
        <v>33.737753844157531</v>
      </c>
      <c r="E31" s="470">
        <v>514.31325947603125</v>
      </c>
      <c r="G31" s="18"/>
    </row>
    <row r="32" spans="1:7" ht="19.5" customHeight="1" x14ac:dyDescent="0.35">
      <c r="A32" s="15">
        <v>28</v>
      </c>
      <c r="B32" s="16" t="s">
        <v>38</v>
      </c>
      <c r="C32" s="163">
        <v>3889</v>
      </c>
      <c r="D32" s="470">
        <v>41.612275032634983</v>
      </c>
      <c r="E32" s="470">
        <v>480.88825724793389</v>
      </c>
      <c r="G32" s="18"/>
    </row>
    <row r="33" spans="1:7" ht="19.5" customHeight="1" x14ac:dyDescent="0.35">
      <c r="A33" s="15">
        <v>29</v>
      </c>
      <c r="B33" s="16" t="s">
        <v>39</v>
      </c>
      <c r="C33" s="163">
        <v>24</v>
      </c>
      <c r="D33" s="470">
        <v>27.532685886928764</v>
      </c>
      <c r="E33" s="470">
        <v>677.6388888888888</v>
      </c>
      <c r="G33" s="18"/>
    </row>
    <row r="34" spans="1:7" ht="19.5" customHeight="1" x14ac:dyDescent="0.35">
      <c r="A34" s="15">
        <v>30</v>
      </c>
      <c r="B34" s="16" t="s">
        <v>40</v>
      </c>
      <c r="C34" s="163">
        <v>2913</v>
      </c>
      <c r="D34" s="470">
        <v>41.988583948339482</v>
      </c>
      <c r="E34" s="470">
        <v>828.43590525309924</v>
      </c>
      <c r="G34" s="18"/>
    </row>
    <row r="35" spans="1:7" ht="19.5" customHeight="1" x14ac:dyDescent="0.35">
      <c r="A35" s="15">
        <v>31</v>
      </c>
      <c r="B35" s="16" t="s">
        <v>41</v>
      </c>
      <c r="C35" s="163">
        <v>2100</v>
      </c>
      <c r="D35" s="470">
        <v>53.642587105343821</v>
      </c>
      <c r="E35" s="470">
        <v>629.1820068098267</v>
      </c>
      <c r="G35" s="18"/>
    </row>
    <row r="36" spans="1:7" ht="31" x14ac:dyDescent="0.35">
      <c r="A36" s="15">
        <v>32</v>
      </c>
      <c r="B36" s="16" t="s">
        <v>60</v>
      </c>
      <c r="C36" s="163">
        <v>19</v>
      </c>
      <c r="D36" s="470">
        <v>20.382534685066467</v>
      </c>
      <c r="E36" s="470">
        <v>659.52631578947364</v>
      </c>
      <c r="G36" s="18"/>
    </row>
    <row r="37" spans="1:7" ht="19.5" customHeight="1" x14ac:dyDescent="0.35">
      <c r="A37" s="15">
        <v>33</v>
      </c>
      <c r="B37" s="16" t="s">
        <v>42</v>
      </c>
      <c r="C37" s="163">
        <v>59</v>
      </c>
      <c r="D37" s="470">
        <v>12.202507520157196</v>
      </c>
      <c r="E37" s="470">
        <v>1332.3728813559321</v>
      </c>
      <c r="G37" s="18"/>
    </row>
    <row r="38" spans="1:7" ht="19.5" customHeight="1" x14ac:dyDescent="0.35">
      <c r="A38" s="15">
        <v>34</v>
      </c>
      <c r="B38" s="16" t="s">
        <v>43</v>
      </c>
      <c r="C38" s="163">
        <v>8310</v>
      </c>
      <c r="D38" s="470">
        <v>29.09435359350633</v>
      </c>
      <c r="E38" s="470">
        <v>742.49249345772193</v>
      </c>
      <c r="G38" s="18"/>
    </row>
    <row r="39" spans="1:7" ht="19.5" customHeight="1" x14ac:dyDescent="0.35">
      <c r="A39" s="15">
        <v>35</v>
      </c>
      <c r="B39" s="16" t="s">
        <v>44</v>
      </c>
      <c r="C39" s="163">
        <v>513</v>
      </c>
      <c r="D39" s="470">
        <v>38.30073167089742</v>
      </c>
      <c r="E39" s="470">
        <v>561.9179940235382</v>
      </c>
      <c r="G39" s="18"/>
    </row>
    <row r="40" spans="1:7" ht="19.5" customHeight="1" x14ac:dyDescent="0.35">
      <c r="A40" s="15">
        <v>36</v>
      </c>
      <c r="B40" s="16" t="s">
        <v>45</v>
      </c>
      <c r="C40" s="163">
        <v>1561</v>
      </c>
      <c r="D40" s="470">
        <v>15.356917991500076</v>
      </c>
      <c r="E40" s="470">
        <v>1131.562139654068</v>
      </c>
      <c r="G40" s="18"/>
    </row>
    <row r="41" spans="1:7" ht="15" x14ac:dyDescent="0.35">
      <c r="A41" s="687" t="s">
        <v>46</v>
      </c>
      <c r="B41" s="688"/>
      <c r="C41" s="471">
        <v>46624</v>
      </c>
      <c r="D41" s="472">
        <v>30.843934612763874</v>
      </c>
      <c r="E41" s="472">
        <v>687.89934884777949</v>
      </c>
      <c r="G41" s="18"/>
    </row>
    <row r="42" spans="1:7" x14ac:dyDescent="0.35">
      <c r="D42" s="21"/>
    </row>
    <row r="43" spans="1:7" x14ac:dyDescent="0.35">
      <c r="D43" s="21"/>
    </row>
  </sheetData>
  <mergeCells count="7">
    <mergeCell ref="A41:B41"/>
    <mergeCell ref="A1:E1"/>
    <mergeCell ref="A2:A3"/>
    <mergeCell ref="B2:B3"/>
    <mergeCell ref="C2:C3"/>
    <mergeCell ref="D2:D3"/>
    <mergeCell ref="E2:E3"/>
  </mergeCells>
  <pageMargins left="0.59055118110236227" right="0.35433070866141736" top="0.39370078740157483" bottom="0.39370078740157483" header="0.31496062992125984" footer="0.19685039370078741"/>
  <pageSetup paperSize="9" scale="91" firstPageNumber="2" orientation="portrait" r:id="rId1"/>
  <headerFooter>
    <oddFooter>&amp;L&amp;"Arial,Italic"&amp;9AISHE 2022-23&amp;RT-4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470-D3BC-4A50-A97D-1D3DBF82E001}">
  <sheetPr codeName="Sheet53">
    <tabColor rgb="FF92D050"/>
  </sheetPr>
  <dimension ref="A1:AG40"/>
  <sheetViews>
    <sheetView view="pageBreakPreview" zoomScale="85" zoomScaleSheetLayoutView="85" workbookViewId="0">
      <pane ySplit="2" topLeftCell="A22" activePane="bottomLeft" state="frozen"/>
      <selection pane="bottomLeft" activeCell="K28" sqref="K28"/>
    </sheetView>
  </sheetViews>
  <sheetFormatPr defaultColWidth="9.26953125" defaultRowHeight="18" x14ac:dyDescent="0.35"/>
  <cols>
    <col min="1" max="1" width="5" style="344" bestFit="1" customWidth="1"/>
    <col min="2" max="2" width="24.7265625" style="344" bestFit="1" customWidth="1"/>
    <col min="3" max="10" width="7.453125" style="344" customWidth="1"/>
    <col min="11" max="11" width="10.26953125" style="344" customWidth="1"/>
    <col min="12" max="12" width="7.453125" style="344" customWidth="1"/>
    <col min="13" max="14" width="10.7265625" style="344" bestFit="1" customWidth="1"/>
    <col min="15" max="16" width="5.1796875" style="344" bestFit="1" customWidth="1"/>
    <col min="17" max="18" width="7.54296875" style="344" bestFit="1" customWidth="1"/>
    <col min="19" max="19" width="5.1796875" style="344" bestFit="1" customWidth="1"/>
    <col min="20" max="20" width="7.54296875" style="344" bestFit="1" customWidth="1"/>
    <col min="21" max="21" width="5.1796875" style="344" bestFit="1" customWidth="1"/>
    <col min="22" max="22" width="6.26953125" style="344" bestFit="1" customWidth="1"/>
    <col min="23" max="23" width="7.54296875" style="344" bestFit="1" customWidth="1"/>
    <col min="24" max="25" width="5.1796875" style="344" bestFit="1" customWidth="1"/>
    <col min="26" max="26" width="6.26953125" style="344" bestFit="1" customWidth="1"/>
    <col min="27" max="29" width="5.1796875" style="344" bestFit="1" customWidth="1"/>
    <col min="30" max="30" width="4.54296875" style="344" bestFit="1" customWidth="1"/>
    <col min="31" max="31" width="10.7265625" style="344" customWidth="1"/>
    <col min="32" max="32" width="4.54296875" style="344" bestFit="1" customWidth="1"/>
    <col min="33" max="33" width="7.7265625" style="344" customWidth="1"/>
    <col min="34" max="16384" width="9.26953125" style="344"/>
  </cols>
  <sheetData>
    <row r="1" spans="1:33" ht="36.65" customHeight="1" x14ac:dyDescent="0.35">
      <c r="A1" s="697" t="s">
        <v>961</v>
      </c>
      <c r="B1" s="697"/>
      <c r="C1" s="698" t="s">
        <v>1004</v>
      </c>
      <c r="D1" s="699"/>
      <c r="E1" s="699"/>
      <c r="F1" s="699"/>
      <c r="G1" s="699"/>
      <c r="H1" s="699"/>
      <c r="I1" s="699"/>
      <c r="J1" s="699"/>
      <c r="K1" s="699"/>
      <c r="L1" s="699"/>
      <c r="M1" s="700" t="str">
        <f>C1</f>
        <v>State/UTs &amp; Specialisation-wise number of Colleges 
(Based on Actual Response)</v>
      </c>
      <c r="N1" s="700"/>
      <c r="O1" s="700"/>
      <c r="P1" s="700"/>
      <c r="Q1" s="700"/>
      <c r="R1" s="700"/>
      <c r="S1" s="700"/>
      <c r="T1" s="700"/>
      <c r="U1" s="700"/>
      <c r="V1" s="700"/>
      <c r="W1" s="700" t="str">
        <f>C1</f>
        <v>State/UTs &amp; Specialisation-wise number of Colleges 
(Based on Actual Response)</v>
      </c>
      <c r="X1" s="700"/>
      <c r="Y1" s="700"/>
      <c r="Z1" s="700"/>
      <c r="AA1" s="700"/>
      <c r="AB1" s="700"/>
      <c r="AC1" s="700"/>
      <c r="AD1" s="700"/>
      <c r="AE1" s="700"/>
      <c r="AF1" s="700"/>
    </row>
    <row r="2" spans="1:33" s="538" customFormat="1" ht="144.5" x14ac:dyDescent="0.35">
      <c r="A2" s="536" t="s">
        <v>49</v>
      </c>
      <c r="B2" s="536" t="s">
        <v>50</v>
      </c>
      <c r="C2" s="537" t="s">
        <v>270</v>
      </c>
      <c r="D2" s="537" t="s">
        <v>289</v>
      </c>
      <c r="E2" s="537" t="s">
        <v>275</v>
      </c>
      <c r="F2" s="537" t="s">
        <v>277</v>
      </c>
      <c r="G2" s="537" t="s">
        <v>962</v>
      </c>
      <c r="H2" s="537" t="s">
        <v>285</v>
      </c>
      <c r="I2" s="537" t="s">
        <v>329</v>
      </c>
      <c r="J2" s="537" t="s">
        <v>922</v>
      </c>
      <c r="K2" s="537" t="s">
        <v>924</v>
      </c>
      <c r="L2" s="537" t="s">
        <v>335</v>
      </c>
      <c r="M2" s="537" t="s">
        <v>963</v>
      </c>
      <c r="N2" s="537" t="s">
        <v>339</v>
      </c>
      <c r="O2" s="537" t="s">
        <v>340</v>
      </c>
      <c r="P2" s="537" t="s">
        <v>344</v>
      </c>
      <c r="Q2" s="537" t="s">
        <v>964</v>
      </c>
      <c r="R2" s="537" t="s">
        <v>965</v>
      </c>
      <c r="S2" s="537" t="s">
        <v>966</v>
      </c>
      <c r="T2" s="537" t="s">
        <v>967</v>
      </c>
      <c r="U2" s="537" t="s">
        <v>968</v>
      </c>
      <c r="V2" s="537" t="s">
        <v>108</v>
      </c>
      <c r="W2" s="537" t="s">
        <v>373</v>
      </c>
      <c r="X2" s="537" t="s">
        <v>917</v>
      </c>
      <c r="Y2" s="537" t="s">
        <v>969</v>
      </c>
      <c r="Z2" s="537" t="s">
        <v>367</v>
      </c>
      <c r="AA2" s="537" t="s">
        <v>368</v>
      </c>
      <c r="AB2" s="537" t="s">
        <v>451</v>
      </c>
      <c r="AC2" s="537" t="s">
        <v>379</v>
      </c>
      <c r="AD2" s="537" t="s">
        <v>382</v>
      </c>
      <c r="AE2" s="537" t="s">
        <v>916</v>
      </c>
      <c r="AF2" s="537" t="s">
        <v>914</v>
      </c>
      <c r="AG2" s="537" t="s">
        <v>12</v>
      </c>
    </row>
    <row r="3" spans="1:33" s="474" customFormat="1" ht="10.5" x14ac:dyDescent="0.35">
      <c r="A3" s="473">
        <v>1</v>
      </c>
      <c r="B3" s="473">
        <v>2</v>
      </c>
      <c r="C3" s="473">
        <v>3</v>
      </c>
      <c r="D3" s="473">
        <v>4</v>
      </c>
      <c r="E3" s="473">
        <v>5</v>
      </c>
      <c r="F3" s="473">
        <v>6</v>
      </c>
      <c r="G3" s="473">
        <v>7</v>
      </c>
      <c r="H3" s="473">
        <v>8</v>
      </c>
      <c r="I3" s="473">
        <v>9</v>
      </c>
      <c r="J3" s="473">
        <v>10</v>
      </c>
      <c r="K3" s="473">
        <v>11</v>
      </c>
      <c r="L3" s="473">
        <v>12</v>
      </c>
      <c r="M3" s="473">
        <v>13</v>
      </c>
      <c r="N3" s="473">
        <v>14</v>
      </c>
      <c r="O3" s="473">
        <v>15</v>
      </c>
      <c r="P3" s="473">
        <v>16</v>
      </c>
      <c r="Q3" s="473">
        <v>17</v>
      </c>
      <c r="R3" s="473">
        <v>18</v>
      </c>
      <c r="S3" s="473">
        <v>19</v>
      </c>
      <c r="T3" s="473">
        <v>20</v>
      </c>
      <c r="U3" s="473">
        <v>21</v>
      </c>
      <c r="V3" s="473">
        <v>22</v>
      </c>
      <c r="W3" s="473">
        <v>23</v>
      </c>
      <c r="X3" s="473">
        <v>24</v>
      </c>
      <c r="Y3" s="473">
        <v>25</v>
      </c>
      <c r="Z3" s="473">
        <v>26</v>
      </c>
      <c r="AA3" s="473">
        <v>27</v>
      </c>
      <c r="AB3" s="473">
        <v>28</v>
      </c>
      <c r="AC3" s="473">
        <v>29</v>
      </c>
      <c r="AD3" s="473">
        <v>30</v>
      </c>
      <c r="AE3" s="473">
        <v>31</v>
      </c>
      <c r="AF3" s="473">
        <v>32</v>
      </c>
      <c r="AG3" s="473">
        <v>33</v>
      </c>
    </row>
    <row r="4" spans="1:33" x14ac:dyDescent="0.35">
      <c r="A4" s="345">
        <v>1</v>
      </c>
      <c r="B4" s="475" t="s">
        <v>58</v>
      </c>
      <c r="C4" s="346"/>
      <c r="D4" s="346"/>
      <c r="E4" s="346"/>
      <c r="F4" s="346"/>
      <c r="G4" s="346"/>
      <c r="H4" s="346"/>
      <c r="I4" s="346"/>
      <c r="J4" s="346"/>
      <c r="K4" s="346">
        <v>2</v>
      </c>
      <c r="L4" s="346"/>
      <c r="M4" s="346"/>
      <c r="N4" s="346"/>
      <c r="O4" s="346">
        <v>1</v>
      </c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5">
        <v>3</v>
      </c>
    </row>
    <row r="5" spans="1:33" x14ac:dyDescent="0.35">
      <c r="A5" s="345">
        <v>2</v>
      </c>
      <c r="B5" s="475" t="s">
        <v>13</v>
      </c>
      <c r="C5" s="346">
        <v>45</v>
      </c>
      <c r="D5" s="346">
        <v>6</v>
      </c>
      <c r="E5" s="346">
        <v>8</v>
      </c>
      <c r="F5" s="346">
        <v>4</v>
      </c>
      <c r="G5" s="346">
        <v>121</v>
      </c>
      <c r="H5" s="346">
        <v>243</v>
      </c>
      <c r="I5" s="346">
        <v>2</v>
      </c>
      <c r="J5" s="346">
        <v>1</v>
      </c>
      <c r="K5" s="346">
        <v>1746</v>
      </c>
      <c r="L5" s="346">
        <v>1</v>
      </c>
      <c r="M5" s="346">
        <v>7</v>
      </c>
      <c r="N5" s="346"/>
      <c r="O5" s="346">
        <v>16</v>
      </c>
      <c r="P5" s="346">
        <v>35</v>
      </c>
      <c r="Q5" s="346">
        <v>19</v>
      </c>
      <c r="R5" s="346">
        <v>2</v>
      </c>
      <c r="S5" s="346">
        <v>13</v>
      </c>
      <c r="T5" s="346">
        <v>7</v>
      </c>
      <c r="U5" s="346">
        <v>24</v>
      </c>
      <c r="V5" s="346">
        <v>132</v>
      </c>
      <c r="W5" s="346">
        <v>3</v>
      </c>
      <c r="X5" s="346">
        <v>8</v>
      </c>
      <c r="Y5" s="346">
        <v>12</v>
      </c>
      <c r="Z5" s="346">
        <v>74</v>
      </c>
      <c r="AA5" s="346">
        <v>28</v>
      </c>
      <c r="AB5" s="346">
        <v>1</v>
      </c>
      <c r="AC5" s="346">
        <v>6</v>
      </c>
      <c r="AD5" s="346"/>
      <c r="AE5" s="346">
        <v>12</v>
      </c>
      <c r="AF5" s="346">
        <v>4</v>
      </c>
      <c r="AG5" s="345">
        <v>2580</v>
      </c>
    </row>
    <row r="6" spans="1:33" x14ac:dyDescent="0.35">
      <c r="A6" s="345">
        <v>3</v>
      </c>
      <c r="B6" s="475" t="s">
        <v>14</v>
      </c>
      <c r="C6" s="346">
        <v>1</v>
      </c>
      <c r="D6" s="346"/>
      <c r="E6" s="346">
        <v>2</v>
      </c>
      <c r="F6" s="346"/>
      <c r="G6" s="346">
        <v>6</v>
      </c>
      <c r="H6" s="346"/>
      <c r="I6" s="346"/>
      <c r="J6" s="346"/>
      <c r="K6" s="346">
        <v>27</v>
      </c>
      <c r="L6" s="346"/>
      <c r="M6" s="346"/>
      <c r="N6" s="346"/>
      <c r="O6" s="346">
        <v>2</v>
      </c>
      <c r="P6" s="346"/>
      <c r="Q6" s="346">
        <v>1</v>
      </c>
      <c r="R6" s="346"/>
      <c r="S6" s="346"/>
      <c r="T6" s="346">
        <v>1</v>
      </c>
      <c r="U6" s="346"/>
      <c r="V6" s="346">
        <v>3</v>
      </c>
      <c r="W6" s="346"/>
      <c r="X6" s="346"/>
      <c r="Y6" s="346"/>
      <c r="Z6" s="346"/>
      <c r="AA6" s="346"/>
      <c r="AB6" s="346"/>
      <c r="AC6" s="346"/>
      <c r="AD6" s="346"/>
      <c r="AE6" s="346"/>
      <c r="AF6" s="346"/>
      <c r="AG6" s="345">
        <v>43</v>
      </c>
    </row>
    <row r="7" spans="1:33" x14ac:dyDescent="0.35">
      <c r="A7" s="345">
        <v>4</v>
      </c>
      <c r="B7" s="475" t="s">
        <v>15</v>
      </c>
      <c r="C7" s="346">
        <v>3</v>
      </c>
      <c r="D7" s="346">
        <v>1</v>
      </c>
      <c r="E7" s="346">
        <v>54</v>
      </c>
      <c r="F7" s="346">
        <v>11</v>
      </c>
      <c r="G7" s="346">
        <v>53</v>
      </c>
      <c r="H7" s="346">
        <v>11</v>
      </c>
      <c r="I7" s="346">
        <v>3</v>
      </c>
      <c r="J7" s="346">
        <v>1</v>
      </c>
      <c r="K7" s="346">
        <v>394</v>
      </c>
      <c r="L7" s="346"/>
      <c r="M7" s="346"/>
      <c r="N7" s="346">
        <v>1</v>
      </c>
      <c r="O7" s="346">
        <v>25</v>
      </c>
      <c r="P7" s="346">
        <v>6</v>
      </c>
      <c r="Q7" s="346">
        <v>6</v>
      </c>
      <c r="R7" s="346">
        <v>1</v>
      </c>
      <c r="S7" s="346">
        <v>3</v>
      </c>
      <c r="T7" s="346">
        <v>3</v>
      </c>
      <c r="U7" s="346">
        <v>9</v>
      </c>
      <c r="V7" s="346">
        <v>17</v>
      </c>
      <c r="W7" s="346"/>
      <c r="X7" s="346">
        <v>3</v>
      </c>
      <c r="Y7" s="346">
        <v>12</v>
      </c>
      <c r="Z7" s="346">
        <v>19</v>
      </c>
      <c r="AA7" s="346">
        <v>1</v>
      </c>
      <c r="AB7" s="346">
        <v>1</v>
      </c>
      <c r="AC7" s="346">
        <v>8</v>
      </c>
      <c r="AD7" s="346">
        <v>1</v>
      </c>
      <c r="AE7" s="346">
        <v>1</v>
      </c>
      <c r="AF7" s="346">
        <v>2</v>
      </c>
      <c r="AG7" s="345">
        <v>650</v>
      </c>
    </row>
    <row r="8" spans="1:33" x14ac:dyDescent="0.35">
      <c r="A8" s="345">
        <v>5</v>
      </c>
      <c r="B8" s="475" t="s">
        <v>16</v>
      </c>
      <c r="C8" s="346">
        <v>7</v>
      </c>
      <c r="D8" s="346"/>
      <c r="E8" s="346">
        <v>25</v>
      </c>
      <c r="F8" s="346">
        <v>1</v>
      </c>
      <c r="G8" s="346">
        <v>236</v>
      </c>
      <c r="H8" s="346">
        <v>57</v>
      </c>
      <c r="I8" s="346">
        <v>1</v>
      </c>
      <c r="J8" s="346"/>
      <c r="K8" s="346">
        <v>638</v>
      </c>
      <c r="L8" s="346"/>
      <c r="M8" s="346"/>
      <c r="N8" s="346"/>
      <c r="O8" s="346">
        <v>19</v>
      </c>
      <c r="P8" s="346">
        <v>11</v>
      </c>
      <c r="Q8" s="346">
        <v>11</v>
      </c>
      <c r="R8" s="346">
        <v>4</v>
      </c>
      <c r="S8" s="346">
        <v>2</v>
      </c>
      <c r="T8" s="346">
        <v>6</v>
      </c>
      <c r="U8" s="346">
        <v>10</v>
      </c>
      <c r="V8" s="346">
        <v>32</v>
      </c>
      <c r="W8" s="346"/>
      <c r="X8" s="346">
        <v>4</v>
      </c>
      <c r="Y8" s="346">
        <v>10</v>
      </c>
      <c r="Z8" s="346">
        <v>29</v>
      </c>
      <c r="AA8" s="346"/>
      <c r="AB8" s="346">
        <v>58</v>
      </c>
      <c r="AC8" s="346"/>
      <c r="AD8" s="346"/>
      <c r="AE8" s="346"/>
      <c r="AF8" s="346">
        <v>1</v>
      </c>
      <c r="AG8" s="345">
        <v>1162</v>
      </c>
    </row>
    <row r="9" spans="1:33" x14ac:dyDescent="0.35">
      <c r="A9" s="345">
        <v>6</v>
      </c>
      <c r="B9" s="475" t="s">
        <v>17</v>
      </c>
      <c r="C9" s="346"/>
      <c r="D9" s="346">
        <v>1</v>
      </c>
      <c r="E9" s="346"/>
      <c r="F9" s="346">
        <v>1</v>
      </c>
      <c r="G9" s="346">
        <v>4</v>
      </c>
      <c r="H9" s="346">
        <v>2</v>
      </c>
      <c r="I9" s="346">
        <v>1</v>
      </c>
      <c r="J9" s="346"/>
      <c r="K9" s="346">
        <v>9</v>
      </c>
      <c r="L9" s="346">
        <v>1</v>
      </c>
      <c r="M9" s="346"/>
      <c r="N9" s="346"/>
      <c r="O9" s="346"/>
      <c r="P9" s="346">
        <v>1</v>
      </c>
      <c r="Q9" s="346"/>
      <c r="R9" s="346">
        <v>1</v>
      </c>
      <c r="S9" s="346"/>
      <c r="T9" s="346">
        <v>1</v>
      </c>
      <c r="U9" s="346">
        <v>1</v>
      </c>
      <c r="V9" s="346"/>
      <c r="W9" s="346"/>
      <c r="X9" s="346"/>
      <c r="Y9" s="346"/>
      <c r="Z9" s="346"/>
      <c r="AA9" s="346"/>
      <c r="AB9" s="346"/>
      <c r="AC9" s="346"/>
      <c r="AD9" s="346"/>
      <c r="AE9" s="346">
        <v>2</v>
      </c>
      <c r="AF9" s="346">
        <v>1</v>
      </c>
      <c r="AG9" s="345">
        <v>26</v>
      </c>
    </row>
    <row r="10" spans="1:33" x14ac:dyDescent="0.35">
      <c r="A10" s="345">
        <v>7</v>
      </c>
      <c r="B10" s="475" t="s">
        <v>18</v>
      </c>
      <c r="C10" s="346">
        <v>27</v>
      </c>
      <c r="D10" s="346">
        <v>1</v>
      </c>
      <c r="E10" s="346">
        <v>9</v>
      </c>
      <c r="F10" s="346">
        <v>3</v>
      </c>
      <c r="G10" s="346">
        <v>62</v>
      </c>
      <c r="H10" s="346">
        <v>70</v>
      </c>
      <c r="I10" s="346">
        <v>3</v>
      </c>
      <c r="J10" s="346">
        <v>1</v>
      </c>
      <c r="K10" s="346">
        <v>556</v>
      </c>
      <c r="L10" s="346"/>
      <c r="M10" s="346"/>
      <c r="N10" s="346">
        <v>1</v>
      </c>
      <c r="O10" s="346">
        <v>10</v>
      </c>
      <c r="P10" s="346">
        <v>4</v>
      </c>
      <c r="Q10" s="346">
        <v>6</v>
      </c>
      <c r="R10" s="346">
        <v>5</v>
      </c>
      <c r="S10" s="346">
        <v>6</v>
      </c>
      <c r="T10" s="346">
        <v>3</v>
      </c>
      <c r="U10" s="346">
        <v>9</v>
      </c>
      <c r="V10" s="346">
        <v>101</v>
      </c>
      <c r="W10" s="346"/>
      <c r="X10" s="346">
        <v>1</v>
      </c>
      <c r="Y10" s="346"/>
      <c r="Z10" s="346">
        <v>27</v>
      </c>
      <c r="AA10" s="346">
        <v>2</v>
      </c>
      <c r="AB10" s="346">
        <v>3</v>
      </c>
      <c r="AC10" s="346">
        <v>7</v>
      </c>
      <c r="AD10" s="346"/>
      <c r="AE10" s="346">
        <v>3</v>
      </c>
      <c r="AF10" s="346">
        <v>7</v>
      </c>
      <c r="AG10" s="345">
        <v>927</v>
      </c>
    </row>
    <row r="11" spans="1:33" x14ac:dyDescent="0.35">
      <c r="A11" s="345">
        <v>8</v>
      </c>
      <c r="B11" s="475" t="s">
        <v>19</v>
      </c>
      <c r="C11" s="426"/>
      <c r="D11" s="346">
        <v>2</v>
      </c>
      <c r="E11" s="346"/>
      <c r="F11" s="346">
        <v>1</v>
      </c>
      <c r="G11" s="346">
        <v>12</v>
      </c>
      <c r="H11" s="346">
        <v>15</v>
      </c>
      <c r="I11" s="346">
        <v>2</v>
      </c>
      <c r="J11" s="346"/>
      <c r="K11" s="346">
        <v>90</v>
      </c>
      <c r="L11" s="346">
        <v>1</v>
      </c>
      <c r="M11" s="346">
        <v>1</v>
      </c>
      <c r="N11" s="346"/>
      <c r="O11" s="346">
        <v>1</v>
      </c>
      <c r="P11" s="346">
        <v>8</v>
      </c>
      <c r="Q11" s="346">
        <v>9</v>
      </c>
      <c r="R11" s="346">
        <v>2</v>
      </c>
      <c r="S11" s="346">
        <v>2</v>
      </c>
      <c r="T11" s="346">
        <v>2</v>
      </c>
      <c r="U11" s="346">
        <v>3</v>
      </c>
      <c r="V11" s="346">
        <v>10</v>
      </c>
      <c r="W11" s="346"/>
      <c r="X11" s="346">
        <v>3</v>
      </c>
      <c r="Y11" s="346">
        <v>1</v>
      </c>
      <c r="Z11" s="346">
        <v>1</v>
      </c>
      <c r="AA11" s="346"/>
      <c r="AB11" s="346"/>
      <c r="AC11" s="346"/>
      <c r="AD11" s="346"/>
      <c r="AE11" s="346">
        <v>1</v>
      </c>
      <c r="AF11" s="346"/>
      <c r="AG11" s="345">
        <v>167</v>
      </c>
    </row>
    <row r="12" spans="1:33" x14ac:dyDescent="0.35">
      <c r="A12" s="345">
        <v>9</v>
      </c>
      <c r="B12" s="475" t="s">
        <v>20</v>
      </c>
      <c r="C12" s="346">
        <v>2</v>
      </c>
      <c r="D12" s="346">
        <v>1</v>
      </c>
      <c r="E12" s="346"/>
      <c r="F12" s="346">
        <v>1</v>
      </c>
      <c r="G12" s="346">
        <v>4</v>
      </c>
      <c r="H12" s="346">
        <v>6</v>
      </c>
      <c r="I12" s="346">
        <v>2</v>
      </c>
      <c r="J12" s="346"/>
      <c r="K12" s="346">
        <v>29</v>
      </c>
      <c r="L12" s="346">
        <v>1</v>
      </c>
      <c r="M12" s="346">
        <v>3</v>
      </c>
      <c r="N12" s="346"/>
      <c r="O12" s="346">
        <v>2</v>
      </c>
      <c r="P12" s="346"/>
      <c r="Q12" s="346">
        <v>2</v>
      </c>
      <c r="R12" s="346">
        <v>2</v>
      </c>
      <c r="S12" s="346">
        <v>1</v>
      </c>
      <c r="T12" s="346">
        <v>1</v>
      </c>
      <c r="U12" s="346"/>
      <c r="V12" s="346">
        <v>2</v>
      </c>
      <c r="W12" s="346"/>
      <c r="X12" s="346">
        <v>3</v>
      </c>
      <c r="Y12" s="346"/>
      <c r="Z12" s="346">
        <v>1</v>
      </c>
      <c r="AA12" s="346"/>
      <c r="AB12" s="346"/>
      <c r="AC12" s="346"/>
      <c r="AD12" s="346"/>
      <c r="AE12" s="346"/>
      <c r="AF12" s="346"/>
      <c r="AG12" s="345">
        <v>63</v>
      </c>
    </row>
    <row r="13" spans="1:33" x14ac:dyDescent="0.35">
      <c r="A13" s="345">
        <v>10</v>
      </c>
      <c r="B13" s="475" t="s">
        <v>21</v>
      </c>
      <c r="C13" s="346">
        <v>34</v>
      </c>
      <c r="D13" s="346">
        <v>8</v>
      </c>
      <c r="E13" s="346">
        <v>124</v>
      </c>
      <c r="F13" s="346">
        <v>87</v>
      </c>
      <c r="G13" s="346">
        <v>228</v>
      </c>
      <c r="H13" s="346">
        <v>254</v>
      </c>
      <c r="I13" s="346">
        <v>2</v>
      </c>
      <c r="J13" s="346">
        <v>3</v>
      </c>
      <c r="K13" s="346">
        <v>931</v>
      </c>
      <c r="L13" s="346">
        <v>3</v>
      </c>
      <c r="M13" s="346">
        <v>6</v>
      </c>
      <c r="N13" s="346">
        <v>1</v>
      </c>
      <c r="O13" s="346">
        <v>58</v>
      </c>
      <c r="P13" s="346">
        <v>62</v>
      </c>
      <c r="Q13" s="346">
        <v>23</v>
      </c>
      <c r="R13" s="346">
        <v>23</v>
      </c>
      <c r="S13" s="346">
        <v>9</v>
      </c>
      <c r="T13" s="346">
        <v>33</v>
      </c>
      <c r="U13" s="346">
        <v>61</v>
      </c>
      <c r="V13" s="346">
        <v>162</v>
      </c>
      <c r="W13" s="346">
        <v>1</v>
      </c>
      <c r="X13" s="346">
        <v>53</v>
      </c>
      <c r="Y13" s="346">
        <v>28</v>
      </c>
      <c r="Z13" s="346">
        <v>48</v>
      </c>
      <c r="AA13" s="346">
        <v>41</v>
      </c>
      <c r="AB13" s="346">
        <v>21</v>
      </c>
      <c r="AC13" s="346">
        <v>108</v>
      </c>
      <c r="AD13" s="346">
        <v>25</v>
      </c>
      <c r="AE13" s="346">
        <v>5</v>
      </c>
      <c r="AF13" s="346">
        <v>7</v>
      </c>
      <c r="AG13" s="345">
        <v>2449</v>
      </c>
    </row>
    <row r="14" spans="1:33" x14ac:dyDescent="0.35">
      <c r="A14" s="345">
        <v>11</v>
      </c>
      <c r="B14" s="475" t="s">
        <v>22</v>
      </c>
      <c r="C14" s="346">
        <v>4</v>
      </c>
      <c r="D14" s="346">
        <v>4</v>
      </c>
      <c r="E14" s="346">
        <v>4</v>
      </c>
      <c r="F14" s="346"/>
      <c r="G14" s="346">
        <v>300</v>
      </c>
      <c r="H14" s="346">
        <v>71</v>
      </c>
      <c r="I14" s="346"/>
      <c r="J14" s="346">
        <v>1</v>
      </c>
      <c r="K14" s="346">
        <v>560</v>
      </c>
      <c r="L14" s="346"/>
      <c r="M14" s="346">
        <v>2</v>
      </c>
      <c r="N14" s="346"/>
      <c r="O14" s="346">
        <v>19</v>
      </c>
      <c r="P14" s="346">
        <v>22</v>
      </c>
      <c r="Q14" s="346">
        <v>4</v>
      </c>
      <c r="R14" s="346">
        <v>7</v>
      </c>
      <c r="S14" s="346">
        <v>6</v>
      </c>
      <c r="T14" s="346">
        <v>1</v>
      </c>
      <c r="U14" s="346">
        <v>8</v>
      </c>
      <c r="V14" s="346">
        <v>33</v>
      </c>
      <c r="W14" s="346">
        <v>1</v>
      </c>
      <c r="X14" s="346">
        <v>6</v>
      </c>
      <c r="Y14" s="346"/>
      <c r="Z14" s="346">
        <v>37</v>
      </c>
      <c r="AA14" s="346">
        <v>5</v>
      </c>
      <c r="AB14" s="346">
        <v>8</v>
      </c>
      <c r="AC14" s="346">
        <v>2</v>
      </c>
      <c r="AD14" s="346"/>
      <c r="AE14" s="346">
        <v>1</v>
      </c>
      <c r="AF14" s="346">
        <v>16</v>
      </c>
      <c r="AG14" s="345">
        <v>1122</v>
      </c>
    </row>
    <row r="15" spans="1:33" x14ac:dyDescent="0.35">
      <c r="A15" s="345">
        <v>12</v>
      </c>
      <c r="B15" s="475" t="s">
        <v>23</v>
      </c>
      <c r="C15" s="346"/>
      <c r="D15" s="346"/>
      <c r="E15" s="346">
        <v>4</v>
      </c>
      <c r="F15" s="346"/>
      <c r="G15" s="346">
        <v>40</v>
      </c>
      <c r="H15" s="346">
        <v>18</v>
      </c>
      <c r="I15" s="346">
        <v>1</v>
      </c>
      <c r="J15" s="346"/>
      <c r="K15" s="346">
        <v>189</v>
      </c>
      <c r="L15" s="346"/>
      <c r="M15" s="346">
        <v>5</v>
      </c>
      <c r="N15" s="346"/>
      <c r="O15" s="346">
        <v>3</v>
      </c>
      <c r="P15" s="346">
        <v>3</v>
      </c>
      <c r="Q15" s="346">
        <v>1</v>
      </c>
      <c r="R15" s="346">
        <v>3</v>
      </c>
      <c r="S15" s="346">
        <v>5</v>
      </c>
      <c r="T15" s="346">
        <v>1</v>
      </c>
      <c r="U15" s="346">
        <v>5</v>
      </c>
      <c r="V15" s="346">
        <v>24</v>
      </c>
      <c r="W15" s="346">
        <v>1</v>
      </c>
      <c r="X15" s="346">
        <v>1</v>
      </c>
      <c r="Y15" s="346"/>
      <c r="Z15" s="346">
        <v>17</v>
      </c>
      <c r="AA15" s="346"/>
      <c r="AB15" s="346">
        <v>15</v>
      </c>
      <c r="AC15" s="346">
        <v>1</v>
      </c>
      <c r="AD15" s="346"/>
      <c r="AE15" s="346">
        <v>1</v>
      </c>
      <c r="AF15" s="346">
        <v>1</v>
      </c>
      <c r="AG15" s="345">
        <v>339</v>
      </c>
    </row>
    <row r="16" spans="1:33" x14ac:dyDescent="0.35">
      <c r="A16" s="345">
        <v>13</v>
      </c>
      <c r="B16" s="475" t="s">
        <v>24</v>
      </c>
      <c r="C16" s="346">
        <v>4</v>
      </c>
      <c r="D16" s="346">
        <v>2</v>
      </c>
      <c r="E16" s="346">
        <v>2</v>
      </c>
      <c r="F16" s="346">
        <v>1</v>
      </c>
      <c r="G16" s="346">
        <v>58</v>
      </c>
      <c r="H16" s="346">
        <v>8</v>
      </c>
      <c r="I16" s="346"/>
      <c r="J16" s="346">
        <v>1</v>
      </c>
      <c r="K16" s="346">
        <v>201</v>
      </c>
      <c r="L16" s="346"/>
      <c r="M16" s="346"/>
      <c r="N16" s="346"/>
      <c r="O16" s="346">
        <v>6</v>
      </c>
      <c r="P16" s="346">
        <v>1</v>
      </c>
      <c r="Q16" s="346">
        <v>6</v>
      </c>
      <c r="R16" s="346">
        <v>2</v>
      </c>
      <c r="S16" s="346">
        <v>3</v>
      </c>
      <c r="T16" s="346"/>
      <c r="U16" s="346">
        <v>7</v>
      </c>
      <c r="V16" s="346">
        <v>13</v>
      </c>
      <c r="W16" s="346">
        <v>4</v>
      </c>
      <c r="X16" s="346">
        <v>1</v>
      </c>
      <c r="Y16" s="346">
        <v>2</v>
      </c>
      <c r="Z16" s="346">
        <v>2</v>
      </c>
      <c r="AA16" s="346">
        <v>1</v>
      </c>
      <c r="AB16" s="346"/>
      <c r="AC16" s="346"/>
      <c r="AD16" s="346"/>
      <c r="AE16" s="346">
        <v>2</v>
      </c>
      <c r="AF16" s="346">
        <v>1</v>
      </c>
      <c r="AG16" s="345">
        <v>328</v>
      </c>
    </row>
    <row r="17" spans="1:33" x14ac:dyDescent="0.35">
      <c r="A17" s="345">
        <v>14</v>
      </c>
      <c r="B17" s="475" t="s">
        <v>25</v>
      </c>
      <c r="C17" s="346">
        <v>4</v>
      </c>
      <c r="D17" s="346"/>
      <c r="E17" s="346">
        <v>7</v>
      </c>
      <c r="F17" s="346">
        <v>1</v>
      </c>
      <c r="G17" s="346">
        <v>81</v>
      </c>
      <c r="H17" s="346">
        <v>53</v>
      </c>
      <c r="I17" s="346"/>
      <c r="J17" s="346"/>
      <c r="K17" s="346">
        <v>206</v>
      </c>
      <c r="L17" s="346"/>
      <c r="M17" s="346">
        <v>1</v>
      </c>
      <c r="N17" s="346"/>
      <c r="O17" s="346">
        <v>6</v>
      </c>
      <c r="P17" s="346">
        <v>1</v>
      </c>
      <c r="Q17" s="346">
        <v>4</v>
      </c>
      <c r="R17" s="346"/>
      <c r="S17" s="346">
        <v>3</v>
      </c>
      <c r="T17" s="346">
        <v>4</v>
      </c>
      <c r="U17" s="346">
        <v>5</v>
      </c>
      <c r="V17" s="346">
        <v>21</v>
      </c>
      <c r="W17" s="346"/>
      <c r="X17" s="346">
        <v>1</v>
      </c>
      <c r="Y17" s="346">
        <v>2</v>
      </c>
      <c r="Z17" s="346">
        <v>6</v>
      </c>
      <c r="AA17" s="346"/>
      <c r="AB17" s="346">
        <v>4</v>
      </c>
      <c r="AC17" s="346"/>
      <c r="AD17" s="346"/>
      <c r="AE17" s="346"/>
      <c r="AF17" s="346"/>
      <c r="AG17" s="345">
        <v>410</v>
      </c>
    </row>
    <row r="18" spans="1:33" x14ac:dyDescent="0.35">
      <c r="A18" s="345">
        <v>15</v>
      </c>
      <c r="B18" s="475" t="s">
        <v>26</v>
      </c>
      <c r="C18" s="346">
        <v>20</v>
      </c>
      <c r="D18" s="346">
        <v>19</v>
      </c>
      <c r="E18" s="346">
        <v>93</v>
      </c>
      <c r="F18" s="346">
        <v>119</v>
      </c>
      <c r="G18" s="346">
        <v>151</v>
      </c>
      <c r="H18" s="346">
        <v>204</v>
      </c>
      <c r="I18" s="346">
        <v>14</v>
      </c>
      <c r="J18" s="346">
        <v>1</v>
      </c>
      <c r="K18" s="346">
        <v>2440</v>
      </c>
      <c r="L18" s="346">
        <v>2</v>
      </c>
      <c r="M18" s="346">
        <v>9</v>
      </c>
      <c r="N18" s="346">
        <v>2</v>
      </c>
      <c r="O18" s="346">
        <v>73</v>
      </c>
      <c r="P18" s="346">
        <v>93</v>
      </c>
      <c r="Q18" s="346">
        <v>42</v>
      </c>
      <c r="R18" s="346">
        <v>82</v>
      </c>
      <c r="S18" s="346">
        <v>36</v>
      </c>
      <c r="T18" s="346">
        <v>16</v>
      </c>
      <c r="U18" s="346">
        <v>78</v>
      </c>
      <c r="V18" s="346">
        <v>439</v>
      </c>
      <c r="W18" s="346">
        <v>3</v>
      </c>
      <c r="X18" s="346">
        <v>48</v>
      </c>
      <c r="Y18" s="346">
        <v>36</v>
      </c>
      <c r="Z18" s="346">
        <v>81</v>
      </c>
      <c r="AA18" s="346">
        <v>49</v>
      </c>
      <c r="AB18" s="346">
        <v>20</v>
      </c>
      <c r="AC18" s="346">
        <v>19</v>
      </c>
      <c r="AD18" s="346">
        <v>12</v>
      </c>
      <c r="AE18" s="346">
        <v>13</v>
      </c>
      <c r="AF18" s="346">
        <v>6</v>
      </c>
      <c r="AG18" s="345">
        <v>4220</v>
      </c>
    </row>
    <row r="19" spans="1:33" x14ac:dyDescent="0.35">
      <c r="A19" s="345">
        <v>16</v>
      </c>
      <c r="B19" s="475" t="s">
        <v>27</v>
      </c>
      <c r="C19" s="346">
        <v>6</v>
      </c>
      <c r="D19" s="346">
        <v>18</v>
      </c>
      <c r="E19" s="346">
        <v>51</v>
      </c>
      <c r="F19" s="346">
        <v>3</v>
      </c>
      <c r="G19" s="346">
        <v>128</v>
      </c>
      <c r="H19" s="346">
        <v>125</v>
      </c>
      <c r="I19" s="346">
        <v>8</v>
      </c>
      <c r="J19" s="346"/>
      <c r="K19" s="346">
        <v>696</v>
      </c>
      <c r="L19" s="346">
        <v>1</v>
      </c>
      <c r="M19" s="346">
        <v>4</v>
      </c>
      <c r="N19" s="346"/>
      <c r="O19" s="346">
        <v>18</v>
      </c>
      <c r="P19" s="346">
        <v>39</v>
      </c>
      <c r="Q19" s="346">
        <v>16</v>
      </c>
      <c r="R19" s="346">
        <v>15</v>
      </c>
      <c r="S19" s="346">
        <v>22</v>
      </c>
      <c r="T19" s="346">
        <v>6</v>
      </c>
      <c r="U19" s="346">
        <v>24</v>
      </c>
      <c r="V19" s="346">
        <v>115</v>
      </c>
      <c r="W19" s="346">
        <v>7</v>
      </c>
      <c r="X19" s="346">
        <v>11</v>
      </c>
      <c r="Y19" s="346">
        <v>28</v>
      </c>
      <c r="Z19" s="346">
        <v>42</v>
      </c>
      <c r="AA19" s="346">
        <v>2</v>
      </c>
      <c r="AB19" s="346">
        <v>3</v>
      </c>
      <c r="AC19" s="346">
        <v>5</v>
      </c>
      <c r="AD19" s="346">
        <v>1</v>
      </c>
      <c r="AE19" s="346">
        <v>1</v>
      </c>
      <c r="AF19" s="346">
        <v>3</v>
      </c>
      <c r="AG19" s="345">
        <v>1398</v>
      </c>
    </row>
    <row r="20" spans="1:33" x14ac:dyDescent="0.35">
      <c r="A20" s="345">
        <v>17</v>
      </c>
      <c r="B20" s="475" t="s">
        <v>28</v>
      </c>
      <c r="C20" s="346"/>
      <c r="D20" s="346"/>
      <c r="E20" s="346">
        <v>1</v>
      </c>
      <c r="F20" s="346"/>
      <c r="G20" s="346"/>
      <c r="H20" s="346"/>
      <c r="I20" s="346"/>
      <c r="J20" s="346"/>
      <c r="K20" s="346">
        <v>5</v>
      </c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5">
        <v>6</v>
      </c>
    </row>
    <row r="21" spans="1:33" x14ac:dyDescent="0.35">
      <c r="A21" s="345">
        <v>18</v>
      </c>
      <c r="B21" s="475" t="s">
        <v>72</v>
      </c>
      <c r="C21" s="346"/>
      <c r="D21" s="346"/>
      <c r="E21" s="346"/>
      <c r="F21" s="346"/>
      <c r="G21" s="346">
        <v>1</v>
      </c>
      <c r="H21" s="346">
        <v>1</v>
      </c>
      <c r="I21" s="346"/>
      <c r="J21" s="346"/>
      <c r="K21" s="346">
        <v>2</v>
      </c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5">
        <v>4</v>
      </c>
    </row>
    <row r="22" spans="1:33" x14ac:dyDescent="0.35">
      <c r="A22" s="345">
        <v>19</v>
      </c>
      <c r="B22" s="475" t="s">
        <v>29</v>
      </c>
      <c r="C22" s="346">
        <v>15</v>
      </c>
      <c r="D22" s="346">
        <v>2</v>
      </c>
      <c r="E22" s="346">
        <v>49</v>
      </c>
      <c r="F22" s="346">
        <v>8</v>
      </c>
      <c r="G22" s="346">
        <v>284</v>
      </c>
      <c r="H22" s="346">
        <v>135</v>
      </c>
      <c r="I22" s="346">
        <v>27</v>
      </c>
      <c r="J22" s="346">
        <v>1</v>
      </c>
      <c r="K22" s="346">
        <v>1462</v>
      </c>
      <c r="L22" s="346">
        <v>1</v>
      </c>
      <c r="M22" s="346">
        <v>1</v>
      </c>
      <c r="N22" s="346"/>
      <c r="O22" s="346">
        <v>54</v>
      </c>
      <c r="P22" s="346">
        <v>93</v>
      </c>
      <c r="Q22" s="346">
        <v>9</v>
      </c>
      <c r="R22" s="346">
        <v>27</v>
      </c>
      <c r="S22" s="346">
        <v>6</v>
      </c>
      <c r="T22" s="346">
        <v>11</v>
      </c>
      <c r="U22" s="346">
        <v>16</v>
      </c>
      <c r="V22" s="346">
        <v>144</v>
      </c>
      <c r="W22" s="346">
        <v>3</v>
      </c>
      <c r="X22" s="346">
        <v>8</v>
      </c>
      <c r="Y22" s="346">
        <v>47</v>
      </c>
      <c r="Z22" s="346">
        <v>91</v>
      </c>
      <c r="AA22" s="346"/>
      <c r="AB22" s="346">
        <v>10</v>
      </c>
      <c r="AC22" s="346">
        <v>15</v>
      </c>
      <c r="AD22" s="346">
        <v>2</v>
      </c>
      <c r="AE22" s="346">
        <v>2</v>
      </c>
      <c r="AF22" s="346">
        <v>5</v>
      </c>
      <c r="AG22" s="345">
        <v>2528</v>
      </c>
    </row>
    <row r="23" spans="1:33" x14ac:dyDescent="0.35">
      <c r="A23" s="345">
        <v>20</v>
      </c>
      <c r="B23" s="475" t="s">
        <v>30</v>
      </c>
      <c r="C23" s="346">
        <v>115</v>
      </c>
      <c r="D23" s="346">
        <v>57</v>
      </c>
      <c r="E23" s="346">
        <v>190</v>
      </c>
      <c r="F23" s="346">
        <v>73</v>
      </c>
      <c r="G23" s="346">
        <v>194</v>
      </c>
      <c r="H23" s="346">
        <v>370</v>
      </c>
      <c r="I23" s="346">
        <v>27</v>
      </c>
      <c r="J23" s="346">
        <v>4</v>
      </c>
      <c r="K23" s="346">
        <v>2992</v>
      </c>
      <c r="L23" s="346">
        <v>11</v>
      </c>
      <c r="M23" s="346">
        <v>23</v>
      </c>
      <c r="N23" s="346">
        <v>6</v>
      </c>
      <c r="O23" s="346">
        <v>105</v>
      </c>
      <c r="P23" s="346">
        <v>114</v>
      </c>
      <c r="Q23" s="346">
        <v>39</v>
      </c>
      <c r="R23" s="346">
        <v>70</v>
      </c>
      <c r="S23" s="346">
        <v>24</v>
      </c>
      <c r="T23" s="346">
        <v>46</v>
      </c>
      <c r="U23" s="346">
        <v>35</v>
      </c>
      <c r="V23" s="346">
        <v>129</v>
      </c>
      <c r="W23" s="346"/>
      <c r="X23" s="346">
        <v>54</v>
      </c>
      <c r="Y23" s="346">
        <v>3</v>
      </c>
      <c r="Z23" s="346">
        <v>183</v>
      </c>
      <c r="AA23" s="346">
        <v>65</v>
      </c>
      <c r="AB23" s="346">
        <v>7</v>
      </c>
      <c r="AC23" s="346">
        <v>57</v>
      </c>
      <c r="AD23" s="346">
        <v>41</v>
      </c>
      <c r="AE23" s="346">
        <v>21</v>
      </c>
      <c r="AF23" s="346">
        <v>6</v>
      </c>
      <c r="AG23" s="345">
        <v>5061</v>
      </c>
    </row>
    <row r="24" spans="1:33" x14ac:dyDescent="0.35">
      <c r="A24" s="345">
        <v>21</v>
      </c>
      <c r="B24" s="475" t="s">
        <v>31</v>
      </c>
      <c r="C24" s="346">
        <v>4</v>
      </c>
      <c r="D24" s="346"/>
      <c r="E24" s="346"/>
      <c r="F24" s="346"/>
      <c r="G24" s="346">
        <v>9</v>
      </c>
      <c r="H24" s="346">
        <v>4</v>
      </c>
      <c r="I24" s="346">
        <v>1</v>
      </c>
      <c r="J24" s="346"/>
      <c r="K24" s="346">
        <v>69</v>
      </c>
      <c r="L24" s="346"/>
      <c r="M24" s="346"/>
      <c r="N24" s="346"/>
      <c r="O24" s="346">
        <v>1</v>
      </c>
      <c r="P24" s="346">
        <v>2</v>
      </c>
      <c r="Q24" s="346">
        <v>1</v>
      </c>
      <c r="R24" s="346"/>
      <c r="S24" s="346">
        <v>1</v>
      </c>
      <c r="T24" s="346"/>
      <c r="U24" s="346">
        <v>3</v>
      </c>
      <c r="V24" s="346">
        <v>7</v>
      </c>
      <c r="W24" s="346"/>
      <c r="X24" s="346"/>
      <c r="Y24" s="346"/>
      <c r="Z24" s="346"/>
      <c r="AA24" s="346"/>
      <c r="AB24" s="346"/>
      <c r="AC24" s="346">
        <v>1</v>
      </c>
      <c r="AD24" s="346">
        <v>3</v>
      </c>
      <c r="AE24" s="346"/>
      <c r="AF24" s="346"/>
      <c r="AG24" s="345">
        <v>106</v>
      </c>
    </row>
    <row r="25" spans="1:33" x14ac:dyDescent="0.35">
      <c r="A25" s="345">
        <v>22</v>
      </c>
      <c r="B25" s="475" t="s">
        <v>32</v>
      </c>
      <c r="C25" s="346">
        <v>1</v>
      </c>
      <c r="D25" s="346"/>
      <c r="E25" s="346">
        <v>12</v>
      </c>
      <c r="F25" s="346">
        <v>1</v>
      </c>
      <c r="G25" s="346">
        <v>4</v>
      </c>
      <c r="H25" s="346">
        <v>2</v>
      </c>
      <c r="I25" s="346"/>
      <c r="J25" s="346"/>
      <c r="K25" s="346">
        <v>49</v>
      </c>
      <c r="L25" s="346"/>
      <c r="M25" s="346"/>
      <c r="N25" s="346"/>
      <c r="O25" s="346">
        <v>2</v>
      </c>
      <c r="P25" s="346"/>
      <c r="Q25" s="346">
        <v>1</v>
      </c>
      <c r="R25" s="346"/>
      <c r="S25" s="346"/>
      <c r="T25" s="346"/>
      <c r="U25" s="346"/>
      <c r="V25" s="346">
        <v>1</v>
      </c>
      <c r="W25" s="346"/>
      <c r="X25" s="346">
        <v>1</v>
      </c>
      <c r="Y25" s="346"/>
      <c r="Z25" s="346"/>
      <c r="AA25" s="346"/>
      <c r="AB25" s="346"/>
      <c r="AC25" s="346">
        <v>1</v>
      </c>
      <c r="AD25" s="346"/>
      <c r="AE25" s="346"/>
      <c r="AF25" s="346"/>
      <c r="AG25" s="345">
        <v>75</v>
      </c>
    </row>
    <row r="26" spans="1:33" x14ac:dyDescent="0.35">
      <c r="A26" s="345">
        <v>23</v>
      </c>
      <c r="B26" s="475" t="s">
        <v>33</v>
      </c>
      <c r="C26" s="346">
        <v>1</v>
      </c>
      <c r="D26" s="346"/>
      <c r="E26" s="346"/>
      <c r="F26" s="346"/>
      <c r="G26" s="346">
        <v>1</v>
      </c>
      <c r="H26" s="346">
        <v>1</v>
      </c>
      <c r="I26" s="346"/>
      <c r="J26" s="346"/>
      <c r="K26" s="346">
        <v>29</v>
      </c>
      <c r="L26" s="346"/>
      <c r="M26" s="346"/>
      <c r="N26" s="346"/>
      <c r="O26" s="346">
        <v>1</v>
      </c>
      <c r="P26" s="346"/>
      <c r="Q26" s="346">
        <v>1</v>
      </c>
      <c r="R26" s="346"/>
      <c r="S26" s="346"/>
      <c r="T26" s="346"/>
      <c r="U26" s="346"/>
      <c r="V26" s="346">
        <v>3</v>
      </c>
      <c r="W26" s="346"/>
      <c r="X26" s="346"/>
      <c r="Y26" s="346">
        <v>1</v>
      </c>
      <c r="Z26" s="346"/>
      <c r="AA26" s="346"/>
      <c r="AB26" s="346"/>
      <c r="AC26" s="346"/>
      <c r="AD26" s="346">
        <v>1</v>
      </c>
      <c r="AE26" s="346"/>
      <c r="AF26" s="346">
        <v>1</v>
      </c>
      <c r="AG26" s="345">
        <v>40</v>
      </c>
    </row>
    <row r="27" spans="1:33" x14ac:dyDescent="0.35">
      <c r="A27" s="345">
        <v>24</v>
      </c>
      <c r="B27" s="475" t="s">
        <v>34</v>
      </c>
      <c r="C27" s="346"/>
      <c r="D27" s="346"/>
      <c r="E27" s="346">
        <v>2</v>
      </c>
      <c r="F27" s="346"/>
      <c r="G27" s="346">
        <v>5</v>
      </c>
      <c r="H27" s="346">
        <v>1</v>
      </c>
      <c r="I27" s="346">
        <v>1</v>
      </c>
      <c r="J27" s="346"/>
      <c r="K27" s="346">
        <v>56</v>
      </c>
      <c r="L27" s="346"/>
      <c r="M27" s="346"/>
      <c r="N27" s="346"/>
      <c r="O27" s="346">
        <v>3</v>
      </c>
      <c r="P27" s="346"/>
      <c r="Q27" s="346"/>
      <c r="R27" s="346"/>
      <c r="S27" s="346"/>
      <c r="T27" s="346"/>
      <c r="U27" s="346"/>
      <c r="V27" s="346">
        <v>1</v>
      </c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5">
        <v>69</v>
      </c>
    </row>
    <row r="28" spans="1:33" x14ac:dyDescent="0.35">
      <c r="A28" s="345">
        <v>25</v>
      </c>
      <c r="B28" s="475" t="s">
        <v>35</v>
      </c>
      <c r="C28" s="346"/>
      <c r="D28" s="346">
        <v>2</v>
      </c>
      <c r="E28" s="346">
        <v>71</v>
      </c>
      <c r="F28" s="346">
        <v>2</v>
      </c>
      <c r="G28" s="346">
        <v>24</v>
      </c>
      <c r="H28" s="346">
        <v>99</v>
      </c>
      <c r="I28" s="346">
        <v>10</v>
      </c>
      <c r="J28" s="346"/>
      <c r="K28" s="346">
        <v>774</v>
      </c>
      <c r="L28" s="346"/>
      <c r="M28" s="346">
        <v>21</v>
      </c>
      <c r="N28" s="346">
        <v>1</v>
      </c>
      <c r="O28" s="346">
        <v>19</v>
      </c>
      <c r="P28" s="346">
        <v>60</v>
      </c>
      <c r="Q28" s="346">
        <v>6</v>
      </c>
      <c r="R28" s="346">
        <v>4</v>
      </c>
      <c r="S28" s="346">
        <v>2</v>
      </c>
      <c r="T28" s="346">
        <v>3</v>
      </c>
      <c r="U28" s="346">
        <v>19</v>
      </c>
      <c r="V28" s="346">
        <v>76</v>
      </c>
      <c r="W28" s="346">
        <v>8</v>
      </c>
      <c r="X28" s="346">
        <v>17</v>
      </c>
      <c r="Y28" s="346">
        <v>4</v>
      </c>
      <c r="Z28" s="346">
        <v>20</v>
      </c>
      <c r="AA28" s="346">
        <v>5</v>
      </c>
      <c r="AB28" s="346">
        <v>76</v>
      </c>
      <c r="AC28" s="346">
        <v>28</v>
      </c>
      <c r="AD28" s="346">
        <v>2</v>
      </c>
      <c r="AE28" s="346">
        <v>6</v>
      </c>
      <c r="AF28" s="346"/>
      <c r="AG28" s="345">
        <v>1359</v>
      </c>
    </row>
    <row r="29" spans="1:33" x14ac:dyDescent="0.35">
      <c r="A29" s="345">
        <v>26</v>
      </c>
      <c r="B29" s="475" t="s">
        <v>36</v>
      </c>
      <c r="C29" s="346">
        <v>1</v>
      </c>
      <c r="D29" s="346"/>
      <c r="E29" s="346">
        <v>1</v>
      </c>
      <c r="F29" s="346"/>
      <c r="G29" s="346">
        <v>13</v>
      </c>
      <c r="H29" s="346">
        <v>11</v>
      </c>
      <c r="I29" s="346">
        <v>1</v>
      </c>
      <c r="J29" s="346"/>
      <c r="K29" s="346">
        <v>21</v>
      </c>
      <c r="L29" s="346"/>
      <c r="M29" s="346"/>
      <c r="N29" s="346"/>
      <c r="O29" s="346">
        <v>2</v>
      </c>
      <c r="P29" s="346">
        <v>1</v>
      </c>
      <c r="Q29" s="346">
        <v>4</v>
      </c>
      <c r="R29" s="346"/>
      <c r="S29" s="346">
        <v>2</v>
      </c>
      <c r="T29" s="346"/>
      <c r="U29" s="346">
        <v>1</v>
      </c>
      <c r="V29" s="346">
        <v>6</v>
      </c>
      <c r="W29" s="346">
        <v>1</v>
      </c>
      <c r="X29" s="346">
        <v>1</v>
      </c>
      <c r="Y29" s="346">
        <v>3</v>
      </c>
      <c r="Z29" s="346">
        <v>2</v>
      </c>
      <c r="AA29" s="346"/>
      <c r="AB29" s="346"/>
      <c r="AC29" s="346"/>
      <c r="AD29" s="346"/>
      <c r="AE29" s="346"/>
      <c r="AF29" s="346">
        <v>1</v>
      </c>
      <c r="AG29" s="345">
        <v>72</v>
      </c>
    </row>
    <row r="30" spans="1:33" x14ac:dyDescent="0.35">
      <c r="A30" s="345">
        <v>27</v>
      </c>
      <c r="B30" s="475" t="s">
        <v>37</v>
      </c>
      <c r="C30" s="346"/>
      <c r="D30" s="346">
        <v>4</v>
      </c>
      <c r="E30" s="346">
        <v>22</v>
      </c>
      <c r="F30" s="346">
        <v>6</v>
      </c>
      <c r="G30" s="346">
        <v>165</v>
      </c>
      <c r="H30" s="346">
        <v>92</v>
      </c>
      <c r="I30" s="346">
        <v>1</v>
      </c>
      <c r="J30" s="346"/>
      <c r="K30" s="346">
        <v>468</v>
      </c>
      <c r="L30" s="346"/>
      <c r="M30" s="346">
        <v>5</v>
      </c>
      <c r="N30" s="346"/>
      <c r="O30" s="346">
        <v>21</v>
      </c>
      <c r="P30" s="346">
        <v>39</v>
      </c>
      <c r="Q30" s="346">
        <v>9</v>
      </c>
      <c r="R30" s="346">
        <v>16</v>
      </c>
      <c r="S30" s="346">
        <v>13</v>
      </c>
      <c r="T30" s="346">
        <v>2</v>
      </c>
      <c r="U30" s="346">
        <v>3</v>
      </c>
      <c r="V30" s="346">
        <v>93</v>
      </c>
      <c r="W30" s="346"/>
      <c r="X30" s="346">
        <v>12</v>
      </c>
      <c r="Y30" s="346">
        <v>7</v>
      </c>
      <c r="Z30" s="346">
        <v>32</v>
      </c>
      <c r="AA30" s="346">
        <v>7</v>
      </c>
      <c r="AB30" s="346">
        <v>2</v>
      </c>
      <c r="AC30" s="346">
        <v>3</v>
      </c>
      <c r="AD30" s="346"/>
      <c r="AE30" s="346">
        <v>10</v>
      </c>
      <c r="AF30" s="346">
        <v>2</v>
      </c>
      <c r="AG30" s="345">
        <v>1034</v>
      </c>
    </row>
    <row r="31" spans="1:33" x14ac:dyDescent="0.35">
      <c r="A31" s="345">
        <v>28</v>
      </c>
      <c r="B31" s="475" t="s">
        <v>38</v>
      </c>
      <c r="C31" s="346">
        <v>57</v>
      </c>
      <c r="D31" s="346">
        <v>4</v>
      </c>
      <c r="E31" s="346">
        <v>216</v>
      </c>
      <c r="F31" s="346">
        <v>6</v>
      </c>
      <c r="G31" s="346">
        <v>468</v>
      </c>
      <c r="H31" s="346">
        <v>78</v>
      </c>
      <c r="I31" s="346">
        <v>2</v>
      </c>
      <c r="J31" s="346"/>
      <c r="K31" s="346">
        <v>2436</v>
      </c>
      <c r="L31" s="346">
        <v>1</v>
      </c>
      <c r="M31" s="346">
        <v>6</v>
      </c>
      <c r="N31" s="346"/>
      <c r="O31" s="346">
        <v>68</v>
      </c>
      <c r="P31" s="346">
        <v>17</v>
      </c>
      <c r="Q31" s="346">
        <v>6</v>
      </c>
      <c r="R31" s="346">
        <v>12</v>
      </c>
      <c r="S31" s="346">
        <v>9</v>
      </c>
      <c r="T31" s="346">
        <v>4</v>
      </c>
      <c r="U31" s="346">
        <v>17</v>
      </c>
      <c r="V31" s="346">
        <v>148</v>
      </c>
      <c r="W31" s="346"/>
      <c r="X31" s="346">
        <v>12</v>
      </c>
      <c r="Y31" s="346"/>
      <c r="Z31" s="346">
        <v>120</v>
      </c>
      <c r="AA31" s="346">
        <v>6</v>
      </c>
      <c r="AB31" s="346">
        <v>43</v>
      </c>
      <c r="AC31" s="346">
        <v>15</v>
      </c>
      <c r="AD31" s="346"/>
      <c r="AE31" s="346">
        <v>32</v>
      </c>
      <c r="AF31" s="346">
        <v>26</v>
      </c>
      <c r="AG31" s="345">
        <v>3809</v>
      </c>
    </row>
    <row r="32" spans="1:33" x14ac:dyDescent="0.35">
      <c r="A32" s="345">
        <v>29</v>
      </c>
      <c r="B32" s="475" t="s">
        <v>39</v>
      </c>
      <c r="C32" s="346"/>
      <c r="D32" s="346"/>
      <c r="E32" s="346"/>
      <c r="F32" s="346"/>
      <c r="G32" s="346">
        <v>3</v>
      </c>
      <c r="H32" s="346">
        <v>2</v>
      </c>
      <c r="I32" s="346"/>
      <c r="J32" s="346"/>
      <c r="K32" s="346">
        <v>9</v>
      </c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>
        <v>1</v>
      </c>
      <c r="W32" s="346"/>
      <c r="X32" s="346">
        <v>1</v>
      </c>
      <c r="Y32" s="346"/>
      <c r="Z32" s="346">
        <v>2</v>
      </c>
      <c r="AA32" s="346"/>
      <c r="AB32" s="346">
        <v>2</v>
      </c>
      <c r="AC32" s="346">
        <v>1</v>
      </c>
      <c r="AD32" s="346"/>
      <c r="AE32" s="346"/>
      <c r="AF32" s="346"/>
      <c r="AG32" s="345">
        <v>21</v>
      </c>
    </row>
    <row r="33" spans="1:33" x14ac:dyDescent="0.35">
      <c r="A33" s="345">
        <v>30</v>
      </c>
      <c r="B33" s="475" t="s">
        <v>40</v>
      </c>
      <c r="C33" s="346">
        <v>47</v>
      </c>
      <c r="D33" s="346">
        <v>32</v>
      </c>
      <c r="E33" s="346">
        <v>78</v>
      </c>
      <c r="F33" s="346">
        <v>2</v>
      </c>
      <c r="G33" s="346">
        <v>268</v>
      </c>
      <c r="H33" s="346">
        <v>428</v>
      </c>
      <c r="I33" s="346">
        <v>8</v>
      </c>
      <c r="J33" s="346">
        <v>6</v>
      </c>
      <c r="K33" s="346">
        <v>1358</v>
      </c>
      <c r="L33" s="346">
        <v>1</v>
      </c>
      <c r="M33" s="346"/>
      <c r="N33" s="346"/>
      <c r="O33" s="346">
        <v>22</v>
      </c>
      <c r="P33" s="346">
        <v>39</v>
      </c>
      <c r="Q33" s="346">
        <v>52</v>
      </c>
      <c r="R33" s="346">
        <v>9</v>
      </c>
      <c r="S33" s="346">
        <v>20</v>
      </c>
      <c r="T33" s="346">
        <v>12</v>
      </c>
      <c r="U33" s="346">
        <v>100</v>
      </c>
      <c r="V33" s="346">
        <v>174</v>
      </c>
      <c r="W33" s="346">
        <v>2</v>
      </c>
      <c r="X33" s="346">
        <v>35</v>
      </c>
      <c r="Y33" s="346">
        <v>40</v>
      </c>
      <c r="Z33" s="346">
        <v>58</v>
      </c>
      <c r="AA33" s="346">
        <v>36</v>
      </c>
      <c r="AB33" s="346">
        <v>1</v>
      </c>
      <c r="AC33" s="346">
        <v>13</v>
      </c>
      <c r="AD33" s="346">
        <v>1</v>
      </c>
      <c r="AE33" s="346">
        <v>26</v>
      </c>
      <c r="AF33" s="346">
        <v>7</v>
      </c>
      <c r="AG33" s="345">
        <v>2875</v>
      </c>
    </row>
    <row r="34" spans="1:33" x14ac:dyDescent="0.35">
      <c r="A34" s="345">
        <v>31</v>
      </c>
      <c r="B34" s="475" t="s">
        <v>41</v>
      </c>
      <c r="C34" s="346"/>
      <c r="D34" s="346">
        <v>8</v>
      </c>
      <c r="E34" s="346">
        <v>7</v>
      </c>
      <c r="F34" s="346">
        <v>17</v>
      </c>
      <c r="G34" s="346">
        <v>90</v>
      </c>
      <c r="H34" s="346">
        <v>169</v>
      </c>
      <c r="I34" s="346">
        <v>1</v>
      </c>
      <c r="J34" s="346"/>
      <c r="K34" s="346">
        <v>1159</v>
      </c>
      <c r="L34" s="346"/>
      <c r="M34" s="346">
        <v>28</v>
      </c>
      <c r="N34" s="346">
        <v>1</v>
      </c>
      <c r="O34" s="346">
        <v>14</v>
      </c>
      <c r="P34" s="346">
        <v>58</v>
      </c>
      <c r="Q34" s="346">
        <v>18</v>
      </c>
      <c r="R34" s="346">
        <v>2</v>
      </c>
      <c r="S34" s="346">
        <v>11</v>
      </c>
      <c r="T34" s="346">
        <v>5</v>
      </c>
      <c r="U34" s="346">
        <v>25</v>
      </c>
      <c r="V34" s="346">
        <v>62</v>
      </c>
      <c r="W34" s="346">
        <v>6</v>
      </c>
      <c r="X34" s="346">
        <v>5</v>
      </c>
      <c r="Y34" s="346">
        <v>9</v>
      </c>
      <c r="Z34" s="346">
        <v>80</v>
      </c>
      <c r="AA34" s="346">
        <v>20</v>
      </c>
      <c r="AB34" s="346">
        <v>1</v>
      </c>
      <c r="AC34" s="346">
        <v>5</v>
      </c>
      <c r="AD34" s="346">
        <v>1</v>
      </c>
      <c r="AE34" s="346">
        <v>1</v>
      </c>
      <c r="AF34" s="346"/>
      <c r="AG34" s="345">
        <v>1803</v>
      </c>
    </row>
    <row r="35" spans="1:33" ht="31" x14ac:dyDescent="0.35">
      <c r="A35" s="345">
        <v>32</v>
      </c>
      <c r="B35" s="459" t="s">
        <v>60</v>
      </c>
      <c r="C35" s="346"/>
      <c r="D35" s="346"/>
      <c r="E35" s="346"/>
      <c r="F35" s="346"/>
      <c r="G35" s="346">
        <v>2</v>
      </c>
      <c r="H35" s="346">
        <v>5</v>
      </c>
      <c r="I35" s="346"/>
      <c r="J35" s="346"/>
      <c r="K35" s="346">
        <v>6</v>
      </c>
      <c r="L35" s="346"/>
      <c r="M35" s="346"/>
      <c r="N35" s="346"/>
      <c r="O35" s="346"/>
      <c r="P35" s="346"/>
      <c r="Q35" s="346"/>
      <c r="R35" s="346"/>
      <c r="S35" s="346">
        <v>1</v>
      </c>
      <c r="T35" s="346"/>
      <c r="U35" s="346">
        <v>1</v>
      </c>
      <c r="V35" s="346">
        <v>2</v>
      </c>
      <c r="W35" s="346"/>
      <c r="X35" s="346">
        <v>1</v>
      </c>
      <c r="Y35" s="346"/>
      <c r="Z35" s="346">
        <v>1</v>
      </c>
      <c r="AA35" s="346"/>
      <c r="AB35" s="346"/>
      <c r="AC35" s="346"/>
      <c r="AD35" s="346"/>
      <c r="AE35" s="346"/>
      <c r="AF35" s="346"/>
      <c r="AG35" s="345">
        <v>19</v>
      </c>
    </row>
    <row r="36" spans="1:33" x14ac:dyDescent="0.35">
      <c r="A36" s="345">
        <v>33</v>
      </c>
      <c r="B36" s="475" t="s">
        <v>42</v>
      </c>
      <c r="C36" s="346">
        <v>1</v>
      </c>
      <c r="D36" s="346"/>
      <c r="E36" s="346">
        <v>3</v>
      </c>
      <c r="F36" s="346"/>
      <c r="G36" s="346">
        <v>2</v>
      </c>
      <c r="H36" s="346">
        <v>9</v>
      </c>
      <c r="I36" s="346">
        <v>1</v>
      </c>
      <c r="J36" s="346">
        <v>1</v>
      </c>
      <c r="K36" s="346">
        <v>28</v>
      </c>
      <c r="L36" s="346"/>
      <c r="M36" s="346"/>
      <c r="N36" s="346"/>
      <c r="O36" s="346">
        <v>1</v>
      </c>
      <c r="P36" s="346"/>
      <c r="Q36" s="346">
        <v>2</v>
      </c>
      <c r="R36" s="346"/>
      <c r="S36" s="346"/>
      <c r="T36" s="346"/>
      <c r="U36" s="346"/>
      <c r="V36" s="346">
        <v>3</v>
      </c>
      <c r="W36" s="346"/>
      <c r="X36" s="346">
        <v>2</v>
      </c>
      <c r="Y36" s="346">
        <v>1</v>
      </c>
      <c r="Z36" s="346">
        <v>2</v>
      </c>
      <c r="AA36" s="346"/>
      <c r="AB36" s="346"/>
      <c r="AC36" s="346"/>
      <c r="AD36" s="346"/>
      <c r="AE36" s="346">
        <v>1</v>
      </c>
      <c r="AF36" s="346">
        <v>1</v>
      </c>
      <c r="AG36" s="345">
        <v>58</v>
      </c>
    </row>
    <row r="37" spans="1:33" x14ac:dyDescent="0.35">
      <c r="A37" s="345">
        <v>34</v>
      </c>
      <c r="B37" s="475" t="s">
        <v>43</v>
      </c>
      <c r="C37" s="346">
        <v>12</v>
      </c>
      <c r="D37" s="346">
        <v>6</v>
      </c>
      <c r="E37" s="346">
        <v>304</v>
      </c>
      <c r="F37" s="346">
        <v>10</v>
      </c>
      <c r="G37" s="346">
        <v>457</v>
      </c>
      <c r="H37" s="346">
        <v>198</v>
      </c>
      <c r="I37" s="346">
        <v>5</v>
      </c>
      <c r="J37" s="346"/>
      <c r="K37" s="346">
        <v>5554</v>
      </c>
      <c r="L37" s="346">
        <v>2</v>
      </c>
      <c r="M37" s="346">
        <v>5</v>
      </c>
      <c r="N37" s="346">
        <v>1</v>
      </c>
      <c r="O37" s="346">
        <v>290</v>
      </c>
      <c r="P37" s="346">
        <v>138</v>
      </c>
      <c r="Q37" s="346">
        <v>19</v>
      </c>
      <c r="R37" s="346">
        <v>29</v>
      </c>
      <c r="S37" s="346">
        <v>16</v>
      </c>
      <c r="T37" s="346">
        <v>8</v>
      </c>
      <c r="U37" s="346">
        <v>30</v>
      </c>
      <c r="V37" s="346">
        <v>33</v>
      </c>
      <c r="W37" s="346">
        <v>15</v>
      </c>
      <c r="X37" s="346">
        <v>14</v>
      </c>
      <c r="Y37" s="346">
        <v>20</v>
      </c>
      <c r="Z37" s="346">
        <v>163</v>
      </c>
      <c r="AA37" s="346">
        <v>2</v>
      </c>
      <c r="AB37" s="346">
        <v>378</v>
      </c>
      <c r="AC37" s="346">
        <v>30</v>
      </c>
      <c r="AD37" s="346">
        <v>4</v>
      </c>
      <c r="AE37" s="346">
        <v>5</v>
      </c>
      <c r="AF37" s="346"/>
      <c r="AG37" s="345">
        <v>7748</v>
      </c>
    </row>
    <row r="38" spans="1:33" x14ac:dyDescent="0.35">
      <c r="A38" s="345">
        <v>35</v>
      </c>
      <c r="B38" s="475" t="s">
        <v>44</v>
      </c>
      <c r="C38" s="346">
        <v>4</v>
      </c>
      <c r="D38" s="346">
        <v>1</v>
      </c>
      <c r="E38" s="346">
        <v>8</v>
      </c>
      <c r="F38" s="346"/>
      <c r="G38" s="346">
        <v>27</v>
      </c>
      <c r="H38" s="346">
        <v>21</v>
      </c>
      <c r="I38" s="346"/>
      <c r="J38" s="346"/>
      <c r="K38" s="346">
        <v>225</v>
      </c>
      <c r="L38" s="346"/>
      <c r="M38" s="346">
        <v>3</v>
      </c>
      <c r="N38" s="346"/>
      <c r="O38" s="346">
        <v>10</v>
      </c>
      <c r="P38" s="346">
        <v>13</v>
      </c>
      <c r="Q38" s="346">
        <v>2</v>
      </c>
      <c r="R38" s="346">
        <v>10</v>
      </c>
      <c r="S38" s="346">
        <v>2</v>
      </c>
      <c r="T38" s="346"/>
      <c r="U38" s="346">
        <v>6</v>
      </c>
      <c r="V38" s="346">
        <v>17</v>
      </c>
      <c r="W38" s="346">
        <v>1</v>
      </c>
      <c r="X38" s="346"/>
      <c r="Y38" s="346">
        <v>8</v>
      </c>
      <c r="Z38" s="346">
        <v>13</v>
      </c>
      <c r="AA38" s="346"/>
      <c r="AB38" s="346">
        <v>12</v>
      </c>
      <c r="AC38" s="346">
        <v>2</v>
      </c>
      <c r="AD38" s="346"/>
      <c r="AE38" s="346">
        <v>2</v>
      </c>
      <c r="AF38" s="346"/>
      <c r="AG38" s="345">
        <v>387</v>
      </c>
    </row>
    <row r="39" spans="1:33" x14ac:dyDescent="0.35">
      <c r="A39" s="345">
        <v>36</v>
      </c>
      <c r="B39" s="476" t="s">
        <v>45</v>
      </c>
      <c r="C39" s="346"/>
      <c r="D39" s="346"/>
      <c r="E39" s="346">
        <v>10</v>
      </c>
      <c r="F39" s="346">
        <v>2</v>
      </c>
      <c r="G39" s="346">
        <v>387</v>
      </c>
      <c r="H39" s="346">
        <v>90</v>
      </c>
      <c r="I39" s="346">
        <v>7</v>
      </c>
      <c r="J39" s="346">
        <v>1</v>
      </c>
      <c r="K39" s="346">
        <v>764</v>
      </c>
      <c r="L39" s="346"/>
      <c r="M39" s="346">
        <v>5</v>
      </c>
      <c r="N39" s="346"/>
      <c r="O39" s="346">
        <v>32</v>
      </c>
      <c r="P39" s="346">
        <v>33</v>
      </c>
      <c r="Q39" s="346">
        <v>28</v>
      </c>
      <c r="R39" s="346">
        <v>5</v>
      </c>
      <c r="S39" s="346">
        <v>5</v>
      </c>
      <c r="T39" s="346">
        <v>11</v>
      </c>
      <c r="U39" s="346">
        <v>23</v>
      </c>
      <c r="V39" s="346">
        <v>105</v>
      </c>
      <c r="W39" s="346"/>
      <c r="X39" s="346">
        <v>13</v>
      </c>
      <c r="Y39" s="346">
        <v>11</v>
      </c>
      <c r="Z39" s="346">
        <v>15</v>
      </c>
      <c r="AA39" s="346">
        <v>4</v>
      </c>
      <c r="AB39" s="346">
        <v>3</v>
      </c>
      <c r="AC39" s="346">
        <v>2</v>
      </c>
      <c r="AD39" s="346"/>
      <c r="AE39" s="346">
        <v>2</v>
      </c>
      <c r="AF39" s="346"/>
      <c r="AG39" s="346">
        <v>1558</v>
      </c>
    </row>
    <row r="40" spans="1:33" x14ac:dyDescent="0.35">
      <c r="A40" s="701" t="s">
        <v>46</v>
      </c>
      <c r="B40" s="702"/>
      <c r="C40" s="347">
        <v>415</v>
      </c>
      <c r="D40" s="347">
        <v>179</v>
      </c>
      <c r="E40" s="347">
        <v>1357</v>
      </c>
      <c r="F40" s="347">
        <v>360</v>
      </c>
      <c r="G40" s="347">
        <v>3888</v>
      </c>
      <c r="H40" s="347">
        <v>2853</v>
      </c>
      <c r="I40" s="347">
        <v>131</v>
      </c>
      <c r="J40" s="347">
        <v>22</v>
      </c>
      <c r="K40" s="347">
        <v>26180</v>
      </c>
      <c r="L40" s="347">
        <v>26</v>
      </c>
      <c r="M40" s="347">
        <v>135</v>
      </c>
      <c r="N40" s="347">
        <v>14</v>
      </c>
      <c r="O40" s="347">
        <v>904</v>
      </c>
      <c r="P40" s="347">
        <v>893</v>
      </c>
      <c r="Q40" s="347">
        <v>347</v>
      </c>
      <c r="R40" s="347">
        <v>333</v>
      </c>
      <c r="S40" s="347">
        <v>223</v>
      </c>
      <c r="T40" s="347">
        <v>187</v>
      </c>
      <c r="U40" s="347">
        <v>523</v>
      </c>
      <c r="V40" s="347">
        <v>2109</v>
      </c>
      <c r="W40" s="347">
        <v>56</v>
      </c>
      <c r="X40" s="347">
        <v>319</v>
      </c>
      <c r="Y40" s="347">
        <v>285</v>
      </c>
      <c r="Z40" s="347">
        <v>1166</v>
      </c>
      <c r="AA40" s="347">
        <v>274</v>
      </c>
      <c r="AB40" s="347">
        <v>669</v>
      </c>
      <c r="AC40" s="347">
        <v>329</v>
      </c>
      <c r="AD40" s="347">
        <v>94</v>
      </c>
      <c r="AE40" s="347">
        <v>150</v>
      </c>
      <c r="AF40" s="347">
        <v>98</v>
      </c>
      <c r="AG40" s="347">
        <v>44519</v>
      </c>
    </row>
  </sheetData>
  <mergeCells count="5">
    <mergeCell ref="A1:B1"/>
    <mergeCell ref="C1:L1"/>
    <mergeCell ref="M1:V1"/>
    <mergeCell ref="W1:AF1"/>
    <mergeCell ref="A40:B40"/>
  </mergeCells>
  <pageMargins left="0.59055118110236227" right="0.35433070866141736" top="0.39370078740157483" bottom="0.39370078740157483" header="0.31496062992125984" footer="0.19685039370078741"/>
  <pageSetup paperSize="9" scale="85" firstPageNumber="6" orientation="portrait" r:id="rId1"/>
  <headerFooter>
    <oddFooter>&amp;L&amp;"Arial,Italic"&amp;9AISHE 2022-23&amp;RT-4a</oddFooter>
  </headerFooter>
  <colBreaks count="2" manualBreakCount="2">
    <brk id="12" max="39" man="1"/>
    <brk id="22" max="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1C6A-2A07-4D58-B904-D157DF465A10}">
  <sheetPr codeName="Sheet6">
    <tabColor rgb="FF92D050"/>
  </sheetPr>
  <dimension ref="A1:T41"/>
  <sheetViews>
    <sheetView showZeros="0" view="pageBreakPreview" zoomScale="130" zoomScaleNormal="100" zoomScaleSheetLayoutView="130" workbookViewId="0">
      <pane xSplit="2" ySplit="4" topLeftCell="G5" activePane="bottomRight" state="frozen"/>
      <selection activeCell="S20" sqref="S20"/>
      <selection pane="topRight" activeCell="S20" sqref="S20"/>
      <selection pane="bottomLeft" activeCell="S20" sqref="S20"/>
      <selection pane="bottomRight" activeCell="S20" sqref="S20"/>
    </sheetView>
  </sheetViews>
  <sheetFormatPr defaultColWidth="4.26953125" defaultRowHeight="14" x14ac:dyDescent="0.3"/>
  <cols>
    <col min="1" max="1" width="5.54296875" style="24" customWidth="1"/>
    <col min="2" max="2" width="18" style="24" customWidth="1"/>
    <col min="3" max="6" width="14" style="24" customWidth="1"/>
    <col min="7" max="7" width="12.26953125" style="24" customWidth="1"/>
    <col min="8" max="11" width="14.26953125" style="24" customWidth="1"/>
    <col min="12" max="12" width="10.7265625" style="24" bestFit="1" customWidth="1"/>
    <col min="13" max="13" width="7.54296875" style="24" bestFit="1" customWidth="1"/>
    <col min="14" max="14" width="9.81640625" style="24" bestFit="1" customWidth="1"/>
    <col min="15" max="15" width="7.54296875" style="24" bestFit="1" customWidth="1"/>
    <col min="16" max="16" width="9.81640625" style="24" bestFit="1" customWidth="1"/>
    <col min="17" max="17" width="7.54296875" style="24" bestFit="1" customWidth="1"/>
    <col min="18" max="18" width="9.81640625" style="24" bestFit="1" customWidth="1"/>
    <col min="19" max="19" width="7.54296875" style="24" customWidth="1"/>
    <col min="20" max="20" width="9.81640625" style="24" bestFit="1" customWidth="1"/>
    <col min="21" max="16384" width="4.26953125" style="24"/>
  </cols>
  <sheetData>
    <row r="1" spans="1:20" s="540" customFormat="1" ht="15.5" x14ac:dyDescent="0.35">
      <c r="A1" s="703" t="s">
        <v>0</v>
      </c>
      <c r="B1" s="703"/>
      <c r="C1" s="704" t="s">
        <v>74</v>
      </c>
      <c r="D1" s="704"/>
      <c r="E1" s="704"/>
      <c r="F1" s="704"/>
      <c r="G1" s="704"/>
      <c r="H1" s="704" t="s">
        <v>75</v>
      </c>
      <c r="I1" s="704"/>
      <c r="J1" s="704"/>
      <c r="K1" s="704"/>
      <c r="L1" s="704"/>
      <c r="M1" s="704" t="s">
        <v>76</v>
      </c>
      <c r="N1" s="704"/>
      <c r="O1" s="704"/>
      <c r="P1" s="704"/>
      <c r="Q1" s="704"/>
      <c r="R1" s="704"/>
      <c r="S1" s="704"/>
      <c r="T1" s="704"/>
    </row>
    <row r="2" spans="1:20" s="539" customFormat="1" ht="15.5" x14ac:dyDescent="0.35">
      <c r="A2" s="683" t="s">
        <v>974</v>
      </c>
      <c r="B2" s="706" t="s">
        <v>50</v>
      </c>
      <c r="C2" s="707" t="s">
        <v>77</v>
      </c>
      <c r="D2" s="707" t="s">
        <v>78</v>
      </c>
      <c r="E2" s="707" t="s">
        <v>79</v>
      </c>
      <c r="F2" s="707" t="s">
        <v>80</v>
      </c>
      <c r="G2" s="707" t="s">
        <v>54</v>
      </c>
      <c r="H2" s="707" t="s">
        <v>77</v>
      </c>
      <c r="I2" s="707" t="s">
        <v>1024</v>
      </c>
      <c r="J2" s="712" t="s">
        <v>79</v>
      </c>
      <c r="K2" s="712" t="s">
        <v>80</v>
      </c>
      <c r="L2" s="712" t="s">
        <v>54</v>
      </c>
      <c r="M2" s="709" t="s">
        <v>1025</v>
      </c>
      <c r="N2" s="710"/>
      <c r="O2" s="711" t="s">
        <v>78</v>
      </c>
      <c r="P2" s="710"/>
      <c r="Q2" s="711" t="s">
        <v>80</v>
      </c>
      <c r="R2" s="710"/>
      <c r="S2" s="711" t="s">
        <v>54</v>
      </c>
      <c r="T2" s="710"/>
    </row>
    <row r="3" spans="1:20" s="539" customFormat="1" ht="15.5" x14ac:dyDescent="0.35">
      <c r="A3" s="705"/>
      <c r="B3" s="706"/>
      <c r="C3" s="708"/>
      <c r="D3" s="708"/>
      <c r="E3" s="708"/>
      <c r="F3" s="708"/>
      <c r="G3" s="708"/>
      <c r="H3" s="713"/>
      <c r="I3" s="713"/>
      <c r="J3" s="713"/>
      <c r="K3" s="713"/>
      <c r="L3" s="713"/>
      <c r="M3" s="542" t="s">
        <v>81</v>
      </c>
      <c r="N3" s="542" t="s">
        <v>82</v>
      </c>
      <c r="O3" s="542" t="s">
        <v>81</v>
      </c>
      <c r="P3" s="542" t="s">
        <v>82</v>
      </c>
      <c r="Q3" s="542" t="s">
        <v>81</v>
      </c>
      <c r="R3" s="542" t="s">
        <v>82</v>
      </c>
      <c r="S3" s="542" t="s">
        <v>81</v>
      </c>
      <c r="T3" s="542" t="s">
        <v>82</v>
      </c>
    </row>
    <row r="4" spans="1:20" s="477" customFormat="1" ht="10.5" x14ac:dyDescent="0.25">
      <c r="A4" s="458">
        <v>1</v>
      </c>
      <c r="B4" s="458">
        <v>2</v>
      </c>
      <c r="C4" s="458">
        <v>3</v>
      </c>
      <c r="D4" s="458">
        <v>4</v>
      </c>
      <c r="E4" s="458">
        <v>5</v>
      </c>
      <c r="F4" s="458">
        <v>6</v>
      </c>
      <c r="G4" s="458">
        <v>7</v>
      </c>
      <c r="H4" s="458">
        <v>3</v>
      </c>
      <c r="I4" s="458">
        <v>4</v>
      </c>
      <c r="J4" s="458">
        <v>5</v>
      </c>
      <c r="K4" s="458">
        <v>6</v>
      </c>
      <c r="L4" s="458">
        <v>7</v>
      </c>
      <c r="M4" s="458">
        <v>3</v>
      </c>
      <c r="N4" s="458">
        <v>4</v>
      </c>
      <c r="O4" s="458">
        <v>5</v>
      </c>
      <c r="P4" s="458">
        <v>6</v>
      </c>
      <c r="Q4" s="458">
        <v>7</v>
      </c>
      <c r="R4" s="458">
        <v>8</v>
      </c>
      <c r="S4" s="458">
        <v>9</v>
      </c>
      <c r="T4" s="458">
        <v>10</v>
      </c>
    </row>
    <row r="5" spans="1:20" s="22" customFormat="1" ht="20.25" customHeight="1" x14ac:dyDescent="0.35">
      <c r="A5" s="6">
        <v>1</v>
      </c>
      <c r="B5" s="541" t="s">
        <v>58</v>
      </c>
      <c r="C5" s="6"/>
      <c r="D5" s="6"/>
      <c r="E5" s="98"/>
      <c r="F5" s="6">
        <v>3</v>
      </c>
      <c r="G5" s="6">
        <v>3</v>
      </c>
      <c r="H5" s="98"/>
      <c r="I5" s="98"/>
      <c r="J5" s="98"/>
      <c r="K5" s="98">
        <v>1908</v>
      </c>
      <c r="L5" s="98">
        <v>1908</v>
      </c>
      <c r="M5" s="6"/>
      <c r="N5" s="6"/>
      <c r="O5" s="6"/>
      <c r="P5" s="6"/>
      <c r="Q5" s="6"/>
      <c r="R5" s="6"/>
      <c r="S5" s="6">
        <v>0</v>
      </c>
      <c r="T5" s="6">
        <v>0</v>
      </c>
    </row>
    <row r="6" spans="1:20" s="22" customFormat="1" ht="20.25" customHeight="1" x14ac:dyDescent="0.35">
      <c r="A6" s="6">
        <v>2</v>
      </c>
      <c r="B6" s="541" t="s">
        <v>13</v>
      </c>
      <c r="C6" s="6">
        <v>2112</v>
      </c>
      <c r="D6" s="6">
        <v>135</v>
      </c>
      <c r="E6" s="98">
        <v>2247</v>
      </c>
      <c r="F6" s="6">
        <v>333</v>
      </c>
      <c r="G6" s="6">
        <v>2580</v>
      </c>
      <c r="H6" s="98">
        <v>1090777</v>
      </c>
      <c r="I6" s="98">
        <v>89988</v>
      </c>
      <c r="J6" s="98">
        <v>1180765</v>
      </c>
      <c r="K6" s="98">
        <v>197910</v>
      </c>
      <c r="L6" s="98">
        <v>1378675</v>
      </c>
      <c r="M6" s="6">
        <v>10</v>
      </c>
      <c r="N6" s="6">
        <v>420</v>
      </c>
      <c r="O6" s="6">
        <v>0</v>
      </c>
      <c r="P6" s="6">
        <v>0</v>
      </c>
      <c r="Q6" s="6">
        <v>2</v>
      </c>
      <c r="R6" s="6">
        <v>130</v>
      </c>
      <c r="S6" s="6">
        <v>12</v>
      </c>
      <c r="T6" s="6">
        <v>550</v>
      </c>
    </row>
    <row r="7" spans="1:20" s="22" customFormat="1" ht="20.25" customHeight="1" x14ac:dyDescent="0.35">
      <c r="A7" s="6">
        <v>3</v>
      </c>
      <c r="B7" s="541" t="s">
        <v>14</v>
      </c>
      <c r="C7" s="6">
        <v>15</v>
      </c>
      <c r="D7" s="6">
        <v>4</v>
      </c>
      <c r="E7" s="98">
        <v>19</v>
      </c>
      <c r="F7" s="6">
        <v>24</v>
      </c>
      <c r="G7" s="6">
        <v>43</v>
      </c>
      <c r="H7" s="98">
        <v>5520</v>
      </c>
      <c r="I7" s="98">
        <v>1463</v>
      </c>
      <c r="J7" s="98">
        <v>6983</v>
      </c>
      <c r="K7" s="98">
        <v>21385</v>
      </c>
      <c r="L7" s="98">
        <v>28368</v>
      </c>
      <c r="M7" s="6"/>
      <c r="N7" s="6"/>
      <c r="O7" s="6"/>
      <c r="P7" s="6"/>
      <c r="Q7" s="6"/>
      <c r="R7" s="6"/>
      <c r="S7" s="6">
        <v>0</v>
      </c>
      <c r="T7" s="6">
        <v>0</v>
      </c>
    </row>
    <row r="8" spans="1:20" s="22" customFormat="1" ht="20.25" customHeight="1" x14ac:dyDescent="0.35">
      <c r="A8" s="6">
        <v>4</v>
      </c>
      <c r="B8" s="541" t="s">
        <v>15</v>
      </c>
      <c r="C8" s="6">
        <v>131</v>
      </c>
      <c r="D8" s="6">
        <v>37</v>
      </c>
      <c r="E8" s="98">
        <v>168</v>
      </c>
      <c r="F8" s="6">
        <v>482</v>
      </c>
      <c r="G8" s="6">
        <v>650</v>
      </c>
      <c r="H8" s="98">
        <v>40703</v>
      </c>
      <c r="I8" s="98">
        <v>8661</v>
      </c>
      <c r="J8" s="98">
        <v>49364</v>
      </c>
      <c r="K8" s="98">
        <v>508096</v>
      </c>
      <c r="L8" s="98">
        <v>557460</v>
      </c>
      <c r="M8" s="6">
        <v>1</v>
      </c>
      <c r="N8" s="6">
        <v>99</v>
      </c>
      <c r="O8" s="6">
        <v>0</v>
      </c>
      <c r="P8" s="6">
        <v>0</v>
      </c>
      <c r="Q8" s="6">
        <v>1</v>
      </c>
      <c r="R8" s="6">
        <v>100</v>
      </c>
      <c r="S8" s="6">
        <v>2</v>
      </c>
      <c r="T8" s="6">
        <v>199</v>
      </c>
    </row>
    <row r="9" spans="1:20" s="22" customFormat="1" ht="20.25" customHeight="1" x14ac:dyDescent="0.35">
      <c r="A9" s="6">
        <v>5</v>
      </c>
      <c r="B9" s="541" t="s">
        <v>16</v>
      </c>
      <c r="C9" s="6">
        <v>450</v>
      </c>
      <c r="D9" s="6">
        <v>170</v>
      </c>
      <c r="E9" s="98">
        <v>620</v>
      </c>
      <c r="F9" s="6">
        <v>542</v>
      </c>
      <c r="G9" s="6">
        <v>1162</v>
      </c>
      <c r="H9" s="98">
        <v>255136</v>
      </c>
      <c r="I9" s="98">
        <v>324170</v>
      </c>
      <c r="J9" s="98">
        <v>579306</v>
      </c>
      <c r="K9" s="98">
        <v>1671005</v>
      </c>
      <c r="L9" s="98">
        <v>2250311</v>
      </c>
      <c r="M9" s="6">
        <v>24</v>
      </c>
      <c r="N9" s="6">
        <v>6505</v>
      </c>
      <c r="O9" s="6">
        <v>1</v>
      </c>
      <c r="P9" s="6">
        <v>215</v>
      </c>
      <c r="Q9" s="6">
        <v>1</v>
      </c>
      <c r="R9" s="6">
        <v>442</v>
      </c>
      <c r="S9" s="6">
        <v>26</v>
      </c>
      <c r="T9" s="6">
        <v>7162</v>
      </c>
    </row>
    <row r="10" spans="1:20" s="22" customFormat="1" ht="20.25" customHeight="1" x14ac:dyDescent="0.35">
      <c r="A10" s="6">
        <v>6</v>
      </c>
      <c r="B10" s="541" t="s">
        <v>17</v>
      </c>
      <c r="C10" s="6">
        <v>4</v>
      </c>
      <c r="D10" s="6">
        <v>7</v>
      </c>
      <c r="E10" s="98">
        <v>11</v>
      </c>
      <c r="F10" s="6">
        <v>15</v>
      </c>
      <c r="G10" s="6">
        <v>26</v>
      </c>
      <c r="H10" s="98">
        <v>702</v>
      </c>
      <c r="I10" s="98">
        <v>30498</v>
      </c>
      <c r="J10" s="98">
        <v>31200</v>
      </c>
      <c r="K10" s="98">
        <v>17759</v>
      </c>
      <c r="L10" s="98">
        <v>48959</v>
      </c>
      <c r="M10" s="6"/>
      <c r="N10" s="6"/>
      <c r="O10" s="6"/>
      <c r="P10" s="6"/>
      <c r="Q10" s="6"/>
      <c r="R10" s="6"/>
      <c r="S10" s="6">
        <v>0</v>
      </c>
      <c r="T10" s="6">
        <v>0</v>
      </c>
    </row>
    <row r="11" spans="1:20" s="22" customFormat="1" ht="20.25" customHeight="1" x14ac:dyDescent="0.35">
      <c r="A11" s="6">
        <v>7</v>
      </c>
      <c r="B11" s="541" t="s">
        <v>18</v>
      </c>
      <c r="C11" s="8">
        <v>403</v>
      </c>
      <c r="D11" s="6">
        <v>95</v>
      </c>
      <c r="E11" s="98">
        <v>498</v>
      </c>
      <c r="F11" s="6">
        <v>429</v>
      </c>
      <c r="G11" s="6">
        <v>927</v>
      </c>
      <c r="H11" s="98">
        <v>141888</v>
      </c>
      <c r="I11" s="98">
        <v>39878</v>
      </c>
      <c r="J11" s="98">
        <v>181766</v>
      </c>
      <c r="K11" s="98">
        <v>374669</v>
      </c>
      <c r="L11" s="98">
        <v>556435</v>
      </c>
      <c r="M11" s="6">
        <v>21</v>
      </c>
      <c r="N11" s="6">
        <v>941</v>
      </c>
      <c r="O11" s="6">
        <v>5</v>
      </c>
      <c r="P11" s="6">
        <v>418</v>
      </c>
      <c r="Q11" s="6">
        <v>6</v>
      </c>
      <c r="R11" s="6">
        <v>428</v>
      </c>
      <c r="S11" s="6">
        <v>32</v>
      </c>
      <c r="T11" s="6">
        <v>1787</v>
      </c>
    </row>
    <row r="12" spans="1:20" s="22" customFormat="1" ht="20.25" customHeight="1" x14ac:dyDescent="0.35">
      <c r="A12" s="6">
        <v>8</v>
      </c>
      <c r="B12" s="541" t="s">
        <v>19</v>
      </c>
      <c r="C12" s="6">
        <v>64</v>
      </c>
      <c r="D12" s="6">
        <v>6</v>
      </c>
      <c r="E12" s="98">
        <v>70</v>
      </c>
      <c r="F12" s="6">
        <v>97</v>
      </c>
      <c r="G12" s="6">
        <v>167</v>
      </c>
      <c r="H12" s="98">
        <v>66826</v>
      </c>
      <c r="I12" s="98">
        <v>17913</v>
      </c>
      <c r="J12" s="98">
        <v>84739</v>
      </c>
      <c r="K12" s="98">
        <v>335225</v>
      </c>
      <c r="L12" s="98">
        <v>419964</v>
      </c>
      <c r="M12" s="6">
        <v>2</v>
      </c>
      <c r="N12" s="6">
        <v>354</v>
      </c>
      <c r="O12" s="6">
        <v>0</v>
      </c>
      <c r="P12" s="6">
        <v>0</v>
      </c>
      <c r="Q12" s="6">
        <v>0</v>
      </c>
      <c r="R12" s="6"/>
      <c r="S12" s="6">
        <v>2</v>
      </c>
      <c r="T12" s="6">
        <v>354</v>
      </c>
    </row>
    <row r="13" spans="1:20" s="22" customFormat="1" ht="20.25" customHeight="1" x14ac:dyDescent="0.35">
      <c r="A13" s="6">
        <v>9</v>
      </c>
      <c r="B13" s="541" t="s">
        <v>20</v>
      </c>
      <c r="C13" s="6">
        <v>16</v>
      </c>
      <c r="D13" s="6">
        <v>23</v>
      </c>
      <c r="E13" s="98">
        <v>39</v>
      </c>
      <c r="F13" s="6">
        <v>24</v>
      </c>
      <c r="G13" s="6">
        <v>63</v>
      </c>
      <c r="H13" s="98">
        <v>5519</v>
      </c>
      <c r="I13" s="98">
        <v>21115</v>
      </c>
      <c r="J13" s="98">
        <v>26634</v>
      </c>
      <c r="K13" s="98">
        <v>15637</v>
      </c>
      <c r="L13" s="98">
        <v>42271</v>
      </c>
      <c r="M13" s="6">
        <v>0</v>
      </c>
      <c r="N13" s="6"/>
      <c r="O13" s="6">
        <v>0</v>
      </c>
      <c r="P13" s="6"/>
      <c r="Q13" s="6">
        <v>2</v>
      </c>
      <c r="R13" s="6">
        <v>239</v>
      </c>
      <c r="S13" s="6">
        <v>2</v>
      </c>
      <c r="T13" s="6">
        <v>239</v>
      </c>
    </row>
    <row r="14" spans="1:20" s="22" customFormat="1" ht="20.25" customHeight="1" x14ac:dyDescent="0.35">
      <c r="A14" s="6">
        <v>10</v>
      </c>
      <c r="B14" s="541" t="s">
        <v>21</v>
      </c>
      <c r="C14" s="6">
        <v>1550</v>
      </c>
      <c r="D14" s="6">
        <v>465</v>
      </c>
      <c r="E14" s="98">
        <v>2015</v>
      </c>
      <c r="F14" s="6">
        <v>434</v>
      </c>
      <c r="G14" s="6">
        <v>2449</v>
      </c>
      <c r="H14" s="98">
        <v>528253</v>
      </c>
      <c r="I14" s="98">
        <v>442189</v>
      </c>
      <c r="J14" s="98">
        <v>970442</v>
      </c>
      <c r="K14" s="98">
        <v>311744</v>
      </c>
      <c r="L14" s="98">
        <v>1282186</v>
      </c>
      <c r="M14" s="6">
        <v>109</v>
      </c>
      <c r="N14" s="6">
        <v>6717</v>
      </c>
      <c r="O14" s="6">
        <v>5</v>
      </c>
      <c r="P14" s="6">
        <v>706</v>
      </c>
      <c r="Q14" s="6">
        <v>13</v>
      </c>
      <c r="R14" s="6">
        <v>1756</v>
      </c>
      <c r="S14" s="6">
        <v>127</v>
      </c>
      <c r="T14" s="6">
        <v>9179</v>
      </c>
    </row>
    <row r="15" spans="1:20" s="22" customFormat="1" ht="20.25" customHeight="1" x14ac:dyDescent="0.35">
      <c r="A15" s="6">
        <v>11</v>
      </c>
      <c r="B15" s="541" t="s">
        <v>22</v>
      </c>
      <c r="C15" s="6">
        <v>736</v>
      </c>
      <c r="D15" s="6">
        <v>134</v>
      </c>
      <c r="E15" s="98">
        <v>870</v>
      </c>
      <c r="F15" s="6">
        <v>252</v>
      </c>
      <c r="G15" s="6">
        <v>1122</v>
      </c>
      <c r="H15" s="98">
        <v>265248</v>
      </c>
      <c r="I15" s="98">
        <v>158714</v>
      </c>
      <c r="J15" s="98">
        <v>423962</v>
      </c>
      <c r="K15" s="98">
        <v>273149</v>
      </c>
      <c r="L15" s="98">
        <v>697111</v>
      </c>
      <c r="M15" s="6">
        <v>9</v>
      </c>
      <c r="N15" s="6">
        <v>344</v>
      </c>
      <c r="O15" s="6">
        <v>0</v>
      </c>
      <c r="P15" s="6">
        <v>0</v>
      </c>
      <c r="Q15" s="6">
        <v>4</v>
      </c>
      <c r="R15" s="6">
        <v>632</v>
      </c>
      <c r="S15" s="6">
        <v>13</v>
      </c>
      <c r="T15" s="6">
        <v>976</v>
      </c>
    </row>
    <row r="16" spans="1:20" s="22" customFormat="1" ht="20.25" customHeight="1" x14ac:dyDescent="0.35">
      <c r="A16" s="6">
        <v>12</v>
      </c>
      <c r="B16" s="541" t="s">
        <v>23</v>
      </c>
      <c r="C16" s="6">
        <v>156</v>
      </c>
      <c r="D16" s="6">
        <v>16</v>
      </c>
      <c r="E16" s="98">
        <v>172</v>
      </c>
      <c r="F16" s="6">
        <v>167</v>
      </c>
      <c r="G16" s="6">
        <v>339</v>
      </c>
      <c r="H16" s="98">
        <v>33483</v>
      </c>
      <c r="I16" s="98">
        <v>11427</v>
      </c>
      <c r="J16" s="98">
        <v>44910</v>
      </c>
      <c r="K16" s="98">
        <v>148714</v>
      </c>
      <c r="L16" s="98">
        <v>193624</v>
      </c>
      <c r="M16" s="6">
        <v>0</v>
      </c>
      <c r="N16" s="6"/>
      <c r="O16" s="6">
        <v>0</v>
      </c>
      <c r="P16" s="6"/>
      <c r="Q16" s="6">
        <v>4</v>
      </c>
      <c r="R16" s="6">
        <v>533</v>
      </c>
      <c r="S16" s="6">
        <v>4</v>
      </c>
      <c r="T16" s="6">
        <v>533</v>
      </c>
    </row>
    <row r="17" spans="1:20" s="22" customFormat="1" ht="20.25" customHeight="1" x14ac:dyDescent="0.35">
      <c r="A17" s="6">
        <v>13</v>
      </c>
      <c r="B17" s="541" t="s">
        <v>24</v>
      </c>
      <c r="C17" s="6">
        <v>121</v>
      </c>
      <c r="D17" s="6">
        <v>21</v>
      </c>
      <c r="E17" s="98">
        <v>142</v>
      </c>
      <c r="F17" s="6">
        <v>186</v>
      </c>
      <c r="G17" s="6">
        <v>328</v>
      </c>
      <c r="H17" s="98">
        <v>25353</v>
      </c>
      <c r="I17" s="98">
        <v>4973</v>
      </c>
      <c r="J17" s="98">
        <v>30326</v>
      </c>
      <c r="K17" s="98">
        <v>184860</v>
      </c>
      <c r="L17" s="98">
        <v>215186</v>
      </c>
      <c r="M17" s="6">
        <v>3</v>
      </c>
      <c r="N17" s="6">
        <v>85</v>
      </c>
      <c r="O17" s="6">
        <v>0</v>
      </c>
      <c r="P17" s="6">
        <v>0</v>
      </c>
      <c r="Q17" s="6">
        <v>0</v>
      </c>
      <c r="R17" s="6"/>
      <c r="S17" s="6">
        <v>3</v>
      </c>
      <c r="T17" s="6">
        <v>85</v>
      </c>
    </row>
    <row r="18" spans="1:20" s="22" customFormat="1" ht="20.25" customHeight="1" x14ac:dyDescent="0.35">
      <c r="A18" s="6">
        <v>14</v>
      </c>
      <c r="B18" s="541" t="s">
        <v>25</v>
      </c>
      <c r="C18" s="6">
        <v>189</v>
      </c>
      <c r="D18" s="6">
        <v>72</v>
      </c>
      <c r="E18" s="98">
        <v>261</v>
      </c>
      <c r="F18" s="6">
        <v>149</v>
      </c>
      <c r="G18" s="6">
        <v>410</v>
      </c>
      <c r="H18" s="98">
        <v>85810</v>
      </c>
      <c r="I18" s="98">
        <v>183678</v>
      </c>
      <c r="J18" s="98">
        <v>269488</v>
      </c>
      <c r="K18" s="98">
        <v>417087</v>
      </c>
      <c r="L18" s="98">
        <v>686575</v>
      </c>
      <c r="M18" s="6">
        <v>3</v>
      </c>
      <c r="N18" s="6">
        <v>755</v>
      </c>
      <c r="O18" s="6">
        <v>0</v>
      </c>
      <c r="P18" s="6">
        <v>0</v>
      </c>
      <c r="Q18" s="6">
        <v>2</v>
      </c>
      <c r="R18" s="6">
        <v>217</v>
      </c>
      <c r="S18" s="6">
        <v>5</v>
      </c>
      <c r="T18" s="6">
        <v>972</v>
      </c>
    </row>
    <row r="19" spans="1:20" s="22" customFormat="1" ht="20.25" customHeight="1" x14ac:dyDescent="0.35">
      <c r="A19" s="6">
        <v>15</v>
      </c>
      <c r="B19" s="541" t="s">
        <v>26</v>
      </c>
      <c r="C19" s="6">
        <v>3035</v>
      </c>
      <c r="D19" s="6">
        <v>484</v>
      </c>
      <c r="E19" s="98">
        <v>3519</v>
      </c>
      <c r="F19" s="6">
        <v>701</v>
      </c>
      <c r="G19" s="6">
        <v>4220</v>
      </c>
      <c r="H19" s="98">
        <v>975328</v>
      </c>
      <c r="I19" s="98">
        <v>307873</v>
      </c>
      <c r="J19" s="98">
        <v>1283201</v>
      </c>
      <c r="K19" s="98">
        <v>508264</v>
      </c>
      <c r="L19" s="98">
        <v>1791465</v>
      </c>
      <c r="M19" s="6">
        <v>98</v>
      </c>
      <c r="N19" s="6">
        <v>3564</v>
      </c>
      <c r="O19" s="6">
        <v>1</v>
      </c>
      <c r="P19" s="6">
        <v>111</v>
      </c>
      <c r="Q19" s="6">
        <v>6</v>
      </c>
      <c r="R19" s="6">
        <v>929</v>
      </c>
      <c r="S19" s="6">
        <v>105</v>
      </c>
      <c r="T19" s="6">
        <v>4604</v>
      </c>
    </row>
    <row r="20" spans="1:20" s="22" customFormat="1" ht="20.25" customHeight="1" x14ac:dyDescent="0.35">
      <c r="A20" s="6">
        <v>16</v>
      </c>
      <c r="B20" s="541" t="s">
        <v>27</v>
      </c>
      <c r="C20" s="6">
        <v>884</v>
      </c>
      <c r="D20" s="6">
        <v>226</v>
      </c>
      <c r="E20" s="98">
        <v>1110</v>
      </c>
      <c r="F20" s="6">
        <v>288</v>
      </c>
      <c r="G20" s="6">
        <v>1398</v>
      </c>
      <c r="H20" s="98">
        <v>384008</v>
      </c>
      <c r="I20" s="98">
        <v>274891</v>
      </c>
      <c r="J20" s="98">
        <v>658899</v>
      </c>
      <c r="K20" s="98">
        <v>144964</v>
      </c>
      <c r="L20" s="98">
        <v>803863</v>
      </c>
      <c r="M20" s="6">
        <v>21</v>
      </c>
      <c r="N20" s="6">
        <v>1000</v>
      </c>
      <c r="O20" s="6">
        <v>0</v>
      </c>
      <c r="P20" s="6">
        <v>0</v>
      </c>
      <c r="Q20" s="6">
        <v>3</v>
      </c>
      <c r="R20" s="6">
        <v>147</v>
      </c>
      <c r="S20" s="6">
        <v>24</v>
      </c>
      <c r="T20" s="6">
        <v>1147</v>
      </c>
    </row>
    <row r="21" spans="1:20" s="22" customFormat="1" ht="20.25" customHeight="1" x14ac:dyDescent="0.35">
      <c r="A21" s="6">
        <v>17</v>
      </c>
      <c r="B21" s="541" t="s">
        <v>28</v>
      </c>
      <c r="C21" s="6"/>
      <c r="D21" s="6"/>
      <c r="E21" s="98"/>
      <c r="F21" s="6">
        <v>6</v>
      </c>
      <c r="G21" s="6">
        <v>6</v>
      </c>
      <c r="H21" s="98"/>
      <c r="I21" s="98"/>
      <c r="J21" s="98"/>
      <c r="K21" s="98">
        <v>3110</v>
      </c>
      <c r="L21" s="98">
        <v>3110</v>
      </c>
      <c r="M21" s="6"/>
      <c r="N21" s="6"/>
      <c r="O21" s="6"/>
      <c r="P21" s="6"/>
      <c r="Q21" s="6"/>
      <c r="R21" s="6"/>
      <c r="S21" s="6">
        <v>0</v>
      </c>
      <c r="T21" s="6">
        <v>0</v>
      </c>
    </row>
    <row r="22" spans="1:20" s="22" customFormat="1" ht="20.25" customHeight="1" x14ac:dyDescent="0.35">
      <c r="A22" s="6">
        <v>18</v>
      </c>
      <c r="B22" s="541" t="s">
        <v>72</v>
      </c>
      <c r="C22" s="6"/>
      <c r="D22" s="6"/>
      <c r="E22" s="98"/>
      <c r="F22" s="6">
        <v>4</v>
      </c>
      <c r="G22" s="6">
        <v>4</v>
      </c>
      <c r="H22" s="98"/>
      <c r="I22" s="98"/>
      <c r="J22" s="98"/>
      <c r="K22" s="98">
        <v>513</v>
      </c>
      <c r="L22" s="98">
        <v>513</v>
      </c>
      <c r="M22" s="6"/>
      <c r="N22" s="6"/>
      <c r="O22" s="6"/>
      <c r="P22" s="6"/>
      <c r="Q22" s="6"/>
      <c r="R22" s="6"/>
      <c r="S22" s="6">
        <v>0</v>
      </c>
      <c r="T22" s="6">
        <v>0</v>
      </c>
    </row>
    <row r="23" spans="1:20" s="22" customFormat="1" ht="20.25" customHeight="1" x14ac:dyDescent="0.35">
      <c r="A23" s="6">
        <v>19</v>
      </c>
      <c r="B23" s="541" t="s">
        <v>29</v>
      </c>
      <c r="C23" s="6">
        <v>1429</v>
      </c>
      <c r="D23" s="6">
        <v>318</v>
      </c>
      <c r="E23" s="98">
        <v>1747</v>
      </c>
      <c r="F23" s="6">
        <v>781</v>
      </c>
      <c r="G23" s="6">
        <v>2528</v>
      </c>
      <c r="H23" s="98">
        <v>636247</v>
      </c>
      <c r="I23" s="98">
        <v>161291</v>
      </c>
      <c r="J23" s="98">
        <v>797538</v>
      </c>
      <c r="K23" s="98">
        <v>1112214</v>
      </c>
      <c r="L23" s="98">
        <v>1909752</v>
      </c>
      <c r="M23" s="6">
        <v>26</v>
      </c>
      <c r="N23" s="6">
        <v>3271</v>
      </c>
      <c r="O23" s="6">
        <v>3</v>
      </c>
      <c r="P23" s="6">
        <v>866</v>
      </c>
      <c r="Q23" s="6">
        <v>2</v>
      </c>
      <c r="R23" s="6">
        <v>113</v>
      </c>
      <c r="S23" s="6">
        <v>31</v>
      </c>
      <c r="T23" s="6">
        <v>4250</v>
      </c>
    </row>
    <row r="24" spans="1:20" s="22" customFormat="1" ht="20.25" customHeight="1" x14ac:dyDescent="0.35">
      <c r="A24" s="6">
        <v>20</v>
      </c>
      <c r="B24" s="541" t="s">
        <v>30</v>
      </c>
      <c r="C24" s="6">
        <v>3362</v>
      </c>
      <c r="D24" s="6">
        <v>1223</v>
      </c>
      <c r="E24" s="98">
        <v>4585</v>
      </c>
      <c r="F24" s="6">
        <v>476</v>
      </c>
      <c r="G24" s="6">
        <v>5061</v>
      </c>
      <c r="H24" s="98">
        <v>1460059</v>
      </c>
      <c r="I24" s="98">
        <v>1574336</v>
      </c>
      <c r="J24" s="98">
        <v>3034395</v>
      </c>
      <c r="K24" s="98">
        <v>269120</v>
      </c>
      <c r="L24" s="98">
        <v>3303515</v>
      </c>
      <c r="M24" s="6">
        <v>233</v>
      </c>
      <c r="N24" s="6">
        <v>18134</v>
      </c>
      <c r="O24" s="6">
        <v>5</v>
      </c>
      <c r="P24" s="6">
        <v>573</v>
      </c>
      <c r="Q24" s="6">
        <v>4</v>
      </c>
      <c r="R24" s="6">
        <v>182</v>
      </c>
      <c r="S24" s="6">
        <v>242</v>
      </c>
      <c r="T24" s="6">
        <v>18889</v>
      </c>
    </row>
    <row r="25" spans="1:20" s="22" customFormat="1" ht="20.25" customHeight="1" x14ac:dyDescent="0.35">
      <c r="A25" s="6">
        <v>21</v>
      </c>
      <c r="B25" s="541" t="s">
        <v>31</v>
      </c>
      <c r="C25" s="6">
        <v>28</v>
      </c>
      <c r="D25" s="6">
        <v>19</v>
      </c>
      <c r="E25" s="98">
        <v>47</v>
      </c>
      <c r="F25" s="6">
        <v>59</v>
      </c>
      <c r="G25" s="6">
        <v>106</v>
      </c>
      <c r="H25" s="98">
        <v>7050</v>
      </c>
      <c r="I25" s="98">
        <v>19100</v>
      </c>
      <c r="J25" s="98">
        <v>26150</v>
      </c>
      <c r="K25" s="98">
        <v>68022</v>
      </c>
      <c r="L25" s="98">
        <v>94172</v>
      </c>
      <c r="M25" s="6">
        <v>0</v>
      </c>
      <c r="N25" s="6"/>
      <c r="O25" s="6">
        <v>0</v>
      </c>
      <c r="P25" s="6"/>
      <c r="Q25" s="6">
        <v>1</v>
      </c>
      <c r="R25" s="6">
        <v>97</v>
      </c>
      <c r="S25" s="6">
        <v>1</v>
      </c>
      <c r="T25" s="6">
        <v>97</v>
      </c>
    </row>
    <row r="26" spans="1:20" s="22" customFormat="1" ht="20.25" customHeight="1" x14ac:dyDescent="0.35">
      <c r="A26" s="6">
        <v>22</v>
      </c>
      <c r="B26" s="541" t="s">
        <v>32</v>
      </c>
      <c r="C26" s="6">
        <v>24</v>
      </c>
      <c r="D26" s="6">
        <v>35</v>
      </c>
      <c r="E26" s="98">
        <v>59</v>
      </c>
      <c r="F26" s="6">
        <v>16</v>
      </c>
      <c r="G26" s="6">
        <v>75</v>
      </c>
      <c r="H26" s="98">
        <v>11536</v>
      </c>
      <c r="I26" s="98">
        <v>41519</v>
      </c>
      <c r="J26" s="98">
        <v>53055</v>
      </c>
      <c r="K26" s="98">
        <v>15089</v>
      </c>
      <c r="L26" s="98">
        <v>68144</v>
      </c>
      <c r="M26" s="6">
        <v>1</v>
      </c>
      <c r="N26" s="6">
        <v>19</v>
      </c>
      <c r="O26" s="6">
        <v>0</v>
      </c>
      <c r="P26" s="6">
        <v>0</v>
      </c>
      <c r="Q26" s="6">
        <v>0</v>
      </c>
      <c r="R26" s="6"/>
      <c r="S26" s="6">
        <v>1</v>
      </c>
      <c r="T26" s="6">
        <v>19</v>
      </c>
    </row>
    <row r="27" spans="1:20" s="22" customFormat="1" ht="20.25" customHeight="1" x14ac:dyDescent="0.35">
      <c r="A27" s="6">
        <v>23</v>
      </c>
      <c r="B27" s="541" t="s">
        <v>33</v>
      </c>
      <c r="C27" s="6">
        <v>8</v>
      </c>
      <c r="D27" s="6">
        <v>1</v>
      </c>
      <c r="E27" s="98">
        <v>9</v>
      </c>
      <c r="F27" s="6">
        <v>31</v>
      </c>
      <c r="G27" s="6">
        <v>40</v>
      </c>
      <c r="H27" s="98">
        <v>1647</v>
      </c>
      <c r="I27" s="98">
        <v>22</v>
      </c>
      <c r="J27" s="98">
        <v>1669</v>
      </c>
      <c r="K27" s="98">
        <v>24722</v>
      </c>
      <c r="L27" s="98">
        <v>26391</v>
      </c>
      <c r="M27" s="6"/>
      <c r="N27" s="6"/>
      <c r="O27" s="6"/>
      <c r="P27" s="6"/>
      <c r="Q27" s="6"/>
      <c r="R27" s="6"/>
      <c r="S27" s="6">
        <v>0</v>
      </c>
      <c r="T27" s="6">
        <v>0</v>
      </c>
    </row>
    <row r="28" spans="1:20" s="22" customFormat="1" ht="20.25" customHeight="1" x14ac:dyDescent="0.35">
      <c r="A28" s="6">
        <v>24</v>
      </c>
      <c r="B28" s="541" t="s">
        <v>34</v>
      </c>
      <c r="C28" s="6">
        <v>17</v>
      </c>
      <c r="D28" s="6">
        <v>31</v>
      </c>
      <c r="E28" s="98">
        <v>48</v>
      </c>
      <c r="F28" s="6">
        <v>21</v>
      </c>
      <c r="G28" s="6">
        <v>69</v>
      </c>
      <c r="H28" s="98">
        <v>4920</v>
      </c>
      <c r="I28" s="98">
        <v>16566</v>
      </c>
      <c r="J28" s="98">
        <v>21486</v>
      </c>
      <c r="K28" s="98">
        <v>15461</v>
      </c>
      <c r="L28" s="98">
        <v>36947</v>
      </c>
      <c r="M28" s="6">
        <v>1</v>
      </c>
      <c r="N28" s="6">
        <v>774</v>
      </c>
      <c r="O28" s="6">
        <v>0</v>
      </c>
      <c r="P28" s="6">
        <v>0</v>
      </c>
      <c r="Q28" s="6">
        <v>0</v>
      </c>
      <c r="R28" s="6"/>
      <c r="S28" s="6">
        <v>1</v>
      </c>
      <c r="T28" s="6">
        <v>774</v>
      </c>
    </row>
    <row r="29" spans="1:20" s="22" customFormat="1" ht="20.25" customHeight="1" x14ac:dyDescent="0.35">
      <c r="A29" s="6">
        <v>25</v>
      </c>
      <c r="B29" s="541" t="s">
        <v>35</v>
      </c>
      <c r="C29" s="6">
        <v>530</v>
      </c>
      <c r="D29" s="6">
        <v>435</v>
      </c>
      <c r="E29" s="98">
        <v>965</v>
      </c>
      <c r="F29" s="6">
        <v>394</v>
      </c>
      <c r="G29" s="6">
        <v>1359</v>
      </c>
      <c r="H29" s="98">
        <v>214200</v>
      </c>
      <c r="I29" s="98">
        <v>287192</v>
      </c>
      <c r="J29" s="98">
        <v>501392</v>
      </c>
      <c r="K29" s="98">
        <v>260666</v>
      </c>
      <c r="L29" s="98">
        <v>762058</v>
      </c>
      <c r="M29" s="6">
        <v>27</v>
      </c>
      <c r="N29" s="6">
        <v>2266</v>
      </c>
      <c r="O29" s="6">
        <v>2</v>
      </c>
      <c r="P29" s="6">
        <v>149</v>
      </c>
      <c r="Q29" s="6">
        <v>2</v>
      </c>
      <c r="R29" s="6">
        <v>200</v>
      </c>
      <c r="S29" s="6">
        <v>31</v>
      </c>
      <c r="T29" s="6">
        <v>2615</v>
      </c>
    </row>
    <row r="30" spans="1:20" s="22" customFormat="1" ht="20.25" customHeight="1" x14ac:dyDescent="0.35">
      <c r="A30" s="6">
        <v>26</v>
      </c>
      <c r="B30" s="541" t="s">
        <v>36</v>
      </c>
      <c r="C30" s="6">
        <v>47</v>
      </c>
      <c r="D30" s="6">
        <v>1</v>
      </c>
      <c r="E30" s="98">
        <v>48</v>
      </c>
      <c r="F30" s="6">
        <v>24</v>
      </c>
      <c r="G30" s="6">
        <v>72</v>
      </c>
      <c r="H30" s="98">
        <v>26336</v>
      </c>
      <c r="I30" s="98">
        <v>88</v>
      </c>
      <c r="J30" s="98">
        <v>26424</v>
      </c>
      <c r="K30" s="98">
        <v>23178</v>
      </c>
      <c r="L30" s="98">
        <v>49602</v>
      </c>
      <c r="M30" s="6">
        <v>4</v>
      </c>
      <c r="N30" s="6">
        <v>58</v>
      </c>
      <c r="O30" s="6">
        <v>0</v>
      </c>
      <c r="P30" s="6">
        <v>0</v>
      </c>
      <c r="Q30" s="6">
        <v>0</v>
      </c>
      <c r="R30" s="6"/>
      <c r="S30" s="6">
        <v>4</v>
      </c>
      <c r="T30" s="6">
        <v>58</v>
      </c>
    </row>
    <row r="31" spans="1:20" s="22" customFormat="1" ht="20.25" customHeight="1" x14ac:dyDescent="0.35">
      <c r="A31" s="6">
        <v>27</v>
      </c>
      <c r="B31" s="541" t="s">
        <v>37</v>
      </c>
      <c r="C31" s="6">
        <v>652</v>
      </c>
      <c r="D31" s="6">
        <v>179</v>
      </c>
      <c r="E31" s="98">
        <v>831</v>
      </c>
      <c r="F31" s="6">
        <v>203</v>
      </c>
      <c r="G31" s="6">
        <v>1034</v>
      </c>
      <c r="H31" s="98">
        <v>221707</v>
      </c>
      <c r="I31" s="98">
        <v>156124</v>
      </c>
      <c r="J31" s="98">
        <v>377831</v>
      </c>
      <c r="K31" s="98">
        <v>155604</v>
      </c>
      <c r="L31" s="98">
        <v>533435</v>
      </c>
      <c r="M31" s="6">
        <v>8</v>
      </c>
      <c r="N31" s="6">
        <v>326</v>
      </c>
      <c r="O31" s="6">
        <v>0</v>
      </c>
      <c r="P31" s="6">
        <v>0</v>
      </c>
      <c r="Q31" s="6">
        <v>1</v>
      </c>
      <c r="R31" s="6">
        <v>50</v>
      </c>
      <c r="S31" s="6">
        <v>9</v>
      </c>
      <c r="T31" s="6">
        <v>376</v>
      </c>
    </row>
    <row r="32" spans="1:20" s="22" customFormat="1" ht="20.25" customHeight="1" x14ac:dyDescent="0.35">
      <c r="A32" s="6">
        <v>28</v>
      </c>
      <c r="B32" s="541" t="s">
        <v>38</v>
      </c>
      <c r="C32" s="6">
        <v>2624</v>
      </c>
      <c r="D32" s="6">
        <v>274</v>
      </c>
      <c r="E32" s="98">
        <v>2898</v>
      </c>
      <c r="F32" s="6">
        <v>911</v>
      </c>
      <c r="G32" s="6">
        <v>3809</v>
      </c>
      <c r="H32" s="98">
        <v>1026522</v>
      </c>
      <c r="I32" s="98">
        <v>114380</v>
      </c>
      <c r="J32" s="98">
        <v>1140902</v>
      </c>
      <c r="K32" s="98">
        <v>711565</v>
      </c>
      <c r="L32" s="98">
        <v>1852467</v>
      </c>
      <c r="M32" s="6">
        <v>113</v>
      </c>
      <c r="N32" s="6">
        <v>5451</v>
      </c>
      <c r="O32" s="6">
        <v>8</v>
      </c>
      <c r="P32" s="6">
        <v>546</v>
      </c>
      <c r="Q32" s="6">
        <v>136</v>
      </c>
      <c r="R32" s="6">
        <v>15910</v>
      </c>
      <c r="S32" s="6">
        <v>257</v>
      </c>
      <c r="T32" s="6">
        <v>21907</v>
      </c>
    </row>
    <row r="33" spans="1:20" s="22" customFormat="1" ht="20.25" customHeight="1" x14ac:dyDescent="0.35">
      <c r="A33" s="6">
        <v>29</v>
      </c>
      <c r="B33" s="541" t="s">
        <v>39</v>
      </c>
      <c r="C33" s="6">
        <v>4</v>
      </c>
      <c r="D33" s="6">
        <v>1</v>
      </c>
      <c r="E33" s="98">
        <v>5</v>
      </c>
      <c r="F33" s="6">
        <v>16</v>
      </c>
      <c r="G33" s="6">
        <v>21</v>
      </c>
      <c r="H33" s="98">
        <v>1054</v>
      </c>
      <c r="I33" s="98">
        <v>17</v>
      </c>
      <c r="J33" s="98">
        <v>1071</v>
      </c>
      <c r="K33" s="98">
        <v>13509</v>
      </c>
      <c r="L33" s="98">
        <v>14580</v>
      </c>
      <c r="M33" s="6"/>
      <c r="N33" s="6"/>
      <c r="O33" s="6"/>
      <c r="P33" s="6"/>
      <c r="Q33" s="6"/>
      <c r="R33" s="6"/>
      <c r="S33" s="6">
        <v>0</v>
      </c>
      <c r="T33" s="6">
        <v>0</v>
      </c>
    </row>
    <row r="34" spans="1:20" s="22" customFormat="1" ht="20.25" customHeight="1" x14ac:dyDescent="0.35">
      <c r="A34" s="6">
        <v>30</v>
      </c>
      <c r="B34" s="541" t="s">
        <v>40</v>
      </c>
      <c r="C34" s="6">
        <v>2173</v>
      </c>
      <c r="D34" s="6">
        <v>265</v>
      </c>
      <c r="E34" s="98">
        <v>2438</v>
      </c>
      <c r="F34" s="6">
        <v>437</v>
      </c>
      <c r="G34" s="6">
        <v>2875</v>
      </c>
      <c r="H34" s="98">
        <v>1388722</v>
      </c>
      <c r="I34" s="98">
        <v>477506</v>
      </c>
      <c r="J34" s="98">
        <v>1866228</v>
      </c>
      <c r="K34" s="98">
        <v>519508</v>
      </c>
      <c r="L34" s="98">
        <v>2385736</v>
      </c>
      <c r="M34" s="6">
        <v>33</v>
      </c>
      <c r="N34" s="6">
        <v>2244</v>
      </c>
      <c r="O34" s="6">
        <v>2</v>
      </c>
      <c r="P34" s="6">
        <v>145</v>
      </c>
      <c r="Q34" s="6">
        <v>20</v>
      </c>
      <c r="R34" s="6">
        <v>4071</v>
      </c>
      <c r="S34" s="6">
        <v>55</v>
      </c>
      <c r="T34" s="6">
        <v>6460</v>
      </c>
    </row>
    <row r="35" spans="1:20" s="22" customFormat="1" ht="20.25" customHeight="1" x14ac:dyDescent="0.35">
      <c r="A35" s="6">
        <v>31</v>
      </c>
      <c r="B35" s="541" t="s">
        <v>41</v>
      </c>
      <c r="C35" s="6">
        <v>1428</v>
      </c>
      <c r="D35" s="6">
        <v>97</v>
      </c>
      <c r="E35" s="98">
        <v>1525</v>
      </c>
      <c r="F35" s="6">
        <v>278</v>
      </c>
      <c r="G35" s="6">
        <v>1803</v>
      </c>
      <c r="H35" s="98">
        <v>897263</v>
      </c>
      <c r="I35" s="98">
        <v>76583</v>
      </c>
      <c r="J35" s="98">
        <v>973846</v>
      </c>
      <c r="K35" s="98">
        <v>204447</v>
      </c>
      <c r="L35" s="98">
        <v>1178293</v>
      </c>
      <c r="M35" s="6">
        <v>5</v>
      </c>
      <c r="N35" s="6">
        <v>538</v>
      </c>
      <c r="O35" s="6">
        <v>0</v>
      </c>
      <c r="P35" s="6">
        <v>0</v>
      </c>
      <c r="Q35" s="6">
        <v>5</v>
      </c>
      <c r="R35" s="6">
        <v>381</v>
      </c>
      <c r="S35" s="6">
        <v>10</v>
      </c>
      <c r="T35" s="6">
        <v>919</v>
      </c>
    </row>
    <row r="36" spans="1:20" s="22" customFormat="1" ht="20.25" customHeight="1" x14ac:dyDescent="0.35">
      <c r="A36" s="6">
        <v>32</v>
      </c>
      <c r="B36" s="541" t="s">
        <v>60</v>
      </c>
      <c r="C36" s="6">
        <v>8</v>
      </c>
      <c r="D36" s="6">
        <v>1</v>
      </c>
      <c r="E36" s="98">
        <v>9</v>
      </c>
      <c r="F36" s="6">
        <v>10</v>
      </c>
      <c r="G36" s="6">
        <v>19</v>
      </c>
      <c r="H36" s="98">
        <v>5027</v>
      </c>
      <c r="I36" s="98">
        <v>0</v>
      </c>
      <c r="J36" s="98">
        <v>5027</v>
      </c>
      <c r="K36" s="98">
        <v>7504</v>
      </c>
      <c r="L36" s="98">
        <v>12531</v>
      </c>
      <c r="M36" s="6"/>
      <c r="N36" s="6"/>
      <c r="O36" s="6"/>
      <c r="P36" s="6"/>
      <c r="Q36" s="6"/>
      <c r="R36" s="6"/>
      <c r="S36" s="6">
        <v>0</v>
      </c>
      <c r="T36" s="6">
        <v>0</v>
      </c>
    </row>
    <row r="37" spans="1:20" s="22" customFormat="1" ht="20.25" customHeight="1" x14ac:dyDescent="0.35">
      <c r="A37" s="6">
        <v>33</v>
      </c>
      <c r="B37" s="541" t="s">
        <v>42</v>
      </c>
      <c r="C37" s="6">
        <v>7</v>
      </c>
      <c r="D37" s="6">
        <v>5</v>
      </c>
      <c r="E37" s="98">
        <v>12</v>
      </c>
      <c r="F37" s="6">
        <v>46</v>
      </c>
      <c r="G37" s="6">
        <v>58</v>
      </c>
      <c r="H37" s="98">
        <v>3563</v>
      </c>
      <c r="I37" s="98">
        <v>3102</v>
      </c>
      <c r="J37" s="98">
        <v>6665</v>
      </c>
      <c r="K37" s="98">
        <v>71945</v>
      </c>
      <c r="L37" s="98">
        <v>78610</v>
      </c>
      <c r="M37" s="6">
        <v>0</v>
      </c>
      <c r="N37" s="6"/>
      <c r="O37" s="6">
        <v>0</v>
      </c>
      <c r="P37" s="6"/>
      <c r="Q37" s="6">
        <v>3</v>
      </c>
      <c r="R37" s="6">
        <v>644</v>
      </c>
      <c r="S37" s="6">
        <v>3</v>
      </c>
      <c r="T37" s="6">
        <v>644</v>
      </c>
    </row>
    <row r="38" spans="1:20" s="22" customFormat="1" ht="20.25" customHeight="1" x14ac:dyDescent="0.35">
      <c r="A38" s="6">
        <v>34</v>
      </c>
      <c r="B38" s="541" t="s">
        <v>43</v>
      </c>
      <c r="C38" s="6">
        <v>6212</v>
      </c>
      <c r="D38" s="6">
        <v>722</v>
      </c>
      <c r="E38" s="98">
        <v>6934</v>
      </c>
      <c r="F38" s="6">
        <v>814</v>
      </c>
      <c r="G38" s="6">
        <v>7748</v>
      </c>
      <c r="H38" s="98">
        <v>4323995</v>
      </c>
      <c r="I38" s="98">
        <v>994994</v>
      </c>
      <c r="J38" s="98">
        <v>5318989</v>
      </c>
      <c r="K38" s="98">
        <v>663285</v>
      </c>
      <c r="L38" s="98">
        <v>5982274</v>
      </c>
      <c r="M38" s="6">
        <v>54</v>
      </c>
      <c r="N38" s="6">
        <v>10982</v>
      </c>
      <c r="O38" s="6">
        <v>1</v>
      </c>
      <c r="P38" s="6">
        <v>22</v>
      </c>
      <c r="Q38" s="6">
        <v>8</v>
      </c>
      <c r="R38" s="6">
        <v>972</v>
      </c>
      <c r="S38" s="6">
        <v>63</v>
      </c>
      <c r="T38" s="6">
        <v>11976</v>
      </c>
    </row>
    <row r="39" spans="1:20" s="22" customFormat="1" ht="20.25" customHeight="1" x14ac:dyDescent="0.35">
      <c r="A39" s="6">
        <v>35</v>
      </c>
      <c r="B39" s="541" t="s">
        <v>44</v>
      </c>
      <c r="C39" s="6">
        <v>197</v>
      </c>
      <c r="D39" s="6">
        <v>41</v>
      </c>
      <c r="E39" s="98">
        <v>238</v>
      </c>
      <c r="F39" s="6">
        <v>149</v>
      </c>
      <c r="G39" s="6">
        <v>387</v>
      </c>
      <c r="H39" s="98">
        <v>75166</v>
      </c>
      <c r="I39" s="98">
        <v>42998</v>
      </c>
      <c r="J39" s="98">
        <v>118164</v>
      </c>
      <c r="K39" s="98">
        <v>122696</v>
      </c>
      <c r="L39" s="98">
        <v>240860</v>
      </c>
      <c r="M39" s="6">
        <v>1</v>
      </c>
      <c r="N39" s="6">
        <v>169</v>
      </c>
      <c r="O39" s="6">
        <v>0</v>
      </c>
      <c r="P39" s="6">
        <v>0</v>
      </c>
      <c r="Q39" s="6">
        <v>2</v>
      </c>
      <c r="R39" s="6">
        <v>106</v>
      </c>
      <c r="S39" s="6">
        <v>3</v>
      </c>
      <c r="T39" s="6">
        <v>275</v>
      </c>
    </row>
    <row r="40" spans="1:20" s="22" customFormat="1" ht="20.25" customHeight="1" x14ac:dyDescent="0.35">
      <c r="A40" s="6">
        <v>36</v>
      </c>
      <c r="B40" s="541" t="s">
        <v>45</v>
      </c>
      <c r="C40" s="6">
        <v>786</v>
      </c>
      <c r="D40" s="6">
        <v>302</v>
      </c>
      <c r="E40" s="98">
        <v>1088</v>
      </c>
      <c r="F40" s="6">
        <v>470</v>
      </c>
      <c r="G40" s="6">
        <v>1558</v>
      </c>
      <c r="H40" s="98">
        <v>315226</v>
      </c>
      <c r="I40" s="98">
        <v>504285</v>
      </c>
      <c r="J40" s="98">
        <v>819511</v>
      </c>
      <c r="K40" s="98">
        <v>946735</v>
      </c>
      <c r="L40" s="98">
        <v>1766246</v>
      </c>
      <c r="M40" s="6">
        <v>25</v>
      </c>
      <c r="N40" s="6">
        <v>1262</v>
      </c>
      <c r="O40" s="6">
        <v>3</v>
      </c>
      <c r="P40" s="6">
        <v>61</v>
      </c>
      <c r="Q40" s="6">
        <v>3</v>
      </c>
      <c r="R40" s="6">
        <v>280</v>
      </c>
      <c r="S40" s="6">
        <v>31</v>
      </c>
      <c r="T40" s="6">
        <v>1603</v>
      </c>
    </row>
    <row r="41" spans="1:20" s="23" customFormat="1" ht="20.25" customHeight="1" x14ac:dyDescent="0.35">
      <c r="A41" s="714" t="s">
        <v>46</v>
      </c>
      <c r="B41" s="715"/>
      <c r="C41" s="412">
        <v>29402</v>
      </c>
      <c r="D41" s="412">
        <v>5845</v>
      </c>
      <c r="E41" s="412">
        <v>35247</v>
      </c>
      <c r="F41" s="412">
        <v>9272</v>
      </c>
      <c r="G41" s="412">
        <v>44519</v>
      </c>
      <c r="H41" s="100">
        <v>14524794</v>
      </c>
      <c r="I41" s="100">
        <v>6387534</v>
      </c>
      <c r="J41" s="100">
        <v>20912328</v>
      </c>
      <c r="K41" s="412">
        <v>10341269</v>
      </c>
      <c r="L41" s="100">
        <v>31253597</v>
      </c>
      <c r="M41" s="412">
        <v>832</v>
      </c>
      <c r="N41" s="412">
        <v>66278</v>
      </c>
      <c r="O41" s="412">
        <v>36</v>
      </c>
      <c r="P41" s="412">
        <v>3812</v>
      </c>
      <c r="Q41" s="412">
        <v>231</v>
      </c>
      <c r="R41" s="412">
        <v>28559</v>
      </c>
      <c r="S41" s="412">
        <v>1099</v>
      </c>
      <c r="T41" s="412">
        <v>98649</v>
      </c>
    </row>
  </sheetData>
  <mergeCells count="21">
    <mergeCell ref="A41:B41"/>
    <mergeCell ref="G2:G3"/>
    <mergeCell ref="H2:H3"/>
    <mergeCell ref="I2:I3"/>
    <mergeCell ref="J2:J3"/>
    <mergeCell ref="A1:B1"/>
    <mergeCell ref="C1:G1"/>
    <mergeCell ref="H1:L1"/>
    <mergeCell ref="M1:T1"/>
    <mergeCell ref="A2:A3"/>
    <mergeCell ref="B2:B3"/>
    <mergeCell ref="C2:C3"/>
    <mergeCell ref="D2:D3"/>
    <mergeCell ref="E2:E3"/>
    <mergeCell ref="F2:F3"/>
    <mergeCell ref="M2:N2"/>
    <mergeCell ref="O2:P2"/>
    <mergeCell ref="Q2:R2"/>
    <mergeCell ref="S2:T2"/>
    <mergeCell ref="K2:K3"/>
    <mergeCell ref="L2:L3"/>
  </mergeCells>
  <pageMargins left="0.59055118110236227" right="0.35433070866141736" top="0.39370078740157483" bottom="0.39370078740157483" header="0.31496062992125984" footer="0.19685039370078741"/>
  <pageSetup paperSize="9" scale="97" firstPageNumber="9" orientation="portrait" r:id="rId1"/>
  <headerFooter>
    <oddFooter>&amp;L&amp;"Arial,Italic"&amp;9AISHE 2022-23&amp;RT-5</oddFooter>
  </headerFooter>
  <colBreaks count="2" manualBreakCount="2">
    <brk id="7" max="40" man="1"/>
    <brk id="12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6D54-CE38-4A57-B73D-A23832EBCE9F}">
  <sheetPr codeName="Sheet7">
    <tabColor rgb="FF92D050"/>
  </sheetPr>
  <dimension ref="A1:AC41"/>
  <sheetViews>
    <sheetView showZeros="0" view="pageBreakPreview" zoomScale="95" zoomScaleNormal="100" zoomScaleSheetLayoutView="95" workbookViewId="0">
      <pane xSplit="2" ySplit="3" topLeftCell="XBB22" activePane="bottomRight" state="frozen"/>
      <selection activeCell="S20" sqref="S20"/>
      <selection pane="topRight" activeCell="S20" sqref="S20"/>
      <selection pane="bottomLeft" activeCell="S20" sqref="S20"/>
      <selection pane="bottomRight" activeCell="XBQ35" sqref="XBQ35"/>
    </sheetView>
  </sheetViews>
  <sheetFormatPr defaultColWidth="9.26953125" defaultRowHeight="13" x14ac:dyDescent="0.3"/>
  <cols>
    <col min="1" max="1" width="7.1796875" style="543" bestFit="1" customWidth="1"/>
    <col min="2" max="2" width="20.81640625" style="543" bestFit="1" customWidth="1"/>
    <col min="3" max="3" width="9.1796875" style="543" customWidth="1"/>
    <col min="4" max="4" width="9.54296875" style="543" customWidth="1"/>
    <col min="5" max="5" width="10.7265625" style="543" bestFit="1" customWidth="1"/>
    <col min="6" max="7" width="9.90625" style="543" bestFit="1" customWidth="1"/>
    <col min="8" max="8" width="6.7265625" style="543" customWidth="1"/>
    <col min="9" max="11" width="9.26953125" style="543" customWidth="1"/>
    <col min="12" max="13" width="10" style="543" customWidth="1"/>
    <col min="14" max="14" width="11.7265625" style="543" customWidth="1"/>
    <col min="15" max="26" width="9.7265625" style="543" customWidth="1"/>
    <col min="27" max="29" width="11.26953125" style="543" customWidth="1"/>
    <col min="30" max="16384" width="9.26953125" style="1014"/>
  </cols>
  <sheetData>
    <row r="1" spans="1:29" x14ac:dyDescent="0.3">
      <c r="A1" s="1018"/>
      <c r="B1" s="1019" t="s">
        <v>0</v>
      </c>
      <c r="C1" s="1020" t="s">
        <v>1006</v>
      </c>
      <c r="D1" s="1020"/>
      <c r="E1" s="1020"/>
      <c r="F1" s="1020"/>
      <c r="G1" s="1020"/>
      <c r="H1" s="1020"/>
      <c r="I1" s="1020"/>
      <c r="J1" s="1020"/>
      <c r="K1" s="1020"/>
      <c r="L1" s="1020" t="str">
        <f>C1</f>
        <v>6. State/UTs-wise Estimated Enrolment at various levels</v>
      </c>
      <c r="M1" s="1020"/>
      <c r="N1" s="1020"/>
      <c r="O1" s="1020"/>
      <c r="P1" s="1020"/>
      <c r="Q1" s="1020"/>
      <c r="R1" s="1020"/>
      <c r="S1" s="1020"/>
      <c r="T1" s="1020"/>
      <c r="U1" s="1020" t="str">
        <f>C1</f>
        <v>6. State/UTs-wise Estimated Enrolment at various levels</v>
      </c>
      <c r="V1" s="1020"/>
      <c r="W1" s="1020"/>
      <c r="X1" s="1020"/>
      <c r="Y1" s="1020"/>
      <c r="Z1" s="1020"/>
      <c r="AA1" s="1020"/>
      <c r="AB1" s="1020"/>
      <c r="AC1" s="1020"/>
    </row>
    <row r="2" spans="1:29" s="1015" customFormat="1" x14ac:dyDescent="0.35">
      <c r="A2" s="756" t="s">
        <v>84</v>
      </c>
      <c r="B2" s="717" t="s">
        <v>1005</v>
      </c>
      <c r="C2" s="717" t="s">
        <v>85</v>
      </c>
      <c r="D2" s="717"/>
      <c r="E2" s="717"/>
      <c r="F2" s="717" t="s">
        <v>86</v>
      </c>
      <c r="G2" s="717"/>
      <c r="H2" s="717"/>
      <c r="I2" s="717" t="s">
        <v>87</v>
      </c>
      <c r="J2" s="717"/>
      <c r="K2" s="717"/>
      <c r="L2" s="717" t="s">
        <v>88</v>
      </c>
      <c r="M2" s="717"/>
      <c r="N2" s="717"/>
      <c r="O2" s="717" t="s">
        <v>89</v>
      </c>
      <c r="P2" s="717"/>
      <c r="Q2" s="717"/>
      <c r="R2" s="717" t="s">
        <v>90</v>
      </c>
      <c r="S2" s="717"/>
      <c r="T2" s="717"/>
      <c r="U2" s="717" t="s">
        <v>91</v>
      </c>
      <c r="V2" s="717"/>
      <c r="W2" s="717"/>
      <c r="X2" s="717" t="s">
        <v>92</v>
      </c>
      <c r="Y2" s="717"/>
      <c r="Z2" s="717"/>
      <c r="AA2" s="717" t="s">
        <v>12</v>
      </c>
      <c r="AB2" s="717"/>
      <c r="AC2" s="717"/>
    </row>
    <row r="3" spans="1:29" s="1016" customFormat="1" x14ac:dyDescent="0.35">
      <c r="A3" s="756"/>
      <c r="B3" s="717"/>
      <c r="C3" s="86" t="s">
        <v>93</v>
      </c>
      <c r="D3" s="86" t="s">
        <v>94</v>
      </c>
      <c r="E3" s="86" t="s">
        <v>54</v>
      </c>
      <c r="F3" s="86" t="s">
        <v>93</v>
      </c>
      <c r="G3" s="86" t="s">
        <v>94</v>
      </c>
      <c r="H3" s="86" t="s">
        <v>54</v>
      </c>
      <c r="I3" s="86" t="s">
        <v>93</v>
      </c>
      <c r="J3" s="86" t="s">
        <v>94</v>
      </c>
      <c r="K3" s="86" t="s">
        <v>54</v>
      </c>
      <c r="L3" s="86" t="s">
        <v>93</v>
      </c>
      <c r="M3" s="86" t="s">
        <v>94</v>
      </c>
      <c r="N3" s="86" t="s">
        <v>54</v>
      </c>
      <c r="O3" s="86" t="s">
        <v>93</v>
      </c>
      <c r="P3" s="86" t="s">
        <v>94</v>
      </c>
      <c r="Q3" s="86" t="s">
        <v>54</v>
      </c>
      <c r="R3" s="86" t="s">
        <v>93</v>
      </c>
      <c r="S3" s="86" t="s">
        <v>94</v>
      </c>
      <c r="T3" s="86" t="s">
        <v>54</v>
      </c>
      <c r="U3" s="86" t="s">
        <v>93</v>
      </c>
      <c r="V3" s="86" t="s">
        <v>94</v>
      </c>
      <c r="W3" s="86" t="s">
        <v>54</v>
      </c>
      <c r="X3" s="86" t="s">
        <v>93</v>
      </c>
      <c r="Y3" s="86" t="s">
        <v>94</v>
      </c>
      <c r="Z3" s="86" t="s">
        <v>54</v>
      </c>
      <c r="AA3" s="86" t="s">
        <v>93</v>
      </c>
      <c r="AB3" s="86" t="s">
        <v>94</v>
      </c>
      <c r="AC3" s="86" t="s">
        <v>54</v>
      </c>
    </row>
    <row r="4" spans="1:29" s="1016" customFormat="1" x14ac:dyDescent="0.35">
      <c r="A4" s="561">
        <v>1</v>
      </c>
      <c r="B4" s="561">
        <v>2</v>
      </c>
      <c r="C4" s="561">
        <v>3</v>
      </c>
      <c r="D4" s="561">
        <v>4</v>
      </c>
      <c r="E4" s="561">
        <v>5</v>
      </c>
      <c r="F4" s="561">
        <v>6</v>
      </c>
      <c r="G4" s="561">
        <v>7</v>
      </c>
      <c r="H4" s="561">
        <v>8</v>
      </c>
      <c r="I4" s="561">
        <v>9</v>
      </c>
      <c r="J4" s="561">
        <v>10</v>
      </c>
      <c r="K4" s="561">
        <v>11</v>
      </c>
      <c r="L4" s="561">
        <v>12</v>
      </c>
      <c r="M4" s="561">
        <v>13</v>
      </c>
      <c r="N4" s="561">
        <v>14</v>
      </c>
      <c r="O4" s="561">
        <v>15</v>
      </c>
      <c r="P4" s="561">
        <v>16</v>
      </c>
      <c r="Q4" s="561">
        <v>17</v>
      </c>
      <c r="R4" s="561">
        <v>18</v>
      </c>
      <c r="S4" s="561">
        <v>19</v>
      </c>
      <c r="T4" s="561">
        <v>20</v>
      </c>
      <c r="U4" s="561">
        <v>21</v>
      </c>
      <c r="V4" s="561">
        <v>22</v>
      </c>
      <c r="W4" s="561">
        <v>23</v>
      </c>
      <c r="X4" s="561">
        <v>24</v>
      </c>
      <c r="Y4" s="561">
        <v>25</v>
      </c>
      <c r="Z4" s="561">
        <v>26</v>
      </c>
      <c r="AA4" s="561">
        <v>27</v>
      </c>
      <c r="AB4" s="561">
        <v>28</v>
      </c>
      <c r="AC4" s="561">
        <v>29</v>
      </c>
    </row>
    <row r="5" spans="1:29" s="1016" customFormat="1" ht="22.5" customHeight="1" x14ac:dyDescent="0.35">
      <c r="A5" s="90">
        <v>1</v>
      </c>
      <c r="B5" s="1021" t="s">
        <v>58</v>
      </c>
      <c r="C5" s="634"/>
      <c r="D5" s="660"/>
      <c r="E5" s="660"/>
      <c r="F5" s="634"/>
      <c r="G5" s="660"/>
      <c r="H5" s="660"/>
      <c r="I5" s="634">
        <v>534</v>
      </c>
      <c r="J5" s="634">
        <v>751</v>
      </c>
      <c r="K5" s="634">
        <v>1285</v>
      </c>
      <c r="L5" s="634">
        <v>2794</v>
      </c>
      <c r="M5" s="634">
        <v>2331</v>
      </c>
      <c r="N5" s="634">
        <v>5125</v>
      </c>
      <c r="O5" s="634">
        <v>34</v>
      </c>
      <c r="P5" s="634">
        <v>41</v>
      </c>
      <c r="Q5" s="634">
        <v>75</v>
      </c>
      <c r="R5" s="634">
        <v>443</v>
      </c>
      <c r="S5" s="634">
        <v>334</v>
      </c>
      <c r="T5" s="634">
        <v>777</v>
      </c>
      <c r="U5" s="634">
        <v>0</v>
      </c>
      <c r="V5" s="634">
        <v>0</v>
      </c>
      <c r="W5" s="634">
        <v>0</v>
      </c>
      <c r="X5" s="634">
        <v>48</v>
      </c>
      <c r="Y5" s="634">
        <v>131</v>
      </c>
      <c r="Z5" s="634">
        <v>179</v>
      </c>
      <c r="AA5" s="634">
        <v>3853</v>
      </c>
      <c r="AB5" s="634">
        <v>3588</v>
      </c>
      <c r="AC5" s="634">
        <v>7441</v>
      </c>
    </row>
    <row r="6" spans="1:29" s="1016" customFormat="1" ht="22.5" customHeight="1" x14ac:dyDescent="0.35">
      <c r="A6" s="90">
        <v>2</v>
      </c>
      <c r="B6" s="547" t="s">
        <v>13</v>
      </c>
      <c r="C6" s="634">
        <v>3348</v>
      </c>
      <c r="D6" s="660">
        <v>2846</v>
      </c>
      <c r="E6" s="660">
        <v>6194</v>
      </c>
      <c r="F6" s="634"/>
      <c r="G6" s="660"/>
      <c r="H6" s="660"/>
      <c r="I6" s="634">
        <v>98766.668650207779</v>
      </c>
      <c r="J6" s="634">
        <v>98877.896160230943</v>
      </c>
      <c r="K6" s="634">
        <v>197644.56481043869</v>
      </c>
      <c r="L6" s="634">
        <v>763277.22869092692</v>
      </c>
      <c r="M6" s="634">
        <v>712084.04769660253</v>
      </c>
      <c r="N6" s="634">
        <v>1475361.276387529</v>
      </c>
      <c r="O6" s="634">
        <v>918</v>
      </c>
      <c r="P6" s="634">
        <v>545</v>
      </c>
      <c r="Q6" s="634">
        <v>1463</v>
      </c>
      <c r="R6" s="634">
        <v>86764</v>
      </c>
      <c r="S6" s="634">
        <v>59646</v>
      </c>
      <c r="T6" s="634">
        <v>146410</v>
      </c>
      <c r="U6" s="634">
        <v>257</v>
      </c>
      <c r="V6" s="634">
        <v>65</v>
      </c>
      <c r="W6" s="634">
        <v>322</v>
      </c>
      <c r="X6" s="634">
        <v>7834</v>
      </c>
      <c r="Y6" s="634">
        <v>5116</v>
      </c>
      <c r="Z6" s="634">
        <v>12950</v>
      </c>
      <c r="AA6" s="634">
        <v>961164.89734113473</v>
      </c>
      <c r="AB6" s="634">
        <v>879179.94385683339</v>
      </c>
      <c r="AC6" s="634">
        <v>1840344.841197968</v>
      </c>
    </row>
    <row r="7" spans="1:29" s="1016" customFormat="1" ht="22.5" customHeight="1" x14ac:dyDescent="0.35">
      <c r="A7" s="90">
        <v>3</v>
      </c>
      <c r="B7" s="547" t="s">
        <v>14</v>
      </c>
      <c r="C7" s="634">
        <v>402</v>
      </c>
      <c r="D7" s="660">
        <v>275</v>
      </c>
      <c r="E7" s="660">
        <v>677</v>
      </c>
      <c r="F7" s="634">
        <v>23</v>
      </c>
      <c r="G7" s="660">
        <v>18</v>
      </c>
      <c r="H7" s="660">
        <v>41</v>
      </c>
      <c r="I7" s="634">
        <v>5733</v>
      </c>
      <c r="J7" s="634">
        <v>5844</v>
      </c>
      <c r="K7" s="634">
        <v>11577</v>
      </c>
      <c r="L7" s="634">
        <v>24535</v>
      </c>
      <c r="M7" s="634">
        <v>20952</v>
      </c>
      <c r="N7" s="634">
        <v>45487</v>
      </c>
      <c r="O7" s="634">
        <v>125</v>
      </c>
      <c r="P7" s="634">
        <v>93</v>
      </c>
      <c r="Q7" s="634">
        <v>218</v>
      </c>
      <c r="R7" s="634">
        <v>1450</v>
      </c>
      <c r="S7" s="634">
        <v>1660</v>
      </c>
      <c r="T7" s="634">
        <v>3110</v>
      </c>
      <c r="U7" s="634">
        <v>329</v>
      </c>
      <c r="V7" s="634">
        <v>194</v>
      </c>
      <c r="W7" s="634">
        <v>523</v>
      </c>
      <c r="X7" s="634">
        <v>1113</v>
      </c>
      <c r="Y7" s="634">
        <v>766</v>
      </c>
      <c r="Z7" s="634">
        <v>1879</v>
      </c>
      <c r="AA7" s="634">
        <v>33710</v>
      </c>
      <c r="AB7" s="634">
        <v>29802</v>
      </c>
      <c r="AC7" s="634">
        <v>63512</v>
      </c>
    </row>
    <row r="8" spans="1:29" s="1016" customFormat="1" ht="22.5" customHeight="1" x14ac:dyDescent="0.35">
      <c r="A8" s="90">
        <v>4</v>
      </c>
      <c r="B8" s="547" t="s">
        <v>15</v>
      </c>
      <c r="C8" s="634">
        <v>3048</v>
      </c>
      <c r="D8" s="660">
        <v>2359</v>
      </c>
      <c r="E8" s="660">
        <v>5407</v>
      </c>
      <c r="F8" s="634">
        <v>16</v>
      </c>
      <c r="G8" s="660">
        <v>42</v>
      </c>
      <c r="H8" s="660">
        <v>58</v>
      </c>
      <c r="I8" s="634">
        <v>40226.071428571428</v>
      </c>
      <c r="J8" s="634">
        <v>58561.571428571428</v>
      </c>
      <c r="K8" s="634">
        <v>98787.642857142855</v>
      </c>
      <c r="L8" s="634">
        <v>279108.5</v>
      </c>
      <c r="M8" s="634">
        <v>281003.92857142858</v>
      </c>
      <c r="N8" s="634">
        <v>560112.42857142852</v>
      </c>
      <c r="O8" s="634">
        <v>758</v>
      </c>
      <c r="P8" s="634">
        <v>842</v>
      </c>
      <c r="Q8" s="634">
        <v>1600</v>
      </c>
      <c r="R8" s="634">
        <v>19056</v>
      </c>
      <c r="S8" s="634">
        <v>20514</v>
      </c>
      <c r="T8" s="634">
        <v>39570</v>
      </c>
      <c r="U8" s="634">
        <v>16041</v>
      </c>
      <c r="V8" s="634">
        <v>23220</v>
      </c>
      <c r="W8" s="634">
        <v>39261</v>
      </c>
      <c r="X8" s="634">
        <v>2879</v>
      </c>
      <c r="Y8" s="634">
        <v>3598</v>
      </c>
      <c r="Z8" s="634">
        <v>6477</v>
      </c>
      <c r="AA8" s="634">
        <v>361132.57142857142</v>
      </c>
      <c r="AB8" s="634">
        <v>390140.5</v>
      </c>
      <c r="AC8" s="634">
        <v>751273.07142857148</v>
      </c>
    </row>
    <row r="9" spans="1:29" s="1016" customFormat="1" ht="22.5" customHeight="1" x14ac:dyDescent="0.35">
      <c r="A9" s="90">
        <v>5</v>
      </c>
      <c r="B9" s="547" t="s">
        <v>16</v>
      </c>
      <c r="C9" s="634">
        <v>3434</v>
      </c>
      <c r="D9" s="660">
        <v>2205</v>
      </c>
      <c r="E9" s="660">
        <v>5639</v>
      </c>
      <c r="F9" s="634"/>
      <c r="G9" s="660"/>
      <c r="H9" s="660"/>
      <c r="I9" s="634">
        <v>78027.407413907407</v>
      </c>
      <c r="J9" s="634">
        <v>86469.176683176687</v>
      </c>
      <c r="K9" s="634">
        <v>164496.58409708409</v>
      </c>
      <c r="L9" s="634">
        <v>1202318.2088018749</v>
      </c>
      <c r="M9" s="634">
        <v>1118963.6290272961</v>
      </c>
      <c r="N9" s="634">
        <v>2321281.8378291712</v>
      </c>
      <c r="O9" s="634">
        <v>1812</v>
      </c>
      <c r="P9" s="634">
        <v>920</v>
      </c>
      <c r="Q9" s="634">
        <v>2732</v>
      </c>
      <c r="R9" s="634">
        <v>67553</v>
      </c>
      <c r="S9" s="634">
        <v>57795</v>
      </c>
      <c r="T9" s="634">
        <v>125348</v>
      </c>
      <c r="U9" s="634">
        <v>2060</v>
      </c>
      <c r="V9" s="634">
        <v>1694</v>
      </c>
      <c r="W9" s="634">
        <v>3754</v>
      </c>
      <c r="X9" s="634">
        <v>2659</v>
      </c>
      <c r="Y9" s="634">
        <v>1981</v>
      </c>
      <c r="Z9" s="634">
        <v>4640</v>
      </c>
      <c r="AA9" s="634">
        <v>1357863.6162157829</v>
      </c>
      <c r="AB9" s="634">
        <v>1270027.8057104719</v>
      </c>
      <c r="AC9" s="634">
        <v>2627891.4219262549</v>
      </c>
    </row>
    <row r="10" spans="1:29" s="1016" customFormat="1" ht="22.5" customHeight="1" x14ac:dyDescent="0.35">
      <c r="A10" s="90">
        <v>6</v>
      </c>
      <c r="B10" s="547" t="s">
        <v>17</v>
      </c>
      <c r="C10" s="634">
        <v>340</v>
      </c>
      <c r="D10" s="660">
        <v>350</v>
      </c>
      <c r="E10" s="660">
        <v>690</v>
      </c>
      <c r="F10" s="634">
        <v>0</v>
      </c>
      <c r="G10" s="660">
        <v>1</v>
      </c>
      <c r="H10" s="660">
        <v>1</v>
      </c>
      <c r="I10" s="634">
        <v>8819</v>
      </c>
      <c r="J10" s="634">
        <v>12692</v>
      </c>
      <c r="K10" s="634">
        <v>21511</v>
      </c>
      <c r="L10" s="634">
        <v>40140</v>
      </c>
      <c r="M10" s="634">
        <v>35871</v>
      </c>
      <c r="N10" s="634">
        <v>76011</v>
      </c>
      <c r="O10" s="634">
        <v>846</v>
      </c>
      <c r="P10" s="634">
        <v>938</v>
      </c>
      <c r="Q10" s="634">
        <v>1784</v>
      </c>
      <c r="R10" s="634">
        <v>2359</v>
      </c>
      <c r="S10" s="634">
        <v>2305</v>
      </c>
      <c r="T10" s="634">
        <v>4664</v>
      </c>
      <c r="U10" s="634">
        <v>473</v>
      </c>
      <c r="V10" s="634">
        <v>314</v>
      </c>
      <c r="W10" s="634">
        <v>787</v>
      </c>
      <c r="X10" s="634">
        <v>1094</v>
      </c>
      <c r="Y10" s="634">
        <v>1553</v>
      </c>
      <c r="Z10" s="634">
        <v>2647</v>
      </c>
      <c r="AA10" s="634">
        <v>54071</v>
      </c>
      <c r="AB10" s="634">
        <v>54024</v>
      </c>
      <c r="AC10" s="634">
        <v>108095</v>
      </c>
    </row>
    <row r="11" spans="1:29" s="1016" customFormat="1" ht="22.5" customHeight="1" x14ac:dyDescent="0.35">
      <c r="A11" s="90">
        <v>7</v>
      </c>
      <c r="B11" s="547" t="s">
        <v>18</v>
      </c>
      <c r="C11" s="635">
        <v>1300</v>
      </c>
      <c r="D11" s="660">
        <v>1343</v>
      </c>
      <c r="E11" s="660">
        <v>2643</v>
      </c>
      <c r="F11" s="634">
        <v>7</v>
      </c>
      <c r="G11" s="660">
        <v>18</v>
      </c>
      <c r="H11" s="660">
        <v>25</v>
      </c>
      <c r="I11" s="634">
        <v>70242.249524602128</v>
      </c>
      <c r="J11" s="634">
        <v>99799.018319642899</v>
      </c>
      <c r="K11" s="634">
        <v>170041.26784424501</v>
      </c>
      <c r="L11" s="634">
        <v>319281.16906196502</v>
      </c>
      <c r="M11" s="634">
        <v>371381.49912998249</v>
      </c>
      <c r="N11" s="634">
        <v>690662.66819194739</v>
      </c>
      <c r="O11" s="634">
        <v>7446</v>
      </c>
      <c r="P11" s="634">
        <v>8598</v>
      </c>
      <c r="Q11" s="634">
        <v>16044</v>
      </c>
      <c r="R11" s="634">
        <v>23239</v>
      </c>
      <c r="S11" s="634">
        <v>19540</v>
      </c>
      <c r="T11" s="634">
        <v>42779</v>
      </c>
      <c r="U11" s="634">
        <v>274</v>
      </c>
      <c r="V11" s="634">
        <v>404</v>
      </c>
      <c r="W11" s="634">
        <v>678</v>
      </c>
      <c r="X11" s="634">
        <v>2775</v>
      </c>
      <c r="Y11" s="634">
        <v>2654</v>
      </c>
      <c r="Z11" s="634">
        <v>5429</v>
      </c>
      <c r="AA11" s="634">
        <v>424564.4185865671</v>
      </c>
      <c r="AB11" s="634">
        <v>503737.51744962542</v>
      </c>
      <c r="AC11" s="634">
        <v>928301.93603619246</v>
      </c>
    </row>
    <row r="12" spans="1:29" s="1016" customFormat="1" ht="22.5" customHeight="1" x14ac:dyDescent="0.35">
      <c r="A12" s="90">
        <v>8</v>
      </c>
      <c r="B12" s="547" t="s">
        <v>19</v>
      </c>
      <c r="C12" s="634">
        <v>11335</v>
      </c>
      <c r="D12" s="660">
        <v>9641</v>
      </c>
      <c r="E12" s="660">
        <v>20976</v>
      </c>
      <c r="F12" s="634">
        <v>249</v>
      </c>
      <c r="G12" s="660">
        <v>251</v>
      </c>
      <c r="H12" s="660">
        <v>500</v>
      </c>
      <c r="I12" s="634">
        <v>81270.440217391311</v>
      </c>
      <c r="J12" s="634">
        <v>107433.1679697432</v>
      </c>
      <c r="K12" s="634">
        <v>188703.60818713449</v>
      </c>
      <c r="L12" s="634">
        <v>541189.26039282989</v>
      </c>
      <c r="M12" s="634">
        <v>491511.10621662851</v>
      </c>
      <c r="N12" s="634">
        <v>1032700.366609458</v>
      </c>
      <c r="O12" s="634">
        <v>8489</v>
      </c>
      <c r="P12" s="634">
        <v>6452</v>
      </c>
      <c r="Q12" s="634">
        <v>14941</v>
      </c>
      <c r="R12" s="634">
        <v>17805</v>
      </c>
      <c r="S12" s="634">
        <v>14310</v>
      </c>
      <c r="T12" s="634">
        <v>32115</v>
      </c>
      <c r="U12" s="634">
        <v>1353</v>
      </c>
      <c r="V12" s="634">
        <v>1253</v>
      </c>
      <c r="W12" s="634">
        <v>2606</v>
      </c>
      <c r="X12" s="634">
        <v>5254</v>
      </c>
      <c r="Y12" s="634">
        <v>3965</v>
      </c>
      <c r="Z12" s="634">
        <v>9219</v>
      </c>
      <c r="AA12" s="634">
        <v>666944.70061022125</v>
      </c>
      <c r="AB12" s="634">
        <v>634816.27418637171</v>
      </c>
      <c r="AC12" s="634">
        <v>1301760.974796593</v>
      </c>
    </row>
    <row r="13" spans="1:29" s="1016" customFormat="1" ht="22.5" customHeight="1" x14ac:dyDescent="0.35">
      <c r="A13" s="90">
        <v>9</v>
      </c>
      <c r="B13" s="547" t="s">
        <v>20</v>
      </c>
      <c r="C13" s="634">
        <v>635</v>
      </c>
      <c r="D13" s="660">
        <v>743</v>
      </c>
      <c r="E13" s="660">
        <v>1378</v>
      </c>
      <c r="F13" s="634">
        <v>4</v>
      </c>
      <c r="G13" s="660">
        <v>10</v>
      </c>
      <c r="H13" s="660">
        <v>14</v>
      </c>
      <c r="I13" s="634">
        <v>3453</v>
      </c>
      <c r="J13" s="634">
        <v>5222</v>
      </c>
      <c r="K13" s="634">
        <v>8675</v>
      </c>
      <c r="L13" s="634">
        <v>23437</v>
      </c>
      <c r="M13" s="634">
        <v>22689</v>
      </c>
      <c r="N13" s="634">
        <v>46126</v>
      </c>
      <c r="O13" s="634">
        <v>207</v>
      </c>
      <c r="P13" s="634">
        <v>135</v>
      </c>
      <c r="Q13" s="634">
        <v>342</v>
      </c>
      <c r="R13" s="634">
        <v>5150</v>
      </c>
      <c r="S13" s="634">
        <v>1252</v>
      </c>
      <c r="T13" s="634">
        <v>6402</v>
      </c>
      <c r="U13" s="634">
        <v>66</v>
      </c>
      <c r="V13" s="634">
        <v>13</v>
      </c>
      <c r="W13" s="634">
        <v>79</v>
      </c>
      <c r="X13" s="634">
        <v>1669</v>
      </c>
      <c r="Y13" s="634">
        <v>1340</v>
      </c>
      <c r="Z13" s="634">
        <v>3009</v>
      </c>
      <c r="AA13" s="634">
        <v>34621</v>
      </c>
      <c r="AB13" s="634">
        <v>31404</v>
      </c>
      <c r="AC13" s="634">
        <v>66025</v>
      </c>
    </row>
    <row r="14" spans="1:29" s="1016" customFormat="1" ht="22.5" customHeight="1" x14ac:dyDescent="0.35">
      <c r="A14" s="90">
        <v>10</v>
      </c>
      <c r="B14" s="547" t="s">
        <v>21</v>
      </c>
      <c r="C14" s="634">
        <v>6166</v>
      </c>
      <c r="D14" s="660">
        <v>4963</v>
      </c>
      <c r="E14" s="660">
        <v>11129</v>
      </c>
      <c r="F14" s="634">
        <v>31</v>
      </c>
      <c r="G14" s="660">
        <v>17</v>
      </c>
      <c r="H14" s="660">
        <v>48</v>
      </c>
      <c r="I14" s="634">
        <v>114994</v>
      </c>
      <c r="J14" s="634">
        <v>135095</v>
      </c>
      <c r="K14" s="634">
        <v>250089</v>
      </c>
      <c r="L14" s="634">
        <v>784928</v>
      </c>
      <c r="M14" s="634">
        <v>617558</v>
      </c>
      <c r="N14" s="634">
        <v>1402486</v>
      </c>
      <c r="O14" s="634">
        <v>5804</v>
      </c>
      <c r="P14" s="634">
        <v>4764</v>
      </c>
      <c r="Q14" s="634">
        <v>10568</v>
      </c>
      <c r="R14" s="634">
        <v>113413</v>
      </c>
      <c r="S14" s="634">
        <v>64446</v>
      </c>
      <c r="T14" s="634">
        <v>177859</v>
      </c>
      <c r="U14" s="634">
        <v>3400</v>
      </c>
      <c r="V14" s="634">
        <v>3376</v>
      </c>
      <c r="W14" s="634">
        <v>6776</v>
      </c>
      <c r="X14" s="634">
        <v>16042</v>
      </c>
      <c r="Y14" s="634">
        <v>12544</v>
      </c>
      <c r="Z14" s="634">
        <v>28586</v>
      </c>
      <c r="AA14" s="634">
        <v>1044778</v>
      </c>
      <c r="AB14" s="634">
        <v>842763</v>
      </c>
      <c r="AC14" s="634">
        <v>1887541</v>
      </c>
    </row>
    <row r="15" spans="1:29" s="1016" customFormat="1" ht="22.5" customHeight="1" x14ac:dyDescent="0.35">
      <c r="A15" s="90">
        <v>11</v>
      </c>
      <c r="B15" s="547" t="s">
        <v>22</v>
      </c>
      <c r="C15" s="634">
        <v>2728</v>
      </c>
      <c r="D15" s="660">
        <v>4155</v>
      </c>
      <c r="E15" s="660">
        <v>6883</v>
      </c>
      <c r="F15" s="634">
        <v>18</v>
      </c>
      <c r="G15" s="660">
        <v>47</v>
      </c>
      <c r="H15" s="660">
        <v>65</v>
      </c>
      <c r="I15" s="634">
        <v>58231</v>
      </c>
      <c r="J15" s="634">
        <v>103720</v>
      </c>
      <c r="K15" s="634">
        <v>161951</v>
      </c>
      <c r="L15" s="634">
        <v>410158</v>
      </c>
      <c r="M15" s="634">
        <v>433001</v>
      </c>
      <c r="N15" s="634">
        <v>843159</v>
      </c>
      <c r="O15" s="634">
        <v>2395</v>
      </c>
      <c r="P15" s="634">
        <v>2055</v>
      </c>
      <c r="Q15" s="634">
        <v>4450</v>
      </c>
      <c r="R15" s="634">
        <v>67479</v>
      </c>
      <c r="S15" s="634">
        <v>35855</v>
      </c>
      <c r="T15" s="634">
        <v>103334</v>
      </c>
      <c r="U15" s="634">
        <v>776</v>
      </c>
      <c r="V15" s="634">
        <v>888</v>
      </c>
      <c r="W15" s="634">
        <v>1664</v>
      </c>
      <c r="X15" s="634">
        <v>12766</v>
      </c>
      <c r="Y15" s="634">
        <v>11290</v>
      </c>
      <c r="Z15" s="634">
        <v>24056</v>
      </c>
      <c r="AA15" s="634">
        <v>554551</v>
      </c>
      <c r="AB15" s="634">
        <v>591011</v>
      </c>
      <c r="AC15" s="634">
        <v>1145562</v>
      </c>
    </row>
    <row r="16" spans="1:29" s="1016" customFormat="1" ht="22.5" customHeight="1" x14ac:dyDescent="0.35">
      <c r="A16" s="90">
        <v>12</v>
      </c>
      <c r="B16" s="547" t="s">
        <v>23</v>
      </c>
      <c r="C16" s="634">
        <v>965</v>
      </c>
      <c r="D16" s="660">
        <v>976</v>
      </c>
      <c r="E16" s="660">
        <v>1941</v>
      </c>
      <c r="F16" s="634">
        <v>11</v>
      </c>
      <c r="G16" s="660">
        <v>1</v>
      </c>
      <c r="H16" s="660">
        <v>12</v>
      </c>
      <c r="I16" s="634">
        <v>17483.189180107529</v>
      </c>
      <c r="J16" s="634">
        <v>21603.8006672427</v>
      </c>
      <c r="K16" s="634">
        <v>39086.989847350233</v>
      </c>
      <c r="L16" s="634">
        <v>120207.7165418587</v>
      </c>
      <c r="M16" s="634">
        <v>138775.80774769589</v>
      </c>
      <c r="N16" s="634">
        <v>258983.52428955451</v>
      </c>
      <c r="O16" s="634">
        <v>747</v>
      </c>
      <c r="P16" s="634">
        <v>917</v>
      </c>
      <c r="Q16" s="634">
        <v>1664</v>
      </c>
      <c r="R16" s="634">
        <v>9049</v>
      </c>
      <c r="S16" s="634">
        <v>9910</v>
      </c>
      <c r="T16" s="634">
        <v>18959</v>
      </c>
      <c r="U16" s="634">
        <v>184</v>
      </c>
      <c r="V16" s="634">
        <v>223</v>
      </c>
      <c r="W16" s="634">
        <v>407</v>
      </c>
      <c r="X16" s="634">
        <v>1531</v>
      </c>
      <c r="Y16" s="634">
        <v>1183</v>
      </c>
      <c r="Z16" s="634">
        <v>2714</v>
      </c>
      <c r="AA16" s="634">
        <v>150177.90572196621</v>
      </c>
      <c r="AB16" s="634">
        <v>173589.60841493859</v>
      </c>
      <c r="AC16" s="634">
        <v>323767.51413690468</v>
      </c>
    </row>
    <row r="17" spans="1:29" s="1016" customFormat="1" ht="22.5" customHeight="1" x14ac:dyDescent="0.35">
      <c r="A17" s="90">
        <v>13</v>
      </c>
      <c r="B17" s="547" t="s">
        <v>24</v>
      </c>
      <c r="C17" s="634">
        <v>1788</v>
      </c>
      <c r="D17" s="660">
        <v>2085</v>
      </c>
      <c r="E17" s="660">
        <v>3873</v>
      </c>
      <c r="F17" s="634"/>
      <c r="G17" s="660"/>
      <c r="H17" s="660"/>
      <c r="I17" s="634">
        <v>25877</v>
      </c>
      <c r="J17" s="634">
        <v>41663</v>
      </c>
      <c r="K17" s="634">
        <v>67540</v>
      </c>
      <c r="L17" s="634">
        <v>146544</v>
      </c>
      <c r="M17" s="634">
        <v>143979</v>
      </c>
      <c r="N17" s="634">
        <v>290523</v>
      </c>
      <c r="O17" s="634">
        <v>594</v>
      </c>
      <c r="P17" s="634">
        <v>406</v>
      </c>
      <c r="Q17" s="634">
        <v>1000</v>
      </c>
      <c r="R17" s="634">
        <v>9448</v>
      </c>
      <c r="S17" s="634">
        <v>10836</v>
      </c>
      <c r="T17" s="634">
        <v>20284</v>
      </c>
      <c r="U17" s="634">
        <v>695</v>
      </c>
      <c r="V17" s="634">
        <v>800</v>
      </c>
      <c r="W17" s="634">
        <v>1495</v>
      </c>
      <c r="X17" s="634">
        <v>5379</v>
      </c>
      <c r="Y17" s="634">
        <v>6217</v>
      </c>
      <c r="Z17" s="634">
        <v>11596</v>
      </c>
      <c r="AA17" s="634">
        <v>190325</v>
      </c>
      <c r="AB17" s="634">
        <v>205986</v>
      </c>
      <c r="AC17" s="634">
        <v>396311</v>
      </c>
    </row>
    <row r="18" spans="1:29" s="1016" customFormat="1" ht="22.5" customHeight="1" x14ac:dyDescent="0.35">
      <c r="A18" s="90">
        <v>14</v>
      </c>
      <c r="B18" s="547" t="s">
        <v>25</v>
      </c>
      <c r="C18" s="634">
        <v>1403</v>
      </c>
      <c r="D18" s="660">
        <v>879</v>
      </c>
      <c r="E18" s="660">
        <v>2282</v>
      </c>
      <c r="F18" s="634">
        <v>13</v>
      </c>
      <c r="G18" s="660">
        <v>66</v>
      </c>
      <c r="H18" s="660">
        <v>79</v>
      </c>
      <c r="I18" s="634">
        <v>46427</v>
      </c>
      <c r="J18" s="634">
        <v>66974</v>
      </c>
      <c r="K18" s="634">
        <v>113401</v>
      </c>
      <c r="L18" s="634">
        <v>357852</v>
      </c>
      <c r="M18" s="634">
        <v>352306</v>
      </c>
      <c r="N18" s="634">
        <v>710158</v>
      </c>
      <c r="O18" s="634">
        <v>2335</v>
      </c>
      <c r="P18" s="634">
        <v>1265</v>
      </c>
      <c r="Q18" s="634">
        <v>3600</v>
      </c>
      <c r="R18" s="634">
        <v>39069</v>
      </c>
      <c r="S18" s="634">
        <v>26247</v>
      </c>
      <c r="T18" s="634">
        <v>65316</v>
      </c>
      <c r="U18" s="634">
        <v>998</v>
      </c>
      <c r="V18" s="634">
        <v>533</v>
      </c>
      <c r="W18" s="634">
        <v>1531</v>
      </c>
      <c r="X18" s="634">
        <v>2729</v>
      </c>
      <c r="Y18" s="634">
        <v>1684</v>
      </c>
      <c r="Z18" s="634">
        <v>4413</v>
      </c>
      <c r="AA18" s="634">
        <v>450826</v>
      </c>
      <c r="AB18" s="634">
        <v>449954</v>
      </c>
      <c r="AC18" s="634">
        <v>900780</v>
      </c>
    </row>
    <row r="19" spans="1:29" s="1016" customFormat="1" ht="22.5" customHeight="1" x14ac:dyDescent="0.35">
      <c r="A19" s="90">
        <v>15</v>
      </c>
      <c r="B19" s="547" t="s">
        <v>26</v>
      </c>
      <c r="C19" s="634">
        <v>5875</v>
      </c>
      <c r="D19" s="660">
        <v>5791</v>
      </c>
      <c r="E19" s="660">
        <v>11666</v>
      </c>
      <c r="F19" s="634">
        <v>53</v>
      </c>
      <c r="G19" s="660">
        <v>139</v>
      </c>
      <c r="H19" s="660">
        <v>192</v>
      </c>
      <c r="I19" s="634">
        <v>133710.0222699205</v>
      </c>
      <c r="J19" s="634">
        <v>165748.1682663851</v>
      </c>
      <c r="K19" s="634">
        <v>299458.19053630572</v>
      </c>
      <c r="L19" s="634">
        <v>1047345.47594226</v>
      </c>
      <c r="M19" s="634">
        <v>992910.17476320686</v>
      </c>
      <c r="N19" s="634">
        <v>2040255.650705467</v>
      </c>
      <c r="O19" s="634">
        <v>4829</v>
      </c>
      <c r="P19" s="634">
        <v>3667</v>
      </c>
      <c r="Q19" s="634">
        <v>8496</v>
      </c>
      <c r="R19" s="634">
        <v>152049</v>
      </c>
      <c r="S19" s="634">
        <v>105031</v>
      </c>
      <c r="T19" s="634">
        <v>257080</v>
      </c>
      <c r="U19" s="634">
        <v>1770</v>
      </c>
      <c r="V19" s="634">
        <v>1253</v>
      </c>
      <c r="W19" s="634">
        <v>3023</v>
      </c>
      <c r="X19" s="634">
        <v>9178</v>
      </c>
      <c r="Y19" s="634">
        <v>9015</v>
      </c>
      <c r="Z19" s="634">
        <v>18193</v>
      </c>
      <c r="AA19" s="634">
        <v>1354809.498212181</v>
      </c>
      <c r="AB19" s="634">
        <v>1283554.343029592</v>
      </c>
      <c r="AC19" s="634">
        <v>2638363.8412417732</v>
      </c>
    </row>
    <row r="20" spans="1:29" s="1016" customFormat="1" ht="22.5" customHeight="1" x14ac:dyDescent="0.35">
      <c r="A20" s="90">
        <v>16</v>
      </c>
      <c r="B20" s="547" t="s">
        <v>27</v>
      </c>
      <c r="C20" s="634">
        <v>2894</v>
      </c>
      <c r="D20" s="660">
        <v>6082</v>
      </c>
      <c r="E20" s="660">
        <v>8976</v>
      </c>
      <c r="F20" s="634">
        <v>14</v>
      </c>
      <c r="G20" s="660">
        <v>58</v>
      </c>
      <c r="H20" s="660">
        <v>72</v>
      </c>
      <c r="I20" s="634">
        <v>45041.841042487184</v>
      </c>
      <c r="J20" s="634">
        <v>117816.4149951648</v>
      </c>
      <c r="K20" s="634">
        <v>162858.256037652</v>
      </c>
      <c r="L20" s="634">
        <v>401393.10789953702</v>
      </c>
      <c r="M20" s="634">
        <v>535121.11412930279</v>
      </c>
      <c r="N20" s="634">
        <v>936514.22202883975</v>
      </c>
      <c r="O20" s="634">
        <v>1333</v>
      </c>
      <c r="P20" s="634">
        <v>2023</v>
      </c>
      <c r="Q20" s="634">
        <v>3356</v>
      </c>
      <c r="R20" s="634">
        <v>54281</v>
      </c>
      <c r="S20" s="634">
        <v>40081</v>
      </c>
      <c r="T20" s="634">
        <v>94362</v>
      </c>
      <c r="U20" s="634">
        <v>1999</v>
      </c>
      <c r="V20" s="634">
        <v>1280</v>
      </c>
      <c r="W20" s="634">
        <v>3279</v>
      </c>
      <c r="X20" s="634">
        <v>5701</v>
      </c>
      <c r="Y20" s="634">
        <v>9181</v>
      </c>
      <c r="Z20" s="634">
        <v>14882</v>
      </c>
      <c r="AA20" s="634">
        <v>512656.94894202409</v>
      </c>
      <c r="AB20" s="634">
        <v>711642.52912446763</v>
      </c>
      <c r="AC20" s="634">
        <v>1224299.4780664919</v>
      </c>
    </row>
    <row r="21" spans="1:29" s="1016" customFormat="1" ht="22.5" customHeight="1" x14ac:dyDescent="0.35">
      <c r="A21" s="90">
        <v>17</v>
      </c>
      <c r="B21" s="547" t="s">
        <v>28</v>
      </c>
      <c r="C21" s="634">
        <v>10</v>
      </c>
      <c r="D21" s="660">
        <v>8</v>
      </c>
      <c r="E21" s="660">
        <v>18</v>
      </c>
      <c r="F21" s="634"/>
      <c r="G21" s="660"/>
      <c r="H21" s="660"/>
      <c r="I21" s="634">
        <v>129</v>
      </c>
      <c r="J21" s="634">
        <v>284</v>
      </c>
      <c r="K21" s="634">
        <v>413</v>
      </c>
      <c r="L21" s="634">
        <v>1247</v>
      </c>
      <c r="M21" s="634">
        <v>2185</v>
      </c>
      <c r="N21" s="634">
        <v>3432</v>
      </c>
      <c r="O21" s="634"/>
      <c r="P21" s="634"/>
      <c r="Q21" s="634"/>
      <c r="R21" s="634">
        <v>247</v>
      </c>
      <c r="S21" s="634">
        <v>412</v>
      </c>
      <c r="T21" s="634">
        <v>659</v>
      </c>
      <c r="U21" s="634">
        <v>24</v>
      </c>
      <c r="V21" s="634">
        <v>132</v>
      </c>
      <c r="W21" s="634">
        <v>156</v>
      </c>
      <c r="X21" s="634"/>
      <c r="Y21" s="634"/>
      <c r="Z21" s="634"/>
      <c r="AA21" s="634">
        <v>1657</v>
      </c>
      <c r="AB21" s="634">
        <v>3021</v>
      </c>
      <c r="AC21" s="634">
        <v>4678</v>
      </c>
    </row>
    <row r="22" spans="1:29" s="1016" customFormat="1" ht="22.5" customHeight="1" x14ac:dyDescent="0.35">
      <c r="A22" s="90">
        <v>18</v>
      </c>
      <c r="B22" s="547" t="s">
        <v>72</v>
      </c>
      <c r="C22" s="634"/>
      <c r="D22" s="660"/>
      <c r="E22" s="660"/>
      <c r="F22" s="634"/>
      <c r="G22" s="660"/>
      <c r="H22" s="660"/>
      <c r="I22" s="634"/>
      <c r="J22" s="634"/>
      <c r="K22" s="634"/>
      <c r="L22" s="634">
        <v>121</v>
      </c>
      <c r="M22" s="634">
        <v>299</v>
      </c>
      <c r="N22" s="634">
        <v>420</v>
      </c>
      <c r="O22" s="634"/>
      <c r="P22" s="634"/>
      <c r="Q22" s="634"/>
      <c r="R22" s="634">
        <v>71</v>
      </c>
      <c r="S22" s="634">
        <v>22</v>
      </c>
      <c r="T22" s="634">
        <v>93</v>
      </c>
      <c r="U22" s="634"/>
      <c r="V22" s="634"/>
      <c r="W22" s="634"/>
      <c r="X22" s="634"/>
      <c r="Y22" s="634"/>
      <c r="Z22" s="634"/>
      <c r="AA22" s="634">
        <v>192</v>
      </c>
      <c r="AB22" s="634">
        <v>321</v>
      </c>
      <c r="AC22" s="634">
        <v>513</v>
      </c>
    </row>
    <row r="23" spans="1:29" s="1016" customFormat="1" ht="22.5" customHeight="1" x14ac:dyDescent="0.35">
      <c r="A23" s="90">
        <v>19</v>
      </c>
      <c r="B23" s="547" t="s">
        <v>29</v>
      </c>
      <c r="C23" s="634">
        <v>4364</v>
      </c>
      <c r="D23" s="660">
        <v>3568</v>
      </c>
      <c r="E23" s="660">
        <v>7932</v>
      </c>
      <c r="F23" s="634">
        <v>1</v>
      </c>
      <c r="G23" s="660">
        <v>15</v>
      </c>
      <c r="H23" s="660">
        <v>16</v>
      </c>
      <c r="I23" s="634">
        <v>216393.0954548672</v>
      </c>
      <c r="J23" s="634">
        <v>253968.0625789669</v>
      </c>
      <c r="K23" s="634">
        <v>470361.15803383407</v>
      </c>
      <c r="L23" s="634">
        <v>1039897.4732560921</v>
      </c>
      <c r="M23" s="634">
        <v>918469.23210127233</v>
      </c>
      <c r="N23" s="634">
        <v>1958366.7053573639</v>
      </c>
      <c r="O23" s="634">
        <v>25182</v>
      </c>
      <c r="P23" s="634">
        <v>25586</v>
      </c>
      <c r="Q23" s="634">
        <v>50768</v>
      </c>
      <c r="R23" s="634">
        <v>127069</v>
      </c>
      <c r="S23" s="634">
        <v>76659</v>
      </c>
      <c r="T23" s="634">
        <v>203728</v>
      </c>
      <c r="U23" s="634">
        <v>2917</v>
      </c>
      <c r="V23" s="634">
        <v>1603</v>
      </c>
      <c r="W23" s="634">
        <v>4520</v>
      </c>
      <c r="X23" s="634">
        <v>21628</v>
      </c>
      <c r="Y23" s="634">
        <v>17929</v>
      </c>
      <c r="Z23" s="634">
        <v>39557</v>
      </c>
      <c r="AA23" s="634">
        <v>1437451.5687109591</v>
      </c>
      <c r="AB23" s="634">
        <v>1297797.2946802389</v>
      </c>
      <c r="AC23" s="634">
        <v>2735248.8633911982</v>
      </c>
    </row>
    <row r="24" spans="1:29" s="1016" customFormat="1" ht="22.5" customHeight="1" x14ac:dyDescent="0.35">
      <c r="A24" s="90">
        <v>20</v>
      </c>
      <c r="B24" s="547" t="s">
        <v>30</v>
      </c>
      <c r="C24" s="634">
        <v>13171</v>
      </c>
      <c r="D24" s="660">
        <v>11362</v>
      </c>
      <c r="E24" s="660">
        <v>24533</v>
      </c>
      <c r="F24" s="634">
        <v>33</v>
      </c>
      <c r="G24" s="660">
        <v>28</v>
      </c>
      <c r="H24" s="660">
        <v>61</v>
      </c>
      <c r="I24" s="634">
        <v>323993.35373261332</v>
      </c>
      <c r="J24" s="634">
        <v>342042.62374309328</v>
      </c>
      <c r="K24" s="634">
        <v>666035.9774757066</v>
      </c>
      <c r="L24" s="634">
        <v>2044038.101926012</v>
      </c>
      <c r="M24" s="634">
        <v>1644917.445032604</v>
      </c>
      <c r="N24" s="634">
        <v>3688955.546958616</v>
      </c>
      <c r="O24" s="634">
        <v>16976</v>
      </c>
      <c r="P24" s="634">
        <v>12170</v>
      </c>
      <c r="Q24" s="634">
        <v>29146</v>
      </c>
      <c r="R24" s="634">
        <v>235878</v>
      </c>
      <c r="S24" s="634">
        <v>181098</v>
      </c>
      <c r="T24" s="634">
        <v>416976</v>
      </c>
      <c r="U24" s="634">
        <v>4313</v>
      </c>
      <c r="V24" s="634">
        <v>4492</v>
      </c>
      <c r="W24" s="634">
        <v>8805</v>
      </c>
      <c r="X24" s="634">
        <v>13138</v>
      </c>
      <c r="Y24" s="634">
        <v>11479</v>
      </c>
      <c r="Z24" s="634">
        <v>24617</v>
      </c>
      <c r="AA24" s="634">
        <v>2651540.4556586249</v>
      </c>
      <c r="AB24" s="634">
        <v>2207589.0687756981</v>
      </c>
      <c r="AC24" s="634">
        <v>4859129.5244343234</v>
      </c>
    </row>
    <row r="25" spans="1:29" s="1016" customFormat="1" ht="22.5" customHeight="1" x14ac:dyDescent="0.35">
      <c r="A25" s="90">
        <v>21</v>
      </c>
      <c r="B25" s="547" t="s">
        <v>31</v>
      </c>
      <c r="C25" s="634">
        <v>1139</v>
      </c>
      <c r="D25" s="660">
        <v>1211</v>
      </c>
      <c r="E25" s="660">
        <v>2350</v>
      </c>
      <c r="F25" s="634">
        <v>4</v>
      </c>
      <c r="G25" s="660">
        <v>8</v>
      </c>
      <c r="H25" s="660">
        <v>12</v>
      </c>
      <c r="I25" s="634">
        <v>5962.3042499296371</v>
      </c>
      <c r="J25" s="634">
        <v>6576.591049817056</v>
      </c>
      <c r="K25" s="634">
        <v>12538.895299746689</v>
      </c>
      <c r="L25" s="634">
        <v>52550.43287362792</v>
      </c>
      <c r="M25" s="634">
        <v>50229.887137630169</v>
      </c>
      <c r="N25" s="634">
        <v>102780.3200112581</v>
      </c>
      <c r="O25" s="634">
        <v>499</v>
      </c>
      <c r="P25" s="634">
        <v>525</v>
      </c>
      <c r="Q25" s="634">
        <v>1024</v>
      </c>
      <c r="R25" s="634">
        <v>1476</v>
      </c>
      <c r="S25" s="634">
        <v>2607</v>
      </c>
      <c r="T25" s="634">
        <v>4083</v>
      </c>
      <c r="U25" s="634">
        <v>144</v>
      </c>
      <c r="V25" s="634">
        <v>74</v>
      </c>
      <c r="W25" s="634">
        <v>218</v>
      </c>
      <c r="X25" s="634"/>
      <c r="Y25" s="634"/>
      <c r="Z25" s="634"/>
      <c r="AA25" s="634">
        <v>61774.737123557563</v>
      </c>
      <c r="AB25" s="634">
        <v>61231.478187447217</v>
      </c>
      <c r="AC25" s="634">
        <v>123006.21531100479</v>
      </c>
    </row>
    <row r="26" spans="1:29" s="1016" customFormat="1" ht="22.5" customHeight="1" x14ac:dyDescent="0.35">
      <c r="A26" s="90">
        <v>22</v>
      </c>
      <c r="B26" s="547" t="s">
        <v>32</v>
      </c>
      <c r="C26" s="634">
        <v>525</v>
      </c>
      <c r="D26" s="660">
        <v>534</v>
      </c>
      <c r="E26" s="660">
        <v>1059</v>
      </c>
      <c r="F26" s="634">
        <v>0</v>
      </c>
      <c r="G26" s="660">
        <v>0</v>
      </c>
      <c r="H26" s="660">
        <v>0</v>
      </c>
      <c r="I26" s="634">
        <v>6070.575757575758</v>
      </c>
      <c r="J26" s="634">
        <v>9701.636363636364</v>
      </c>
      <c r="K26" s="634">
        <v>15772.21212121212</v>
      </c>
      <c r="L26" s="634">
        <v>36319.909090909088</v>
      </c>
      <c r="M26" s="634">
        <v>43550.242424242417</v>
      </c>
      <c r="N26" s="634">
        <v>79870.15151515152</v>
      </c>
      <c r="O26" s="634">
        <v>122</v>
      </c>
      <c r="P26" s="634">
        <v>135</v>
      </c>
      <c r="Q26" s="634">
        <v>257</v>
      </c>
      <c r="R26" s="634">
        <v>1288</v>
      </c>
      <c r="S26" s="634">
        <v>2288</v>
      </c>
      <c r="T26" s="634">
        <v>3576</v>
      </c>
      <c r="U26" s="634">
        <v>458</v>
      </c>
      <c r="V26" s="634">
        <v>455</v>
      </c>
      <c r="W26" s="634">
        <v>913</v>
      </c>
      <c r="X26" s="634">
        <v>234</v>
      </c>
      <c r="Y26" s="634">
        <v>251</v>
      </c>
      <c r="Z26" s="634">
        <v>485</v>
      </c>
      <c r="AA26" s="634">
        <v>45017.484848484848</v>
      </c>
      <c r="AB26" s="634">
        <v>56914.878787878777</v>
      </c>
      <c r="AC26" s="634">
        <v>101932.3636363636</v>
      </c>
    </row>
    <row r="27" spans="1:29" s="1016" customFormat="1" ht="22.5" customHeight="1" x14ac:dyDescent="0.35">
      <c r="A27" s="90">
        <v>23</v>
      </c>
      <c r="B27" s="547" t="s">
        <v>33</v>
      </c>
      <c r="C27" s="634">
        <v>667</v>
      </c>
      <c r="D27" s="660">
        <v>579</v>
      </c>
      <c r="E27" s="660">
        <v>1246</v>
      </c>
      <c r="F27" s="634"/>
      <c r="G27" s="660"/>
      <c r="H27" s="660"/>
      <c r="I27" s="634">
        <v>2522</v>
      </c>
      <c r="J27" s="634">
        <v>3063</v>
      </c>
      <c r="K27" s="634">
        <v>5585</v>
      </c>
      <c r="L27" s="634">
        <v>16401</v>
      </c>
      <c r="M27" s="634">
        <v>15075</v>
      </c>
      <c r="N27" s="634">
        <v>31476</v>
      </c>
      <c r="O27" s="634">
        <v>20</v>
      </c>
      <c r="P27" s="634">
        <v>9</v>
      </c>
      <c r="Q27" s="634">
        <v>29</v>
      </c>
      <c r="R27" s="634">
        <v>4563</v>
      </c>
      <c r="S27" s="634">
        <v>5699</v>
      </c>
      <c r="T27" s="634">
        <v>10262</v>
      </c>
      <c r="U27" s="634">
        <v>3</v>
      </c>
      <c r="V27" s="634">
        <v>3</v>
      </c>
      <c r="W27" s="634">
        <v>6</v>
      </c>
      <c r="X27" s="634">
        <v>5</v>
      </c>
      <c r="Y27" s="634">
        <v>2</v>
      </c>
      <c r="Z27" s="634">
        <v>7</v>
      </c>
      <c r="AA27" s="634">
        <v>24181</v>
      </c>
      <c r="AB27" s="634">
        <v>24430</v>
      </c>
      <c r="AC27" s="634">
        <v>48611</v>
      </c>
    </row>
    <row r="28" spans="1:29" s="1016" customFormat="1" ht="22.5" customHeight="1" x14ac:dyDescent="0.35">
      <c r="A28" s="90">
        <v>24</v>
      </c>
      <c r="B28" s="547" t="s">
        <v>34</v>
      </c>
      <c r="C28" s="634">
        <v>343</v>
      </c>
      <c r="D28" s="660">
        <v>357</v>
      </c>
      <c r="E28" s="660">
        <v>700</v>
      </c>
      <c r="F28" s="634"/>
      <c r="G28" s="660"/>
      <c r="H28" s="660"/>
      <c r="I28" s="634">
        <v>2956</v>
      </c>
      <c r="J28" s="634">
        <v>4989</v>
      </c>
      <c r="K28" s="634">
        <v>7945</v>
      </c>
      <c r="L28" s="634">
        <v>17937</v>
      </c>
      <c r="M28" s="634">
        <v>20612</v>
      </c>
      <c r="N28" s="634">
        <v>38549</v>
      </c>
      <c r="O28" s="634">
        <v>16</v>
      </c>
      <c r="P28" s="634">
        <v>31</v>
      </c>
      <c r="Q28" s="634">
        <v>47</v>
      </c>
      <c r="R28" s="634">
        <v>843</v>
      </c>
      <c r="S28" s="634">
        <v>1558</v>
      </c>
      <c r="T28" s="634">
        <v>2401</v>
      </c>
      <c r="U28" s="634">
        <v>844</v>
      </c>
      <c r="V28" s="634">
        <v>820</v>
      </c>
      <c r="W28" s="634">
        <v>1664</v>
      </c>
      <c r="X28" s="634"/>
      <c r="Y28" s="634"/>
      <c r="Z28" s="634"/>
      <c r="AA28" s="634">
        <v>22939</v>
      </c>
      <c r="AB28" s="634">
        <v>28367</v>
      </c>
      <c r="AC28" s="634">
        <v>51306</v>
      </c>
    </row>
    <row r="29" spans="1:29" s="1016" customFormat="1" ht="22.5" customHeight="1" x14ac:dyDescent="0.35">
      <c r="A29" s="90">
        <v>25</v>
      </c>
      <c r="B29" s="547" t="s">
        <v>35</v>
      </c>
      <c r="C29" s="634">
        <v>2450</v>
      </c>
      <c r="D29" s="660">
        <v>1640</v>
      </c>
      <c r="E29" s="660">
        <v>4090</v>
      </c>
      <c r="F29" s="634"/>
      <c r="G29" s="660"/>
      <c r="H29" s="660"/>
      <c r="I29" s="634">
        <v>55500</v>
      </c>
      <c r="J29" s="634">
        <v>58487</v>
      </c>
      <c r="K29" s="634">
        <v>113987</v>
      </c>
      <c r="L29" s="634">
        <v>403935</v>
      </c>
      <c r="M29" s="634">
        <v>399412</v>
      </c>
      <c r="N29" s="634">
        <v>803347</v>
      </c>
      <c r="O29" s="634">
        <v>2140</v>
      </c>
      <c r="P29" s="634">
        <v>1292</v>
      </c>
      <c r="Q29" s="634">
        <v>3432</v>
      </c>
      <c r="R29" s="634">
        <v>111800</v>
      </c>
      <c r="S29" s="634">
        <v>50010</v>
      </c>
      <c r="T29" s="634">
        <v>161810</v>
      </c>
      <c r="U29" s="634">
        <v>604</v>
      </c>
      <c r="V29" s="634">
        <v>1035</v>
      </c>
      <c r="W29" s="634">
        <v>1639</v>
      </c>
      <c r="X29" s="634">
        <v>6667</v>
      </c>
      <c r="Y29" s="634">
        <v>6636</v>
      </c>
      <c r="Z29" s="634">
        <v>13303</v>
      </c>
      <c r="AA29" s="634">
        <v>583096</v>
      </c>
      <c r="AB29" s="634">
        <v>518512</v>
      </c>
      <c r="AC29" s="634">
        <v>1101608</v>
      </c>
    </row>
    <row r="30" spans="1:29" s="1016" customFormat="1" ht="22.5" customHeight="1" x14ac:dyDescent="0.35">
      <c r="A30" s="90">
        <v>26</v>
      </c>
      <c r="B30" s="547" t="s">
        <v>36</v>
      </c>
      <c r="C30" s="634">
        <v>375</v>
      </c>
      <c r="D30" s="660">
        <v>325</v>
      </c>
      <c r="E30" s="660">
        <v>700</v>
      </c>
      <c r="F30" s="634"/>
      <c r="G30" s="660"/>
      <c r="H30" s="660"/>
      <c r="I30" s="634">
        <v>14309.076315789471</v>
      </c>
      <c r="J30" s="634">
        <v>15069.7649122807</v>
      </c>
      <c r="K30" s="634">
        <v>29378.84122807017</v>
      </c>
      <c r="L30" s="634">
        <v>30198.49298245614</v>
      </c>
      <c r="M30" s="634">
        <v>35163.247368421064</v>
      </c>
      <c r="N30" s="634">
        <v>65361.740350877197</v>
      </c>
      <c r="O30" s="634">
        <v>38</v>
      </c>
      <c r="P30" s="634">
        <v>25</v>
      </c>
      <c r="Q30" s="634">
        <v>63</v>
      </c>
      <c r="R30" s="634">
        <v>2556</v>
      </c>
      <c r="S30" s="634">
        <v>1036</v>
      </c>
      <c r="T30" s="634">
        <v>3592</v>
      </c>
      <c r="U30" s="634">
        <v>16</v>
      </c>
      <c r="V30" s="634">
        <v>4</v>
      </c>
      <c r="W30" s="634">
        <v>20</v>
      </c>
      <c r="X30" s="634">
        <v>566</v>
      </c>
      <c r="Y30" s="634">
        <v>942</v>
      </c>
      <c r="Z30" s="634">
        <v>1508</v>
      </c>
      <c r="AA30" s="634">
        <v>48058.569298245609</v>
      </c>
      <c r="AB30" s="634">
        <v>52565.012280701747</v>
      </c>
      <c r="AC30" s="634">
        <v>100623.5815789474</v>
      </c>
    </row>
    <row r="31" spans="1:29" s="1016" customFormat="1" ht="22.5" customHeight="1" x14ac:dyDescent="0.35">
      <c r="A31" s="90">
        <v>27</v>
      </c>
      <c r="B31" s="547" t="s">
        <v>37</v>
      </c>
      <c r="C31" s="634">
        <v>3790</v>
      </c>
      <c r="D31" s="660">
        <v>4882</v>
      </c>
      <c r="E31" s="660">
        <v>8672</v>
      </c>
      <c r="F31" s="634">
        <v>3</v>
      </c>
      <c r="G31" s="660">
        <v>14</v>
      </c>
      <c r="H31" s="660">
        <v>17</v>
      </c>
      <c r="I31" s="634">
        <v>56380.608695652183</v>
      </c>
      <c r="J31" s="634">
        <v>67277.25</v>
      </c>
      <c r="K31" s="634">
        <v>123657.8586956522</v>
      </c>
      <c r="L31" s="634">
        <v>338689.15217391303</v>
      </c>
      <c r="M31" s="634">
        <v>302757.77898550732</v>
      </c>
      <c r="N31" s="634">
        <v>641446.93115942029</v>
      </c>
      <c r="O31" s="634">
        <v>3323</v>
      </c>
      <c r="P31" s="634">
        <v>3598</v>
      </c>
      <c r="Q31" s="634">
        <v>6921</v>
      </c>
      <c r="R31" s="634">
        <v>53637</v>
      </c>
      <c r="S31" s="634">
        <v>56448</v>
      </c>
      <c r="T31" s="634">
        <v>110085</v>
      </c>
      <c r="U31" s="634">
        <v>888</v>
      </c>
      <c r="V31" s="634">
        <v>894</v>
      </c>
      <c r="W31" s="634">
        <v>1782</v>
      </c>
      <c r="X31" s="634">
        <v>10132</v>
      </c>
      <c r="Y31" s="634">
        <v>13232</v>
      </c>
      <c r="Z31" s="634">
        <v>23364</v>
      </c>
      <c r="AA31" s="634">
        <v>466842.76086956519</v>
      </c>
      <c r="AB31" s="634">
        <v>449103.02898550732</v>
      </c>
      <c r="AC31" s="634">
        <v>915945.78985507251</v>
      </c>
    </row>
    <row r="32" spans="1:29" s="1016" customFormat="1" ht="22.5" customHeight="1" x14ac:dyDescent="0.35">
      <c r="A32" s="90">
        <v>28</v>
      </c>
      <c r="B32" s="547" t="s">
        <v>38</v>
      </c>
      <c r="C32" s="634">
        <v>5572</v>
      </c>
      <c r="D32" s="660">
        <v>6524</v>
      </c>
      <c r="E32" s="660">
        <v>12096</v>
      </c>
      <c r="F32" s="634">
        <v>14</v>
      </c>
      <c r="G32" s="660">
        <v>48</v>
      </c>
      <c r="H32" s="660">
        <v>62</v>
      </c>
      <c r="I32" s="634">
        <v>141723.4314451408</v>
      </c>
      <c r="J32" s="634">
        <v>178776.75251290039</v>
      </c>
      <c r="K32" s="634">
        <v>320500.18395804119</v>
      </c>
      <c r="L32" s="634">
        <v>1032187.589830693</v>
      </c>
      <c r="M32" s="634">
        <v>962106.65864848078</v>
      </c>
      <c r="N32" s="634">
        <v>1994294.248479174</v>
      </c>
      <c r="O32" s="634">
        <v>7170</v>
      </c>
      <c r="P32" s="634">
        <v>4171</v>
      </c>
      <c r="Q32" s="634">
        <v>11341</v>
      </c>
      <c r="R32" s="634">
        <v>96879</v>
      </c>
      <c r="S32" s="634">
        <v>49367</v>
      </c>
      <c r="T32" s="634">
        <v>146246</v>
      </c>
      <c r="U32" s="634">
        <v>1302</v>
      </c>
      <c r="V32" s="634">
        <v>1696</v>
      </c>
      <c r="W32" s="634">
        <v>2998</v>
      </c>
      <c r="X32" s="634">
        <v>74005</v>
      </c>
      <c r="Y32" s="634">
        <v>73875</v>
      </c>
      <c r="Z32" s="634">
        <v>147880</v>
      </c>
      <c r="AA32" s="634">
        <v>1358853.0212758339</v>
      </c>
      <c r="AB32" s="634">
        <v>1276564.4111613811</v>
      </c>
      <c r="AC32" s="634">
        <v>2635417.432437215</v>
      </c>
    </row>
    <row r="33" spans="1:29" s="1016" customFormat="1" ht="22.5" customHeight="1" x14ac:dyDescent="0.35">
      <c r="A33" s="90">
        <v>29</v>
      </c>
      <c r="B33" s="547" t="s">
        <v>39</v>
      </c>
      <c r="C33" s="634">
        <v>385</v>
      </c>
      <c r="D33" s="660">
        <v>332</v>
      </c>
      <c r="E33" s="660">
        <v>717</v>
      </c>
      <c r="F33" s="634">
        <v>18</v>
      </c>
      <c r="G33" s="660">
        <v>25</v>
      </c>
      <c r="H33" s="660">
        <v>43</v>
      </c>
      <c r="I33" s="634">
        <v>2265.7777777777778</v>
      </c>
      <c r="J33" s="634">
        <v>3570.7777777777778</v>
      </c>
      <c r="K33" s="634">
        <v>5836.5555555555557</v>
      </c>
      <c r="L33" s="634">
        <v>12176.777777777779</v>
      </c>
      <c r="M33" s="634">
        <v>12555</v>
      </c>
      <c r="N33" s="634">
        <v>24731.777777777781</v>
      </c>
      <c r="O33" s="634">
        <v>21</v>
      </c>
      <c r="P33" s="634">
        <v>16</v>
      </c>
      <c r="Q33" s="634">
        <v>37</v>
      </c>
      <c r="R33" s="634">
        <v>1072</v>
      </c>
      <c r="S33" s="634">
        <v>929</v>
      </c>
      <c r="T33" s="634">
        <v>2001</v>
      </c>
      <c r="U33" s="634">
        <v>41</v>
      </c>
      <c r="V33" s="634">
        <v>6</v>
      </c>
      <c r="W33" s="634">
        <v>47</v>
      </c>
      <c r="X33" s="634">
        <v>167</v>
      </c>
      <c r="Y33" s="634">
        <v>271</v>
      </c>
      <c r="Z33" s="634">
        <v>438</v>
      </c>
      <c r="AA33" s="634">
        <v>16146.55555555556</v>
      </c>
      <c r="AB33" s="634">
        <v>17704.777777777781</v>
      </c>
      <c r="AC33" s="634">
        <v>33851.333333333343</v>
      </c>
    </row>
    <row r="34" spans="1:29" s="1016" customFormat="1" ht="22.5" customHeight="1" x14ac:dyDescent="0.35">
      <c r="A34" s="90">
        <v>30</v>
      </c>
      <c r="B34" s="547" t="s">
        <v>40</v>
      </c>
      <c r="C34" s="634">
        <v>11248</v>
      </c>
      <c r="D34" s="660">
        <v>15362</v>
      </c>
      <c r="E34" s="660">
        <v>26610</v>
      </c>
      <c r="F34" s="634">
        <v>391</v>
      </c>
      <c r="G34" s="660">
        <v>787</v>
      </c>
      <c r="H34" s="660">
        <v>1178</v>
      </c>
      <c r="I34" s="634">
        <v>198868.83654456801</v>
      </c>
      <c r="J34" s="634">
        <v>273417.68673043873</v>
      </c>
      <c r="K34" s="634">
        <v>472286.52327500662</v>
      </c>
      <c r="L34" s="634">
        <v>1302943.907380267</v>
      </c>
      <c r="M34" s="634">
        <v>1289393.3613470041</v>
      </c>
      <c r="N34" s="634">
        <v>2592337.2687272709</v>
      </c>
      <c r="O34" s="634">
        <v>2609</v>
      </c>
      <c r="P34" s="634">
        <v>2495</v>
      </c>
      <c r="Q34" s="634">
        <v>5104</v>
      </c>
      <c r="R34" s="634">
        <v>201845</v>
      </c>
      <c r="S34" s="634">
        <v>51660</v>
      </c>
      <c r="T34" s="634">
        <v>253505</v>
      </c>
      <c r="U34" s="634">
        <v>14566</v>
      </c>
      <c r="V34" s="634">
        <v>11302</v>
      </c>
      <c r="W34" s="634">
        <v>25868</v>
      </c>
      <c r="X34" s="634">
        <v>13408</v>
      </c>
      <c r="Y34" s="634">
        <v>14692</v>
      </c>
      <c r="Z34" s="634">
        <v>28100</v>
      </c>
      <c r="AA34" s="634">
        <v>1745879.743924835</v>
      </c>
      <c r="AB34" s="634">
        <v>1659109.048077442</v>
      </c>
      <c r="AC34" s="634">
        <v>3404988.7920022779</v>
      </c>
    </row>
    <row r="35" spans="1:29" s="1016" customFormat="1" ht="22.5" customHeight="1" x14ac:dyDescent="0.35">
      <c r="A35" s="90">
        <v>31</v>
      </c>
      <c r="B35" s="547" t="s">
        <v>41</v>
      </c>
      <c r="C35" s="634">
        <v>4624</v>
      </c>
      <c r="D35" s="660">
        <v>2606</v>
      </c>
      <c r="E35" s="660">
        <v>7230</v>
      </c>
      <c r="F35" s="634">
        <v>34</v>
      </c>
      <c r="G35" s="660">
        <v>38</v>
      </c>
      <c r="H35" s="660">
        <v>72</v>
      </c>
      <c r="I35" s="634">
        <v>91115.137973616351</v>
      </c>
      <c r="J35" s="634">
        <v>126029.4294508423</v>
      </c>
      <c r="K35" s="634">
        <v>217144.56742445871</v>
      </c>
      <c r="L35" s="634">
        <v>669112.3414574489</v>
      </c>
      <c r="M35" s="634">
        <v>678078.30541872815</v>
      </c>
      <c r="N35" s="634">
        <v>1347190.6468761771</v>
      </c>
      <c r="O35" s="634">
        <v>4079</v>
      </c>
      <c r="P35" s="634">
        <v>3485</v>
      </c>
      <c r="Q35" s="634">
        <v>7564</v>
      </c>
      <c r="R35" s="634">
        <v>42693</v>
      </c>
      <c r="S35" s="634">
        <v>37059</v>
      </c>
      <c r="T35" s="634">
        <v>79752</v>
      </c>
      <c r="U35" s="634">
        <v>1820</v>
      </c>
      <c r="V35" s="634">
        <v>1360</v>
      </c>
      <c r="W35" s="634">
        <v>3180</v>
      </c>
      <c r="X35" s="634">
        <v>5111</v>
      </c>
      <c r="Y35" s="634">
        <v>4318</v>
      </c>
      <c r="Z35" s="634">
        <v>9429</v>
      </c>
      <c r="AA35" s="634">
        <v>818588.47943106527</v>
      </c>
      <c r="AB35" s="634">
        <v>852973.73486957047</v>
      </c>
      <c r="AC35" s="634">
        <v>1671562.214300636</v>
      </c>
    </row>
    <row r="36" spans="1:29" s="1016" customFormat="1" ht="22.5" customHeight="1" x14ac:dyDescent="0.35">
      <c r="A36" s="90">
        <v>32</v>
      </c>
      <c r="B36" s="1021" t="s">
        <v>60</v>
      </c>
      <c r="C36" s="634">
        <v>0</v>
      </c>
      <c r="D36" s="660">
        <v>2</v>
      </c>
      <c r="E36" s="660">
        <v>2</v>
      </c>
      <c r="F36" s="634"/>
      <c r="G36" s="660"/>
      <c r="H36" s="660"/>
      <c r="I36" s="634">
        <v>268</v>
      </c>
      <c r="J36" s="634">
        <v>641</v>
      </c>
      <c r="K36" s="634">
        <v>909</v>
      </c>
      <c r="L36" s="634">
        <v>4742</v>
      </c>
      <c r="M36" s="634">
        <v>5273</v>
      </c>
      <c r="N36" s="634">
        <v>10015</v>
      </c>
      <c r="O36" s="634">
        <v>44</v>
      </c>
      <c r="P36" s="634">
        <v>18</v>
      </c>
      <c r="Q36" s="634">
        <v>62</v>
      </c>
      <c r="R36" s="634">
        <v>1502</v>
      </c>
      <c r="S36" s="634">
        <v>397</v>
      </c>
      <c r="T36" s="634">
        <v>1899</v>
      </c>
      <c r="U36" s="634"/>
      <c r="V36" s="634"/>
      <c r="W36" s="634"/>
      <c r="X36" s="634">
        <v>51</v>
      </c>
      <c r="Y36" s="634">
        <v>71</v>
      </c>
      <c r="Z36" s="634">
        <v>122</v>
      </c>
      <c r="AA36" s="634">
        <v>6607</v>
      </c>
      <c r="AB36" s="634">
        <v>6402</v>
      </c>
      <c r="AC36" s="634">
        <v>13009</v>
      </c>
    </row>
    <row r="37" spans="1:29" s="1016" customFormat="1" ht="22.5" customHeight="1" x14ac:dyDescent="0.35">
      <c r="A37" s="90">
        <v>33</v>
      </c>
      <c r="B37" s="547" t="s">
        <v>42</v>
      </c>
      <c r="C37" s="634">
        <v>127</v>
      </c>
      <c r="D37" s="660">
        <v>77</v>
      </c>
      <c r="E37" s="660">
        <v>204</v>
      </c>
      <c r="F37" s="634">
        <v>1</v>
      </c>
      <c r="G37" s="660">
        <v>4</v>
      </c>
      <c r="H37" s="660">
        <v>5</v>
      </c>
      <c r="I37" s="634">
        <v>4326</v>
      </c>
      <c r="J37" s="634">
        <v>5130</v>
      </c>
      <c r="K37" s="634">
        <v>9456</v>
      </c>
      <c r="L37" s="634">
        <v>44093</v>
      </c>
      <c r="M37" s="634">
        <v>41382</v>
      </c>
      <c r="N37" s="634">
        <v>85475</v>
      </c>
      <c r="O37" s="634">
        <v>45</v>
      </c>
      <c r="P37" s="634">
        <v>29</v>
      </c>
      <c r="Q37" s="634">
        <v>74</v>
      </c>
      <c r="R37" s="634">
        <v>2411</v>
      </c>
      <c r="S37" s="634">
        <v>2567</v>
      </c>
      <c r="T37" s="634">
        <v>4978</v>
      </c>
      <c r="U37" s="634">
        <v>19</v>
      </c>
      <c r="V37" s="634">
        <v>9</v>
      </c>
      <c r="W37" s="634">
        <v>28</v>
      </c>
      <c r="X37" s="634">
        <v>1146</v>
      </c>
      <c r="Y37" s="634">
        <v>958</v>
      </c>
      <c r="Z37" s="634">
        <v>2104</v>
      </c>
      <c r="AA37" s="634">
        <v>52168</v>
      </c>
      <c r="AB37" s="634">
        <v>50156</v>
      </c>
      <c r="AC37" s="634">
        <v>102324</v>
      </c>
    </row>
    <row r="38" spans="1:29" s="1016" customFormat="1" ht="22.5" customHeight="1" x14ac:dyDescent="0.35">
      <c r="A38" s="90">
        <v>34</v>
      </c>
      <c r="B38" s="547" t="s">
        <v>43</v>
      </c>
      <c r="C38" s="634">
        <v>14232</v>
      </c>
      <c r="D38" s="660">
        <v>10820</v>
      </c>
      <c r="E38" s="660">
        <v>25052</v>
      </c>
      <c r="F38" s="634">
        <v>19</v>
      </c>
      <c r="G38" s="660">
        <v>67</v>
      </c>
      <c r="H38" s="660">
        <v>86</v>
      </c>
      <c r="I38" s="634">
        <v>384775.43753676751</v>
      </c>
      <c r="J38" s="634">
        <v>478525.19088520581</v>
      </c>
      <c r="K38" s="634">
        <v>863300.62842197332</v>
      </c>
      <c r="L38" s="634">
        <v>3041322.0317932921</v>
      </c>
      <c r="M38" s="634">
        <v>2864997.9604184041</v>
      </c>
      <c r="N38" s="634">
        <v>5906319.9922116958</v>
      </c>
      <c r="O38" s="634">
        <v>12042</v>
      </c>
      <c r="P38" s="634">
        <v>8295</v>
      </c>
      <c r="Q38" s="634">
        <v>20337</v>
      </c>
      <c r="R38" s="634">
        <v>217314</v>
      </c>
      <c r="S38" s="634">
        <v>116732</v>
      </c>
      <c r="T38" s="634">
        <v>334046</v>
      </c>
      <c r="U38" s="634">
        <v>12275</v>
      </c>
      <c r="V38" s="634">
        <v>9096</v>
      </c>
      <c r="W38" s="634">
        <v>21371</v>
      </c>
      <c r="X38" s="634">
        <v>46821</v>
      </c>
      <c r="Y38" s="634">
        <v>27619</v>
      </c>
      <c r="Z38" s="634">
        <v>74440</v>
      </c>
      <c r="AA38" s="634">
        <v>3728800.4693300598</v>
      </c>
      <c r="AB38" s="634">
        <v>3516152.1513036089</v>
      </c>
      <c r="AC38" s="634">
        <v>7244952.6206336692</v>
      </c>
    </row>
    <row r="39" spans="1:29" s="1016" customFormat="1" ht="22.5" customHeight="1" x14ac:dyDescent="0.35">
      <c r="A39" s="90">
        <v>35</v>
      </c>
      <c r="B39" s="547" t="s">
        <v>44</v>
      </c>
      <c r="C39" s="634">
        <v>4367</v>
      </c>
      <c r="D39" s="660">
        <v>2919</v>
      </c>
      <c r="E39" s="660">
        <v>7286</v>
      </c>
      <c r="F39" s="634"/>
      <c r="G39" s="660"/>
      <c r="H39" s="660"/>
      <c r="I39" s="634">
        <v>44361.322300952699</v>
      </c>
      <c r="J39" s="634">
        <v>60690.591526825112</v>
      </c>
      <c r="K39" s="634">
        <v>105051.9138277778</v>
      </c>
      <c r="L39" s="634">
        <v>216847.233563972</v>
      </c>
      <c r="M39" s="634">
        <v>214264.78354232531</v>
      </c>
      <c r="N39" s="634">
        <v>431112.01710629731</v>
      </c>
      <c r="O39" s="634">
        <v>474</v>
      </c>
      <c r="P39" s="634">
        <v>420</v>
      </c>
      <c r="Q39" s="634">
        <v>894</v>
      </c>
      <c r="R39" s="634">
        <v>20974</v>
      </c>
      <c r="S39" s="634">
        <v>7987</v>
      </c>
      <c r="T39" s="634">
        <v>28961</v>
      </c>
      <c r="U39" s="634">
        <v>239</v>
      </c>
      <c r="V39" s="634">
        <v>98</v>
      </c>
      <c r="W39" s="634">
        <v>337</v>
      </c>
      <c r="X39" s="634">
        <v>3465</v>
      </c>
      <c r="Y39" s="634">
        <v>2308</v>
      </c>
      <c r="Z39" s="634">
        <v>5773</v>
      </c>
      <c r="AA39" s="634">
        <v>290727.55586492468</v>
      </c>
      <c r="AB39" s="634">
        <v>288687.37506915041</v>
      </c>
      <c r="AC39" s="634">
        <v>579414.93093407503</v>
      </c>
    </row>
    <row r="40" spans="1:29" s="1016" customFormat="1" ht="22.5" customHeight="1" x14ac:dyDescent="0.35">
      <c r="A40" s="90">
        <v>36</v>
      </c>
      <c r="B40" s="547" t="s">
        <v>45</v>
      </c>
      <c r="C40" s="634">
        <v>7931</v>
      </c>
      <c r="D40" s="660">
        <v>4640</v>
      </c>
      <c r="E40" s="660">
        <v>12571</v>
      </c>
      <c r="F40" s="634">
        <v>313</v>
      </c>
      <c r="G40" s="660">
        <v>262</v>
      </c>
      <c r="H40" s="660">
        <v>575</v>
      </c>
      <c r="I40" s="634">
        <v>130707.5</v>
      </c>
      <c r="J40" s="634">
        <v>186439.66666666669</v>
      </c>
      <c r="K40" s="634">
        <v>317147.16666666669</v>
      </c>
      <c r="L40" s="634">
        <v>1086423.166666667</v>
      </c>
      <c r="M40" s="634">
        <v>1048737.166666667</v>
      </c>
      <c r="N40" s="634">
        <v>2135160.333333333</v>
      </c>
      <c r="O40" s="634">
        <v>3010</v>
      </c>
      <c r="P40" s="634">
        <v>2048</v>
      </c>
      <c r="Q40" s="634">
        <v>5058</v>
      </c>
      <c r="R40" s="634">
        <v>117229</v>
      </c>
      <c r="S40" s="634">
        <v>77824</v>
      </c>
      <c r="T40" s="634">
        <v>195053</v>
      </c>
      <c r="U40" s="634">
        <v>5265</v>
      </c>
      <c r="V40" s="634">
        <v>5237</v>
      </c>
      <c r="W40" s="634">
        <v>10502</v>
      </c>
      <c r="X40" s="634">
        <v>9922</v>
      </c>
      <c r="Y40" s="634">
        <v>6880</v>
      </c>
      <c r="Z40" s="634">
        <v>16802</v>
      </c>
      <c r="AA40" s="634">
        <v>1360800.666666667</v>
      </c>
      <c r="AB40" s="634">
        <v>1332067.833333333</v>
      </c>
      <c r="AC40" s="634">
        <v>2692868.5</v>
      </c>
    </row>
    <row r="41" spans="1:29" s="1017" customFormat="1" x14ac:dyDescent="0.35">
      <c r="A41" s="716" t="s">
        <v>46</v>
      </c>
      <c r="B41" s="716"/>
      <c r="C41" s="661">
        <v>120981</v>
      </c>
      <c r="D41" s="661">
        <v>112441</v>
      </c>
      <c r="E41" s="661">
        <v>233422</v>
      </c>
      <c r="F41" s="661">
        <v>1270</v>
      </c>
      <c r="G41" s="661">
        <v>1964</v>
      </c>
      <c r="H41" s="661">
        <v>3234</v>
      </c>
      <c r="I41" s="661">
        <v>2511463.3475124459</v>
      </c>
      <c r="J41" s="661">
        <v>3202950.2386886091</v>
      </c>
      <c r="K41" s="661">
        <v>5714413.586201055</v>
      </c>
      <c r="L41" s="661">
        <v>17855691.27810438</v>
      </c>
      <c r="M41" s="661">
        <v>16819897.376373429</v>
      </c>
      <c r="N41" s="661">
        <v>34675588.654477812</v>
      </c>
      <c r="O41" s="661">
        <v>116482</v>
      </c>
      <c r="P41" s="661">
        <v>98009</v>
      </c>
      <c r="Q41" s="661">
        <v>214491</v>
      </c>
      <c r="R41" s="661">
        <v>1909954</v>
      </c>
      <c r="S41" s="661">
        <v>1192121</v>
      </c>
      <c r="T41" s="661">
        <v>3102075</v>
      </c>
      <c r="U41" s="661">
        <v>76413</v>
      </c>
      <c r="V41" s="661">
        <v>73826</v>
      </c>
      <c r="W41" s="661">
        <v>150239</v>
      </c>
      <c r="X41" s="661">
        <v>285117</v>
      </c>
      <c r="Y41" s="661">
        <v>253681</v>
      </c>
      <c r="Z41" s="661">
        <v>538798</v>
      </c>
      <c r="AA41" s="661">
        <v>22877371.62561683</v>
      </c>
      <c r="AB41" s="661">
        <v>21754889.615062039</v>
      </c>
      <c r="AC41" s="661">
        <v>44632261.240678862</v>
      </c>
    </row>
  </sheetData>
  <autoFilter ref="A4:AC41" xr:uid="{00000000-0001-0000-0700-000000000000}"/>
  <mergeCells count="15">
    <mergeCell ref="C1:K1"/>
    <mergeCell ref="L1:T1"/>
    <mergeCell ref="U1:AC1"/>
    <mergeCell ref="O2:Q2"/>
    <mergeCell ref="R2:T2"/>
    <mergeCell ref="U2:W2"/>
    <mergeCell ref="X2:Z2"/>
    <mergeCell ref="AA2:AC2"/>
    <mergeCell ref="I2:K2"/>
    <mergeCell ref="L2:N2"/>
    <mergeCell ref="A41:B41"/>
    <mergeCell ref="A2:A3"/>
    <mergeCell ref="B2:B3"/>
    <mergeCell ref="C2:E2"/>
    <mergeCell ref="F2:H2"/>
  </mergeCells>
  <pageMargins left="0.59055118110236227" right="0.35433070866141736" top="0.39370078740157483" bottom="0.39370078740157483" header="0.31496062992125984" footer="0.19685039370078741"/>
  <pageSetup paperSize="9" scale="77" firstPageNumber="5" orientation="portrait" r:id="rId1"/>
  <headerFooter>
    <oddFooter>&amp;L&amp;"Arial,Italic"&amp;9AISHE 2022-23&amp;RT-6</oddFooter>
  </headerFooter>
  <colBreaks count="2" manualBreakCount="2">
    <brk id="11" max="40" man="1"/>
    <brk id="20" max="4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EAA9-BA25-4A4B-8890-44C8B29D1B34}">
  <sheetPr codeName="Sheet8">
    <tabColor rgb="FF92D050"/>
  </sheetPr>
  <dimension ref="A1:AC43"/>
  <sheetViews>
    <sheetView view="pageBreakPreview" zoomScale="99" zoomScaleSheetLayoutView="99" workbookViewId="0">
      <pane xSplit="2" ySplit="3" topLeftCell="C32" activePane="bottomRight" state="frozen"/>
      <selection activeCell="S20" sqref="S20"/>
      <selection pane="topRight" activeCell="S20" sqref="S20"/>
      <selection pane="bottomLeft" activeCell="S20" sqref="S20"/>
      <selection pane="bottomRight" activeCell="D37" sqref="D37"/>
    </sheetView>
  </sheetViews>
  <sheetFormatPr defaultColWidth="9.26953125" defaultRowHeight="14" x14ac:dyDescent="0.3"/>
  <cols>
    <col min="1" max="1" width="5.26953125" style="47" customWidth="1"/>
    <col min="2" max="2" width="23.453125" style="47" customWidth="1"/>
    <col min="3" max="3" width="6.90625" style="47" bestFit="1" customWidth="1"/>
    <col min="4" max="4" width="7.1796875" style="47" bestFit="1" customWidth="1"/>
    <col min="5" max="5" width="6.90625" style="47" bestFit="1" customWidth="1"/>
    <col min="6" max="6" width="5.1796875" style="47" bestFit="1" customWidth="1"/>
    <col min="7" max="7" width="7.1796875" style="47" bestFit="1" customWidth="1"/>
    <col min="8" max="8" width="5.453125" style="47" bestFit="1" customWidth="1"/>
    <col min="9" max="11" width="10.08984375" style="47" bestFit="1" customWidth="1"/>
    <col min="12" max="14" width="11.6328125" style="47" bestFit="1" customWidth="1"/>
    <col min="15" max="16" width="7.54296875" style="47" bestFit="1" customWidth="1"/>
    <col min="17" max="17" width="9.08984375" style="47" bestFit="1" customWidth="1"/>
    <col min="18" max="20" width="10.08984375" style="47" bestFit="1" customWidth="1"/>
    <col min="21" max="22" width="7.54296875" style="47" bestFit="1" customWidth="1"/>
    <col min="23" max="26" width="9.08984375" style="47" bestFit="1" customWidth="1"/>
    <col min="27" max="29" width="11.6328125" style="47" bestFit="1" customWidth="1"/>
    <col min="30" max="16384" width="9.26953125" style="47"/>
  </cols>
  <sheetData>
    <row r="1" spans="1:29" s="25" customFormat="1" ht="27" customHeight="1" x14ac:dyDescent="0.35">
      <c r="B1" s="26" t="s">
        <v>95</v>
      </c>
      <c r="C1" s="730" t="s">
        <v>1007</v>
      </c>
      <c r="D1" s="730"/>
      <c r="E1" s="730"/>
      <c r="F1" s="730"/>
      <c r="G1" s="730"/>
      <c r="H1" s="730"/>
      <c r="I1" s="730"/>
      <c r="J1" s="730"/>
      <c r="K1" s="730"/>
      <c r="L1" s="730" t="str">
        <f>C1</f>
        <v>State/UTs-wise Enrolment through Regular Mode at various levels</v>
      </c>
      <c r="M1" s="730"/>
      <c r="N1" s="730"/>
      <c r="O1" s="730"/>
      <c r="P1" s="730"/>
      <c r="Q1" s="730"/>
      <c r="R1" s="730"/>
      <c r="S1" s="730"/>
      <c r="T1" s="730"/>
      <c r="U1" s="730" t="str">
        <f>C1</f>
        <v>State/UTs-wise Enrolment through Regular Mode at various levels</v>
      </c>
      <c r="V1" s="730"/>
      <c r="W1" s="730"/>
      <c r="X1" s="730"/>
      <c r="Y1" s="730"/>
      <c r="Z1" s="730"/>
      <c r="AA1" s="730"/>
      <c r="AB1" s="730"/>
      <c r="AC1" s="730"/>
    </row>
    <row r="2" spans="1:29" s="37" customFormat="1" ht="24.75" customHeight="1" x14ac:dyDescent="0.35">
      <c r="A2" s="724" t="s">
        <v>84</v>
      </c>
      <c r="B2" s="726" t="s">
        <v>1005</v>
      </c>
      <c r="C2" s="727" t="s">
        <v>85</v>
      </c>
      <c r="D2" s="728"/>
      <c r="E2" s="729"/>
      <c r="F2" s="727" t="s">
        <v>86</v>
      </c>
      <c r="G2" s="728"/>
      <c r="H2" s="729"/>
      <c r="I2" s="727" t="s">
        <v>87</v>
      </c>
      <c r="J2" s="728"/>
      <c r="K2" s="729"/>
      <c r="L2" s="727" t="s">
        <v>88</v>
      </c>
      <c r="M2" s="728"/>
      <c r="N2" s="729"/>
      <c r="O2" s="727" t="s">
        <v>89</v>
      </c>
      <c r="P2" s="728"/>
      <c r="Q2" s="729"/>
      <c r="R2" s="727" t="s">
        <v>90</v>
      </c>
      <c r="S2" s="728"/>
      <c r="T2" s="729"/>
      <c r="U2" s="727" t="s">
        <v>91</v>
      </c>
      <c r="V2" s="728"/>
      <c r="W2" s="729"/>
      <c r="X2" s="727" t="s">
        <v>92</v>
      </c>
      <c r="Y2" s="728"/>
      <c r="Z2" s="729"/>
      <c r="AA2" s="726" t="s">
        <v>12</v>
      </c>
      <c r="AB2" s="726"/>
      <c r="AC2" s="726"/>
    </row>
    <row r="3" spans="1:29" s="39" customFormat="1" ht="24.75" customHeight="1" x14ac:dyDescent="0.35">
      <c r="A3" s="725"/>
      <c r="B3" s="726"/>
      <c r="C3" s="38" t="s">
        <v>93</v>
      </c>
      <c r="D3" s="38" t="s">
        <v>94</v>
      </c>
      <c r="E3" s="38" t="s">
        <v>54</v>
      </c>
      <c r="F3" s="38" t="s">
        <v>93</v>
      </c>
      <c r="G3" s="38" t="s">
        <v>94</v>
      </c>
      <c r="H3" s="38" t="s">
        <v>54</v>
      </c>
      <c r="I3" s="38" t="s">
        <v>93</v>
      </c>
      <c r="J3" s="38" t="s">
        <v>94</v>
      </c>
      <c r="K3" s="38" t="s">
        <v>54</v>
      </c>
      <c r="L3" s="38" t="s">
        <v>93</v>
      </c>
      <c r="M3" s="38" t="s">
        <v>94</v>
      </c>
      <c r="N3" s="38" t="s">
        <v>54</v>
      </c>
      <c r="O3" s="38" t="s">
        <v>93</v>
      </c>
      <c r="P3" s="38" t="s">
        <v>94</v>
      </c>
      <c r="Q3" s="38" t="s">
        <v>54</v>
      </c>
      <c r="R3" s="38" t="s">
        <v>93</v>
      </c>
      <c r="S3" s="38" t="s">
        <v>94</v>
      </c>
      <c r="T3" s="38" t="s">
        <v>54</v>
      </c>
      <c r="U3" s="38" t="s">
        <v>93</v>
      </c>
      <c r="V3" s="38" t="s">
        <v>94</v>
      </c>
      <c r="W3" s="38" t="s">
        <v>54</v>
      </c>
      <c r="X3" s="38" t="s">
        <v>93</v>
      </c>
      <c r="Y3" s="38" t="s">
        <v>94</v>
      </c>
      <c r="Z3" s="38" t="s">
        <v>54</v>
      </c>
      <c r="AA3" s="38" t="s">
        <v>93</v>
      </c>
      <c r="AB3" s="38" t="s">
        <v>94</v>
      </c>
      <c r="AC3" s="38" t="s">
        <v>54</v>
      </c>
    </row>
    <row r="4" spans="1:29" s="40" customFormat="1" ht="16.5" customHeight="1" x14ac:dyDescent="0.35">
      <c r="A4" s="30">
        <v>1</v>
      </c>
      <c r="B4" s="30">
        <v>2</v>
      </c>
      <c r="C4" s="31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31">
        <v>12</v>
      </c>
      <c r="M4" s="31">
        <v>13</v>
      </c>
      <c r="N4" s="31">
        <v>14</v>
      </c>
      <c r="O4" s="31">
        <v>15</v>
      </c>
      <c r="P4" s="31">
        <v>16</v>
      </c>
      <c r="Q4" s="31">
        <v>17</v>
      </c>
      <c r="R4" s="31">
        <v>18</v>
      </c>
      <c r="S4" s="31">
        <v>19</v>
      </c>
      <c r="T4" s="31">
        <v>20</v>
      </c>
      <c r="U4" s="31">
        <v>21</v>
      </c>
      <c r="V4" s="31">
        <v>22</v>
      </c>
      <c r="W4" s="31">
        <v>23</v>
      </c>
      <c r="X4" s="31">
        <v>24</v>
      </c>
      <c r="Y4" s="31">
        <v>25</v>
      </c>
      <c r="Z4" s="31">
        <v>26</v>
      </c>
      <c r="AA4" s="88">
        <v>27</v>
      </c>
      <c r="AB4" s="88">
        <v>28</v>
      </c>
      <c r="AC4" s="88">
        <v>29</v>
      </c>
    </row>
    <row r="5" spans="1:29" s="39" customFormat="1" ht="26.25" customHeight="1" x14ac:dyDescent="0.35">
      <c r="A5" s="41">
        <v>1</v>
      </c>
      <c r="B5" s="42" t="s">
        <v>58</v>
      </c>
      <c r="C5" s="43"/>
      <c r="D5" s="43"/>
      <c r="E5" s="43"/>
      <c r="F5" s="43"/>
      <c r="G5" s="43"/>
      <c r="H5" s="43"/>
      <c r="I5" s="991"/>
      <c r="J5" s="991"/>
      <c r="K5" s="991"/>
      <c r="L5" s="991">
        <v>1156</v>
      </c>
      <c r="M5" s="991">
        <v>1074</v>
      </c>
      <c r="N5" s="991">
        <v>2230</v>
      </c>
      <c r="O5" s="991"/>
      <c r="P5" s="991"/>
      <c r="Q5" s="991"/>
      <c r="R5" s="991">
        <v>429</v>
      </c>
      <c r="S5" s="991">
        <v>312</v>
      </c>
      <c r="T5" s="991">
        <v>741</v>
      </c>
      <c r="U5" s="991"/>
      <c r="V5" s="991"/>
      <c r="W5" s="991"/>
      <c r="X5" s="991">
        <v>48</v>
      </c>
      <c r="Y5" s="991">
        <v>131</v>
      </c>
      <c r="Z5" s="991">
        <v>179</v>
      </c>
      <c r="AA5" s="991">
        <v>1633</v>
      </c>
      <c r="AB5" s="991">
        <v>1517</v>
      </c>
      <c r="AC5" s="991">
        <v>3150</v>
      </c>
    </row>
    <row r="6" spans="1:29" s="39" customFormat="1" ht="26.25" customHeight="1" x14ac:dyDescent="0.35">
      <c r="A6" s="41">
        <v>2</v>
      </c>
      <c r="B6" s="44" t="s">
        <v>13</v>
      </c>
      <c r="C6" s="43">
        <v>3348</v>
      </c>
      <c r="D6" s="43">
        <v>2846</v>
      </c>
      <c r="E6" s="43">
        <v>6194</v>
      </c>
      <c r="F6" s="43"/>
      <c r="G6" s="43"/>
      <c r="H6" s="43"/>
      <c r="I6" s="991">
        <v>71750</v>
      </c>
      <c r="J6" s="991">
        <v>75724</v>
      </c>
      <c r="K6" s="991">
        <v>147474</v>
      </c>
      <c r="L6" s="991">
        <v>670121</v>
      </c>
      <c r="M6" s="991">
        <v>645574</v>
      </c>
      <c r="N6" s="991">
        <v>1315695</v>
      </c>
      <c r="O6" s="991">
        <v>378</v>
      </c>
      <c r="P6" s="991">
        <v>246</v>
      </c>
      <c r="Q6" s="991">
        <v>624</v>
      </c>
      <c r="R6" s="991">
        <v>86574</v>
      </c>
      <c r="S6" s="991">
        <v>59408</v>
      </c>
      <c r="T6" s="991">
        <v>145982</v>
      </c>
      <c r="U6" s="991">
        <v>174</v>
      </c>
      <c r="V6" s="991">
        <v>34</v>
      </c>
      <c r="W6" s="991">
        <v>208</v>
      </c>
      <c r="X6" s="991">
        <v>7834</v>
      </c>
      <c r="Y6" s="991">
        <v>5116</v>
      </c>
      <c r="Z6" s="991">
        <v>12950</v>
      </c>
      <c r="AA6" s="991">
        <v>840179</v>
      </c>
      <c r="AB6" s="991">
        <v>788948</v>
      </c>
      <c r="AC6" s="991">
        <v>1629127</v>
      </c>
    </row>
    <row r="7" spans="1:29" s="39" customFormat="1" ht="26.25" customHeight="1" x14ac:dyDescent="0.35">
      <c r="A7" s="41">
        <v>3</v>
      </c>
      <c r="B7" s="44" t="s">
        <v>14</v>
      </c>
      <c r="C7" s="43">
        <v>402</v>
      </c>
      <c r="D7" s="43">
        <v>275</v>
      </c>
      <c r="E7" s="43">
        <v>677</v>
      </c>
      <c r="F7" s="43">
        <v>23</v>
      </c>
      <c r="G7" s="43">
        <v>18</v>
      </c>
      <c r="H7" s="43">
        <v>41</v>
      </c>
      <c r="I7" s="991">
        <v>3848</v>
      </c>
      <c r="J7" s="991">
        <v>3043</v>
      </c>
      <c r="K7" s="991">
        <v>6891</v>
      </c>
      <c r="L7" s="991">
        <v>21577</v>
      </c>
      <c r="M7" s="991">
        <v>17759</v>
      </c>
      <c r="N7" s="991">
        <v>39336</v>
      </c>
      <c r="O7" s="991">
        <v>101</v>
      </c>
      <c r="P7" s="991">
        <v>82</v>
      </c>
      <c r="Q7" s="991">
        <v>183</v>
      </c>
      <c r="R7" s="991">
        <v>1436</v>
      </c>
      <c r="S7" s="991">
        <v>1632</v>
      </c>
      <c r="T7" s="991">
        <v>3068</v>
      </c>
      <c r="U7" s="991">
        <v>329</v>
      </c>
      <c r="V7" s="991">
        <v>194</v>
      </c>
      <c r="W7" s="991">
        <v>523</v>
      </c>
      <c r="X7" s="991">
        <v>1113</v>
      </c>
      <c r="Y7" s="991">
        <v>766</v>
      </c>
      <c r="Z7" s="991">
        <v>1879</v>
      </c>
      <c r="AA7" s="991">
        <v>28829</v>
      </c>
      <c r="AB7" s="991">
        <v>23769</v>
      </c>
      <c r="AC7" s="991">
        <v>52598</v>
      </c>
    </row>
    <row r="8" spans="1:29" s="39" customFormat="1" ht="26.25" customHeight="1" x14ac:dyDescent="0.35">
      <c r="A8" s="41">
        <v>4</v>
      </c>
      <c r="B8" s="44" t="s">
        <v>15</v>
      </c>
      <c r="C8" s="43">
        <v>3048</v>
      </c>
      <c r="D8" s="43">
        <v>2359</v>
      </c>
      <c r="E8" s="43">
        <v>5407</v>
      </c>
      <c r="F8" s="43">
        <v>16</v>
      </c>
      <c r="G8" s="43">
        <v>42</v>
      </c>
      <c r="H8" s="43">
        <v>58</v>
      </c>
      <c r="I8" s="991">
        <v>15263</v>
      </c>
      <c r="J8" s="991">
        <v>23088</v>
      </c>
      <c r="K8" s="991">
        <v>38351</v>
      </c>
      <c r="L8" s="991">
        <v>257494</v>
      </c>
      <c r="M8" s="991">
        <v>269204</v>
      </c>
      <c r="N8" s="991">
        <v>526697</v>
      </c>
      <c r="O8" s="991">
        <v>428</v>
      </c>
      <c r="P8" s="991">
        <v>544</v>
      </c>
      <c r="Q8" s="991">
        <v>972</v>
      </c>
      <c r="R8" s="991">
        <v>18547</v>
      </c>
      <c r="S8" s="991">
        <v>20041</v>
      </c>
      <c r="T8" s="991">
        <v>38588</v>
      </c>
      <c r="U8" s="991">
        <v>16010</v>
      </c>
      <c r="V8" s="991">
        <v>23211</v>
      </c>
      <c r="W8" s="991">
        <v>39221</v>
      </c>
      <c r="X8" s="991">
        <v>2879</v>
      </c>
      <c r="Y8" s="991">
        <v>3598</v>
      </c>
      <c r="Z8" s="991">
        <v>6477</v>
      </c>
      <c r="AA8" s="991">
        <v>313685</v>
      </c>
      <c r="AB8" s="991">
        <v>342086</v>
      </c>
      <c r="AC8" s="991">
        <v>655771</v>
      </c>
    </row>
    <row r="9" spans="1:29" s="39" customFormat="1" ht="26.25" customHeight="1" x14ac:dyDescent="0.35">
      <c r="A9" s="41">
        <v>5</v>
      </c>
      <c r="B9" s="44" t="s">
        <v>16</v>
      </c>
      <c r="C9" s="43">
        <v>3434</v>
      </c>
      <c r="D9" s="43">
        <v>2205</v>
      </c>
      <c r="E9" s="43">
        <v>5639</v>
      </c>
      <c r="F9" s="43"/>
      <c r="G9" s="43"/>
      <c r="H9" s="43"/>
      <c r="I9" s="991">
        <v>54282</v>
      </c>
      <c r="J9" s="991">
        <v>64057</v>
      </c>
      <c r="K9" s="991">
        <v>118340</v>
      </c>
      <c r="L9" s="991">
        <v>1131017</v>
      </c>
      <c r="M9" s="991">
        <v>1074780</v>
      </c>
      <c r="N9" s="991">
        <v>2205797</v>
      </c>
      <c r="O9" s="991">
        <v>798</v>
      </c>
      <c r="P9" s="991">
        <v>462</v>
      </c>
      <c r="Q9" s="991">
        <v>1260</v>
      </c>
      <c r="R9" s="991">
        <v>67318</v>
      </c>
      <c r="S9" s="991">
        <v>57266</v>
      </c>
      <c r="T9" s="991">
        <v>124584</v>
      </c>
      <c r="U9" s="991">
        <v>2058</v>
      </c>
      <c r="V9" s="991">
        <v>1692</v>
      </c>
      <c r="W9" s="991">
        <v>3750</v>
      </c>
      <c r="X9" s="991">
        <v>2659</v>
      </c>
      <c r="Y9" s="991">
        <v>1981</v>
      </c>
      <c r="Z9" s="991">
        <v>4640</v>
      </c>
      <c r="AA9" s="991">
        <v>1261567</v>
      </c>
      <c r="AB9" s="991">
        <v>1202443</v>
      </c>
      <c r="AC9" s="991">
        <v>2464009</v>
      </c>
    </row>
    <row r="10" spans="1:29" s="39" customFormat="1" ht="26.25" customHeight="1" x14ac:dyDescent="0.35">
      <c r="A10" s="41">
        <v>6</v>
      </c>
      <c r="B10" s="44" t="s">
        <v>17</v>
      </c>
      <c r="C10" s="43">
        <v>340</v>
      </c>
      <c r="D10" s="43">
        <v>350</v>
      </c>
      <c r="E10" s="43">
        <v>690</v>
      </c>
      <c r="F10" s="43">
        <v>0</v>
      </c>
      <c r="G10" s="43">
        <v>1</v>
      </c>
      <c r="H10" s="43">
        <v>1</v>
      </c>
      <c r="I10" s="991">
        <v>4573</v>
      </c>
      <c r="J10" s="991">
        <v>7347</v>
      </c>
      <c r="K10" s="991">
        <v>11920</v>
      </c>
      <c r="L10" s="991">
        <v>25836</v>
      </c>
      <c r="M10" s="991">
        <v>28371</v>
      </c>
      <c r="N10" s="991">
        <v>54207</v>
      </c>
      <c r="O10" s="991">
        <v>322</v>
      </c>
      <c r="P10" s="991">
        <v>396</v>
      </c>
      <c r="Q10" s="991">
        <v>718</v>
      </c>
      <c r="R10" s="991">
        <v>1972</v>
      </c>
      <c r="S10" s="991">
        <v>995</v>
      </c>
      <c r="T10" s="991">
        <v>2967</v>
      </c>
      <c r="U10" s="991">
        <v>453</v>
      </c>
      <c r="V10" s="991">
        <v>290</v>
      </c>
      <c r="W10" s="991">
        <v>743</v>
      </c>
      <c r="X10" s="991">
        <v>1094</v>
      </c>
      <c r="Y10" s="991">
        <v>1553</v>
      </c>
      <c r="Z10" s="991">
        <v>2647</v>
      </c>
      <c r="AA10" s="991">
        <v>34590</v>
      </c>
      <c r="AB10" s="991">
        <v>39303</v>
      </c>
      <c r="AC10" s="991">
        <v>73893</v>
      </c>
    </row>
    <row r="11" spans="1:29" s="39" customFormat="1" ht="26.25" customHeight="1" x14ac:dyDescent="0.35">
      <c r="A11" s="41">
        <v>7</v>
      </c>
      <c r="B11" s="44" t="s">
        <v>18</v>
      </c>
      <c r="C11" s="425">
        <v>1300</v>
      </c>
      <c r="D11" s="43">
        <v>1343</v>
      </c>
      <c r="E11" s="43">
        <v>2643</v>
      </c>
      <c r="F11" s="43">
        <v>7</v>
      </c>
      <c r="G11" s="43">
        <v>18</v>
      </c>
      <c r="H11" s="43">
        <v>25</v>
      </c>
      <c r="I11" s="991">
        <v>30882</v>
      </c>
      <c r="J11" s="991">
        <v>50223</v>
      </c>
      <c r="K11" s="991">
        <v>81105</v>
      </c>
      <c r="L11" s="991">
        <v>221476</v>
      </c>
      <c r="M11" s="991">
        <v>284091</v>
      </c>
      <c r="N11" s="991">
        <v>505568</v>
      </c>
      <c r="O11" s="991">
        <v>6367</v>
      </c>
      <c r="P11" s="991">
        <v>7750</v>
      </c>
      <c r="Q11" s="991">
        <v>14117</v>
      </c>
      <c r="R11" s="991">
        <v>21002</v>
      </c>
      <c r="S11" s="991">
        <v>16559</v>
      </c>
      <c r="T11" s="991">
        <v>37561</v>
      </c>
      <c r="U11" s="991">
        <v>268</v>
      </c>
      <c r="V11" s="991">
        <v>402</v>
      </c>
      <c r="W11" s="991">
        <v>670</v>
      </c>
      <c r="X11" s="991">
        <v>2775</v>
      </c>
      <c r="Y11" s="991">
        <v>2654</v>
      </c>
      <c r="Z11" s="991">
        <v>5429</v>
      </c>
      <c r="AA11" s="991">
        <v>284077</v>
      </c>
      <c r="AB11" s="991">
        <v>363041</v>
      </c>
      <c r="AC11" s="991">
        <v>647118</v>
      </c>
    </row>
    <row r="12" spans="1:29" s="39" customFormat="1" ht="26.25" customHeight="1" x14ac:dyDescent="0.35">
      <c r="A12" s="41">
        <v>8</v>
      </c>
      <c r="B12" s="44" t="s">
        <v>19</v>
      </c>
      <c r="C12" s="43">
        <v>11326</v>
      </c>
      <c r="D12" s="43">
        <v>9640</v>
      </c>
      <c r="E12" s="43">
        <v>20966</v>
      </c>
      <c r="F12" s="43">
        <v>249</v>
      </c>
      <c r="G12" s="43">
        <v>251</v>
      </c>
      <c r="H12" s="43">
        <v>500</v>
      </c>
      <c r="I12" s="991">
        <v>26003</v>
      </c>
      <c r="J12" s="991">
        <v>25750</v>
      </c>
      <c r="K12" s="991">
        <v>51754</v>
      </c>
      <c r="L12" s="991">
        <v>252875</v>
      </c>
      <c r="M12" s="991">
        <v>253547</v>
      </c>
      <c r="N12" s="991">
        <v>506422</v>
      </c>
      <c r="O12" s="991">
        <v>3831</v>
      </c>
      <c r="P12" s="991">
        <v>2450</v>
      </c>
      <c r="Q12" s="991">
        <v>6281</v>
      </c>
      <c r="R12" s="991">
        <v>16212</v>
      </c>
      <c r="S12" s="991">
        <v>11256</v>
      </c>
      <c r="T12" s="991">
        <v>27468</v>
      </c>
      <c r="U12" s="991">
        <v>1250</v>
      </c>
      <c r="V12" s="991">
        <v>1202</v>
      </c>
      <c r="W12" s="991">
        <v>2452</v>
      </c>
      <c r="X12" s="991">
        <v>5254</v>
      </c>
      <c r="Y12" s="991">
        <v>3965</v>
      </c>
      <c r="Z12" s="991">
        <v>9219</v>
      </c>
      <c r="AA12" s="991">
        <v>317001</v>
      </c>
      <c r="AB12" s="991">
        <v>308061</v>
      </c>
      <c r="AC12" s="991">
        <v>625062</v>
      </c>
    </row>
    <row r="13" spans="1:29" s="39" customFormat="1" ht="26.25" customHeight="1" x14ac:dyDescent="0.35">
      <c r="A13" s="41">
        <v>9</v>
      </c>
      <c r="B13" s="44" t="s">
        <v>20</v>
      </c>
      <c r="C13" s="43">
        <v>635</v>
      </c>
      <c r="D13" s="43">
        <v>743</v>
      </c>
      <c r="E13" s="43">
        <v>1378</v>
      </c>
      <c r="F13" s="43">
        <v>4</v>
      </c>
      <c r="G13" s="43">
        <v>10</v>
      </c>
      <c r="H13" s="43">
        <v>14</v>
      </c>
      <c r="I13" s="991">
        <v>2623</v>
      </c>
      <c r="J13" s="991">
        <v>3996</v>
      </c>
      <c r="K13" s="991">
        <v>6619</v>
      </c>
      <c r="L13" s="991">
        <v>20742</v>
      </c>
      <c r="M13" s="991">
        <v>21541</v>
      </c>
      <c r="N13" s="991">
        <v>42283</v>
      </c>
      <c r="O13" s="991">
        <v>135</v>
      </c>
      <c r="P13" s="991">
        <v>74</v>
      </c>
      <c r="Q13" s="991">
        <v>209</v>
      </c>
      <c r="R13" s="991">
        <v>5132</v>
      </c>
      <c r="S13" s="991">
        <v>1132</v>
      </c>
      <c r="T13" s="991">
        <v>6264</v>
      </c>
      <c r="U13" s="991">
        <v>66</v>
      </c>
      <c r="V13" s="991">
        <v>13</v>
      </c>
      <c r="W13" s="991">
        <v>79</v>
      </c>
      <c r="X13" s="991">
        <v>1669</v>
      </c>
      <c r="Y13" s="991">
        <v>1340</v>
      </c>
      <c r="Z13" s="991">
        <v>3009</v>
      </c>
      <c r="AA13" s="991">
        <v>31006</v>
      </c>
      <c r="AB13" s="991">
        <v>28849</v>
      </c>
      <c r="AC13" s="991">
        <v>59855</v>
      </c>
    </row>
    <row r="14" spans="1:29" s="39" customFormat="1" ht="26.25" customHeight="1" x14ac:dyDescent="0.35">
      <c r="A14" s="41">
        <v>10</v>
      </c>
      <c r="B14" s="44" t="s">
        <v>21</v>
      </c>
      <c r="C14" s="43">
        <v>6166</v>
      </c>
      <c r="D14" s="43">
        <v>4963</v>
      </c>
      <c r="E14" s="43">
        <v>11129</v>
      </c>
      <c r="F14" s="43">
        <v>31</v>
      </c>
      <c r="G14" s="43">
        <v>17</v>
      </c>
      <c r="H14" s="43">
        <v>48</v>
      </c>
      <c r="I14" s="991">
        <v>99686</v>
      </c>
      <c r="J14" s="991">
        <v>109185</v>
      </c>
      <c r="K14" s="991">
        <v>208871</v>
      </c>
      <c r="L14" s="991">
        <v>726831</v>
      </c>
      <c r="M14" s="991">
        <v>573092</v>
      </c>
      <c r="N14" s="991">
        <v>1299923</v>
      </c>
      <c r="O14" s="991">
        <v>4916</v>
      </c>
      <c r="P14" s="991">
        <v>4295</v>
      </c>
      <c r="Q14" s="991">
        <v>9211</v>
      </c>
      <c r="R14" s="991">
        <v>108151</v>
      </c>
      <c r="S14" s="991">
        <v>61998</v>
      </c>
      <c r="T14" s="991">
        <v>170149</v>
      </c>
      <c r="U14" s="991">
        <v>3397</v>
      </c>
      <c r="V14" s="991">
        <v>3318</v>
      </c>
      <c r="W14" s="991">
        <v>6715</v>
      </c>
      <c r="X14" s="991">
        <v>16042</v>
      </c>
      <c r="Y14" s="991">
        <v>12544</v>
      </c>
      <c r="Z14" s="991">
        <v>28586</v>
      </c>
      <c r="AA14" s="991">
        <v>965220</v>
      </c>
      <c r="AB14" s="991">
        <v>769412</v>
      </c>
      <c r="AC14" s="991">
        <v>1734632</v>
      </c>
    </row>
    <row r="15" spans="1:29" s="39" customFormat="1" ht="26.25" customHeight="1" x14ac:dyDescent="0.35">
      <c r="A15" s="41">
        <v>11</v>
      </c>
      <c r="B15" s="44" t="s">
        <v>22</v>
      </c>
      <c r="C15" s="43">
        <v>2727</v>
      </c>
      <c r="D15" s="43">
        <v>4155</v>
      </c>
      <c r="E15" s="43">
        <v>6882</v>
      </c>
      <c r="F15" s="43">
        <v>18</v>
      </c>
      <c r="G15" s="43">
        <v>47</v>
      </c>
      <c r="H15" s="43">
        <v>65</v>
      </c>
      <c r="I15" s="991">
        <v>38074</v>
      </c>
      <c r="J15" s="991">
        <v>68082</v>
      </c>
      <c r="K15" s="991">
        <v>106156</v>
      </c>
      <c r="L15" s="991">
        <v>346542</v>
      </c>
      <c r="M15" s="991">
        <v>382977</v>
      </c>
      <c r="N15" s="991">
        <v>729519</v>
      </c>
      <c r="O15" s="991">
        <v>1547</v>
      </c>
      <c r="P15" s="991">
        <v>1588</v>
      </c>
      <c r="Q15" s="991">
        <v>3135</v>
      </c>
      <c r="R15" s="991">
        <v>66760</v>
      </c>
      <c r="S15" s="991">
        <v>33365</v>
      </c>
      <c r="T15" s="991">
        <v>100125</v>
      </c>
      <c r="U15" s="991">
        <v>752</v>
      </c>
      <c r="V15" s="991">
        <v>876</v>
      </c>
      <c r="W15" s="991">
        <v>1628</v>
      </c>
      <c r="X15" s="991">
        <v>12766</v>
      </c>
      <c r="Y15" s="991">
        <v>11290</v>
      </c>
      <c r="Z15" s="991">
        <v>24056</v>
      </c>
      <c r="AA15" s="991">
        <v>469186</v>
      </c>
      <c r="AB15" s="991">
        <v>502380</v>
      </c>
      <c r="AC15" s="991">
        <v>971566</v>
      </c>
    </row>
    <row r="16" spans="1:29" s="39" customFormat="1" ht="26.25" customHeight="1" x14ac:dyDescent="0.35">
      <c r="A16" s="41">
        <v>12</v>
      </c>
      <c r="B16" s="44" t="s">
        <v>23</v>
      </c>
      <c r="C16" s="43">
        <v>965</v>
      </c>
      <c r="D16" s="43">
        <v>976</v>
      </c>
      <c r="E16" s="43">
        <v>1941</v>
      </c>
      <c r="F16" s="43">
        <v>11</v>
      </c>
      <c r="G16" s="43">
        <v>1</v>
      </c>
      <c r="H16" s="43">
        <v>12</v>
      </c>
      <c r="I16" s="991">
        <v>9591</v>
      </c>
      <c r="J16" s="991">
        <v>13622</v>
      </c>
      <c r="K16" s="991">
        <v>23213</v>
      </c>
      <c r="L16" s="991">
        <v>95333</v>
      </c>
      <c r="M16" s="991">
        <v>121559</v>
      </c>
      <c r="N16" s="991">
        <v>216892</v>
      </c>
      <c r="O16" s="991">
        <v>570</v>
      </c>
      <c r="P16" s="991">
        <v>794</v>
      </c>
      <c r="Q16" s="991">
        <v>1364</v>
      </c>
      <c r="R16" s="991">
        <v>8651</v>
      </c>
      <c r="S16" s="991">
        <v>7699</v>
      </c>
      <c r="T16" s="991">
        <v>16350</v>
      </c>
      <c r="U16" s="991">
        <v>183</v>
      </c>
      <c r="V16" s="991">
        <v>223</v>
      </c>
      <c r="W16" s="991">
        <v>406</v>
      </c>
      <c r="X16" s="991">
        <v>1531</v>
      </c>
      <c r="Y16" s="991">
        <v>1183</v>
      </c>
      <c r="Z16" s="991">
        <v>2714</v>
      </c>
      <c r="AA16" s="991">
        <v>116835</v>
      </c>
      <c r="AB16" s="991">
        <v>146057</v>
      </c>
      <c r="AC16" s="991">
        <v>262892</v>
      </c>
    </row>
    <row r="17" spans="1:29" s="39" customFormat="1" ht="26.25" customHeight="1" x14ac:dyDescent="0.35">
      <c r="A17" s="41">
        <v>13</v>
      </c>
      <c r="B17" s="44" t="s">
        <v>24</v>
      </c>
      <c r="C17" s="43">
        <v>1788</v>
      </c>
      <c r="D17" s="43">
        <v>2085</v>
      </c>
      <c r="E17" s="43">
        <v>3873</v>
      </c>
      <c r="F17" s="43"/>
      <c r="G17" s="43"/>
      <c r="H17" s="43"/>
      <c r="I17" s="991">
        <v>8986</v>
      </c>
      <c r="J17" s="991">
        <v>12256</v>
      </c>
      <c r="K17" s="991">
        <v>21242</v>
      </c>
      <c r="L17" s="991">
        <v>106111</v>
      </c>
      <c r="M17" s="991">
        <v>114248</v>
      </c>
      <c r="N17" s="991">
        <v>220359</v>
      </c>
      <c r="O17" s="991">
        <v>120</v>
      </c>
      <c r="P17" s="991">
        <v>108</v>
      </c>
      <c r="Q17" s="991">
        <v>228</v>
      </c>
      <c r="R17" s="991">
        <v>9175</v>
      </c>
      <c r="S17" s="991">
        <v>10486</v>
      </c>
      <c r="T17" s="991">
        <v>19661</v>
      </c>
      <c r="U17" s="991">
        <v>550</v>
      </c>
      <c r="V17" s="991">
        <v>587</v>
      </c>
      <c r="W17" s="991">
        <v>1137</v>
      </c>
      <c r="X17" s="991">
        <v>5379</v>
      </c>
      <c r="Y17" s="991">
        <v>6217</v>
      </c>
      <c r="Z17" s="991">
        <v>11596</v>
      </c>
      <c r="AA17" s="991">
        <v>132109</v>
      </c>
      <c r="AB17" s="991">
        <v>145987</v>
      </c>
      <c r="AC17" s="991">
        <v>278096</v>
      </c>
    </row>
    <row r="18" spans="1:29" s="39" customFormat="1" ht="26.25" customHeight="1" x14ac:dyDescent="0.35">
      <c r="A18" s="41">
        <v>14</v>
      </c>
      <c r="B18" s="44" t="s">
        <v>25</v>
      </c>
      <c r="C18" s="43">
        <v>1403</v>
      </c>
      <c r="D18" s="43">
        <v>879</v>
      </c>
      <c r="E18" s="43">
        <v>2282</v>
      </c>
      <c r="F18" s="43">
        <v>13</v>
      </c>
      <c r="G18" s="43">
        <v>66</v>
      </c>
      <c r="H18" s="43">
        <v>79</v>
      </c>
      <c r="I18" s="991">
        <v>37646</v>
      </c>
      <c r="J18" s="991">
        <v>55865</v>
      </c>
      <c r="K18" s="991">
        <v>93511</v>
      </c>
      <c r="L18" s="991">
        <v>336371</v>
      </c>
      <c r="M18" s="991">
        <v>342706</v>
      </c>
      <c r="N18" s="991">
        <v>679077</v>
      </c>
      <c r="O18" s="991">
        <v>1054</v>
      </c>
      <c r="P18" s="991">
        <v>684</v>
      </c>
      <c r="Q18" s="991">
        <v>1738</v>
      </c>
      <c r="R18" s="991">
        <v>38986</v>
      </c>
      <c r="S18" s="991">
        <v>25956</v>
      </c>
      <c r="T18" s="991">
        <v>64942</v>
      </c>
      <c r="U18" s="991">
        <v>998</v>
      </c>
      <c r="V18" s="991">
        <v>533</v>
      </c>
      <c r="W18" s="991">
        <v>1531</v>
      </c>
      <c r="X18" s="991">
        <v>2729</v>
      </c>
      <c r="Y18" s="991">
        <v>1684</v>
      </c>
      <c r="Z18" s="991">
        <v>4413</v>
      </c>
      <c r="AA18" s="991">
        <v>419200</v>
      </c>
      <c r="AB18" s="991">
        <v>428373</v>
      </c>
      <c r="AC18" s="991">
        <v>847573</v>
      </c>
    </row>
    <row r="19" spans="1:29" s="39" customFormat="1" ht="26.25" customHeight="1" x14ac:dyDescent="0.35">
      <c r="A19" s="41">
        <v>15</v>
      </c>
      <c r="B19" s="44" t="s">
        <v>26</v>
      </c>
      <c r="C19" s="43">
        <v>5875</v>
      </c>
      <c r="D19" s="43">
        <v>5791</v>
      </c>
      <c r="E19" s="43">
        <v>11666</v>
      </c>
      <c r="F19" s="43">
        <v>53</v>
      </c>
      <c r="G19" s="43">
        <v>139</v>
      </c>
      <c r="H19" s="43">
        <v>192</v>
      </c>
      <c r="I19" s="991">
        <v>113131</v>
      </c>
      <c r="J19" s="991">
        <v>136178</v>
      </c>
      <c r="K19" s="991">
        <v>249309</v>
      </c>
      <c r="L19" s="991">
        <v>1019274</v>
      </c>
      <c r="M19" s="991">
        <v>974361</v>
      </c>
      <c r="N19" s="991">
        <v>1993636</v>
      </c>
      <c r="O19" s="991">
        <v>2205</v>
      </c>
      <c r="P19" s="991">
        <v>1980</v>
      </c>
      <c r="Q19" s="991">
        <v>4185</v>
      </c>
      <c r="R19" s="991">
        <v>149842</v>
      </c>
      <c r="S19" s="991">
        <v>102648</v>
      </c>
      <c r="T19" s="991">
        <v>252490</v>
      </c>
      <c r="U19" s="991">
        <v>1257</v>
      </c>
      <c r="V19" s="991">
        <v>843</v>
      </c>
      <c r="W19" s="991">
        <v>2100</v>
      </c>
      <c r="X19" s="991">
        <v>9178</v>
      </c>
      <c r="Y19" s="991">
        <v>9015</v>
      </c>
      <c r="Z19" s="991">
        <v>18193</v>
      </c>
      <c r="AA19" s="991">
        <v>1300815</v>
      </c>
      <c r="AB19" s="991">
        <v>1230955</v>
      </c>
      <c r="AC19" s="991">
        <v>2531771</v>
      </c>
    </row>
    <row r="20" spans="1:29" s="39" customFormat="1" ht="26.25" customHeight="1" x14ac:dyDescent="0.35">
      <c r="A20" s="41">
        <v>16</v>
      </c>
      <c r="B20" s="44" t="s">
        <v>27</v>
      </c>
      <c r="C20" s="43">
        <v>2884</v>
      </c>
      <c r="D20" s="43">
        <v>6080</v>
      </c>
      <c r="E20" s="43">
        <v>8964</v>
      </c>
      <c r="F20" s="43">
        <v>14</v>
      </c>
      <c r="G20" s="43">
        <v>58</v>
      </c>
      <c r="H20" s="43">
        <v>72</v>
      </c>
      <c r="I20" s="991">
        <v>27370</v>
      </c>
      <c r="J20" s="991">
        <v>81659</v>
      </c>
      <c r="K20" s="991">
        <v>109029</v>
      </c>
      <c r="L20" s="991">
        <v>333515</v>
      </c>
      <c r="M20" s="991">
        <v>452101</v>
      </c>
      <c r="N20" s="991">
        <v>785616</v>
      </c>
      <c r="O20" s="991">
        <v>520</v>
      </c>
      <c r="P20" s="991">
        <v>1045</v>
      </c>
      <c r="Q20" s="991">
        <v>1565</v>
      </c>
      <c r="R20" s="991">
        <v>54053</v>
      </c>
      <c r="S20" s="991">
        <v>39252</v>
      </c>
      <c r="T20" s="991">
        <v>93305</v>
      </c>
      <c r="U20" s="991">
        <v>1679</v>
      </c>
      <c r="V20" s="991">
        <v>846</v>
      </c>
      <c r="W20" s="991">
        <v>2525</v>
      </c>
      <c r="X20" s="991">
        <v>5701</v>
      </c>
      <c r="Y20" s="991">
        <v>9181</v>
      </c>
      <c r="Z20" s="991">
        <v>14882</v>
      </c>
      <c r="AA20" s="991">
        <v>425736</v>
      </c>
      <c r="AB20" s="991">
        <v>590223</v>
      </c>
      <c r="AC20" s="991">
        <v>1015958</v>
      </c>
    </row>
    <row r="21" spans="1:29" s="39" customFormat="1" ht="26.25" customHeight="1" x14ac:dyDescent="0.35">
      <c r="A21" s="41">
        <v>17</v>
      </c>
      <c r="B21" s="34" t="s">
        <v>28</v>
      </c>
      <c r="C21" s="43">
        <v>10</v>
      </c>
      <c r="D21" s="43">
        <v>8</v>
      </c>
      <c r="E21" s="43">
        <v>18</v>
      </c>
      <c r="F21" s="43"/>
      <c r="G21" s="43"/>
      <c r="H21" s="43"/>
      <c r="I21" s="991">
        <v>129</v>
      </c>
      <c r="J21" s="991">
        <v>284</v>
      </c>
      <c r="K21" s="991">
        <v>413</v>
      </c>
      <c r="L21" s="991">
        <v>1247</v>
      </c>
      <c r="M21" s="991">
        <v>2185</v>
      </c>
      <c r="N21" s="991">
        <v>3432</v>
      </c>
      <c r="O21" s="991"/>
      <c r="P21" s="991"/>
      <c r="Q21" s="991"/>
      <c r="R21" s="991">
        <v>247</v>
      </c>
      <c r="S21" s="991">
        <v>412</v>
      </c>
      <c r="T21" s="991">
        <v>659</v>
      </c>
      <c r="U21" s="991">
        <v>5</v>
      </c>
      <c r="V21" s="991">
        <v>1</v>
      </c>
      <c r="W21" s="991">
        <v>6</v>
      </c>
      <c r="X21" s="991"/>
      <c r="Y21" s="991"/>
      <c r="Z21" s="991"/>
      <c r="AA21" s="991">
        <v>1638</v>
      </c>
      <c r="AB21" s="991">
        <v>2890</v>
      </c>
      <c r="AC21" s="991">
        <v>4528</v>
      </c>
    </row>
    <row r="22" spans="1:29" s="39" customFormat="1" ht="26.25" customHeight="1" x14ac:dyDescent="0.35">
      <c r="A22" s="41">
        <v>18</v>
      </c>
      <c r="B22" s="44" t="s">
        <v>72</v>
      </c>
      <c r="C22" s="43"/>
      <c r="D22" s="43"/>
      <c r="E22" s="43"/>
      <c r="F22" s="43"/>
      <c r="G22" s="43"/>
      <c r="H22" s="43"/>
      <c r="I22" s="991"/>
      <c r="J22" s="991"/>
      <c r="K22" s="991"/>
      <c r="L22" s="991">
        <v>121</v>
      </c>
      <c r="M22" s="991">
        <v>299</v>
      </c>
      <c r="N22" s="991">
        <v>420</v>
      </c>
      <c r="O22" s="991"/>
      <c r="P22" s="991"/>
      <c r="Q22" s="991"/>
      <c r="R22" s="991">
        <v>71</v>
      </c>
      <c r="S22" s="991">
        <v>22</v>
      </c>
      <c r="T22" s="991">
        <v>93</v>
      </c>
      <c r="U22" s="991"/>
      <c r="V22" s="991"/>
      <c r="W22" s="991"/>
      <c r="X22" s="991"/>
      <c r="Y22" s="991"/>
      <c r="Z22" s="991"/>
      <c r="AA22" s="991">
        <v>192</v>
      </c>
      <c r="AB22" s="991">
        <v>321</v>
      </c>
      <c r="AC22" s="991">
        <v>513</v>
      </c>
    </row>
    <row r="23" spans="1:29" s="39" customFormat="1" ht="26.25" customHeight="1" x14ac:dyDescent="0.35">
      <c r="A23" s="41">
        <v>19</v>
      </c>
      <c r="B23" s="44" t="s">
        <v>29</v>
      </c>
      <c r="C23" s="43">
        <v>4364</v>
      </c>
      <c r="D23" s="43">
        <v>3568</v>
      </c>
      <c r="E23" s="43">
        <v>7932</v>
      </c>
      <c r="F23" s="43">
        <v>1</v>
      </c>
      <c r="G23" s="43">
        <v>15</v>
      </c>
      <c r="H23" s="43">
        <v>16</v>
      </c>
      <c r="I23" s="991">
        <v>173630</v>
      </c>
      <c r="J23" s="991">
        <v>210082</v>
      </c>
      <c r="K23" s="991">
        <v>383712</v>
      </c>
      <c r="L23" s="991">
        <v>926735</v>
      </c>
      <c r="M23" s="991">
        <v>839611</v>
      </c>
      <c r="N23" s="991">
        <v>1766347</v>
      </c>
      <c r="O23" s="991">
        <v>24579</v>
      </c>
      <c r="P23" s="991">
        <v>25269</v>
      </c>
      <c r="Q23" s="991">
        <v>49848</v>
      </c>
      <c r="R23" s="991">
        <v>125455</v>
      </c>
      <c r="S23" s="991">
        <v>74802</v>
      </c>
      <c r="T23" s="991">
        <v>200257</v>
      </c>
      <c r="U23" s="991">
        <v>2815</v>
      </c>
      <c r="V23" s="991">
        <v>1493</v>
      </c>
      <c r="W23" s="991">
        <v>4308</v>
      </c>
      <c r="X23" s="991">
        <v>21628</v>
      </c>
      <c r="Y23" s="991">
        <v>17929</v>
      </c>
      <c r="Z23" s="991">
        <v>39557</v>
      </c>
      <c r="AA23" s="991">
        <v>1279208</v>
      </c>
      <c r="AB23" s="991">
        <v>1172769</v>
      </c>
      <c r="AC23" s="991">
        <v>2451977</v>
      </c>
    </row>
    <row r="24" spans="1:29" s="39" customFormat="1" ht="26.25" customHeight="1" x14ac:dyDescent="0.35">
      <c r="A24" s="41">
        <v>20</v>
      </c>
      <c r="B24" s="44" t="s">
        <v>30</v>
      </c>
      <c r="C24" s="43">
        <v>13171</v>
      </c>
      <c r="D24" s="43">
        <v>11362</v>
      </c>
      <c r="E24" s="43">
        <v>24533</v>
      </c>
      <c r="F24" s="43">
        <v>33</v>
      </c>
      <c r="G24" s="43">
        <v>28</v>
      </c>
      <c r="H24" s="43">
        <v>61</v>
      </c>
      <c r="I24" s="991">
        <v>227446</v>
      </c>
      <c r="J24" s="991">
        <v>253074</v>
      </c>
      <c r="K24" s="991">
        <v>480520</v>
      </c>
      <c r="L24" s="991">
        <v>1757211</v>
      </c>
      <c r="M24" s="991">
        <v>1471626</v>
      </c>
      <c r="N24" s="991">
        <v>3228838</v>
      </c>
      <c r="O24" s="991">
        <v>10690</v>
      </c>
      <c r="P24" s="991">
        <v>7556</v>
      </c>
      <c r="Q24" s="991">
        <v>18246</v>
      </c>
      <c r="R24" s="991">
        <v>220043</v>
      </c>
      <c r="S24" s="991">
        <v>169685</v>
      </c>
      <c r="T24" s="991">
        <v>389728</v>
      </c>
      <c r="U24" s="991">
        <v>4087</v>
      </c>
      <c r="V24" s="991">
        <v>4295</v>
      </c>
      <c r="W24" s="991">
        <v>8382</v>
      </c>
      <c r="X24" s="991">
        <v>13138</v>
      </c>
      <c r="Y24" s="991">
        <v>11479</v>
      </c>
      <c r="Z24" s="991">
        <v>24617</v>
      </c>
      <c r="AA24" s="991">
        <v>2245819</v>
      </c>
      <c r="AB24" s="991">
        <v>1929105</v>
      </c>
      <c r="AC24" s="991">
        <v>4174925</v>
      </c>
    </row>
    <row r="25" spans="1:29" s="39" customFormat="1" ht="26.25" customHeight="1" x14ac:dyDescent="0.35">
      <c r="A25" s="41">
        <v>21</v>
      </c>
      <c r="B25" s="44" t="s">
        <v>31</v>
      </c>
      <c r="C25" s="43">
        <v>1139</v>
      </c>
      <c r="D25" s="43">
        <v>1211</v>
      </c>
      <c r="E25" s="43">
        <v>2350</v>
      </c>
      <c r="F25" s="43">
        <v>4</v>
      </c>
      <c r="G25" s="43">
        <v>8</v>
      </c>
      <c r="H25" s="43">
        <v>12</v>
      </c>
      <c r="I25" s="991">
        <v>4066</v>
      </c>
      <c r="J25" s="991">
        <v>4585</v>
      </c>
      <c r="K25" s="991">
        <v>8651</v>
      </c>
      <c r="L25" s="991">
        <v>51225</v>
      </c>
      <c r="M25" s="991">
        <v>49424</v>
      </c>
      <c r="N25" s="991">
        <v>100649</v>
      </c>
      <c r="O25" s="991">
        <v>468</v>
      </c>
      <c r="P25" s="991">
        <v>508</v>
      </c>
      <c r="Q25" s="991">
        <v>976</v>
      </c>
      <c r="R25" s="991">
        <v>1423</v>
      </c>
      <c r="S25" s="991">
        <v>2531</v>
      </c>
      <c r="T25" s="991">
        <v>3954</v>
      </c>
      <c r="U25" s="991">
        <v>144</v>
      </c>
      <c r="V25" s="991">
        <v>74</v>
      </c>
      <c r="W25" s="991">
        <v>218</v>
      </c>
      <c r="X25" s="991"/>
      <c r="Y25" s="991"/>
      <c r="Z25" s="991"/>
      <c r="AA25" s="991">
        <v>58470</v>
      </c>
      <c r="AB25" s="991">
        <v>58340</v>
      </c>
      <c r="AC25" s="991">
        <v>116810</v>
      </c>
    </row>
    <row r="26" spans="1:29" s="39" customFormat="1" ht="26.25" customHeight="1" x14ac:dyDescent="0.35">
      <c r="A26" s="41">
        <v>22</v>
      </c>
      <c r="B26" s="44" t="s">
        <v>32</v>
      </c>
      <c r="C26" s="43">
        <v>525</v>
      </c>
      <c r="D26" s="43">
        <v>534</v>
      </c>
      <c r="E26" s="43">
        <v>1059</v>
      </c>
      <c r="F26" s="43">
        <v>0</v>
      </c>
      <c r="G26" s="43">
        <v>0</v>
      </c>
      <c r="H26" s="43">
        <v>0</v>
      </c>
      <c r="I26" s="991">
        <v>4308</v>
      </c>
      <c r="J26" s="991">
        <v>6639</v>
      </c>
      <c r="K26" s="991">
        <v>10946</v>
      </c>
      <c r="L26" s="991">
        <v>34838</v>
      </c>
      <c r="M26" s="991">
        <v>42105</v>
      </c>
      <c r="N26" s="991">
        <v>76943</v>
      </c>
      <c r="O26" s="991">
        <v>60</v>
      </c>
      <c r="P26" s="991">
        <v>74</v>
      </c>
      <c r="Q26" s="991">
        <v>134</v>
      </c>
      <c r="R26" s="991">
        <v>1244</v>
      </c>
      <c r="S26" s="991">
        <v>2175</v>
      </c>
      <c r="T26" s="991">
        <v>3419</v>
      </c>
      <c r="U26" s="991">
        <v>458</v>
      </c>
      <c r="V26" s="991">
        <v>454</v>
      </c>
      <c r="W26" s="991">
        <v>912</v>
      </c>
      <c r="X26" s="991">
        <v>234</v>
      </c>
      <c r="Y26" s="991">
        <v>251</v>
      </c>
      <c r="Z26" s="991">
        <v>485</v>
      </c>
      <c r="AA26" s="991">
        <v>41666</v>
      </c>
      <c r="AB26" s="991">
        <v>52232</v>
      </c>
      <c r="AC26" s="991">
        <v>93898</v>
      </c>
    </row>
    <row r="27" spans="1:29" s="39" customFormat="1" ht="26.25" customHeight="1" x14ac:dyDescent="0.35">
      <c r="A27" s="41">
        <v>23</v>
      </c>
      <c r="B27" s="44" t="s">
        <v>33</v>
      </c>
      <c r="C27" s="43">
        <v>667</v>
      </c>
      <c r="D27" s="43">
        <v>579</v>
      </c>
      <c r="E27" s="43">
        <v>1246</v>
      </c>
      <c r="F27" s="43"/>
      <c r="G27" s="43"/>
      <c r="H27" s="43"/>
      <c r="I27" s="991">
        <v>1386</v>
      </c>
      <c r="J27" s="991">
        <v>1610</v>
      </c>
      <c r="K27" s="991">
        <v>2996</v>
      </c>
      <c r="L27" s="991">
        <v>14301</v>
      </c>
      <c r="M27" s="991">
        <v>12748</v>
      </c>
      <c r="N27" s="991">
        <v>27049</v>
      </c>
      <c r="O27" s="991">
        <v>2</v>
      </c>
      <c r="P27" s="991">
        <v>1</v>
      </c>
      <c r="Q27" s="991">
        <v>3</v>
      </c>
      <c r="R27" s="991">
        <v>4478</v>
      </c>
      <c r="S27" s="991">
        <v>5617</v>
      </c>
      <c r="T27" s="991">
        <v>10095</v>
      </c>
      <c r="U27" s="991">
        <v>3</v>
      </c>
      <c r="V27" s="991">
        <v>3</v>
      </c>
      <c r="W27" s="991">
        <v>6</v>
      </c>
      <c r="X27" s="991">
        <v>5</v>
      </c>
      <c r="Y27" s="991">
        <v>2</v>
      </c>
      <c r="Z27" s="991">
        <v>7</v>
      </c>
      <c r="AA27" s="991">
        <v>20842</v>
      </c>
      <c r="AB27" s="991">
        <v>20560</v>
      </c>
      <c r="AC27" s="991">
        <v>41402</v>
      </c>
    </row>
    <row r="28" spans="1:29" s="39" customFormat="1" ht="26.25" customHeight="1" x14ac:dyDescent="0.35">
      <c r="A28" s="41">
        <v>24</v>
      </c>
      <c r="B28" s="44" t="s">
        <v>34</v>
      </c>
      <c r="C28" s="43">
        <v>343</v>
      </c>
      <c r="D28" s="43">
        <v>357</v>
      </c>
      <c r="E28" s="43">
        <v>700</v>
      </c>
      <c r="F28" s="43"/>
      <c r="G28" s="43"/>
      <c r="H28" s="43"/>
      <c r="I28" s="991">
        <v>1859</v>
      </c>
      <c r="J28" s="991">
        <v>2906</v>
      </c>
      <c r="K28" s="991">
        <v>4765</v>
      </c>
      <c r="L28" s="991">
        <v>17343</v>
      </c>
      <c r="M28" s="991">
        <v>20024</v>
      </c>
      <c r="N28" s="991">
        <v>37367</v>
      </c>
      <c r="O28" s="991">
        <v>0</v>
      </c>
      <c r="P28" s="991">
        <v>13</v>
      </c>
      <c r="Q28" s="991">
        <v>13</v>
      </c>
      <c r="R28" s="991">
        <v>826</v>
      </c>
      <c r="S28" s="991">
        <v>1504</v>
      </c>
      <c r="T28" s="991">
        <v>2330</v>
      </c>
      <c r="U28" s="991">
        <v>844</v>
      </c>
      <c r="V28" s="991">
        <v>819</v>
      </c>
      <c r="W28" s="991">
        <v>1663</v>
      </c>
      <c r="X28" s="991"/>
      <c r="Y28" s="991"/>
      <c r="Z28" s="991"/>
      <c r="AA28" s="991">
        <v>21215</v>
      </c>
      <c r="AB28" s="991">
        <v>25623</v>
      </c>
      <c r="AC28" s="991">
        <v>46838</v>
      </c>
    </row>
    <row r="29" spans="1:29" s="39" customFormat="1" ht="26.25" customHeight="1" x14ac:dyDescent="0.35">
      <c r="A29" s="41">
        <v>25</v>
      </c>
      <c r="B29" s="44" t="s">
        <v>35</v>
      </c>
      <c r="C29" s="43">
        <v>2450</v>
      </c>
      <c r="D29" s="43">
        <v>1640</v>
      </c>
      <c r="E29" s="43">
        <v>4090</v>
      </c>
      <c r="F29" s="43"/>
      <c r="G29" s="43"/>
      <c r="H29" s="43"/>
      <c r="I29" s="991">
        <v>45682</v>
      </c>
      <c r="J29" s="991">
        <v>43810</v>
      </c>
      <c r="K29" s="991">
        <v>89492</v>
      </c>
      <c r="L29" s="991">
        <v>390123</v>
      </c>
      <c r="M29" s="991">
        <v>389229</v>
      </c>
      <c r="N29" s="991">
        <v>779352</v>
      </c>
      <c r="O29" s="991">
        <v>1749</v>
      </c>
      <c r="P29" s="991">
        <v>1075</v>
      </c>
      <c r="Q29" s="991">
        <v>2824</v>
      </c>
      <c r="R29" s="991">
        <v>111243</v>
      </c>
      <c r="S29" s="991">
        <v>47870</v>
      </c>
      <c r="T29" s="991">
        <v>159113</v>
      </c>
      <c r="U29" s="991">
        <v>603</v>
      </c>
      <c r="V29" s="991">
        <v>960</v>
      </c>
      <c r="W29" s="991">
        <v>1563</v>
      </c>
      <c r="X29" s="991">
        <v>6667</v>
      </c>
      <c r="Y29" s="991">
        <v>6636</v>
      </c>
      <c r="Z29" s="991">
        <v>13303</v>
      </c>
      <c r="AA29" s="991">
        <v>558517</v>
      </c>
      <c r="AB29" s="991">
        <v>491220</v>
      </c>
      <c r="AC29" s="991">
        <v>1049737</v>
      </c>
    </row>
    <row r="30" spans="1:29" s="39" customFormat="1" ht="26.25" customHeight="1" x14ac:dyDescent="0.35">
      <c r="A30" s="41">
        <v>26</v>
      </c>
      <c r="B30" s="44" t="s">
        <v>36</v>
      </c>
      <c r="C30" s="43">
        <v>375</v>
      </c>
      <c r="D30" s="43">
        <v>325</v>
      </c>
      <c r="E30" s="43">
        <v>700</v>
      </c>
      <c r="F30" s="43"/>
      <c r="G30" s="43"/>
      <c r="H30" s="43"/>
      <c r="I30" s="991">
        <v>6422</v>
      </c>
      <c r="J30" s="991">
        <v>7880</v>
      </c>
      <c r="K30" s="991">
        <v>14302</v>
      </c>
      <c r="L30" s="991">
        <v>29128</v>
      </c>
      <c r="M30" s="991">
        <v>34375</v>
      </c>
      <c r="N30" s="991">
        <v>63504</v>
      </c>
      <c r="O30" s="991">
        <v>38</v>
      </c>
      <c r="P30" s="991">
        <v>25</v>
      </c>
      <c r="Q30" s="991">
        <v>63</v>
      </c>
      <c r="R30" s="991">
        <v>2556</v>
      </c>
      <c r="S30" s="991">
        <v>1036</v>
      </c>
      <c r="T30" s="991">
        <v>3592</v>
      </c>
      <c r="U30" s="991">
        <v>16</v>
      </c>
      <c r="V30" s="991">
        <v>4</v>
      </c>
      <c r="W30" s="991">
        <v>20</v>
      </c>
      <c r="X30" s="991">
        <v>566</v>
      </c>
      <c r="Y30" s="991">
        <v>942</v>
      </c>
      <c r="Z30" s="991">
        <v>1508</v>
      </c>
      <c r="AA30" s="991">
        <v>39102</v>
      </c>
      <c r="AB30" s="991">
        <v>44587</v>
      </c>
      <c r="AC30" s="991">
        <v>83689</v>
      </c>
    </row>
    <row r="31" spans="1:29" s="39" customFormat="1" ht="26.25" customHeight="1" x14ac:dyDescent="0.35">
      <c r="A31" s="41">
        <v>27</v>
      </c>
      <c r="B31" s="44" t="s">
        <v>37</v>
      </c>
      <c r="C31" s="43">
        <v>3790</v>
      </c>
      <c r="D31" s="43">
        <v>4882</v>
      </c>
      <c r="E31" s="43">
        <v>8672</v>
      </c>
      <c r="F31" s="43">
        <v>3</v>
      </c>
      <c r="G31" s="43">
        <v>14</v>
      </c>
      <c r="H31" s="43">
        <v>17</v>
      </c>
      <c r="I31" s="991">
        <v>31928</v>
      </c>
      <c r="J31" s="991">
        <v>46109</v>
      </c>
      <c r="K31" s="991">
        <v>78037</v>
      </c>
      <c r="L31" s="991">
        <v>307920</v>
      </c>
      <c r="M31" s="991">
        <v>281180</v>
      </c>
      <c r="N31" s="991">
        <v>589100</v>
      </c>
      <c r="O31" s="991">
        <v>3126</v>
      </c>
      <c r="P31" s="991">
        <v>3463</v>
      </c>
      <c r="Q31" s="991">
        <v>6589</v>
      </c>
      <c r="R31" s="991">
        <v>50253</v>
      </c>
      <c r="S31" s="991">
        <v>46515</v>
      </c>
      <c r="T31" s="991">
        <v>96768</v>
      </c>
      <c r="U31" s="991">
        <v>808</v>
      </c>
      <c r="V31" s="991">
        <v>884</v>
      </c>
      <c r="W31" s="991">
        <v>1692</v>
      </c>
      <c r="X31" s="991">
        <v>10132</v>
      </c>
      <c r="Y31" s="991">
        <v>13232</v>
      </c>
      <c r="Z31" s="991">
        <v>23364</v>
      </c>
      <c r="AA31" s="991">
        <v>407960</v>
      </c>
      <c r="AB31" s="991">
        <v>396279</v>
      </c>
      <c r="AC31" s="991">
        <v>804239</v>
      </c>
    </row>
    <row r="32" spans="1:29" s="39" customFormat="1" ht="26.25" customHeight="1" x14ac:dyDescent="0.35">
      <c r="A32" s="41">
        <v>28</v>
      </c>
      <c r="B32" s="44" t="s">
        <v>38</v>
      </c>
      <c r="C32" s="43">
        <v>5564</v>
      </c>
      <c r="D32" s="43">
        <v>6523</v>
      </c>
      <c r="E32" s="43">
        <v>12087</v>
      </c>
      <c r="F32" s="43">
        <v>14</v>
      </c>
      <c r="G32" s="43">
        <v>48</v>
      </c>
      <c r="H32" s="43">
        <v>62</v>
      </c>
      <c r="I32" s="991">
        <v>82114</v>
      </c>
      <c r="J32" s="991">
        <v>121235</v>
      </c>
      <c r="K32" s="991">
        <v>203349</v>
      </c>
      <c r="L32" s="991">
        <v>895059</v>
      </c>
      <c r="M32" s="991">
        <v>868541</v>
      </c>
      <c r="N32" s="991">
        <v>1763599</v>
      </c>
      <c r="O32" s="991">
        <v>6390</v>
      </c>
      <c r="P32" s="991">
        <v>3821</v>
      </c>
      <c r="Q32" s="991">
        <v>10211</v>
      </c>
      <c r="R32" s="991">
        <v>86564</v>
      </c>
      <c r="S32" s="991">
        <v>39707</v>
      </c>
      <c r="T32" s="991">
        <v>126271</v>
      </c>
      <c r="U32" s="991">
        <v>1298</v>
      </c>
      <c r="V32" s="991">
        <v>1643</v>
      </c>
      <c r="W32" s="991">
        <v>2941</v>
      </c>
      <c r="X32" s="991">
        <v>74005</v>
      </c>
      <c r="Y32" s="991">
        <v>73875</v>
      </c>
      <c r="Z32" s="991">
        <v>147880</v>
      </c>
      <c r="AA32" s="991">
        <v>1151008</v>
      </c>
      <c r="AB32" s="991">
        <v>1115392</v>
      </c>
      <c r="AC32" s="991">
        <v>2266400</v>
      </c>
    </row>
    <row r="33" spans="1:29" s="39" customFormat="1" ht="26.25" customHeight="1" x14ac:dyDescent="0.35">
      <c r="A33" s="41">
        <v>29</v>
      </c>
      <c r="B33" s="44" t="s">
        <v>39</v>
      </c>
      <c r="C33" s="43">
        <v>385</v>
      </c>
      <c r="D33" s="43">
        <v>332</v>
      </c>
      <c r="E33" s="43">
        <v>717</v>
      </c>
      <c r="F33" s="43">
        <v>18</v>
      </c>
      <c r="G33" s="43">
        <v>25</v>
      </c>
      <c r="H33" s="43">
        <v>43</v>
      </c>
      <c r="I33" s="991">
        <v>1472</v>
      </c>
      <c r="J33" s="991">
        <v>2032</v>
      </c>
      <c r="K33" s="991">
        <v>3504</v>
      </c>
      <c r="L33" s="991">
        <v>10757</v>
      </c>
      <c r="M33" s="991">
        <v>10621</v>
      </c>
      <c r="N33" s="991">
        <v>21378</v>
      </c>
      <c r="O33" s="991"/>
      <c r="P33" s="991"/>
      <c r="Q33" s="991"/>
      <c r="R33" s="991">
        <v>1059</v>
      </c>
      <c r="S33" s="991">
        <v>873</v>
      </c>
      <c r="T33" s="991">
        <v>1932</v>
      </c>
      <c r="U33" s="991">
        <v>40</v>
      </c>
      <c r="V33" s="991">
        <v>6</v>
      </c>
      <c r="W33" s="991">
        <v>46</v>
      </c>
      <c r="X33" s="991">
        <v>167</v>
      </c>
      <c r="Y33" s="991">
        <v>271</v>
      </c>
      <c r="Z33" s="991">
        <v>438</v>
      </c>
      <c r="AA33" s="991">
        <v>13898</v>
      </c>
      <c r="AB33" s="991">
        <v>14160</v>
      </c>
      <c r="AC33" s="991">
        <v>28057</v>
      </c>
    </row>
    <row r="34" spans="1:29" s="39" customFormat="1" ht="26.25" customHeight="1" x14ac:dyDescent="0.35">
      <c r="A34" s="41">
        <v>30</v>
      </c>
      <c r="B34" s="44" t="s">
        <v>40</v>
      </c>
      <c r="C34" s="43">
        <v>11248</v>
      </c>
      <c r="D34" s="43">
        <v>15362</v>
      </c>
      <c r="E34" s="43">
        <v>26610</v>
      </c>
      <c r="F34" s="43">
        <v>391</v>
      </c>
      <c r="G34" s="43">
        <v>787</v>
      </c>
      <c r="H34" s="43">
        <v>1178</v>
      </c>
      <c r="I34" s="991">
        <v>139074</v>
      </c>
      <c r="J34" s="991">
        <v>198362</v>
      </c>
      <c r="K34" s="991">
        <v>337436</v>
      </c>
      <c r="L34" s="991">
        <v>1215105</v>
      </c>
      <c r="M34" s="991">
        <v>1216289</v>
      </c>
      <c r="N34" s="991">
        <v>2431394</v>
      </c>
      <c r="O34" s="991">
        <v>2079</v>
      </c>
      <c r="P34" s="991">
        <v>2137</v>
      </c>
      <c r="Q34" s="991">
        <v>4216</v>
      </c>
      <c r="R34" s="991">
        <v>193000</v>
      </c>
      <c r="S34" s="991">
        <v>46770</v>
      </c>
      <c r="T34" s="991">
        <v>239770</v>
      </c>
      <c r="U34" s="991">
        <v>1912</v>
      </c>
      <c r="V34" s="991">
        <v>6037</v>
      </c>
      <c r="W34" s="991">
        <v>7949</v>
      </c>
      <c r="X34" s="991">
        <v>13205</v>
      </c>
      <c r="Y34" s="991">
        <v>14633</v>
      </c>
      <c r="Z34" s="991">
        <v>27838</v>
      </c>
      <c r="AA34" s="991">
        <v>1576014</v>
      </c>
      <c r="AB34" s="991">
        <v>1500377</v>
      </c>
      <c r="AC34" s="991">
        <v>3076391</v>
      </c>
    </row>
    <row r="35" spans="1:29" s="39" customFormat="1" ht="26.25" customHeight="1" x14ac:dyDescent="0.35">
      <c r="A35" s="41">
        <v>31</v>
      </c>
      <c r="B35" s="44" t="s">
        <v>41</v>
      </c>
      <c r="C35" s="43">
        <v>4624</v>
      </c>
      <c r="D35" s="43">
        <v>2606</v>
      </c>
      <c r="E35" s="43">
        <v>7230</v>
      </c>
      <c r="F35" s="43">
        <v>34</v>
      </c>
      <c r="G35" s="43">
        <v>38</v>
      </c>
      <c r="H35" s="43">
        <v>72</v>
      </c>
      <c r="I35" s="991">
        <v>71559</v>
      </c>
      <c r="J35" s="991">
        <v>99337</v>
      </c>
      <c r="K35" s="991">
        <v>170897</v>
      </c>
      <c r="L35" s="991">
        <v>614671</v>
      </c>
      <c r="M35" s="991">
        <v>640630</v>
      </c>
      <c r="N35" s="991">
        <v>1255302</v>
      </c>
      <c r="O35" s="991">
        <v>2018</v>
      </c>
      <c r="P35" s="991">
        <v>1917</v>
      </c>
      <c r="Q35" s="991">
        <v>3935</v>
      </c>
      <c r="R35" s="991">
        <v>42228</v>
      </c>
      <c r="S35" s="991">
        <v>36353</v>
      </c>
      <c r="T35" s="991">
        <v>78581</v>
      </c>
      <c r="U35" s="991">
        <v>1530</v>
      </c>
      <c r="V35" s="991">
        <v>564</v>
      </c>
      <c r="W35" s="991">
        <v>2094</v>
      </c>
      <c r="X35" s="991">
        <v>5111</v>
      </c>
      <c r="Y35" s="991">
        <v>4318</v>
      </c>
      <c r="Z35" s="991">
        <v>9429</v>
      </c>
      <c r="AA35" s="991">
        <v>741775</v>
      </c>
      <c r="AB35" s="991">
        <v>785764</v>
      </c>
      <c r="AC35" s="991">
        <v>1527539</v>
      </c>
    </row>
    <row r="36" spans="1:29" s="39" customFormat="1" ht="26.25" customHeight="1" x14ac:dyDescent="0.35">
      <c r="A36" s="41">
        <v>32</v>
      </c>
      <c r="B36" s="42" t="s">
        <v>60</v>
      </c>
      <c r="C36" s="43">
        <v>0</v>
      </c>
      <c r="D36" s="43">
        <v>2</v>
      </c>
      <c r="E36" s="43">
        <v>2</v>
      </c>
      <c r="F36" s="43"/>
      <c r="G36" s="43"/>
      <c r="H36" s="43"/>
      <c r="I36" s="991">
        <v>268</v>
      </c>
      <c r="J36" s="991">
        <v>641</v>
      </c>
      <c r="K36" s="991">
        <v>909</v>
      </c>
      <c r="L36" s="991">
        <v>4742</v>
      </c>
      <c r="M36" s="991">
        <v>5273</v>
      </c>
      <c r="N36" s="991">
        <v>10015</v>
      </c>
      <c r="O36" s="991">
        <v>41</v>
      </c>
      <c r="P36" s="991">
        <v>16</v>
      </c>
      <c r="Q36" s="991">
        <v>57</v>
      </c>
      <c r="R36" s="991">
        <v>1500</v>
      </c>
      <c r="S36" s="991">
        <v>395</v>
      </c>
      <c r="T36" s="991">
        <v>1895</v>
      </c>
      <c r="U36" s="991"/>
      <c r="V36" s="991"/>
      <c r="W36" s="991"/>
      <c r="X36" s="991">
        <v>51</v>
      </c>
      <c r="Y36" s="991">
        <v>71</v>
      </c>
      <c r="Z36" s="991">
        <v>122</v>
      </c>
      <c r="AA36" s="991">
        <v>6602</v>
      </c>
      <c r="AB36" s="991">
        <v>6398</v>
      </c>
      <c r="AC36" s="991">
        <v>13000</v>
      </c>
    </row>
    <row r="37" spans="1:29" s="39" customFormat="1" ht="26.25" customHeight="1" x14ac:dyDescent="0.35">
      <c r="A37" s="41">
        <v>33</v>
      </c>
      <c r="B37" s="44" t="s">
        <v>42</v>
      </c>
      <c r="C37" s="43">
        <v>127</v>
      </c>
      <c r="D37" s="43">
        <v>77</v>
      </c>
      <c r="E37" s="43">
        <v>204</v>
      </c>
      <c r="F37" s="43">
        <v>1</v>
      </c>
      <c r="G37" s="43">
        <v>4</v>
      </c>
      <c r="H37" s="43">
        <v>5</v>
      </c>
      <c r="I37" s="991">
        <v>2257</v>
      </c>
      <c r="J37" s="991">
        <v>2773</v>
      </c>
      <c r="K37" s="991">
        <v>5030</v>
      </c>
      <c r="L37" s="991">
        <v>42852</v>
      </c>
      <c r="M37" s="991">
        <v>40559</v>
      </c>
      <c r="N37" s="991">
        <v>83411</v>
      </c>
      <c r="O37" s="991">
        <v>6</v>
      </c>
      <c r="P37" s="991">
        <v>19</v>
      </c>
      <c r="Q37" s="991">
        <v>25</v>
      </c>
      <c r="R37" s="991">
        <v>2395</v>
      </c>
      <c r="S37" s="991">
        <v>2544</v>
      </c>
      <c r="T37" s="991">
        <v>4939</v>
      </c>
      <c r="U37" s="991">
        <v>19</v>
      </c>
      <c r="V37" s="991">
        <v>9</v>
      </c>
      <c r="W37" s="991">
        <v>28</v>
      </c>
      <c r="X37" s="991">
        <v>1146</v>
      </c>
      <c r="Y37" s="991">
        <v>958</v>
      </c>
      <c r="Z37" s="991">
        <v>2104</v>
      </c>
      <c r="AA37" s="991">
        <v>48803</v>
      </c>
      <c r="AB37" s="991">
        <v>46943</v>
      </c>
      <c r="AC37" s="991">
        <v>95746</v>
      </c>
    </row>
    <row r="38" spans="1:29" s="39" customFormat="1" ht="26.25" customHeight="1" x14ac:dyDescent="0.35">
      <c r="A38" s="41">
        <v>34</v>
      </c>
      <c r="B38" s="44" t="s">
        <v>43</v>
      </c>
      <c r="C38" s="43">
        <v>14232</v>
      </c>
      <c r="D38" s="43">
        <v>10820</v>
      </c>
      <c r="E38" s="43">
        <v>25052</v>
      </c>
      <c r="F38" s="43">
        <v>19</v>
      </c>
      <c r="G38" s="43">
        <v>67</v>
      </c>
      <c r="H38" s="43">
        <v>86</v>
      </c>
      <c r="I38" s="991">
        <v>331754</v>
      </c>
      <c r="J38" s="991">
        <v>431590</v>
      </c>
      <c r="K38" s="991">
        <v>763345</v>
      </c>
      <c r="L38" s="991">
        <v>2948994</v>
      </c>
      <c r="M38" s="991">
        <v>2822282</v>
      </c>
      <c r="N38" s="991">
        <v>5771276</v>
      </c>
      <c r="O38" s="991">
        <v>7350</v>
      </c>
      <c r="P38" s="991">
        <v>5771</v>
      </c>
      <c r="Q38" s="991">
        <v>13121</v>
      </c>
      <c r="R38" s="991">
        <v>216155</v>
      </c>
      <c r="S38" s="991">
        <v>115575</v>
      </c>
      <c r="T38" s="991">
        <v>331730</v>
      </c>
      <c r="U38" s="991">
        <v>3812</v>
      </c>
      <c r="V38" s="991">
        <v>2916</v>
      </c>
      <c r="W38" s="991">
        <v>6728</v>
      </c>
      <c r="X38" s="991">
        <v>46821</v>
      </c>
      <c r="Y38" s="991">
        <v>27619</v>
      </c>
      <c r="Z38" s="991">
        <v>74440</v>
      </c>
      <c r="AA38" s="991">
        <v>3569137</v>
      </c>
      <c r="AB38" s="991">
        <v>3416640</v>
      </c>
      <c r="AC38" s="991">
        <v>6985778</v>
      </c>
    </row>
    <row r="39" spans="1:29" s="39" customFormat="1" ht="26.25" customHeight="1" x14ac:dyDescent="0.35">
      <c r="A39" s="41">
        <v>35</v>
      </c>
      <c r="B39" s="44" t="s">
        <v>44</v>
      </c>
      <c r="C39" s="43">
        <v>4367</v>
      </c>
      <c r="D39" s="43">
        <v>2919</v>
      </c>
      <c r="E39" s="43">
        <v>7286</v>
      </c>
      <c r="F39" s="43"/>
      <c r="G39" s="43"/>
      <c r="H39" s="43"/>
      <c r="I39" s="991">
        <v>28066</v>
      </c>
      <c r="J39" s="991">
        <v>36546</v>
      </c>
      <c r="K39" s="991">
        <v>64612</v>
      </c>
      <c r="L39" s="991">
        <v>182145</v>
      </c>
      <c r="M39" s="991">
        <v>183845</v>
      </c>
      <c r="N39" s="991">
        <v>365990</v>
      </c>
      <c r="O39" s="991">
        <v>236</v>
      </c>
      <c r="P39" s="991">
        <v>247</v>
      </c>
      <c r="Q39" s="991">
        <v>483</v>
      </c>
      <c r="R39" s="991">
        <v>20165</v>
      </c>
      <c r="S39" s="991">
        <v>7668</v>
      </c>
      <c r="T39" s="991">
        <v>27833</v>
      </c>
      <c r="U39" s="991">
        <v>238</v>
      </c>
      <c r="V39" s="991">
        <v>98</v>
      </c>
      <c r="W39" s="991">
        <v>336</v>
      </c>
      <c r="X39" s="991">
        <v>3465</v>
      </c>
      <c r="Y39" s="991">
        <v>2308</v>
      </c>
      <c r="Z39" s="991">
        <v>5773</v>
      </c>
      <c r="AA39" s="991">
        <v>238683</v>
      </c>
      <c r="AB39" s="991">
        <v>233630</v>
      </c>
      <c r="AC39" s="991">
        <v>472313</v>
      </c>
    </row>
    <row r="40" spans="1:29" s="39" customFormat="1" ht="26.25" customHeight="1" x14ac:dyDescent="0.35">
      <c r="A40" s="41">
        <v>36</v>
      </c>
      <c r="B40" s="44" t="s">
        <v>45</v>
      </c>
      <c r="C40" s="43">
        <v>7931</v>
      </c>
      <c r="D40" s="43">
        <v>4640</v>
      </c>
      <c r="E40" s="43">
        <v>12571</v>
      </c>
      <c r="F40" s="43">
        <v>313</v>
      </c>
      <c r="G40" s="43">
        <v>262</v>
      </c>
      <c r="H40" s="43">
        <v>575</v>
      </c>
      <c r="I40" s="991">
        <v>55996</v>
      </c>
      <c r="J40" s="991">
        <v>69726</v>
      </c>
      <c r="K40" s="991">
        <v>125722</v>
      </c>
      <c r="L40" s="991">
        <v>852464</v>
      </c>
      <c r="M40" s="991">
        <v>916819</v>
      </c>
      <c r="N40" s="991">
        <v>1769283</v>
      </c>
      <c r="O40" s="991">
        <v>2122</v>
      </c>
      <c r="P40" s="991">
        <v>1118</v>
      </c>
      <c r="Q40" s="991">
        <v>3240</v>
      </c>
      <c r="R40" s="991">
        <v>116921</v>
      </c>
      <c r="S40" s="991">
        <v>77440</v>
      </c>
      <c r="T40" s="991">
        <v>194361</v>
      </c>
      <c r="U40" s="991">
        <v>3661</v>
      </c>
      <c r="V40" s="991">
        <v>4578</v>
      </c>
      <c r="W40" s="991">
        <v>8239</v>
      </c>
      <c r="X40" s="991">
        <v>9922</v>
      </c>
      <c r="Y40" s="991">
        <v>6880</v>
      </c>
      <c r="Z40" s="991">
        <v>16802</v>
      </c>
      <c r="AA40" s="991">
        <v>1049331</v>
      </c>
      <c r="AB40" s="991">
        <v>1081463</v>
      </c>
      <c r="AC40" s="991">
        <v>2130794</v>
      </c>
    </row>
    <row r="41" spans="1:29" s="46" customFormat="1" ht="20.25" customHeight="1" x14ac:dyDescent="0.35">
      <c r="A41" s="722" t="s">
        <v>46</v>
      </c>
      <c r="B41" s="723"/>
      <c r="C41" s="45">
        <v>120953</v>
      </c>
      <c r="D41" s="45">
        <v>112437</v>
      </c>
      <c r="E41" s="45">
        <v>233390</v>
      </c>
      <c r="F41" s="45">
        <v>1270</v>
      </c>
      <c r="G41" s="45">
        <v>1964</v>
      </c>
      <c r="H41" s="45">
        <v>3234</v>
      </c>
      <c r="I41" s="992">
        <v>1753126</v>
      </c>
      <c r="J41" s="992">
        <v>2269294</v>
      </c>
      <c r="K41" s="992">
        <v>4022421</v>
      </c>
      <c r="L41" s="992">
        <v>15863254</v>
      </c>
      <c r="M41" s="992">
        <v>15404651</v>
      </c>
      <c r="N41" s="992">
        <v>31267906</v>
      </c>
      <c r="O41" s="992">
        <v>84246</v>
      </c>
      <c r="P41" s="992">
        <v>75528</v>
      </c>
      <c r="Q41" s="992">
        <v>159774</v>
      </c>
      <c r="R41" s="992">
        <v>1852066</v>
      </c>
      <c r="S41" s="992">
        <v>1129499</v>
      </c>
      <c r="T41" s="992">
        <v>2981565</v>
      </c>
      <c r="U41" s="992">
        <v>51717</v>
      </c>
      <c r="V41" s="992">
        <v>59102</v>
      </c>
      <c r="W41" s="992">
        <v>110819</v>
      </c>
      <c r="X41" s="992">
        <v>284914</v>
      </c>
      <c r="Y41" s="992">
        <v>253622</v>
      </c>
      <c r="Z41" s="992">
        <v>538536</v>
      </c>
      <c r="AA41" s="992">
        <v>20011547</v>
      </c>
      <c r="AB41" s="992">
        <v>19306098</v>
      </c>
      <c r="AC41" s="992">
        <v>39317644</v>
      </c>
    </row>
    <row r="43" spans="1:29" x14ac:dyDescent="0.3">
      <c r="AA43" s="48"/>
      <c r="AB43" s="48"/>
      <c r="AC43" s="48"/>
    </row>
  </sheetData>
  <mergeCells count="15">
    <mergeCell ref="C1:K1"/>
    <mergeCell ref="L1:T1"/>
    <mergeCell ref="U1:AC1"/>
    <mergeCell ref="O2:Q2"/>
    <mergeCell ref="R2:T2"/>
    <mergeCell ref="U2:W2"/>
    <mergeCell ref="X2:Z2"/>
    <mergeCell ref="AA2:AC2"/>
    <mergeCell ref="I2:K2"/>
    <mergeCell ref="L2:N2"/>
    <mergeCell ref="A41:B41"/>
    <mergeCell ref="A2:A3"/>
    <mergeCell ref="B2:B3"/>
    <mergeCell ref="C2:E2"/>
    <mergeCell ref="F2:H2"/>
  </mergeCells>
  <pageMargins left="0.59055118110236227" right="0.35433070866141736" top="0.39370078740157483" bottom="0.39370078740157483" header="0.31496062992125984" footer="0.19685039370078741"/>
  <pageSetup paperSize="9" scale="74" firstPageNumber="8" orientation="portrait" r:id="rId1"/>
  <headerFooter>
    <oddFooter>&amp;L&amp;"Arial,Italic"&amp;9AISHE 2022-23&amp;RT-6a</oddFooter>
  </headerFooter>
  <colBreaks count="2" manualBreakCount="2">
    <brk id="11" max="40" man="1"/>
    <brk id="20" max="4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EA82-577C-4BB0-B892-7886429FA1A1}">
  <sheetPr codeName="Sheet9">
    <tabColor rgb="FF92D050"/>
  </sheetPr>
  <dimension ref="A1:Z41"/>
  <sheetViews>
    <sheetView view="pageBreakPreview" zoomScale="108" zoomScaleNormal="100" zoomScaleSheetLayoutView="108" workbookViewId="0">
      <pane xSplit="2" ySplit="3" topLeftCell="C36" activePane="bottomRight" state="frozen"/>
      <selection activeCell="S20" sqref="S20"/>
      <selection pane="topRight" activeCell="S20" sqref="S20"/>
      <selection pane="bottomLeft" activeCell="S20" sqref="S20"/>
      <selection pane="bottomRight" activeCell="D36" sqref="D36"/>
    </sheetView>
  </sheetViews>
  <sheetFormatPr defaultColWidth="9.26953125" defaultRowHeight="18" x14ac:dyDescent="0.4"/>
  <cols>
    <col min="1" max="1" width="5.26953125" style="549" customWidth="1"/>
    <col min="2" max="2" width="25" style="549" customWidth="1"/>
    <col min="3" max="3" width="6.453125" style="549" bestFit="1" customWidth="1"/>
    <col min="4" max="4" width="8.81640625" style="549" bestFit="1" customWidth="1"/>
    <col min="5" max="5" width="6.7265625" style="549" bestFit="1" customWidth="1"/>
    <col min="6" max="7" width="11.1796875" style="549" bestFit="1" customWidth="1"/>
    <col min="8" max="11" width="12.453125" style="549" bestFit="1" customWidth="1"/>
    <col min="12" max="16" width="9.26953125" style="549" bestFit="1" customWidth="1"/>
    <col min="17" max="17" width="11.1796875" style="549" bestFit="1" customWidth="1"/>
    <col min="18" max="18" width="9.26953125" style="549" bestFit="1" customWidth="1"/>
    <col min="19" max="19" width="8.81640625" style="549" bestFit="1" customWidth="1"/>
    <col min="20" max="20" width="9.26953125" style="549" bestFit="1" customWidth="1"/>
    <col min="21" max="21" width="6.453125" style="549" bestFit="1" customWidth="1"/>
    <col min="22" max="22" width="8.81640625" style="549" bestFit="1" customWidth="1"/>
    <col min="23" max="23" width="6.7265625" style="549" bestFit="1" customWidth="1"/>
    <col min="24" max="26" width="12.453125" style="549" bestFit="1" customWidth="1"/>
    <col min="27" max="16384" width="9.26953125" style="549"/>
  </cols>
  <sheetData>
    <row r="1" spans="1:26" ht="40.5" customHeight="1" x14ac:dyDescent="0.4">
      <c r="A1" s="49"/>
      <c r="B1" s="50" t="s">
        <v>96</v>
      </c>
      <c r="C1" s="733" t="s">
        <v>1008</v>
      </c>
      <c r="D1" s="733"/>
      <c r="E1" s="733"/>
      <c r="F1" s="733"/>
      <c r="G1" s="733"/>
      <c r="H1" s="733"/>
      <c r="I1" s="733" t="str">
        <f>C1</f>
        <v>State/UTs-wise Enrolment through Distance Mode at various levels
(Based on Actual Response)</v>
      </c>
      <c r="J1" s="733"/>
      <c r="K1" s="733"/>
      <c r="L1" s="733"/>
      <c r="M1" s="733"/>
      <c r="N1" s="733"/>
      <c r="O1" s="733"/>
      <c r="P1" s="733"/>
      <c r="Q1" s="733"/>
      <c r="R1" s="733" t="str">
        <f>C1</f>
        <v>State/UTs-wise Enrolment through Distance Mode at various levels
(Based on Actual Response)</v>
      </c>
      <c r="S1" s="733"/>
      <c r="T1" s="733"/>
      <c r="U1" s="733"/>
      <c r="V1" s="733"/>
      <c r="W1" s="733"/>
      <c r="X1" s="733"/>
      <c r="Y1" s="733"/>
      <c r="Z1" s="733"/>
    </row>
    <row r="2" spans="1:26" s="550" customFormat="1" ht="24.75" customHeight="1" x14ac:dyDescent="0.35">
      <c r="A2" s="731" t="s">
        <v>84</v>
      </c>
      <c r="B2" s="731" t="s">
        <v>1005</v>
      </c>
      <c r="C2" s="731" t="s">
        <v>85</v>
      </c>
      <c r="D2" s="731"/>
      <c r="E2" s="731"/>
      <c r="F2" s="731" t="s">
        <v>87</v>
      </c>
      <c r="G2" s="731"/>
      <c r="H2" s="731"/>
      <c r="I2" s="731" t="s">
        <v>88</v>
      </c>
      <c r="J2" s="731"/>
      <c r="K2" s="731"/>
      <c r="L2" s="731" t="s">
        <v>89</v>
      </c>
      <c r="M2" s="731"/>
      <c r="N2" s="731"/>
      <c r="O2" s="731" t="s">
        <v>90</v>
      </c>
      <c r="P2" s="731"/>
      <c r="Q2" s="731"/>
      <c r="R2" s="731" t="s">
        <v>91</v>
      </c>
      <c r="S2" s="731"/>
      <c r="T2" s="731"/>
      <c r="U2" s="731" t="s">
        <v>92</v>
      </c>
      <c r="V2" s="731"/>
      <c r="W2" s="731"/>
      <c r="X2" s="731" t="s">
        <v>12</v>
      </c>
      <c r="Y2" s="731"/>
      <c r="Z2" s="731"/>
    </row>
    <row r="3" spans="1:26" s="551" customFormat="1" ht="24.75" customHeight="1" x14ac:dyDescent="0.35">
      <c r="A3" s="731"/>
      <c r="B3" s="731"/>
      <c r="C3" s="52" t="s">
        <v>93</v>
      </c>
      <c r="D3" s="52" t="s">
        <v>94</v>
      </c>
      <c r="E3" s="52" t="s">
        <v>54</v>
      </c>
      <c r="F3" s="52" t="s">
        <v>93</v>
      </c>
      <c r="G3" s="52" t="s">
        <v>94</v>
      </c>
      <c r="H3" s="52" t="s">
        <v>54</v>
      </c>
      <c r="I3" s="52" t="s">
        <v>93</v>
      </c>
      <c r="J3" s="52" t="s">
        <v>94</v>
      </c>
      <c r="K3" s="52" t="s">
        <v>54</v>
      </c>
      <c r="L3" s="52" t="s">
        <v>93</v>
      </c>
      <c r="M3" s="52" t="s">
        <v>94</v>
      </c>
      <c r="N3" s="52" t="s">
        <v>54</v>
      </c>
      <c r="O3" s="52" t="s">
        <v>93</v>
      </c>
      <c r="P3" s="52" t="s">
        <v>94</v>
      </c>
      <c r="Q3" s="52" t="s">
        <v>54</v>
      </c>
      <c r="R3" s="52" t="s">
        <v>93</v>
      </c>
      <c r="S3" s="52" t="s">
        <v>94</v>
      </c>
      <c r="T3" s="52" t="s">
        <v>54</v>
      </c>
      <c r="U3" s="52" t="s">
        <v>93</v>
      </c>
      <c r="V3" s="52" t="s">
        <v>94</v>
      </c>
      <c r="W3" s="53" t="s">
        <v>54</v>
      </c>
      <c r="X3" s="52" t="s">
        <v>93</v>
      </c>
      <c r="Y3" s="52" t="s">
        <v>94</v>
      </c>
      <c r="Z3" s="52" t="s">
        <v>54</v>
      </c>
    </row>
    <row r="4" spans="1:26" s="552" customFormat="1" ht="16.5" customHeight="1" x14ac:dyDescent="0.35">
      <c r="A4" s="54">
        <v>1</v>
      </c>
      <c r="B4" s="54">
        <v>2</v>
      </c>
      <c r="C4" s="54">
        <v>3</v>
      </c>
      <c r="D4" s="54">
        <v>4</v>
      </c>
      <c r="E4" s="54">
        <v>5</v>
      </c>
      <c r="F4" s="54">
        <v>9</v>
      </c>
      <c r="G4" s="54">
        <v>10</v>
      </c>
      <c r="H4" s="54">
        <v>11</v>
      </c>
      <c r="I4" s="54">
        <v>12</v>
      </c>
      <c r="J4" s="54">
        <v>13</v>
      </c>
      <c r="K4" s="54">
        <v>14</v>
      </c>
      <c r="L4" s="54">
        <v>15</v>
      </c>
      <c r="M4" s="54">
        <v>16</v>
      </c>
      <c r="N4" s="54">
        <v>17</v>
      </c>
      <c r="O4" s="54">
        <v>18</v>
      </c>
      <c r="P4" s="54">
        <v>19</v>
      </c>
      <c r="Q4" s="54">
        <v>20</v>
      </c>
      <c r="R4" s="54">
        <v>21</v>
      </c>
      <c r="S4" s="54">
        <v>22</v>
      </c>
      <c r="T4" s="54">
        <v>23</v>
      </c>
      <c r="U4" s="54">
        <v>24</v>
      </c>
      <c r="V4" s="54">
        <v>25</v>
      </c>
      <c r="W4" s="54">
        <v>26</v>
      </c>
      <c r="X4" s="54">
        <v>27</v>
      </c>
      <c r="Y4" s="54">
        <v>28</v>
      </c>
      <c r="Z4" s="54">
        <v>29</v>
      </c>
    </row>
    <row r="5" spans="1:26" s="551" customFormat="1" ht="23.25" customHeight="1" x14ac:dyDescent="0.35">
      <c r="A5" s="55">
        <v>1</v>
      </c>
      <c r="B5" s="51" t="s">
        <v>58</v>
      </c>
      <c r="C5" s="993"/>
      <c r="D5" s="993"/>
      <c r="E5" s="993"/>
      <c r="F5" s="993">
        <v>534</v>
      </c>
      <c r="G5" s="993">
        <v>751</v>
      </c>
      <c r="H5" s="993">
        <v>1285</v>
      </c>
      <c r="I5" s="993">
        <v>1638</v>
      </c>
      <c r="J5" s="993">
        <v>1257</v>
      </c>
      <c r="K5" s="993">
        <v>2895</v>
      </c>
      <c r="L5" s="993">
        <v>34</v>
      </c>
      <c r="M5" s="993">
        <v>41</v>
      </c>
      <c r="N5" s="993">
        <v>75</v>
      </c>
      <c r="O5" s="993">
        <v>14</v>
      </c>
      <c r="P5" s="993">
        <v>22</v>
      </c>
      <c r="Q5" s="993">
        <v>36</v>
      </c>
      <c r="R5" s="993">
        <v>0</v>
      </c>
      <c r="S5" s="993">
        <v>0</v>
      </c>
      <c r="T5" s="993">
        <v>0</v>
      </c>
      <c r="U5" s="993"/>
      <c r="V5" s="993"/>
      <c r="W5" s="993"/>
      <c r="X5" s="993">
        <v>2220</v>
      </c>
      <c r="Y5" s="993">
        <v>2071</v>
      </c>
      <c r="Z5" s="993">
        <v>4291</v>
      </c>
    </row>
    <row r="6" spans="1:26" s="551" customFormat="1" ht="23.25" customHeight="1" x14ac:dyDescent="0.35">
      <c r="A6" s="55">
        <v>2</v>
      </c>
      <c r="B6" s="57" t="s">
        <v>13</v>
      </c>
      <c r="C6" s="993"/>
      <c r="D6" s="993"/>
      <c r="E6" s="993"/>
      <c r="F6" s="993">
        <v>23730</v>
      </c>
      <c r="G6" s="993">
        <v>22579</v>
      </c>
      <c r="H6" s="993">
        <v>46309</v>
      </c>
      <c r="I6" s="993">
        <v>93011</v>
      </c>
      <c r="J6" s="993">
        <v>66450</v>
      </c>
      <c r="K6" s="993">
        <v>159461</v>
      </c>
      <c r="L6" s="993">
        <v>540</v>
      </c>
      <c r="M6" s="993">
        <v>299</v>
      </c>
      <c r="N6" s="993">
        <v>839</v>
      </c>
      <c r="O6" s="993">
        <v>190</v>
      </c>
      <c r="P6" s="993">
        <v>238</v>
      </c>
      <c r="Q6" s="993">
        <v>428</v>
      </c>
      <c r="R6" s="993">
        <v>83</v>
      </c>
      <c r="S6" s="993">
        <v>31</v>
      </c>
      <c r="T6" s="993">
        <v>114</v>
      </c>
      <c r="U6" s="993"/>
      <c r="V6" s="993"/>
      <c r="W6" s="993"/>
      <c r="X6" s="993">
        <v>117554</v>
      </c>
      <c r="Y6" s="993">
        <v>89597</v>
      </c>
      <c r="Z6" s="993">
        <v>207151</v>
      </c>
    </row>
    <row r="7" spans="1:26" s="551" customFormat="1" ht="23.25" customHeight="1" x14ac:dyDescent="0.35">
      <c r="A7" s="55">
        <v>3</v>
      </c>
      <c r="B7" s="57" t="s">
        <v>14</v>
      </c>
      <c r="C7" s="993"/>
      <c r="D7" s="993"/>
      <c r="E7" s="993"/>
      <c r="F7" s="993">
        <v>1812</v>
      </c>
      <c r="G7" s="993">
        <v>2775</v>
      </c>
      <c r="H7" s="993">
        <v>4587</v>
      </c>
      <c r="I7" s="993">
        <v>2630</v>
      </c>
      <c r="J7" s="993">
        <v>3128</v>
      </c>
      <c r="K7" s="993">
        <v>5758</v>
      </c>
      <c r="L7" s="993">
        <v>24</v>
      </c>
      <c r="M7" s="993">
        <v>11</v>
      </c>
      <c r="N7" s="993">
        <v>35</v>
      </c>
      <c r="O7" s="993">
        <v>14</v>
      </c>
      <c r="P7" s="993">
        <v>28</v>
      </c>
      <c r="Q7" s="993">
        <v>42</v>
      </c>
      <c r="R7" s="993">
        <v>0</v>
      </c>
      <c r="S7" s="993">
        <v>0</v>
      </c>
      <c r="T7" s="993">
        <v>0</v>
      </c>
      <c r="U7" s="993"/>
      <c r="V7" s="993"/>
      <c r="W7" s="993"/>
      <c r="X7" s="993">
        <v>4480</v>
      </c>
      <c r="Y7" s="993">
        <v>5942</v>
      </c>
      <c r="Z7" s="993">
        <v>10422</v>
      </c>
    </row>
    <row r="8" spans="1:26" s="551" customFormat="1" ht="23.25" customHeight="1" x14ac:dyDescent="0.35">
      <c r="A8" s="55">
        <v>4</v>
      </c>
      <c r="B8" s="57" t="s">
        <v>15</v>
      </c>
      <c r="C8" s="993"/>
      <c r="D8" s="993"/>
      <c r="E8" s="993"/>
      <c r="F8" s="993">
        <v>24963</v>
      </c>
      <c r="G8" s="993">
        <v>35474</v>
      </c>
      <c r="H8" s="993">
        <v>60437</v>
      </c>
      <c r="I8" s="993">
        <v>21615</v>
      </c>
      <c r="J8" s="993">
        <v>11800</v>
      </c>
      <c r="K8" s="993">
        <v>33415</v>
      </c>
      <c r="L8" s="993">
        <v>330</v>
      </c>
      <c r="M8" s="993">
        <v>298</v>
      </c>
      <c r="N8" s="993">
        <v>628</v>
      </c>
      <c r="O8" s="993">
        <v>509</v>
      </c>
      <c r="P8" s="993">
        <v>473</v>
      </c>
      <c r="Q8" s="993">
        <v>982</v>
      </c>
      <c r="R8" s="993">
        <v>31</v>
      </c>
      <c r="S8" s="993">
        <v>9</v>
      </c>
      <c r="T8" s="993">
        <v>40</v>
      </c>
      <c r="U8" s="993"/>
      <c r="V8" s="993"/>
      <c r="W8" s="993"/>
      <c r="X8" s="993">
        <v>47448</v>
      </c>
      <c r="Y8" s="993">
        <v>48054</v>
      </c>
      <c r="Z8" s="993">
        <v>95502</v>
      </c>
    </row>
    <row r="9" spans="1:26" s="551" customFormat="1" ht="23.25" customHeight="1" x14ac:dyDescent="0.35">
      <c r="A9" s="55">
        <v>5</v>
      </c>
      <c r="B9" s="57" t="s">
        <v>16</v>
      </c>
      <c r="C9" s="993"/>
      <c r="D9" s="993"/>
      <c r="E9" s="993"/>
      <c r="F9" s="993">
        <v>23688</v>
      </c>
      <c r="G9" s="993">
        <v>22375</v>
      </c>
      <c r="H9" s="993">
        <v>46063</v>
      </c>
      <c r="I9" s="993">
        <v>71240</v>
      </c>
      <c r="J9" s="993">
        <v>44161</v>
      </c>
      <c r="K9" s="993">
        <v>115401</v>
      </c>
      <c r="L9" s="993">
        <v>1013</v>
      </c>
      <c r="M9" s="993">
        <v>457</v>
      </c>
      <c r="N9" s="993">
        <v>1470</v>
      </c>
      <c r="O9" s="993">
        <v>235</v>
      </c>
      <c r="P9" s="993">
        <v>529</v>
      </c>
      <c r="Q9" s="993">
        <v>764</v>
      </c>
      <c r="R9" s="993">
        <v>2</v>
      </c>
      <c r="S9" s="993">
        <v>2</v>
      </c>
      <c r="T9" s="993">
        <v>4</v>
      </c>
      <c r="U9" s="993"/>
      <c r="V9" s="993"/>
      <c r="W9" s="993"/>
      <c r="X9" s="993">
        <v>96178</v>
      </c>
      <c r="Y9" s="993">
        <v>67524</v>
      </c>
      <c r="Z9" s="993">
        <v>163702</v>
      </c>
    </row>
    <row r="10" spans="1:26" s="551" customFormat="1" ht="23.25" customHeight="1" x14ac:dyDescent="0.35">
      <c r="A10" s="55">
        <v>6</v>
      </c>
      <c r="B10" s="57" t="s">
        <v>17</v>
      </c>
      <c r="C10" s="993"/>
      <c r="D10" s="993"/>
      <c r="E10" s="993"/>
      <c r="F10" s="993">
        <v>4246</v>
      </c>
      <c r="G10" s="993">
        <v>5345</v>
      </c>
      <c r="H10" s="993">
        <v>9591</v>
      </c>
      <c r="I10" s="993">
        <v>14304</v>
      </c>
      <c r="J10" s="993">
        <v>7500</v>
      </c>
      <c r="K10" s="993">
        <v>21804</v>
      </c>
      <c r="L10" s="993">
        <v>524</v>
      </c>
      <c r="M10" s="993">
        <v>542</v>
      </c>
      <c r="N10" s="993">
        <v>1066</v>
      </c>
      <c r="O10" s="993">
        <v>387</v>
      </c>
      <c r="P10" s="993">
        <v>1310</v>
      </c>
      <c r="Q10" s="993">
        <v>1697</v>
      </c>
      <c r="R10" s="993">
        <v>20</v>
      </c>
      <c r="S10" s="993">
        <v>24</v>
      </c>
      <c r="T10" s="993">
        <v>44</v>
      </c>
      <c r="U10" s="993"/>
      <c r="V10" s="993"/>
      <c r="W10" s="993"/>
      <c r="X10" s="993">
        <v>19481</v>
      </c>
      <c r="Y10" s="993">
        <v>14721</v>
      </c>
      <c r="Z10" s="993">
        <v>34202</v>
      </c>
    </row>
    <row r="11" spans="1:26" s="551" customFormat="1" ht="23.25" customHeight="1" x14ac:dyDescent="0.35">
      <c r="A11" s="55">
        <v>7</v>
      </c>
      <c r="B11" s="57" t="s">
        <v>18</v>
      </c>
      <c r="C11" s="632"/>
      <c r="D11" s="993"/>
      <c r="E11" s="993"/>
      <c r="F11" s="993">
        <v>6020</v>
      </c>
      <c r="G11" s="993">
        <v>6713</v>
      </c>
      <c r="H11" s="993">
        <v>12733</v>
      </c>
      <c r="I11" s="993">
        <v>9988</v>
      </c>
      <c r="J11" s="993">
        <v>7465</v>
      </c>
      <c r="K11" s="993">
        <v>17453</v>
      </c>
      <c r="L11" s="993">
        <v>1079</v>
      </c>
      <c r="M11" s="993">
        <v>848</v>
      </c>
      <c r="N11" s="993">
        <v>1927</v>
      </c>
      <c r="O11" s="993">
        <v>2235</v>
      </c>
      <c r="P11" s="993">
        <v>2980</v>
      </c>
      <c r="Q11" s="993">
        <v>5215</v>
      </c>
      <c r="R11" s="993">
        <v>6</v>
      </c>
      <c r="S11" s="993">
        <v>2</v>
      </c>
      <c r="T11" s="993">
        <v>8</v>
      </c>
      <c r="U11" s="993"/>
      <c r="V11" s="993"/>
      <c r="W11" s="993"/>
      <c r="X11" s="993">
        <v>19328</v>
      </c>
      <c r="Y11" s="993">
        <v>18008</v>
      </c>
      <c r="Z11" s="993">
        <v>37336</v>
      </c>
    </row>
    <row r="12" spans="1:26" s="551" customFormat="1" ht="23.25" customHeight="1" x14ac:dyDescent="0.35">
      <c r="A12" s="55">
        <v>8</v>
      </c>
      <c r="B12" s="57" t="s">
        <v>19</v>
      </c>
      <c r="C12" s="993">
        <v>9</v>
      </c>
      <c r="D12" s="993">
        <v>1</v>
      </c>
      <c r="E12" s="993">
        <v>10</v>
      </c>
      <c r="F12" s="993">
        <v>50468</v>
      </c>
      <c r="G12" s="993">
        <v>77963</v>
      </c>
      <c r="H12" s="993">
        <v>128431</v>
      </c>
      <c r="I12" s="993">
        <v>282035</v>
      </c>
      <c r="J12" s="993">
        <v>233790</v>
      </c>
      <c r="K12" s="993">
        <v>515825</v>
      </c>
      <c r="L12" s="993">
        <v>3849</v>
      </c>
      <c r="M12" s="993">
        <v>3644</v>
      </c>
      <c r="N12" s="993">
        <v>7493</v>
      </c>
      <c r="O12" s="993">
        <v>1064</v>
      </c>
      <c r="P12" s="993">
        <v>2449</v>
      </c>
      <c r="Q12" s="993">
        <v>3513</v>
      </c>
      <c r="R12" s="993">
        <v>103</v>
      </c>
      <c r="S12" s="993">
        <v>51</v>
      </c>
      <c r="T12" s="993">
        <v>154</v>
      </c>
      <c r="U12" s="993"/>
      <c r="V12" s="993"/>
      <c r="W12" s="993"/>
      <c r="X12" s="993">
        <v>337528</v>
      </c>
      <c r="Y12" s="993">
        <v>317898</v>
      </c>
      <c r="Z12" s="993">
        <v>655426</v>
      </c>
    </row>
    <row r="13" spans="1:26" s="551" customFormat="1" ht="23.25" customHeight="1" x14ac:dyDescent="0.35">
      <c r="A13" s="55">
        <v>9</v>
      </c>
      <c r="B13" s="57" t="s">
        <v>20</v>
      </c>
      <c r="C13" s="993"/>
      <c r="D13" s="993"/>
      <c r="E13" s="993"/>
      <c r="F13" s="993">
        <v>830</v>
      </c>
      <c r="G13" s="993">
        <v>1226</v>
      </c>
      <c r="H13" s="993">
        <v>2056</v>
      </c>
      <c r="I13" s="993">
        <v>2695</v>
      </c>
      <c r="J13" s="993">
        <v>1148</v>
      </c>
      <c r="K13" s="993">
        <v>3843</v>
      </c>
      <c r="L13" s="993">
        <v>72</v>
      </c>
      <c r="M13" s="993">
        <v>61</v>
      </c>
      <c r="N13" s="993">
        <v>133</v>
      </c>
      <c r="O13" s="993">
        <v>18</v>
      </c>
      <c r="P13" s="993">
        <v>120</v>
      </c>
      <c r="Q13" s="993">
        <v>138</v>
      </c>
      <c r="R13" s="993">
        <v>0</v>
      </c>
      <c r="S13" s="993">
        <v>0</v>
      </c>
      <c r="T13" s="993">
        <v>0</v>
      </c>
      <c r="U13" s="993"/>
      <c r="V13" s="993"/>
      <c r="W13" s="993"/>
      <c r="X13" s="993">
        <v>3615</v>
      </c>
      <c r="Y13" s="993">
        <v>2555</v>
      </c>
      <c r="Z13" s="993">
        <v>6170</v>
      </c>
    </row>
    <row r="14" spans="1:26" s="551" customFormat="1" ht="23.25" customHeight="1" x14ac:dyDescent="0.35">
      <c r="A14" s="55">
        <v>10</v>
      </c>
      <c r="B14" s="57" t="s">
        <v>21</v>
      </c>
      <c r="C14" s="993"/>
      <c r="D14" s="993"/>
      <c r="E14" s="993"/>
      <c r="F14" s="993">
        <v>7819</v>
      </c>
      <c r="G14" s="993">
        <v>12096</v>
      </c>
      <c r="H14" s="993">
        <v>19915</v>
      </c>
      <c r="I14" s="993">
        <v>39872</v>
      </c>
      <c r="J14" s="993">
        <v>27752</v>
      </c>
      <c r="K14" s="993">
        <v>67624</v>
      </c>
      <c r="L14" s="993">
        <v>888</v>
      </c>
      <c r="M14" s="993">
        <v>469</v>
      </c>
      <c r="N14" s="993">
        <v>1357</v>
      </c>
      <c r="O14" s="993">
        <v>5262</v>
      </c>
      <c r="P14" s="993">
        <v>2448</v>
      </c>
      <c r="Q14" s="993">
        <v>7710</v>
      </c>
      <c r="R14" s="993">
        <v>3</v>
      </c>
      <c r="S14" s="993">
        <v>58</v>
      </c>
      <c r="T14" s="993">
        <v>61</v>
      </c>
      <c r="U14" s="993"/>
      <c r="V14" s="993"/>
      <c r="W14" s="993"/>
      <c r="X14" s="993">
        <v>53844</v>
      </c>
      <c r="Y14" s="993">
        <v>42823</v>
      </c>
      <c r="Z14" s="993">
        <v>96667</v>
      </c>
    </row>
    <row r="15" spans="1:26" s="551" customFormat="1" ht="23.25" customHeight="1" x14ac:dyDescent="0.35">
      <c r="A15" s="55">
        <v>11</v>
      </c>
      <c r="B15" s="57" t="s">
        <v>22</v>
      </c>
      <c r="C15" s="993"/>
      <c r="D15" s="993"/>
      <c r="E15" s="993"/>
      <c r="F15" s="993">
        <v>18833</v>
      </c>
      <c r="G15" s="993">
        <v>26777</v>
      </c>
      <c r="H15" s="993">
        <v>45610</v>
      </c>
      <c r="I15" s="993">
        <v>60610</v>
      </c>
      <c r="J15" s="993">
        <v>35418</v>
      </c>
      <c r="K15" s="993">
        <v>96028</v>
      </c>
      <c r="L15" s="993">
        <v>507</v>
      </c>
      <c r="M15" s="993">
        <v>304</v>
      </c>
      <c r="N15" s="993">
        <v>811</v>
      </c>
      <c r="O15" s="993">
        <v>719</v>
      </c>
      <c r="P15" s="993">
        <v>2490</v>
      </c>
      <c r="Q15" s="993">
        <v>3209</v>
      </c>
      <c r="R15" s="993">
        <v>24</v>
      </c>
      <c r="S15" s="993">
        <v>12</v>
      </c>
      <c r="T15" s="993">
        <v>36</v>
      </c>
      <c r="U15" s="993"/>
      <c r="V15" s="993"/>
      <c r="W15" s="993"/>
      <c r="X15" s="993">
        <v>80693</v>
      </c>
      <c r="Y15" s="993">
        <v>65001</v>
      </c>
      <c r="Z15" s="993">
        <v>145694</v>
      </c>
    </row>
    <row r="16" spans="1:26" s="551" customFormat="1" ht="23.25" customHeight="1" x14ac:dyDescent="0.35">
      <c r="A16" s="55">
        <v>12</v>
      </c>
      <c r="B16" s="57" t="s">
        <v>23</v>
      </c>
      <c r="C16" s="993"/>
      <c r="D16" s="993"/>
      <c r="E16" s="993"/>
      <c r="F16" s="993">
        <v>7892</v>
      </c>
      <c r="G16" s="993">
        <v>7982</v>
      </c>
      <c r="H16" s="993">
        <v>15874</v>
      </c>
      <c r="I16" s="993">
        <v>24875</v>
      </c>
      <c r="J16" s="993">
        <v>17217</v>
      </c>
      <c r="K16" s="993">
        <v>42092</v>
      </c>
      <c r="L16" s="993">
        <v>177</v>
      </c>
      <c r="M16" s="993">
        <v>123</v>
      </c>
      <c r="N16" s="993">
        <v>300</v>
      </c>
      <c r="O16" s="993">
        <v>398</v>
      </c>
      <c r="P16" s="993">
        <v>2211</v>
      </c>
      <c r="Q16" s="993">
        <v>2609</v>
      </c>
      <c r="R16" s="993">
        <v>1</v>
      </c>
      <c r="S16" s="993">
        <v>0</v>
      </c>
      <c r="T16" s="993">
        <v>1</v>
      </c>
      <c r="U16" s="993"/>
      <c r="V16" s="993"/>
      <c r="W16" s="993"/>
      <c r="X16" s="993">
        <v>33343</v>
      </c>
      <c r="Y16" s="993">
        <v>27533</v>
      </c>
      <c r="Z16" s="993">
        <v>60876</v>
      </c>
    </row>
    <row r="17" spans="1:26" s="551" customFormat="1" ht="23.25" customHeight="1" x14ac:dyDescent="0.35">
      <c r="A17" s="55">
        <v>13</v>
      </c>
      <c r="B17" s="57" t="s">
        <v>24</v>
      </c>
      <c r="C17" s="993"/>
      <c r="D17" s="993"/>
      <c r="E17" s="993"/>
      <c r="F17" s="993">
        <v>16859</v>
      </c>
      <c r="G17" s="993">
        <v>29398</v>
      </c>
      <c r="H17" s="993">
        <v>46257</v>
      </c>
      <c r="I17" s="993">
        <v>40433</v>
      </c>
      <c r="J17" s="993">
        <v>29731</v>
      </c>
      <c r="K17" s="993">
        <v>70164</v>
      </c>
      <c r="L17" s="993">
        <v>474</v>
      </c>
      <c r="M17" s="993">
        <v>298</v>
      </c>
      <c r="N17" s="993">
        <v>772</v>
      </c>
      <c r="O17" s="993">
        <v>273</v>
      </c>
      <c r="P17" s="993">
        <v>350</v>
      </c>
      <c r="Q17" s="993">
        <v>623</v>
      </c>
      <c r="R17" s="993">
        <v>145</v>
      </c>
      <c r="S17" s="993">
        <v>213</v>
      </c>
      <c r="T17" s="993">
        <v>358</v>
      </c>
      <c r="U17" s="993"/>
      <c r="V17" s="993"/>
      <c r="W17" s="993"/>
      <c r="X17" s="993">
        <v>58184</v>
      </c>
      <c r="Y17" s="993">
        <v>59990</v>
      </c>
      <c r="Z17" s="993">
        <v>118174</v>
      </c>
    </row>
    <row r="18" spans="1:26" s="551" customFormat="1" ht="23.25" customHeight="1" x14ac:dyDescent="0.35">
      <c r="A18" s="55">
        <v>14</v>
      </c>
      <c r="B18" s="57" t="s">
        <v>25</v>
      </c>
      <c r="C18" s="993"/>
      <c r="D18" s="993"/>
      <c r="E18" s="993"/>
      <c r="F18" s="993">
        <v>8781</v>
      </c>
      <c r="G18" s="993">
        <v>11109</v>
      </c>
      <c r="H18" s="993">
        <v>19890</v>
      </c>
      <c r="I18" s="993">
        <v>21481</v>
      </c>
      <c r="J18" s="993">
        <v>9600</v>
      </c>
      <c r="K18" s="993">
        <v>31081</v>
      </c>
      <c r="L18" s="993">
        <v>1281</v>
      </c>
      <c r="M18" s="993">
        <v>581</v>
      </c>
      <c r="N18" s="993">
        <v>1862</v>
      </c>
      <c r="O18" s="993">
        <v>83</v>
      </c>
      <c r="P18" s="993">
        <v>291</v>
      </c>
      <c r="Q18" s="993">
        <v>374</v>
      </c>
      <c r="R18" s="993">
        <v>0</v>
      </c>
      <c r="S18" s="993">
        <v>0</v>
      </c>
      <c r="T18" s="993">
        <v>0</v>
      </c>
      <c r="U18" s="993"/>
      <c r="V18" s="993"/>
      <c r="W18" s="993"/>
      <c r="X18" s="993">
        <v>31626</v>
      </c>
      <c r="Y18" s="993">
        <v>21581</v>
      </c>
      <c r="Z18" s="993">
        <v>53207</v>
      </c>
    </row>
    <row r="19" spans="1:26" s="551" customFormat="1" ht="23.25" customHeight="1" x14ac:dyDescent="0.35">
      <c r="A19" s="55">
        <v>15</v>
      </c>
      <c r="B19" s="57" t="s">
        <v>26</v>
      </c>
      <c r="C19" s="993"/>
      <c r="D19" s="993"/>
      <c r="E19" s="993"/>
      <c r="F19" s="993">
        <v>18705</v>
      </c>
      <c r="G19" s="993">
        <v>28714</v>
      </c>
      <c r="H19" s="993">
        <v>47419</v>
      </c>
      <c r="I19" s="993">
        <v>26264</v>
      </c>
      <c r="J19" s="993">
        <v>17917</v>
      </c>
      <c r="K19" s="993">
        <v>44181</v>
      </c>
      <c r="L19" s="993">
        <v>2624</v>
      </c>
      <c r="M19" s="993">
        <v>1687</v>
      </c>
      <c r="N19" s="993">
        <v>4311</v>
      </c>
      <c r="O19" s="993">
        <v>2155</v>
      </c>
      <c r="P19" s="993">
        <v>2320</v>
      </c>
      <c r="Q19" s="993">
        <v>4475</v>
      </c>
      <c r="R19" s="993">
        <v>504</v>
      </c>
      <c r="S19" s="993">
        <v>361</v>
      </c>
      <c r="T19" s="993">
        <v>865</v>
      </c>
      <c r="U19" s="993"/>
      <c r="V19" s="993"/>
      <c r="W19" s="993"/>
      <c r="X19" s="993">
        <v>50252</v>
      </c>
      <c r="Y19" s="993">
        <v>50999</v>
      </c>
      <c r="Z19" s="993">
        <v>101251</v>
      </c>
    </row>
    <row r="20" spans="1:26" s="551" customFormat="1" ht="23.25" customHeight="1" x14ac:dyDescent="0.35">
      <c r="A20" s="55">
        <v>16</v>
      </c>
      <c r="B20" s="57" t="s">
        <v>27</v>
      </c>
      <c r="C20" s="993">
        <v>10</v>
      </c>
      <c r="D20" s="993">
        <v>2</v>
      </c>
      <c r="E20" s="993">
        <v>12</v>
      </c>
      <c r="F20" s="993">
        <v>17561</v>
      </c>
      <c r="G20" s="993">
        <v>35924</v>
      </c>
      <c r="H20" s="993">
        <v>53485</v>
      </c>
      <c r="I20" s="993">
        <v>62962</v>
      </c>
      <c r="J20" s="993">
        <v>75441</v>
      </c>
      <c r="K20" s="993">
        <v>138403</v>
      </c>
      <c r="L20" s="993">
        <v>813</v>
      </c>
      <c r="M20" s="993">
        <v>978</v>
      </c>
      <c r="N20" s="993">
        <v>1791</v>
      </c>
      <c r="O20" s="993">
        <v>228</v>
      </c>
      <c r="P20" s="993">
        <v>829</v>
      </c>
      <c r="Q20" s="993">
        <v>1057</v>
      </c>
      <c r="R20" s="993">
        <v>201</v>
      </c>
      <c r="S20" s="993">
        <v>61</v>
      </c>
      <c r="T20" s="993">
        <v>262</v>
      </c>
      <c r="U20" s="993"/>
      <c r="V20" s="993"/>
      <c r="W20" s="993"/>
      <c r="X20" s="993">
        <v>81775</v>
      </c>
      <c r="Y20" s="993">
        <v>113235</v>
      </c>
      <c r="Z20" s="993">
        <v>195010</v>
      </c>
    </row>
    <row r="21" spans="1:26" s="551" customFormat="1" ht="23.25" customHeight="1" x14ac:dyDescent="0.35">
      <c r="A21" s="55">
        <v>17</v>
      </c>
      <c r="B21" s="57" t="s">
        <v>28</v>
      </c>
      <c r="C21" s="993"/>
      <c r="D21" s="993"/>
      <c r="E21" s="993"/>
      <c r="F21" s="993"/>
      <c r="G21" s="993"/>
      <c r="H21" s="993"/>
      <c r="I21" s="993"/>
      <c r="J21" s="993"/>
      <c r="K21" s="993"/>
      <c r="L21" s="993"/>
      <c r="M21" s="993"/>
      <c r="N21" s="993"/>
      <c r="O21" s="993"/>
      <c r="P21" s="993"/>
      <c r="Q21" s="993"/>
      <c r="R21" s="993">
        <v>19</v>
      </c>
      <c r="S21" s="993">
        <v>131</v>
      </c>
      <c r="T21" s="993">
        <v>150</v>
      </c>
      <c r="U21" s="993"/>
      <c r="V21" s="993"/>
      <c r="W21" s="993"/>
      <c r="X21" s="993">
        <v>19</v>
      </c>
      <c r="Y21" s="993">
        <v>131</v>
      </c>
      <c r="Z21" s="993">
        <v>150</v>
      </c>
    </row>
    <row r="22" spans="1:26" s="551" customFormat="1" ht="23.25" customHeight="1" x14ac:dyDescent="0.35">
      <c r="A22" s="55">
        <v>18</v>
      </c>
      <c r="B22" s="57" t="s">
        <v>72</v>
      </c>
      <c r="C22" s="993"/>
      <c r="D22" s="993"/>
      <c r="E22" s="993"/>
      <c r="F22" s="993"/>
      <c r="G22" s="993"/>
      <c r="H22" s="993"/>
      <c r="I22" s="993"/>
      <c r="J22" s="993"/>
      <c r="K22" s="993"/>
      <c r="L22" s="993"/>
      <c r="M22" s="993"/>
      <c r="N22" s="993"/>
      <c r="O22" s="993"/>
      <c r="P22" s="993"/>
      <c r="Q22" s="993"/>
      <c r="R22" s="993"/>
      <c r="S22" s="993"/>
      <c r="T22" s="993"/>
      <c r="U22" s="993"/>
      <c r="V22" s="993"/>
      <c r="W22" s="993"/>
      <c r="X22" s="993">
        <v>0</v>
      </c>
      <c r="Y22" s="993">
        <v>0</v>
      </c>
      <c r="Z22" s="993">
        <v>0</v>
      </c>
    </row>
    <row r="23" spans="1:26" s="551" customFormat="1" ht="23.25" customHeight="1" x14ac:dyDescent="0.35">
      <c r="A23" s="55">
        <v>19</v>
      </c>
      <c r="B23" s="57" t="s">
        <v>29</v>
      </c>
      <c r="C23" s="993"/>
      <c r="D23" s="993"/>
      <c r="E23" s="993"/>
      <c r="F23" s="993">
        <v>20293</v>
      </c>
      <c r="G23" s="993">
        <v>15868</v>
      </c>
      <c r="H23" s="993">
        <v>36161</v>
      </c>
      <c r="I23" s="993">
        <v>52946</v>
      </c>
      <c r="J23" s="993">
        <v>32989</v>
      </c>
      <c r="K23" s="993">
        <v>85935</v>
      </c>
      <c r="L23" s="993">
        <v>603</v>
      </c>
      <c r="M23" s="993">
        <v>317</v>
      </c>
      <c r="N23" s="993">
        <v>920</v>
      </c>
      <c r="O23" s="993">
        <v>1614</v>
      </c>
      <c r="P23" s="993">
        <v>1857</v>
      </c>
      <c r="Q23" s="993">
        <v>3471</v>
      </c>
      <c r="R23" s="993">
        <v>102</v>
      </c>
      <c r="S23" s="993">
        <v>110</v>
      </c>
      <c r="T23" s="993">
        <v>212</v>
      </c>
      <c r="U23" s="993"/>
      <c r="V23" s="993"/>
      <c r="W23" s="993"/>
      <c r="X23" s="993">
        <v>75558</v>
      </c>
      <c r="Y23" s="993">
        <v>51141</v>
      </c>
      <c r="Z23" s="993">
        <v>126699</v>
      </c>
    </row>
    <row r="24" spans="1:26" s="551" customFormat="1" ht="23.25" customHeight="1" x14ac:dyDescent="0.35">
      <c r="A24" s="55">
        <v>20</v>
      </c>
      <c r="B24" s="57" t="s">
        <v>30</v>
      </c>
      <c r="C24" s="993"/>
      <c r="D24" s="993"/>
      <c r="E24" s="993"/>
      <c r="F24" s="993">
        <v>75840</v>
      </c>
      <c r="G24" s="993">
        <v>74118</v>
      </c>
      <c r="H24" s="993">
        <v>149958</v>
      </c>
      <c r="I24" s="993">
        <v>281170</v>
      </c>
      <c r="J24" s="993">
        <v>170409</v>
      </c>
      <c r="K24" s="993">
        <v>451579</v>
      </c>
      <c r="L24" s="993">
        <v>6286</v>
      </c>
      <c r="M24" s="993">
        <v>4614</v>
      </c>
      <c r="N24" s="993">
        <v>10900</v>
      </c>
      <c r="O24" s="993">
        <v>15830</v>
      </c>
      <c r="P24" s="993">
        <v>11407</v>
      </c>
      <c r="Q24" s="993">
        <v>27237</v>
      </c>
      <c r="R24" s="993">
        <v>226</v>
      </c>
      <c r="S24" s="993">
        <v>197</v>
      </c>
      <c r="T24" s="993">
        <v>423</v>
      </c>
      <c r="U24" s="993"/>
      <c r="V24" s="993"/>
      <c r="W24" s="993"/>
      <c r="X24" s="993">
        <v>379352</v>
      </c>
      <c r="Y24" s="993">
        <v>260745</v>
      </c>
      <c r="Z24" s="993">
        <v>640097</v>
      </c>
    </row>
    <row r="25" spans="1:26" s="551" customFormat="1" ht="23.25" customHeight="1" x14ac:dyDescent="0.35">
      <c r="A25" s="55">
        <v>21</v>
      </c>
      <c r="B25" s="57" t="s">
        <v>31</v>
      </c>
      <c r="C25" s="993"/>
      <c r="D25" s="993"/>
      <c r="E25" s="993"/>
      <c r="F25" s="993">
        <v>1896</v>
      </c>
      <c r="G25" s="993">
        <v>1992</v>
      </c>
      <c r="H25" s="993">
        <v>3888</v>
      </c>
      <c r="I25" s="993">
        <v>1325</v>
      </c>
      <c r="J25" s="993">
        <v>806</v>
      </c>
      <c r="K25" s="993">
        <v>2131</v>
      </c>
      <c r="L25" s="993">
        <v>31</v>
      </c>
      <c r="M25" s="993">
        <v>17</v>
      </c>
      <c r="N25" s="993">
        <v>48</v>
      </c>
      <c r="O25" s="993">
        <v>53</v>
      </c>
      <c r="P25" s="993">
        <v>76</v>
      </c>
      <c r="Q25" s="993">
        <v>129</v>
      </c>
      <c r="R25" s="993">
        <v>0</v>
      </c>
      <c r="S25" s="993">
        <v>0</v>
      </c>
      <c r="T25" s="993">
        <v>0</v>
      </c>
      <c r="U25" s="993"/>
      <c r="V25" s="993"/>
      <c r="W25" s="993"/>
      <c r="X25" s="993">
        <v>3305</v>
      </c>
      <c r="Y25" s="993">
        <v>2891</v>
      </c>
      <c r="Z25" s="993">
        <v>6196</v>
      </c>
    </row>
    <row r="26" spans="1:26" s="551" customFormat="1" ht="23.25" customHeight="1" x14ac:dyDescent="0.35">
      <c r="A26" s="55">
        <v>22</v>
      </c>
      <c r="B26" s="57" t="s">
        <v>32</v>
      </c>
      <c r="C26" s="993"/>
      <c r="D26" s="993"/>
      <c r="E26" s="993"/>
      <c r="F26" s="993">
        <v>1763</v>
      </c>
      <c r="G26" s="993">
        <v>3063</v>
      </c>
      <c r="H26" s="993">
        <v>4826</v>
      </c>
      <c r="I26" s="993">
        <v>1482</v>
      </c>
      <c r="J26" s="993">
        <v>1445</v>
      </c>
      <c r="K26" s="993">
        <v>2927</v>
      </c>
      <c r="L26" s="993">
        <v>62</v>
      </c>
      <c r="M26" s="993">
        <v>61</v>
      </c>
      <c r="N26" s="993">
        <v>123</v>
      </c>
      <c r="O26" s="993">
        <v>44</v>
      </c>
      <c r="P26" s="993">
        <v>113</v>
      </c>
      <c r="Q26" s="993">
        <v>157</v>
      </c>
      <c r="R26" s="993">
        <v>0</v>
      </c>
      <c r="S26" s="993">
        <v>1</v>
      </c>
      <c r="T26" s="993">
        <v>1</v>
      </c>
      <c r="U26" s="993"/>
      <c r="V26" s="993"/>
      <c r="W26" s="993"/>
      <c r="X26" s="993">
        <v>3351</v>
      </c>
      <c r="Y26" s="993">
        <v>4683</v>
      </c>
      <c r="Z26" s="993">
        <v>8034</v>
      </c>
    </row>
    <row r="27" spans="1:26" s="551" customFormat="1" ht="23.25" customHeight="1" x14ac:dyDescent="0.35">
      <c r="A27" s="55">
        <v>23</v>
      </c>
      <c r="B27" s="57" t="s">
        <v>33</v>
      </c>
      <c r="C27" s="993"/>
      <c r="D27" s="993"/>
      <c r="E27" s="993"/>
      <c r="F27" s="993">
        <v>1136</v>
      </c>
      <c r="G27" s="993">
        <v>1453</v>
      </c>
      <c r="H27" s="993">
        <v>2589</v>
      </c>
      <c r="I27" s="993">
        <v>2100</v>
      </c>
      <c r="J27" s="993">
        <v>2327</v>
      </c>
      <c r="K27" s="993">
        <v>4427</v>
      </c>
      <c r="L27" s="993">
        <v>18</v>
      </c>
      <c r="M27" s="993">
        <v>8</v>
      </c>
      <c r="N27" s="993">
        <v>26</v>
      </c>
      <c r="O27" s="993">
        <v>85</v>
      </c>
      <c r="P27" s="993">
        <v>82</v>
      </c>
      <c r="Q27" s="993">
        <v>167</v>
      </c>
      <c r="R27" s="993">
        <v>0</v>
      </c>
      <c r="S27" s="993">
        <v>0</v>
      </c>
      <c r="T27" s="993">
        <v>0</v>
      </c>
      <c r="U27" s="993"/>
      <c r="V27" s="993"/>
      <c r="W27" s="993"/>
      <c r="X27" s="993">
        <v>3339</v>
      </c>
      <c r="Y27" s="993">
        <v>3870</v>
      </c>
      <c r="Z27" s="993">
        <v>7209</v>
      </c>
    </row>
    <row r="28" spans="1:26" s="551" customFormat="1" ht="23.25" customHeight="1" x14ac:dyDescent="0.35">
      <c r="A28" s="55">
        <v>24</v>
      </c>
      <c r="B28" s="57" t="s">
        <v>34</v>
      </c>
      <c r="C28" s="993"/>
      <c r="D28" s="993"/>
      <c r="E28" s="993"/>
      <c r="F28" s="993">
        <v>1025</v>
      </c>
      <c r="G28" s="993">
        <v>1994</v>
      </c>
      <c r="H28" s="993">
        <v>3019</v>
      </c>
      <c r="I28" s="993">
        <v>521</v>
      </c>
      <c r="J28" s="993">
        <v>546</v>
      </c>
      <c r="K28" s="993">
        <v>1067</v>
      </c>
      <c r="L28" s="993">
        <v>16</v>
      </c>
      <c r="M28" s="993">
        <v>18</v>
      </c>
      <c r="N28" s="993">
        <v>34</v>
      </c>
      <c r="O28" s="993">
        <v>17</v>
      </c>
      <c r="P28" s="993">
        <v>54</v>
      </c>
      <c r="Q28" s="993">
        <v>71</v>
      </c>
      <c r="R28" s="993">
        <v>0</v>
      </c>
      <c r="S28" s="993">
        <v>1</v>
      </c>
      <c r="T28" s="993">
        <v>1</v>
      </c>
      <c r="U28" s="993"/>
      <c r="V28" s="993"/>
      <c r="W28" s="993"/>
      <c r="X28" s="993">
        <v>1579</v>
      </c>
      <c r="Y28" s="993">
        <v>2613</v>
      </c>
      <c r="Z28" s="993">
        <v>4192</v>
      </c>
    </row>
    <row r="29" spans="1:26" s="551" customFormat="1" ht="23.25" customHeight="1" x14ac:dyDescent="0.35">
      <c r="A29" s="55">
        <v>25</v>
      </c>
      <c r="B29" s="57" t="s">
        <v>35</v>
      </c>
      <c r="C29" s="993"/>
      <c r="D29" s="993"/>
      <c r="E29" s="993"/>
      <c r="F29" s="993">
        <v>9818</v>
      </c>
      <c r="G29" s="993">
        <v>14677</v>
      </c>
      <c r="H29" s="993">
        <v>24495</v>
      </c>
      <c r="I29" s="993">
        <v>13812</v>
      </c>
      <c r="J29" s="993">
        <v>10183</v>
      </c>
      <c r="K29" s="993">
        <v>23995</v>
      </c>
      <c r="L29" s="993">
        <v>391</v>
      </c>
      <c r="M29" s="993">
        <v>217</v>
      </c>
      <c r="N29" s="993">
        <v>608</v>
      </c>
      <c r="O29" s="993">
        <v>557</v>
      </c>
      <c r="P29" s="993">
        <v>2140</v>
      </c>
      <c r="Q29" s="993">
        <v>2697</v>
      </c>
      <c r="R29" s="993">
        <v>1</v>
      </c>
      <c r="S29" s="993">
        <v>75</v>
      </c>
      <c r="T29" s="993">
        <v>76</v>
      </c>
      <c r="U29" s="993"/>
      <c r="V29" s="993"/>
      <c r="W29" s="993"/>
      <c r="X29" s="993">
        <v>24579</v>
      </c>
      <c r="Y29" s="993">
        <v>27292</v>
      </c>
      <c r="Z29" s="993">
        <v>51871</v>
      </c>
    </row>
    <row r="30" spans="1:26" s="551" customFormat="1" ht="23.25" customHeight="1" x14ac:dyDescent="0.35">
      <c r="A30" s="55">
        <v>26</v>
      </c>
      <c r="B30" s="57" t="s">
        <v>36</v>
      </c>
      <c r="C30" s="993"/>
      <c r="D30" s="993"/>
      <c r="E30" s="993"/>
      <c r="F30" s="993">
        <v>7887</v>
      </c>
      <c r="G30" s="993">
        <v>7190</v>
      </c>
      <c r="H30" s="993">
        <v>15077</v>
      </c>
      <c r="I30" s="993">
        <v>1070</v>
      </c>
      <c r="J30" s="993">
        <v>788</v>
      </c>
      <c r="K30" s="993">
        <v>1858</v>
      </c>
      <c r="L30" s="993"/>
      <c r="M30" s="993"/>
      <c r="N30" s="993"/>
      <c r="O30" s="993"/>
      <c r="P30" s="993"/>
      <c r="Q30" s="993"/>
      <c r="R30" s="993"/>
      <c r="S30" s="993"/>
      <c r="T30" s="993"/>
      <c r="U30" s="993"/>
      <c r="V30" s="993"/>
      <c r="W30" s="993"/>
      <c r="X30" s="993">
        <v>8957</v>
      </c>
      <c r="Y30" s="993">
        <v>7978</v>
      </c>
      <c r="Z30" s="993">
        <v>16935</v>
      </c>
    </row>
    <row r="31" spans="1:26" s="551" customFormat="1" ht="23.25" customHeight="1" x14ac:dyDescent="0.35">
      <c r="A31" s="55">
        <v>27</v>
      </c>
      <c r="B31" s="57" t="s">
        <v>37</v>
      </c>
      <c r="C31" s="993"/>
      <c r="D31" s="993"/>
      <c r="E31" s="993"/>
      <c r="F31" s="993">
        <v>20175</v>
      </c>
      <c r="G31" s="993">
        <v>17249</v>
      </c>
      <c r="H31" s="993">
        <v>37424</v>
      </c>
      <c r="I31" s="993">
        <v>27604</v>
      </c>
      <c r="J31" s="993">
        <v>16371</v>
      </c>
      <c r="K31" s="993">
        <v>43975</v>
      </c>
      <c r="L31" s="993">
        <v>197</v>
      </c>
      <c r="M31" s="993">
        <v>135</v>
      </c>
      <c r="N31" s="993">
        <v>332</v>
      </c>
      <c r="O31" s="993">
        <v>3384</v>
      </c>
      <c r="P31" s="993">
        <v>9933</v>
      </c>
      <c r="Q31" s="993">
        <v>13317</v>
      </c>
      <c r="R31" s="993">
        <v>80</v>
      </c>
      <c r="S31" s="993">
        <v>10</v>
      </c>
      <c r="T31" s="993">
        <v>90</v>
      </c>
      <c r="U31" s="993"/>
      <c r="V31" s="993"/>
      <c r="W31" s="993"/>
      <c r="X31" s="993">
        <v>51440</v>
      </c>
      <c r="Y31" s="993">
        <v>43698</v>
      </c>
      <c r="Z31" s="993">
        <v>95138</v>
      </c>
    </row>
    <row r="32" spans="1:26" s="551" customFormat="1" ht="23.25" customHeight="1" x14ac:dyDescent="0.35">
      <c r="A32" s="55">
        <v>28</v>
      </c>
      <c r="B32" s="57" t="s">
        <v>38</v>
      </c>
      <c r="C32" s="993">
        <v>8</v>
      </c>
      <c r="D32" s="993">
        <v>1</v>
      </c>
      <c r="E32" s="993">
        <v>9</v>
      </c>
      <c r="F32" s="993">
        <v>35493</v>
      </c>
      <c r="G32" s="993">
        <v>28961</v>
      </c>
      <c r="H32" s="993">
        <v>64454</v>
      </c>
      <c r="I32" s="993">
        <v>53191</v>
      </c>
      <c r="J32" s="993">
        <v>34600</v>
      </c>
      <c r="K32" s="993">
        <v>87791</v>
      </c>
      <c r="L32" s="993">
        <v>726</v>
      </c>
      <c r="M32" s="993">
        <v>340</v>
      </c>
      <c r="N32" s="993">
        <v>1066</v>
      </c>
      <c r="O32" s="993">
        <v>10315</v>
      </c>
      <c r="P32" s="993">
        <v>9660</v>
      </c>
      <c r="Q32" s="993">
        <v>19975</v>
      </c>
      <c r="R32" s="993">
        <v>4</v>
      </c>
      <c r="S32" s="993">
        <v>53</v>
      </c>
      <c r="T32" s="993">
        <v>57</v>
      </c>
      <c r="U32" s="993"/>
      <c r="V32" s="993"/>
      <c r="W32" s="993"/>
      <c r="X32" s="993">
        <v>99737</v>
      </c>
      <c r="Y32" s="993">
        <v>73615</v>
      </c>
      <c r="Z32" s="993">
        <v>173352</v>
      </c>
    </row>
    <row r="33" spans="1:26" s="551" customFormat="1" ht="23.25" customHeight="1" x14ac:dyDescent="0.35">
      <c r="A33" s="55">
        <v>29</v>
      </c>
      <c r="B33" s="57" t="s">
        <v>39</v>
      </c>
      <c r="C33" s="993"/>
      <c r="D33" s="993"/>
      <c r="E33" s="993"/>
      <c r="F33" s="993">
        <v>794</v>
      </c>
      <c r="G33" s="993">
        <v>1539</v>
      </c>
      <c r="H33" s="993">
        <v>2333</v>
      </c>
      <c r="I33" s="993">
        <v>1420</v>
      </c>
      <c r="J33" s="993">
        <v>1934</v>
      </c>
      <c r="K33" s="993">
        <v>3354</v>
      </c>
      <c r="L33" s="993">
        <v>21</v>
      </c>
      <c r="M33" s="993">
        <v>16</v>
      </c>
      <c r="N33" s="993">
        <v>37</v>
      </c>
      <c r="O33" s="993">
        <v>13</v>
      </c>
      <c r="P33" s="993">
        <v>56</v>
      </c>
      <c r="Q33" s="993">
        <v>69</v>
      </c>
      <c r="R33" s="993">
        <v>1</v>
      </c>
      <c r="S33" s="993">
        <v>0</v>
      </c>
      <c r="T33" s="993">
        <v>1</v>
      </c>
      <c r="U33" s="993"/>
      <c r="V33" s="993"/>
      <c r="W33" s="993"/>
      <c r="X33" s="993">
        <v>2249</v>
      </c>
      <c r="Y33" s="993">
        <v>3545</v>
      </c>
      <c r="Z33" s="993">
        <v>5794</v>
      </c>
    </row>
    <row r="34" spans="1:26" s="551" customFormat="1" ht="23.25" customHeight="1" x14ac:dyDescent="0.35">
      <c r="A34" s="55">
        <v>30</v>
      </c>
      <c r="B34" s="57" t="s">
        <v>40</v>
      </c>
      <c r="C34" s="993"/>
      <c r="D34" s="993"/>
      <c r="E34" s="993"/>
      <c r="F34" s="993">
        <v>57191</v>
      </c>
      <c r="G34" s="993">
        <v>73618</v>
      </c>
      <c r="H34" s="993">
        <v>130809</v>
      </c>
      <c r="I34" s="993">
        <v>85177</v>
      </c>
      <c r="J34" s="993">
        <v>72385</v>
      </c>
      <c r="K34" s="993">
        <v>157562</v>
      </c>
      <c r="L34" s="993">
        <v>530</v>
      </c>
      <c r="M34" s="993">
        <v>358</v>
      </c>
      <c r="N34" s="993">
        <v>888</v>
      </c>
      <c r="O34" s="993">
        <v>3499</v>
      </c>
      <c r="P34" s="993">
        <v>2906</v>
      </c>
      <c r="Q34" s="993">
        <v>6405</v>
      </c>
      <c r="R34" s="993">
        <v>557</v>
      </c>
      <c r="S34" s="993">
        <v>670</v>
      </c>
      <c r="T34" s="993">
        <v>1227</v>
      </c>
      <c r="U34" s="993">
        <v>203</v>
      </c>
      <c r="V34" s="993">
        <v>59</v>
      </c>
      <c r="W34" s="993">
        <v>262</v>
      </c>
      <c r="X34" s="993">
        <v>147157</v>
      </c>
      <c r="Y34" s="993">
        <v>149996</v>
      </c>
      <c r="Z34" s="993">
        <v>297153</v>
      </c>
    </row>
    <row r="35" spans="1:26" s="551" customFormat="1" ht="23.25" customHeight="1" x14ac:dyDescent="0.35">
      <c r="A35" s="55">
        <v>31</v>
      </c>
      <c r="B35" s="57" t="s">
        <v>41</v>
      </c>
      <c r="C35" s="993"/>
      <c r="D35" s="993"/>
      <c r="E35" s="993"/>
      <c r="F35" s="993">
        <v>19127</v>
      </c>
      <c r="G35" s="993">
        <v>26320</v>
      </c>
      <c r="H35" s="993">
        <v>45447</v>
      </c>
      <c r="I35" s="993">
        <v>54441</v>
      </c>
      <c r="J35" s="993">
        <v>37448</v>
      </c>
      <c r="K35" s="993">
        <v>91889</v>
      </c>
      <c r="L35" s="993">
        <v>2061</v>
      </c>
      <c r="M35" s="993">
        <v>1568</v>
      </c>
      <c r="N35" s="993">
        <v>3629</v>
      </c>
      <c r="O35" s="993">
        <v>465</v>
      </c>
      <c r="P35" s="993">
        <v>706</v>
      </c>
      <c r="Q35" s="993">
        <v>1171</v>
      </c>
      <c r="R35" s="993">
        <v>290</v>
      </c>
      <c r="S35" s="993">
        <v>796</v>
      </c>
      <c r="T35" s="993">
        <v>1086</v>
      </c>
      <c r="U35" s="993"/>
      <c r="V35" s="993"/>
      <c r="W35" s="993"/>
      <c r="X35" s="993">
        <v>76384</v>
      </c>
      <c r="Y35" s="993">
        <v>66838</v>
      </c>
      <c r="Z35" s="993">
        <v>143222</v>
      </c>
    </row>
    <row r="36" spans="1:26" s="551" customFormat="1" ht="41.25" customHeight="1" x14ac:dyDescent="0.35">
      <c r="A36" s="55">
        <v>32</v>
      </c>
      <c r="B36" s="51" t="s">
        <v>60</v>
      </c>
      <c r="C36" s="993"/>
      <c r="D36" s="993"/>
      <c r="E36" s="993"/>
      <c r="F36" s="993"/>
      <c r="G36" s="993"/>
      <c r="H36" s="993"/>
      <c r="I36" s="993"/>
      <c r="J36" s="993"/>
      <c r="K36" s="993"/>
      <c r="L36" s="993">
        <v>3</v>
      </c>
      <c r="M36" s="993">
        <v>2</v>
      </c>
      <c r="N36" s="993">
        <v>5</v>
      </c>
      <c r="O36" s="993">
        <v>2</v>
      </c>
      <c r="P36" s="993">
        <v>2</v>
      </c>
      <c r="Q36" s="993">
        <v>4</v>
      </c>
      <c r="R36" s="993"/>
      <c r="S36" s="993"/>
      <c r="T36" s="993"/>
      <c r="U36" s="993"/>
      <c r="V36" s="993"/>
      <c r="W36" s="993"/>
      <c r="X36" s="993">
        <v>5</v>
      </c>
      <c r="Y36" s="993">
        <v>4</v>
      </c>
      <c r="Z36" s="993">
        <v>9</v>
      </c>
    </row>
    <row r="37" spans="1:26" s="551" customFormat="1" ht="23.25" customHeight="1" x14ac:dyDescent="0.35">
      <c r="A37" s="55">
        <v>33</v>
      </c>
      <c r="B37" s="57" t="s">
        <v>42</v>
      </c>
      <c r="C37" s="993"/>
      <c r="D37" s="993"/>
      <c r="E37" s="993"/>
      <c r="F37" s="993">
        <v>2069</v>
      </c>
      <c r="G37" s="993">
        <v>2357</v>
      </c>
      <c r="H37" s="993">
        <v>4426</v>
      </c>
      <c r="I37" s="993">
        <v>1241</v>
      </c>
      <c r="J37" s="993">
        <v>823</v>
      </c>
      <c r="K37" s="993">
        <v>2064</v>
      </c>
      <c r="L37" s="993">
        <v>39</v>
      </c>
      <c r="M37" s="993">
        <v>10</v>
      </c>
      <c r="N37" s="993">
        <v>49</v>
      </c>
      <c r="O37" s="993">
        <v>16</v>
      </c>
      <c r="P37" s="993">
        <v>23</v>
      </c>
      <c r="Q37" s="993">
        <v>39</v>
      </c>
      <c r="R37" s="993">
        <v>0</v>
      </c>
      <c r="S37" s="993">
        <v>0</v>
      </c>
      <c r="T37" s="993">
        <v>0</v>
      </c>
      <c r="U37" s="993"/>
      <c r="V37" s="993"/>
      <c r="W37" s="993"/>
      <c r="X37" s="993">
        <v>3365</v>
      </c>
      <c r="Y37" s="993">
        <v>3213</v>
      </c>
      <c r="Z37" s="993">
        <v>6578</v>
      </c>
    </row>
    <row r="38" spans="1:26" s="551" customFormat="1" ht="23.25" customHeight="1" x14ac:dyDescent="0.35">
      <c r="A38" s="55">
        <v>34</v>
      </c>
      <c r="B38" s="57" t="s">
        <v>43</v>
      </c>
      <c r="C38" s="993"/>
      <c r="D38" s="993"/>
      <c r="E38" s="993"/>
      <c r="F38" s="993">
        <v>28986</v>
      </c>
      <c r="G38" s="993">
        <v>25357</v>
      </c>
      <c r="H38" s="993">
        <v>54343</v>
      </c>
      <c r="I38" s="993">
        <v>50271</v>
      </c>
      <c r="J38" s="993">
        <v>23253</v>
      </c>
      <c r="K38" s="993">
        <v>73524</v>
      </c>
      <c r="L38" s="993">
        <v>4692</v>
      </c>
      <c r="M38" s="993">
        <v>2524</v>
      </c>
      <c r="N38" s="993">
        <v>7216</v>
      </c>
      <c r="O38" s="993">
        <v>1159</v>
      </c>
      <c r="P38" s="993">
        <v>1157</v>
      </c>
      <c r="Q38" s="993">
        <v>2316</v>
      </c>
      <c r="R38" s="993">
        <v>8463</v>
      </c>
      <c r="S38" s="993">
        <v>6180</v>
      </c>
      <c r="T38" s="993">
        <v>14643</v>
      </c>
      <c r="U38" s="993"/>
      <c r="V38" s="993"/>
      <c r="W38" s="993"/>
      <c r="X38" s="993">
        <v>93571</v>
      </c>
      <c r="Y38" s="993">
        <v>58471</v>
      </c>
      <c r="Z38" s="993">
        <v>152042</v>
      </c>
    </row>
    <row r="39" spans="1:26" s="551" customFormat="1" ht="23.25" customHeight="1" x14ac:dyDescent="0.35">
      <c r="A39" s="55">
        <v>35</v>
      </c>
      <c r="B39" s="57" t="s">
        <v>44</v>
      </c>
      <c r="C39" s="993"/>
      <c r="D39" s="993"/>
      <c r="E39" s="993"/>
      <c r="F39" s="993">
        <v>15466</v>
      </c>
      <c r="G39" s="993">
        <v>23807</v>
      </c>
      <c r="H39" s="993">
        <v>39273</v>
      </c>
      <c r="I39" s="993">
        <v>34325</v>
      </c>
      <c r="J39" s="993">
        <v>30313</v>
      </c>
      <c r="K39" s="993">
        <v>64638</v>
      </c>
      <c r="L39" s="993">
        <v>238</v>
      </c>
      <c r="M39" s="993">
        <v>173</v>
      </c>
      <c r="N39" s="993">
        <v>411</v>
      </c>
      <c r="O39" s="993">
        <v>809</v>
      </c>
      <c r="P39" s="993">
        <v>319</v>
      </c>
      <c r="Q39" s="993">
        <v>1128</v>
      </c>
      <c r="R39" s="993">
        <v>1</v>
      </c>
      <c r="S39" s="993">
        <v>0</v>
      </c>
      <c r="T39" s="993">
        <v>1</v>
      </c>
      <c r="U39" s="993"/>
      <c r="V39" s="993"/>
      <c r="W39" s="993"/>
      <c r="X39" s="993">
        <v>50839</v>
      </c>
      <c r="Y39" s="993">
        <v>54612</v>
      </c>
      <c r="Z39" s="993">
        <v>105451</v>
      </c>
    </row>
    <row r="40" spans="1:26" s="551" customFormat="1" ht="23.25" customHeight="1" x14ac:dyDescent="0.35">
      <c r="A40" s="55">
        <v>36</v>
      </c>
      <c r="B40" s="57" t="s">
        <v>45</v>
      </c>
      <c r="C40" s="993"/>
      <c r="D40" s="993"/>
      <c r="E40" s="993"/>
      <c r="F40" s="993">
        <v>74692</v>
      </c>
      <c r="G40" s="993">
        <v>116703</v>
      </c>
      <c r="H40" s="993">
        <v>191395</v>
      </c>
      <c r="I40" s="993">
        <v>233959</v>
      </c>
      <c r="J40" s="993">
        <v>131918</v>
      </c>
      <c r="K40" s="993">
        <v>365877</v>
      </c>
      <c r="L40" s="993">
        <v>888</v>
      </c>
      <c r="M40" s="993">
        <v>930</v>
      </c>
      <c r="N40" s="993">
        <v>1818</v>
      </c>
      <c r="O40" s="993">
        <v>308</v>
      </c>
      <c r="P40" s="993">
        <v>384</v>
      </c>
      <c r="Q40" s="993">
        <v>692</v>
      </c>
      <c r="R40" s="993">
        <v>1604</v>
      </c>
      <c r="S40" s="993">
        <v>659</v>
      </c>
      <c r="T40" s="993">
        <v>2263</v>
      </c>
      <c r="U40" s="993"/>
      <c r="V40" s="993"/>
      <c r="W40" s="993"/>
      <c r="X40" s="993">
        <v>311451</v>
      </c>
      <c r="Y40" s="993">
        <v>250594</v>
      </c>
      <c r="Z40" s="993">
        <v>562045</v>
      </c>
    </row>
    <row r="41" spans="1:26" s="553" customFormat="1" ht="23.25" customHeight="1" x14ac:dyDescent="0.35">
      <c r="A41" s="732" t="s">
        <v>46</v>
      </c>
      <c r="B41" s="732"/>
      <c r="C41" s="994">
        <v>27</v>
      </c>
      <c r="D41" s="994">
        <v>4</v>
      </c>
      <c r="E41" s="994">
        <v>31</v>
      </c>
      <c r="F41" s="994">
        <v>606392</v>
      </c>
      <c r="G41" s="994">
        <v>763467</v>
      </c>
      <c r="H41" s="994">
        <v>1369859</v>
      </c>
      <c r="I41" s="994">
        <v>1671708</v>
      </c>
      <c r="J41" s="994">
        <v>1158313</v>
      </c>
      <c r="K41" s="994">
        <v>2830021</v>
      </c>
      <c r="L41" s="994">
        <v>31031</v>
      </c>
      <c r="M41" s="994">
        <v>21949</v>
      </c>
      <c r="N41" s="994">
        <v>52980</v>
      </c>
      <c r="O41" s="994">
        <v>51954</v>
      </c>
      <c r="P41" s="994">
        <v>59963</v>
      </c>
      <c r="Q41" s="994">
        <v>111917</v>
      </c>
      <c r="R41" s="994">
        <v>12471</v>
      </c>
      <c r="S41" s="994">
        <v>9707</v>
      </c>
      <c r="T41" s="994">
        <v>22178</v>
      </c>
      <c r="U41" s="994">
        <v>203</v>
      </c>
      <c r="V41" s="994">
        <v>59</v>
      </c>
      <c r="W41" s="994">
        <v>262</v>
      </c>
      <c r="X41" s="994">
        <v>2373786</v>
      </c>
      <c r="Y41" s="994">
        <v>2013462</v>
      </c>
      <c r="Z41" s="994">
        <v>4387248</v>
      </c>
    </row>
  </sheetData>
  <mergeCells count="14">
    <mergeCell ref="R2:T2"/>
    <mergeCell ref="U2:W2"/>
    <mergeCell ref="X2:Z2"/>
    <mergeCell ref="A41:B41"/>
    <mergeCell ref="C1:H1"/>
    <mergeCell ref="I1:Q1"/>
    <mergeCell ref="R1:Z1"/>
    <mergeCell ref="A2:A3"/>
    <mergeCell ref="B2:B3"/>
    <mergeCell ref="C2:E2"/>
    <mergeCell ref="F2:H2"/>
    <mergeCell ref="I2:K2"/>
    <mergeCell ref="L2:N2"/>
    <mergeCell ref="O2:Q2"/>
  </mergeCells>
  <pageMargins left="0.59055118110236227" right="0.35433070866141736" top="0.39370078740157483" bottom="0.39370078740157483" header="0.31496062992125984" footer="0.19685039370078741"/>
  <pageSetup paperSize="9" scale="75" firstPageNumber="15" orientation="portrait" r:id="rId1"/>
  <headerFooter>
    <oddFooter>&amp;L&amp;"Arial,Italic"&amp;9AISHE 2022-23&amp;RT-6b</oddFooter>
  </headerFooter>
  <colBreaks count="2" manualBreakCount="2">
    <brk id="8" max="40" man="1"/>
    <brk id="17" max="4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E0D0-06A7-4FD3-89A4-CA776DB61670}">
  <sheetPr codeName="Sheet10">
    <tabColor rgb="FF92D050"/>
  </sheetPr>
  <dimension ref="A1:AC41"/>
  <sheetViews>
    <sheetView view="pageBreakPreview" zoomScale="85" zoomScaleSheetLayoutView="85" workbookViewId="0">
      <pane xSplit="2" ySplit="3" topLeftCell="N30" activePane="bottomRight" state="frozen"/>
      <selection activeCell="S20" sqref="S20"/>
      <selection pane="topRight" activeCell="S20" sqref="S20"/>
      <selection pane="bottomLeft" activeCell="S20" sqref="S20"/>
      <selection pane="bottomRight" activeCell="R34" sqref="R34"/>
    </sheetView>
  </sheetViews>
  <sheetFormatPr defaultColWidth="9.26953125" defaultRowHeight="18" x14ac:dyDescent="0.4"/>
  <cols>
    <col min="1" max="1" width="7" style="58" bestFit="1" customWidth="1"/>
    <col min="2" max="2" width="37.26953125" style="58" bestFit="1" customWidth="1"/>
    <col min="3" max="3" width="7.36328125" style="58" bestFit="1" customWidth="1"/>
    <col min="4" max="4" width="9.90625" style="58" bestFit="1" customWidth="1"/>
    <col min="5" max="5" width="7.6328125" style="58" bestFit="1" customWidth="1"/>
    <col min="6" max="6" width="7.36328125" style="58" bestFit="1" customWidth="1"/>
    <col min="7" max="7" width="9.90625" style="58" bestFit="1" customWidth="1"/>
    <col min="8" max="8" width="7.6328125" style="58" bestFit="1" customWidth="1"/>
    <col min="9" max="14" width="14.54296875" style="58" bestFit="1" customWidth="1"/>
    <col min="15" max="15" width="7.36328125" style="58" bestFit="1" customWidth="1"/>
    <col min="16" max="16" width="9.90625" style="58" bestFit="1" customWidth="1"/>
    <col min="17" max="17" width="7.6328125" style="58" bestFit="1" customWidth="1"/>
    <col min="18" max="18" width="7.36328125" style="58" bestFit="1" customWidth="1"/>
    <col min="19" max="19" width="9.90625" style="58" bestFit="1" customWidth="1"/>
    <col min="20" max="20" width="7.6328125" style="58" bestFit="1" customWidth="1"/>
    <col min="21" max="21" width="9.26953125" style="58" bestFit="1" customWidth="1"/>
    <col min="22" max="22" width="9.90625" style="58" bestFit="1" customWidth="1"/>
    <col min="23" max="23" width="9.26953125" style="58" bestFit="1" customWidth="1"/>
    <col min="24" max="24" width="7.36328125" style="58" bestFit="1" customWidth="1"/>
    <col min="25" max="25" width="9.90625" style="58" bestFit="1" customWidth="1"/>
    <col min="26" max="26" width="7.6328125" style="58" bestFit="1" customWidth="1"/>
    <col min="27" max="29" width="14.54296875" style="58" bestFit="1" customWidth="1"/>
    <col min="30" max="16384" width="9.26953125" style="58"/>
  </cols>
  <sheetData>
    <row r="1" spans="1:29" x14ac:dyDescent="0.4">
      <c r="B1" s="59" t="s">
        <v>97</v>
      </c>
      <c r="C1" s="735" t="s">
        <v>1009</v>
      </c>
      <c r="D1" s="735"/>
      <c r="E1" s="735"/>
      <c r="F1" s="735"/>
      <c r="G1" s="735"/>
      <c r="H1" s="735"/>
      <c r="I1" s="735"/>
      <c r="J1" s="735"/>
      <c r="K1" s="735"/>
      <c r="L1" s="735" t="str">
        <f>C1</f>
        <v>State/UTs-wise Enrolment through Private Mode at various levels
(Based on Actual Response)</v>
      </c>
      <c r="M1" s="735"/>
      <c r="N1" s="735"/>
      <c r="O1" s="735"/>
      <c r="P1" s="735"/>
      <c r="Q1" s="735"/>
      <c r="R1" s="735"/>
      <c r="S1" s="735"/>
      <c r="T1" s="735"/>
      <c r="U1" s="735" t="str">
        <f>C1</f>
        <v>State/UTs-wise Enrolment through Private Mode at various levels
(Based on Actual Response)</v>
      </c>
      <c r="V1" s="735"/>
      <c r="W1" s="735"/>
      <c r="X1" s="735"/>
      <c r="Y1" s="735"/>
      <c r="Z1" s="735"/>
      <c r="AA1" s="735"/>
      <c r="AB1" s="735"/>
      <c r="AC1" s="735"/>
    </row>
    <row r="2" spans="1:29" s="60" customFormat="1" ht="17.5" x14ac:dyDescent="0.35">
      <c r="A2" s="736" t="s">
        <v>84</v>
      </c>
      <c r="B2" s="738" t="s">
        <v>1005</v>
      </c>
      <c r="C2" s="739" t="s">
        <v>85</v>
      </c>
      <c r="D2" s="740"/>
      <c r="E2" s="741"/>
      <c r="F2" s="739" t="s">
        <v>86</v>
      </c>
      <c r="G2" s="740"/>
      <c r="H2" s="741"/>
      <c r="I2" s="739" t="s">
        <v>87</v>
      </c>
      <c r="J2" s="740"/>
      <c r="K2" s="741"/>
      <c r="L2" s="739" t="s">
        <v>88</v>
      </c>
      <c r="M2" s="740"/>
      <c r="N2" s="741"/>
      <c r="O2" s="739" t="s">
        <v>89</v>
      </c>
      <c r="P2" s="740"/>
      <c r="Q2" s="741"/>
      <c r="R2" s="739" t="s">
        <v>90</v>
      </c>
      <c r="S2" s="740"/>
      <c r="T2" s="741"/>
      <c r="U2" s="739" t="s">
        <v>91</v>
      </c>
      <c r="V2" s="740"/>
      <c r="W2" s="741"/>
      <c r="X2" s="739" t="s">
        <v>92</v>
      </c>
      <c r="Y2" s="740"/>
      <c r="Z2" s="741"/>
      <c r="AA2" s="739" t="s">
        <v>12</v>
      </c>
      <c r="AB2" s="740"/>
      <c r="AC2" s="741"/>
    </row>
    <row r="3" spans="1:29" s="61" customFormat="1" x14ac:dyDescent="0.35">
      <c r="A3" s="737"/>
      <c r="B3" s="738"/>
      <c r="C3" s="53" t="s">
        <v>93</v>
      </c>
      <c r="D3" s="53" t="s">
        <v>94</v>
      </c>
      <c r="E3" s="53" t="s">
        <v>54</v>
      </c>
      <c r="F3" s="53" t="s">
        <v>93</v>
      </c>
      <c r="G3" s="53" t="s">
        <v>94</v>
      </c>
      <c r="H3" s="53" t="s">
        <v>54</v>
      </c>
      <c r="I3" s="53" t="s">
        <v>93</v>
      </c>
      <c r="J3" s="53" t="s">
        <v>94</v>
      </c>
      <c r="K3" s="53" t="s">
        <v>54</v>
      </c>
      <c r="L3" s="53" t="s">
        <v>93</v>
      </c>
      <c r="M3" s="53" t="s">
        <v>94</v>
      </c>
      <c r="N3" s="53" t="s">
        <v>54</v>
      </c>
      <c r="O3" s="53" t="s">
        <v>93</v>
      </c>
      <c r="P3" s="53" t="s">
        <v>94</v>
      </c>
      <c r="Q3" s="53" t="s">
        <v>54</v>
      </c>
      <c r="R3" s="53" t="s">
        <v>93</v>
      </c>
      <c r="S3" s="53" t="s">
        <v>94</v>
      </c>
      <c r="T3" s="53" t="s">
        <v>54</v>
      </c>
      <c r="U3" s="53" t="s">
        <v>93</v>
      </c>
      <c r="V3" s="53" t="s">
        <v>94</v>
      </c>
      <c r="W3" s="53" t="s">
        <v>54</v>
      </c>
      <c r="X3" s="53" t="s">
        <v>93</v>
      </c>
      <c r="Y3" s="53" t="s">
        <v>94</v>
      </c>
      <c r="Z3" s="53" t="s">
        <v>54</v>
      </c>
      <c r="AA3" s="53" t="s">
        <v>93</v>
      </c>
      <c r="AB3" s="53" t="s">
        <v>94</v>
      </c>
      <c r="AC3" s="53" t="s">
        <v>54</v>
      </c>
    </row>
    <row r="4" spans="1:29" s="63" customFormat="1" x14ac:dyDescent="0.35">
      <c r="A4" s="62">
        <v>1</v>
      </c>
      <c r="B4" s="62">
        <v>2</v>
      </c>
      <c r="C4" s="62">
        <v>3</v>
      </c>
      <c r="D4" s="62">
        <v>4</v>
      </c>
      <c r="E4" s="62">
        <v>5</v>
      </c>
      <c r="F4" s="62">
        <v>6</v>
      </c>
      <c r="G4" s="62">
        <v>7</v>
      </c>
      <c r="H4" s="62">
        <v>8</v>
      </c>
      <c r="I4" s="62">
        <v>9</v>
      </c>
      <c r="J4" s="62">
        <v>10</v>
      </c>
      <c r="K4" s="62">
        <v>11</v>
      </c>
      <c r="L4" s="62">
        <v>12</v>
      </c>
      <c r="M4" s="62">
        <v>13</v>
      </c>
      <c r="N4" s="62">
        <v>14</v>
      </c>
      <c r="O4" s="62">
        <v>15</v>
      </c>
      <c r="P4" s="62">
        <v>16</v>
      </c>
      <c r="Q4" s="62">
        <v>17</v>
      </c>
      <c r="R4" s="62">
        <v>18</v>
      </c>
      <c r="S4" s="62">
        <v>19</v>
      </c>
      <c r="T4" s="62">
        <v>20</v>
      </c>
      <c r="U4" s="62">
        <v>21</v>
      </c>
      <c r="V4" s="62">
        <v>22</v>
      </c>
      <c r="W4" s="62">
        <v>23</v>
      </c>
      <c r="X4" s="62">
        <v>24</v>
      </c>
      <c r="Y4" s="62">
        <v>25</v>
      </c>
      <c r="Z4" s="62">
        <v>26</v>
      </c>
      <c r="AA4" s="62">
        <v>27</v>
      </c>
      <c r="AB4" s="62">
        <v>28</v>
      </c>
      <c r="AC4" s="62">
        <v>29</v>
      </c>
    </row>
    <row r="5" spans="1:29" ht="27" customHeight="1" x14ac:dyDescent="0.4">
      <c r="A5" s="56">
        <v>1</v>
      </c>
      <c r="B5" s="64" t="s">
        <v>58</v>
      </c>
      <c r="C5" s="995"/>
      <c r="D5" s="995"/>
      <c r="E5" s="995"/>
      <c r="F5" s="995"/>
      <c r="G5" s="995"/>
      <c r="H5" s="995"/>
      <c r="I5" s="995"/>
      <c r="J5" s="995"/>
      <c r="K5" s="995"/>
      <c r="L5" s="995"/>
      <c r="M5" s="995"/>
      <c r="N5" s="995"/>
      <c r="O5" s="995"/>
      <c r="P5" s="995"/>
      <c r="Q5" s="995"/>
      <c r="R5" s="995"/>
      <c r="S5" s="995"/>
      <c r="T5" s="995"/>
      <c r="U5" s="995"/>
      <c r="V5" s="995"/>
      <c r="W5" s="995"/>
      <c r="X5" s="995"/>
      <c r="Y5" s="995"/>
      <c r="Z5" s="995"/>
      <c r="AA5" s="995"/>
      <c r="AB5" s="995"/>
      <c r="AC5" s="995"/>
    </row>
    <row r="6" spans="1:29" ht="27" customHeight="1" x14ac:dyDescent="0.4">
      <c r="A6" s="56">
        <v>2</v>
      </c>
      <c r="B6" s="65" t="s">
        <v>13</v>
      </c>
      <c r="C6" s="995"/>
      <c r="D6" s="995"/>
      <c r="E6" s="995"/>
      <c r="F6" s="995"/>
      <c r="G6" s="995"/>
      <c r="H6" s="995"/>
      <c r="I6" s="995"/>
      <c r="J6" s="995"/>
      <c r="K6" s="995"/>
      <c r="L6" s="995"/>
      <c r="M6" s="995"/>
      <c r="N6" s="995"/>
      <c r="O6" s="995"/>
      <c r="P6" s="995"/>
      <c r="Q6" s="995"/>
      <c r="R6" s="995"/>
      <c r="S6" s="995"/>
      <c r="T6" s="995"/>
      <c r="U6" s="995"/>
      <c r="V6" s="995"/>
      <c r="W6" s="995"/>
      <c r="X6" s="995"/>
      <c r="Y6" s="995"/>
      <c r="Z6" s="995"/>
      <c r="AA6" s="995"/>
      <c r="AB6" s="995"/>
      <c r="AC6" s="995"/>
    </row>
    <row r="7" spans="1:29" ht="27" customHeight="1" x14ac:dyDescent="0.4">
      <c r="A7" s="56">
        <v>3</v>
      </c>
      <c r="B7" s="65" t="s">
        <v>14</v>
      </c>
      <c r="C7" s="995"/>
      <c r="D7" s="995"/>
      <c r="E7" s="995"/>
      <c r="F7" s="995"/>
      <c r="G7" s="995"/>
      <c r="H7" s="995"/>
      <c r="I7" s="995">
        <v>73</v>
      </c>
      <c r="J7" s="995">
        <v>26</v>
      </c>
      <c r="K7" s="995">
        <v>99</v>
      </c>
      <c r="L7" s="995">
        <v>328</v>
      </c>
      <c r="M7" s="995">
        <v>65</v>
      </c>
      <c r="N7" s="995">
        <v>393</v>
      </c>
      <c r="O7" s="995">
        <v>0</v>
      </c>
      <c r="P7" s="995">
        <v>0</v>
      </c>
      <c r="Q7" s="995">
        <v>0</v>
      </c>
      <c r="R7" s="995">
        <v>0</v>
      </c>
      <c r="S7" s="995">
        <v>0</v>
      </c>
      <c r="T7" s="995">
        <v>0</v>
      </c>
      <c r="U7" s="995">
        <v>0</v>
      </c>
      <c r="V7" s="995">
        <v>0</v>
      </c>
      <c r="W7" s="995">
        <v>0</v>
      </c>
      <c r="X7" s="995"/>
      <c r="Y7" s="995"/>
      <c r="Z7" s="995"/>
      <c r="AA7" s="995">
        <v>401</v>
      </c>
      <c r="AB7" s="995">
        <v>91</v>
      </c>
      <c r="AC7" s="995">
        <v>492</v>
      </c>
    </row>
    <row r="8" spans="1:29" ht="27" customHeight="1" x14ac:dyDescent="0.4">
      <c r="A8" s="56">
        <v>4</v>
      </c>
      <c r="B8" s="65" t="s">
        <v>15</v>
      </c>
      <c r="C8" s="995"/>
      <c r="D8" s="995"/>
      <c r="E8" s="995"/>
      <c r="F8" s="995"/>
      <c r="G8" s="995"/>
      <c r="H8" s="995"/>
      <c r="I8" s="995"/>
      <c r="J8" s="995"/>
      <c r="K8" s="995"/>
      <c r="L8" s="995"/>
      <c r="M8" s="995"/>
      <c r="N8" s="995"/>
      <c r="O8" s="995"/>
      <c r="P8" s="995"/>
      <c r="Q8" s="995"/>
      <c r="R8" s="995"/>
      <c r="S8" s="995"/>
      <c r="T8" s="995"/>
      <c r="U8" s="995"/>
      <c r="V8" s="995"/>
      <c r="W8" s="995"/>
      <c r="X8" s="995"/>
      <c r="Y8" s="995"/>
      <c r="Z8" s="995"/>
      <c r="AA8" s="995"/>
      <c r="AB8" s="995"/>
      <c r="AC8" s="995"/>
    </row>
    <row r="9" spans="1:29" ht="27" customHeight="1" x14ac:dyDescent="0.4">
      <c r="A9" s="56">
        <v>5</v>
      </c>
      <c r="B9" s="64" t="s">
        <v>16</v>
      </c>
      <c r="C9" s="993"/>
      <c r="D9" s="993"/>
      <c r="E9" s="993"/>
      <c r="F9" s="993"/>
      <c r="G9" s="993"/>
      <c r="H9" s="993"/>
      <c r="I9" s="995">
        <v>57</v>
      </c>
      <c r="J9" s="995">
        <v>37</v>
      </c>
      <c r="K9" s="995">
        <v>94</v>
      </c>
      <c r="L9" s="995">
        <v>61</v>
      </c>
      <c r="M9" s="995">
        <v>23</v>
      </c>
      <c r="N9" s="995">
        <v>84</v>
      </c>
      <c r="O9" s="995">
        <v>1</v>
      </c>
      <c r="P9" s="995">
        <v>1</v>
      </c>
      <c r="Q9" s="995">
        <v>2</v>
      </c>
      <c r="R9" s="995">
        <v>0</v>
      </c>
      <c r="S9" s="995">
        <v>0</v>
      </c>
      <c r="T9" s="995">
        <v>0</v>
      </c>
      <c r="U9" s="995">
        <v>0</v>
      </c>
      <c r="V9" s="995">
        <v>0</v>
      </c>
      <c r="W9" s="995">
        <v>0</v>
      </c>
      <c r="X9" s="993"/>
      <c r="Y9" s="993"/>
      <c r="Z9" s="993"/>
      <c r="AA9" s="995">
        <v>119</v>
      </c>
      <c r="AB9" s="995">
        <v>61</v>
      </c>
      <c r="AC9" s="995">
        <v>180</v>
      </c>
    </row>
    <row r="10" spans="1:29" ht="27" customHeight="1" x14ac:dyDescent="0.4">
      <c r="A10" s="56">
        <v>6</v>
      </c>
      <c r="B10" s="65" t="s">
        <v>17</v>
      </c>
      <c r="C10" s="995"/>
      <c r="D10" s="995"/>
      <c r="E10" s="995"/>
      <c r="F10" s="995"/>
      <c r="G10" s="995"/>
      <c r="H10" s="995"/>
      <c r="I10" s="995"/>
      <c r="J10" s="995"/>
      <c r="K10" s="995"/>
      <c r="L10" s="995"/>
      <c r="M10" s="995"/>
      <c r="N10" s="995"/>
      <c r="O10" s="995"/>
      <c r="P10" s="995"/>
      <c r="Q10" s="995"/>
      <c r="R10" s="995"/>
      <c r="S10" s="995"/>
      <c r="T10" s="995"/>
      <c r="U10" s="995"/>
      <c r="V10" s="995"/>
      <c r="W10" s="995"/>
      <c r="X10" s="995"/>
      <c r="Y10" s="995"/>
      <c r="Z10" s="995"/>
      <c r="AA10" s="995"/>
      <c r="AB10" s="995"/>
      <c r="AC10" s="995"/>
    </row>
    <row r="11" spans="1:29" ht="27" customHeight="1" x14ac:dyDescent="0.4">
      <c r="A11" s="56">
        <v>7</v>
      </c>
      <c r="B11" s="65" t="s">
        <v>18</v>
      </c>
      <c r="C11" s="632"/>
      <c r="D11" s="993"/>
      <c r="E11" s="993"/>
      <c r="F11" s="993"/>
      <c r="G11" s="993"/>
      <c r="H11" s="993"/>
      <c r="I11" s="995">
        <v>32995</v>
      </c>
      <c r="J11" s="995">
        <v>42776</v>
      </c>
      <c r="K11" s="995">
        <v>75771</v>
      </c>
      <c r="L11" s="995">
        <v>87817</v>
      </c>
      <c r="M11" s="995">
        <v>79825</v>
      </c>
      <c r="N11" s="995">
        <v>167642</v>
      </c>
      <c r="O11" s="995">
        <v>0</v>
      </c>
      <c r="P11" s="995">
        <v>0</v>
      </c>
      <c r="Q11" s="995">
        <v>0</v>
      </c>
      <c r="R11" s="995">
        <v>2</v>
      </c>
      <c r="S11" s="995">
        <v>1</v>
      </c>
      <c r="T11" s="995">
        <v>3</v>
      </c>
      <c r="U11" s="995">
        <v>0</v>
      </c>
      <c r="V11" s="995">
        <v>0</v>
      </c>
      <c r="W11" s="995">
        <v>0</v>
      </c>
      <c r="X11" s="993"/>
      <c r="Y11" s="993"/>
      <c r="Z11" s="993"/>
      <c r="AA11" s="995">
        <v>120814</v>
      </c>
      <c r="AB11" s="995">
        <v>122602</v>
      </c>
      <c r="AC11" s="995">
        <v>243416</v>
      </c>
    </row>
    <row r="12" spans="1:29" ht="27" customHeight="1" x14ac:dyDescent="0.4">
      <c r="A12" s="56">
        <v>8</v>
      </c>
      <c r="B12" s="65" t="s">
        <v>19</v>
      </c>
      <c r="C12" s="993"/>
      <c r="D12" s="993"/>
      <c r="E12" s="993"/>
      <c r="F12" s="993"/>
      <c r="G12" s="993"/>
      <c r="H12" s="993"/>
      <c r="I12" s="995">
        <v>373</v>
      </c>
      <c r="J12" s="995">
        <v>478</v>
      </c>
      <c r="K12" s="995">
        <v>851</v>
      </c>
      <c r="L12" s="995">
        <v>992</v>
      </c>
      <c r="M12" s="995">
        <v>1773</v>
      </c>
      <c r="N12" s="995">
        <v>2765</v>
      </c>
      <c r="O12" s="995">
        <v>0</v>
      </c>
      <c r="P12" s="995">
        <v>0</v>
      </c>
      <c r="Q12" s="995">
        <v>0</v>
      </c>
      <c r="R12" s="995">
        <v>0</v>
      </c>
      <c r="S12" s="995">
        <v>0</v>
      </c>
      <c r="T12" s="995">
        <v>0</v>
      </c>
      <c r="U12" s="995">
        <v>0</v>
      </c>
      <c r="V12" s="995">
        <v>0</v>
      </c>
      <c r="W12" s="995">
        <v>0</v>
      </c>
      <c r="X12" s="993"/>
      <c r="Y12" s="993"/>
      <c r="Z12" s="993"/>
      <c r="AA12" s="995">
        <v>1365</v>
      </c>
      <c r="AB12" s="995">
        <v>2251</v>
      </c>
      <c r="AC12" s="995">
        <v>3616</v>
      </c>
    </row>
    <row r="13" spans="1:29" ht="27" customHeight="1" x14ac:dyDescent="0.4">
      <c r="A13" s="56">
        <v>9</v>
      </c>
      <c r="B13" s="65" t="s">
        <v>20</v>
      </c>
      <c r="C13" s="995"/>
      <c r="D13" s="995"/>
      <c r="E13" s="995"/>
      <c r="F13" s="995"/>
      <c r="G13" s="995"/>
      <c r="H13" s="995"/>
      <c r="I13" s="995"/>
      <c r="J13" s="995"/>
      <c r="K13" s="995"/>
      <c r="L13" s="995"/>
      <c r="M13" s="995"/>
      <c r="N13" s="995"/>
      <c r="O13" s="995"/>
      <c r="P13" s="995"/>
      <c r="Q13" s="995"/>
      <c r="R13" s="995"/>
      <c r="S13" s="995"/>
      <c r="T13" s="995"/>
      <c r="U13" s="995"/>
      <c r="V13" s="995"/>
      <c r="W13" s="995"/>
      <c r="X13" s="995"/>
      <c r="Y13" s="995"/>
      <c r="Z13" s="995"/>
      <c r="AA13" s="995"/>
      <c r="AB13" s="995"/>
      <c r="AC13" s="995"/>
    </row>
    <row r="14" spans="1:29" ht="27" customHeight="1" x14ac:dyDescent="0.4">
      <c r="A14" s="56">
        <v>10</v>
      </c>
      <c r="B14" s="65" t="s">
        <v>21</v>
      </c>
      <c r="C14" s="993"/>
      <c r="D14" s="993"/>
      <c r="E14" s="993"/>
      <c r="F14" s="993"/>
      <c r="G14" s="993"/>
      <c r="H14" s="993"/>
      <c r="I14" s="995">
        <v>7489</v>
      </c>
      <c r="J14" s="995">
        <v>13814</v>
      </c>
      <c r="K14" s="995">
        <v>21303</v>
      </c>
      <c r="L14" s="995">
        <v>18225</v>
      </c>
      <c r="M14" s="995">
        <v>16714</v>
      </c>
      <c r="N14" s="995">
        <v>34939</v>
      </c>
      <c r="O14" s="995">
        <v>0</v>
      </c>
      <c r="P14" s="995">
        <v>0</v>
      </c>
      <c r="Q14" s="995">
        <v>0</v>
      </c>
      <c r="R14" s="995">
        <v>0</v>
      </c>
      <c r="S14" s="995">
        <v>0</v>
      </c>
      <c r="T14" s="995">
        <v>0</v>
      </c>
      <c r="U14" s="995">
        <v>0</v>
      </c>
      <c r="V14" s="995">
        <v>0</v>
      </c>
      <c r="W14" s="995">
        <v>0</v>
      </c>
      <c r="X14" s="993"/>
      <c r="Y14" s="993"/>
      <c r="Z14" s="993"/>
      <c r="AA14" s="995">
        <v>25714</v>
      </c>
      <c r="AB14" s="995">
        <v>30528</v>
      </c>
      <c r="AC14" s="995">
        <v>56242</v>
      </c>
    </row>
    <row r="15" spans="1:29" ht="27" customHeight="1" x14ac:dyDescent="0.4">
      <c r="A15" s="56">
        <v>11</v>
      </c>
      <c r="B15" s="65" t="s">
        <v>22</v>
      </c>
      <c r="C15" s="993"/>
      <c r="D15" s="993"/>
      <c r="E15" s="993"/>
      <c r="F15" s="993"/>
      <c r="G15" s="993"/>
      <c r="H15" s="993"/>
      <c r="I15" s="995">
        <v>1047</v>
      </c>
      <c r="J15" s="995">
        <v>8723</v>
      </c>
      <c r="K15" s="995">
        <v>9770</v>
      </c>
      <c r="L15" s="995">
        <v>2759</v>
      </c>
      <c r="M15" s="995">
        <v>14531</v>
      </c>
      <c r="N15" s="995">
        <v>17290</v>
      </c>
      <c r="O15" s="995">
        <v>0</v>
      </c>
      <c r="P15" s="995">
        <v>0</v>
      </c>
      <c r="Q15" s="995">
        <v>0</v>
      </c>
      <c r="R15" s="995">
        <v>0</v>
      </c>
      <c r="S15" s="995">
        <v>0</v>
      </c>
      <c r="T15" s="995">
        <v>0</v>
      </c>
      <c r="U15" s="995">
        <v>0</v>
      </c>
      <c r="V15" s="995">
        <v>0</v>
      </c>
      <c r="W15" s="995">
        <v>0</v>
      </c>
      <c r="X15" s="993"/>
      <c r="Y15" s="993"/>
      <c r="Z15" s="993"/>
      <c r="AA15" s="995">
        <v>3806</v>
      </c>
      <c r="AB15" s="995">
        <v>23254</v>
      </c>
      <c r="AC15" s="995">
        <v>27060</v>
      </c>
    </row>
    <row r="16" spans="1:29" ht="27" customHeight="1" x14ac:dyDescent="0.4">
      <c r="A16" s="56">
        <v>12</v>
      </c>
      <c r="B16" s="65" t="s">
        <v>23</v>
      </c>
      <c r="C16" s="995"/>
      <c r="D16" s="995"/>
      <c r="E16" s="995"/>
      <c r="F16" s="995"/>
      <c r="G16" s="995"/>
      <c r="H16" s="995"/>
      <c r="I16" s="995"/>
      <c r="J16" s="995"/>
      <c r="K16" s="995"/>
      <c r="L16" s="995"/>
      <c r="M16" s="995"/>
      <c r="N16" s="995"/>
      <c r="O16" s="995"/>
      <c r="P16" s="995"/>
      <c r="Q16" s="995"/>
      <c r="R16" s="995"/>
      <c r="S16" s="995"/>
      <c r="T16" s="995"/>
      <c r="U16" s="995"/>
      <c r="V16" s="995"/>
      <c r="W16" s="995"/>
      <c r="X16" s="995"/>
      <c r="Y16" s="995"/>
      <c r="Z16" s="995"/>
      <c r="AA16" s="995"/>
      <c r="AB16" s="995"/>
      <c r="AC16" s="995"/>
    </row>
    <row r="17" spans="1:29" ht="27" customHeight="1" x14ac:dyDescent="0.4">
      <c r="A17" s="56">
        <v>13</v>
      </c>
      <c r="B17" s="65" t="s">
        <v>24</v>
      </c>
      <c r="C17" s="995"/>
      <c r="D17" s="995"/>
      <c r="E17" s="995"/>
      <c r="F17" s="995"/>
      <c r="G17" s="995"/>
      <c r="H17" s="995"/>
      <c r="I17" s="995"/>
      <c r="J17" s="995"/>
      <c r="K17" s="995"/>
      <c r="L17" s="995"/>
      <c r="M17" s="995"/>
      <c r="N17" s="995"/>
      <c r="O17" s="995"/>
      <c r="P17" s="995"/>
      <c r="Q17" s="995"/>
      <c r="R17" s="995"/>
      <c r="S17" s="995"/>
      <c r="T17" s="995"/>
      <c r="U17" s="995"/>
      <c r="V17" s="995"/>
      <c r="W17" s="995"/>
      <c r="X17" s="995"/>
      <c r="Y17" s="995"/>
      <c r="Z17" s="995"/>
      <c r="AA17" s="995"/>
      <c r="AB17" s="995"/>
      <c r="AC17" s="995"/>
    </row>
    <row r="18" spans="1:29" ht="27" customHeight="1" x14ac:dyDescent="0.4">
      <c r="A18" s="56">
        <v>14</v>
      </c>
      <c r="B18" s="65" t="s">
        <v>25</v>
      </c>
      <c r="C18" s="995"/>
      <c r="D18" s="995"/>
      <c r="E18" s="995"/>
      <c r="F18" s="995"/>
      <c r="G18" s="995"/>
      <c r="H18" s="995"/>
      <c r="I18" s="995"/>
      <c r="J18" s="995"/>
      <c r="K18" s="995"/>
      <c r="L18" s="995"/>
      <c r="M18" s="995"/>
      <c r="N18" s="995"/>
      <c r="O18" s="995"/>
      <c r="P18" s="995"/>
      <c r="Q18" s="995"/>
      <c r="R18" s="995"/>
      <c r="S18" s="995"/>
      <c r="T18" s="995"/>
      <c r="U18" s="995"/>
      <c r="V18" s="995"/>
      <c r="W18" s="995"/>
      <c r="X18" s="995"/>
      <c r="Y18" s="995"/>
      <c r="Z18" s="995"/>
      <c r="AA18" s="995"/>
      <c r="AB18" s="995"/>
      <c r="AC18" s="995"/>
    </row>
    <row r="19" spans="1:29" ht="27" customHeight="1" x14ac:dyDescent="0.4">
      <c r="A19" s="56">
        <v>15</v>
      </c>
      <c r="B19" s="65" t="s">
        <v>26</v>
      </c>
      <c r="C19" s="995"/>
      <c r="D19" s="995"/>
      <c r="E19" s="995"/>
      <c r="F19" s="995"/>
      <c r="G19" s="995"/>
      <c r="H19" s="995"/>
      <c r="I19" s="995"/>
      <c r="J19" s="995"/>
      <c r="K19" s="995"/>
      <c r="L19" s="995"/>
      <c r="M19" s="995"/>
      <c r="N19" s="995"/>
      <c r="O19" s="995"/>
      <c r="P19" s="995"/>
      <c r="Q19" s="995"/>
      <c r="R19" s="995"/>
      <c r="S19" s="995"/>
      <c r="T19" s="995"/>
      <c r="U19" s="995"/>
      <c r="V19" s="995"/>
      <c r="W19" s="995"/>
      <c r="X19" s="995"/>
      <c r="Y19" s="995"/>
      <c r="Z19" s="995"/>
      <c r="AA19" s="995"/>
      <c r="AB19" s="995"/>
      <c r="AC19" s="995"/>
    </row>
    <row r="20" spans="1:29" ht="27" customHeight="1" x14ac:dyDescent="0.4">
      <c r="A20" s="56">
        <v>16</v>
      </c>
      <c r="B20" s="65" t="s">
        <v>27</v>
      </c>
      <c r="C20" s="993"/>
      <c r="D20" s="993"/>
      <c r="E20" s="993"/>
      <c r="F20" s="993"/>
      <c r="G20" s="993"/>
      <c r="H20" s="993"/>
      <c r="I20" s="995">
        <v>111</v>
      </c>
      <c r="J20" s="995">
        <v>233</v>
      </c>
      <c r="K20" s="995">
        <v>344</v>
      </c>
      <c r="L20" s="995">
        <v>4916</v>
      </c>
      <c r="M20" s="995">
        <v>7579</v>
      </c>
      <c r="N20" s="995">
        <v>12495</v>
      </c>
      <c r="O20" s="995">
        <v>0</v>
      </c>
      <c r="P20" s="995">
        <v>0</v>
      </c>
      <c r="Q20" s="995">
        <v>0</v>
      </c>
      <c r="R20" s="995">
        <v>0</v>
      </c>
      <c r="S20" s="995">
        <v>0</v>
      </c>
      <c r="T20" s="995">
        <v>0</v>
      </c>
      <c r="U20" s="995">
        <v>119</v>
      </c>
      <c r="V20" s="995">
        <v>373</v>
      </c>
      <c r="W20" s="995">
        <v>492</v>
      </c>
      <c r="X20" s="993"/>
      <c r="Y20" s="993"/>
      <c r="Z20" s="993"/>
      <c r="AA20" s="995">
        <v>5146</v>
      </c>
      <c r="AB20" s="995">
        <v>8185</v>
      </c>
      <c r="AC20" s="995">
        <v>13331</v>
      </c>
    </row>
    <row r="21" spans="1:29" ht="27" customHeight="1" x14ac:dyDescent="0.4">
      <c r="A21" s="56">
        <v>17</v>
      </c>
      <c r="B21" s="65" t="s">
        <v>28</v>
      </c>
      <c r="C21" s="993"/>
      <c r="D21" s="993"/>
      <c r="E21" s="993"/>
      <c r="F21" s="993"/>
      <c r="G21" s="993"/>
      <c r="H21" s="993"/>
      <c r="I21" s="995"/>
      <c r="J21" s="995"/>
      <c r="K21" s="995"/>
      <c r="L21" s="995"/>
      <c r="M21" s="995"/>
      <c r="N21" s="995"/>
      <c r="O21" s="995"/>
      <c r="P21" s="995"/>
      <c r="Q21" s="995"/>
      <c r="R21" s="995"/>
      <c r="S21" s="995"/>
      <c r="T21" s="995"/>
      <c r="U21" s="995"/>
      <c r="V21" s="995"/>
      <c r="W21" s="995"/>
      <c r="X21" s="993"/>
      <c r="Y21" s="993"/>
      <c r="Z21" s="993"/>
      <c r="AA21" s="995"/>
      <c r="AB21" s="995"/>
      <c r="AC21" s="995"/>
    </row>
    <row r="22" spans="1:29" ht="27" customHeight="1" x14ac:dyDescent="0.4">
      <c r="A22" s="56">
        <v>18</v>
      </c>
      <c r="B22" s="65" t="s">
        <v>72</v>
      </c>
      <c r="C22" s="995"/>
      <c r="D22" s="995"/>
      <c r="E22" s="995"/>
      <c r="F22" s="995"/>
      <c r="G22" s="995"/>
      <c r="H22" s="995"/>
      <c r="I22" s="995"/>
      <c r="J22" s="995"/>
      <c r="K22" s="995"/>
      <c r="L22" s="995"/>
      <c r="M22" s="995"/>
      <c r="N22" s="995"/>
      <c r="O22" s="995"/>
      <c r="P22" s="995"/>
      <c r="Q22" s="995"/>
      <c r="R22" s="995"/>
      <c r="S22" s="995"/>
      <c r="T22" s="995"/>
      <c r="U22" s="995"/>
      <c r="V22" s="995"/>
      <c r="W22" s="995"/>
      <c r="X22" s="995"/>
      <c r="Y22" s="995"/>
      <c r="Z22" s="995"/>
      <c r="AA22" s="995"/>
      <c r="AB22" s="995"/>
      <c r="AC22" s="995"/>
    </row>
    <row r="23" spans="1:29" ht="27" customHeight="1" x14ac:dyDescent="0.4">
      <c r="A23" s="56">
        <v>19</v>
      </c>
      <c r="B23" s="65" t="s">
        <v>29</v>
      </c>
      <c r="C23" s="993"/>
      <c r="D23" s="993"/>
      <c r="E23" s="993"/>
      <c r="F23" s="993"/>
      <c r="G23" s="993"/>
      <c r="H23" s="993"/>
      <c r="I23" s="995">
        <v>22470</v>
      </c>
      <c r="J23" s="995">
        <v>28018</v>
      </c>
      <c r="K23" s="995">
        <v>50488</v>
      </c>
      <c r="L23" s="995">
        <v>60216</v>
      </c>
      <c r="M23" s="995">
        <v>45869</v>
      </c>
      <c r="N23" s="995">
        <v>106085</v>
      </c>
      <c r="O23" s="995">
        <v>0</v>
      </c>
      <c r="P23" s="995">
        <v>0</v>
      </c>
      <c r="Q23" s="995">
        <v>0</v>
      </c>
      <c r="R23" s="995">
        <v>0</v>
      </c>
      <c r="S23" s="995">
        <v>0</v>
      </c>
      <c r="T23" s="995">
        <v>0</v>
      </c>
      <c r="U23" s="995">
        <v>0</v>
      </c>
      <c r="V23" s="995">
        <v>0</v>
      </c>
      <c r="W23" s="995">
        <v>0</v>
      </c>
      <c r="X23" s="993"/>
      <c r="Y23" s="993"/>
      <c r="Z23" s="993"/>
      <c r="AA23" s="995">
        <v>82686</v>
      </c>
      <c r="AB23" s="995">
        <v>73887</v>
      </c>
      <c r="AC23" s="995">
        <v>156573</v>
      </c>
    </row>
    <row r="24" spans="1:29" ht="27" customHeight="1" x14ac:dyDescent="0.4">
      <c r="A24" s="56">
        <v>20</v>
      </c>
      <c r="B24" s="65" t="s">
        <v>30</v>
      </c>
      <c r="C24" s="993"/>
      <c r="D24" s="993"/>
      <c r="E24" s="993"/>
      <c r="F24" s="993"/>
      <c r="G24" s="993"/>
      <c r="H24" s="993"/>
      <c r="I24" s="995">
        <v>3334</v>
      </c>
      <c r="J24" s="995">
        <v>2222</v>
      </c>
      <c r="K24" s="995">
        <v>5556</v>
      </c>
      <c r="L24" s="995">
        <v>0</v>
      </c>
      <c r="M24" s="995">
        <v>0</v>
      </c>
      <c r="N24" s="995">
        <v>0</v>
      </c>
      <c r="O24" s="995">
        <v>0</v>
      </c>
      <c r="P24" s="995">
        <v>0</v>
      </c>
      <c r="Q24" s="995">
        <v>0</v>
      </c>
      <c r="R24" s="995">
        <v>0</v>
      </c>
      <c r="S24" s="995">
        <v>0</v>
      </c>
      <c r="T24" s="995">
        <v>0</v>
      </c>
      <c r="U24" s="995">
        <v>0</v>
      </c>
      <c r="V24" s="995">
        <v>0</v>
      </c>
      <c r="W24" s="995">
        <v>0</v>
      </c>
      <c r="X24" s="993"/>
      <c r="Y24" s="993"/>
      <c r="Z24" s="993"/>
      <c r="AA24" s="995">
        <v>3334</v>
      </c>
      <c r="AB24" s="995">
        <v>2222</v>
      </c>
      <c r="AC24" s="995">
        <v>5556</v>
      </c>
    </row>
    <row r="25" spans="1:29" ht="27" customHeight="1" x14ac:dyDescent="0.4">
      <c r="A25" s="56">
        <v>21</v>
      </c>
      <c r="B25" s="65" t="s">
        <v>31</v>
      </c>
      <c r="C25" s="995"/>
      <c r="D25" s="995"/>
      <c r="E25" s="995"/>
      <c r="F25" s="995"/>
      <c r="G25" s="995"/>
      <c r="H25" s="995"/>
      <c r="I25" s="995"/>
      <c r="J25" s="995"/>
      <c r="K25" s="995"/>
      <c r="L25" s="995"/>
      <c r="M25" s="995"/>
      <c r="N25" s="995"/>
      <c r="O25" s="995"/>
      <c r="P25" s="995"/>
      <c r="Q25" s="995"/>
      <c r="R25" s="995"/>
      <c r="S25" s="995"/>
      <c r="T25" s="995"/>
      <c r="U25" s="995"/>
      <c r="V25" s="995"/>
      <c r="W25" s="995"/>
      <c r="X25" s="995"/>
      <c r="Y25" s="995"/>
      <c r="Z25" s="995"/>
      <c r="AA25" s="995"/>
      <c r="AB25" s="995"/>
      <c r="AC25" s="995"/>
    </row>
    <row r="26" spans="1:29" ht="27" customHeight="1" x14ac:dyDescent="0.4">
      <c r="A26" s="56">
        <v>22</v>
      </c>
      <c r="B26" s="65" t="s">
        <v>32</v>
      </c>
      <c r="C26" s="995"/>
      <c r="D26" s="995"/>
      <c r="E26" s="995"/>
      <c r="F26" s="995"/>
      <c r="G26" s="995"/>
      <c r="H26" s="995"/>
      <c r="I26" s="995"/>
      <c r="J26" s="995"/>
      <c r="K26" s="995"/>
      <c r="L26" s="995"/>
      <c r="M26" s="995"/>
      <c r="N26" s="995"/>
      <c r="O26" s="995"/>
      <c r="P26" s="995"/>
      <c r="Q26" s="995"/>
      <c r="R26" s="995"/>
      <c r="S26" s="995"/>
      <c r="T26" s="995"/>
      <c r="U26" s="995"/>
      <c r="V26" s="995"/>
      <c r="W26" s="995"/>
      <c r="X26" s="995"/>
      <c r="Y26" s="995"/>
      <c r="Z26" s="995"/>
      <c r="AA26" s="995"/>
      <c r="AB26" s="995"/>
      <c r="AC26" s="995"/>
    </row>
    <row r="27" spans="1:29" ht="27" customHeight="1" x14ac:dyDescent="0.4">
      <c r="A27" s="56">
        <v>23</v>
      </c>
      <c r="B27" s="65" t="s">
        <v>33</v>
      </c>
      <c r="C27" s="995"/>
      <c r="D27" s="995"/>
      <c r="E27" s="995"/>
      <c r="F27" s="995"/>
      <c r="G27" s="995"/>
      <c r="H27" s="995"/>
      <c r="I27" s="995"/>
      <c r="J27" s="995"/>
      <c r="K27" s="995"/>
      <c r="L27" s="995"/>
      <c r="M27" s="995"/>
      <c r="N27" s="995"/>
      <c r="O27" s="995"/>
      <c r="P27" s="995"/>
      <c r="Q27" s="995"/>
      <c r="R27" s="995"/>
      <c r="S27" s="995"/>
      <c r="T27" s="995"/>
      <c r="U27" s="995"/>
      <c r="V27" s="995"/>
      <c r="W27" s="995"/>
      <c r="X27" s="995"/>
      <c r="Y27" s="995"/>
      <c r="Z27" s="995"/>
      <c r="AA27" s="995"/>
      <c r="AB27" s="995"/>
      <c r="AC27" s="995"/>
    </row>
    <row r="28" spans="1:29" ht="27" customHeight="1" x14ac:dyDescent="0.4">
      <c r="A28" s="56">
        <v>24</v>
      </c>
      <c r="B28" s="65" t="s">
        <v>34</v>
      </c>
      <c r="C28" s="995"/>
      <c r="D28" s="995"/>
      <c r="E28" s="995"/>
      <c r="F28" s="995"/>
      <c r="G28" s="995"/>
      <c r="H28" s="995"/>
      <c r="I28" s="995">
        <v>72</v>
      </c>
      <c r="J28" s="995">
        <v>89</v>
      </c>
      <c r="K28" s="995">
        <v>161</v>
      </c>
      <c r="L28" s="995">
        <v>73</v>
      </c>
      <c r="M28" s="995">
        <v>42</v>
      </c>
      <c r="N28" s="995">
        <v>115</v>
      </c>
      <c r="O28" s="995">
        <v>0</v>
      </c>
      <c r="P28" s="995">
        <v>0</v>
      </c>
      <c r="Q28" s="995">
        <v>0</v>
      </c>
      <c r="R28" s="995">
        <v>0</v>
      </c>
      <c r="S28" s="995">
        <v>0</v>
      </c>
      <c r="T28" s="995">
        <v>0</v>
      </c>
      <c r="U28" s="995">
        <v>0</v>
      </c>
      <c r="V28" s="995">
        <v>0</v>
      </c>
      <c r="W28" s="995">
        <v>0</v>
      </c>
      <c r="X28" s="995"/>
      <c r="Y28" s="995"/>
      <c r="Z28" s="995"/>
      <c r="AA28" s="995">
        <v>145</v>
      </c>
      <c r="AB28" s="995">
        <v>131</v>
      </c>
      <c r="AC28" s="995">
        <v>276</v>
      </c>
    </row>
    <row r="29" spans="1:29" ht="27" customHeight="1" x14ac:dyDescent="0.4">
      <c r="A29" s="56">
        <v>25</v>
      </c>
      <c r="B29" s="65" t="s">
        <v>35</v>
      </c>
      <c r="C29" s="995"/>
      <c r="D29" s="995"/>
      <c r="E29" s="995"/>
      <c r="F29" s="995"/>
      <c r="G29" s="995"/>
      <c r="H29" s="995"/>
      <c r="I29" s="995"/>
      <c r="J29" s="995"/>
      <c r="K29" s="995"/>
      <c r="L29" s="995"/>
      <c r="M29" s="995"/>
      <c r="N29" s="995"/>
      <c r="O29" s="995"/>
      <c r="P29" s="995"/>
      <c r="Q29" s="995"/>
      <c r="R29" s="995"/>
      <c r="S29" s="995"/>
      <c r="T29" s="995"/>
      <c r="U29" s="995"/>
      <c r="V29" s="995"/>
      <c r="W29" s="995"/>
      <c r="X29" s="995"/>
      <c r="Y29" s="995"/>
      <c r="Z29" s="995"/>
      <c r="AA29" s="995"/>
      <c r="AB29" s="995"/>
      <c r="AC29" s="995"/>
    </row>
    <row r="30" spans="1:29" ht="27" customHeight="1" x14ac:dyDescent="0.4">
      <c r="A30" s="56">
        <v>26</v>
      </c>
      <c r="B30" s="65" t="s">
        <v>36</v>
      </c>
      <c r="C30" s="995"/>
      <c r="D30" s="995"/>
      <c r="E30" s="995"/>
      <c r="F30" s="995"/>
      <c r="G30" s="995"/>
      <c r="H30" s="995"/>
      <c r="I30" s="995"/>
      <c r="J30" s="995"/>
      <c r="K30" s="995"/>
      <c r="L30" s="995"/>
      <c r="M30" s="995"/>
      <c r="N30" s="995"/>
      <c r="O30" s="995"/>
      <c r="P30" s="995"/>
      <c r="Q30" s="995"/>
      <c r="R30" s="995"/>
      <c r="S30" s="995"/>
      <c r="T30" s="995"/>
      <c r="U30" s="995"/>
      <c r="V30" s="995"/>
      <c r="W30" s="995"/>
      <c r="X30" s="995"/>
      <c r="Y30" s="995"/>
      <c r="Z30" s="995"/>
      <c r="AA30" s="995"/>
      <c r="AB30" s="995"/>
      <c r="AC30" s="995"/>
    </row>
    <row r="31" spans="1:29" ht="27" customHeight="1" x14ac:dyDescent="0.4">
      <c r="A31" s="56">
        <v>27</v>
      </c>
      <c r="B31" s="65" t="s">
        <v>37</v>
      </c>
      <c r="C31" s="993"/>
      <c r="D31" s="993"/>
      <c r="E31" s="993"/>
      <c r="F31" s="993"/>
      <c r="G31" s="993"/>
      <c r="H31" s="993"/>
      <c r="I31" s="995">
        <v>141</v>
      </c>
      <c r="J31" s="995">
        <v>1882</v>
      </c>
      <c r="K31" s="995">
        <v>2023</v>
      </c>
      <c r="L31" s="995">
        <v>330</v>
      </c>
      <c r="M31" s="995">
        <v>4294</v>
      </c>
      <c r="N31" s="995">
        <v>4624</v>
      </c>
      <c r="O31" s="995">
        <v>0</v>
      </c>
      <c r="P31" s="995">
        <v>0</v>
      </c>
      <c r="Q31" s="995">
        <v>0</v>
      </c>
      <c r="R31" s="995">
        <v>0</v>
      </c>
      <c r="S31" s="995">
        <v>0</v>
      </c>
      <c r="T31" s="995">
        <v>0</v>
      </c>
      <c r="U31" s="995">
        <v>0</v>
      </c>
      <c r="V31" s="995">
        <v>0</v>
      </c>
      <c r="W31" s="995">
        <v>0</v>
      </c>
      <c r="X31" s="993"/>
      <c r="Y31" s="993"/>
      <c r="Z31" s="993"/>
      <c r="AA31" s="995">
        <v>471</v>
      </c>
      <c r="AB31" s="995">
        <v>6176</v>
      </c>
      <c r="AC31" s="995">
        <v>6647</v>
      </c>
    </row>
    <row r="32" spans="1:29" ht="27" customHeight="1" x14ac:dyDescent="0.4">
      <c r="A32" s="56">
        <v>28</v>
      </c>
      <c r="B32" s="65" t="s">
        <v>38</v>
      </c>
      <c r="C32" s="993"/>
      <c r="D32" s="993"/>
      <c r="E32" s="993"/>
      <c r="F32" s="993"/>
      <c r="G32" s="993"/>
      <c r="H32" s="993"/>
      <c r="I32" s="995">
        <v>18419</v>
      </c>
      <c r="J32" s="995">
        <v>25414</v>
      </c>
      <c r="K32" s="995">
        <v>43833</v>
      </c>
      <c r="L32" s="995">
        <v>77198</v>
      </c>
      <c r="M32" s="995">
        <v>56580</v>
      </c>
      <c r="N32" s="995">
        <v>133778</v>
      </c>
      <c r="O32" s="995">
        <v>0</v>
      </c>
      <c r="P32" s="995">
        <v>0</v>
      </c>
      <c r="Q32" s="995">
        <v>0</v>
      </c>
      <c r="R32" s="995">
        <v>0</v>
      </c>
      <c r="S32" s="995">
        <v>0</v>
      </c>
      <c r="T32" s="995">
        <v>0</v>
      </c>
      <c r="U32" s="995">
        <v>0</v>
      </c>
      <c r="V32" s="995">
        <v>0</v>
      </c>
      <c r="W32" s="995">
        <v>0</v>
      </c>
      <c r="X32" s="993"/>
      <c r="Y32" s="993"/>
      <c r="Z32" s="993"/>
      <c r="AA32" s="995">
        <v>95617</v>
      </c>
      <c r="AB32" s="995">
        <v>81994</v>
      </c>
      <c r="AC32" s="995">
        <v>177611</v>
      </c>
    </row>
    <row r="33" spans="1:29" ht="27" customHeight="1" x14ac:dyDescent="0.4">
      <c r="A33" s="56">
        <v>29</v>
      </c>
      <c r="B33" s="65" t="s">
        <v>39</v>
      </c>
      <c r="C33" s="993"/>
      <c r="D33" s="993"/>
      <c r="E33" s="993"/>
      <c r="F33" s="993"/>
      <c r="G33" s="993"/>
      <c r="H33" s="993"/>
      <c r="I33" s="995"/>
      <c r="J33" s="995"/>
      <c r="K33" s="995"/>
      <c r="L33" s="995"/>
      <c r="M33" s="995"/>
      <c r="N33" s="995"/>
      <c r="O33" s="995"/>
      <c r="P33" s="995"/>
      <c r="Q33" s="995"/>
      <c r="R33" s="995"/>
      <c r="S33" s="995"/>
      <c r="T33" s="995"/>
      <c r="U33" s="995"/>
      <c r="V33" s="995"/>
      <c r="W33" s="995"/>
      <c r="X33" s="993"/>
      <c r="Y33" s="993"/>
      <c r="Z33" s="993"/>
      <c r="AA33" s="995"/>
      <c r="AB33" s="995"/>
      <c r="AC33" s="995"/>
    </row>
    <row r="34" spans="1:29" ht="27" customHeight="1" x14ac:dyDescent="0.4">
      <c r="A34" s="56">
        <v>30</v>
      </c>
      <c r="B34" s="65" t="s">
        <v>40</v>
      </c>
      <c r="C34" s="995"/>
      <c r="D34" s="995"/>
      <c r="E34" s="995"/>
      <c r="F34" s="995"/>
      <c r="G34" s="995"/>
      <c r="H34" s="995"/>
      <c r="I34" s="995"/>
      <c r="J34" s="995"/>
      <c r="K34" s="995"/>
      <c r="L34" s="995"/>
      <c r="M34" s="995"/>
      <c r="N34" s="995"/>
      <c r="O34" s="995"/>
      <c r="P34" s="995"/>
      <c r="Q34" s="995"/>
      <c r="R34" s="995"/>
      <c r="S34" s="995"/>
      <c r="T34" s="995"/>
      <c r="U34" s="995"/>
      <c r="V34" s="995"/>
      <c r="W34" s="995"/>
      <c r="X34" s="995"/>
      <c r="Y34" s="995"/>
      <c r="Z34" s="995"/>
      <c r="AA34" s="995"/>
      <c r="AB34" s="995"/>
      <c r="AC34" s="995"/>
    </row>
    <row r="35" spans="1:29" ht="27" customHeight="1" x14ac:dyDescent="0.4">
      <c r="A35" s="56">
        <v>31</v>
      </c>
      <c r="B35" s="65" t="s">
        <v>41</v>
      </c>
      <c r="C35" s="995"/>
      <c r="D35" s="995"/>
      <c r="E35" s="995"/>
      <c r="F35" s="995"/>
      <c r="G35" s="995"/>
      <c r="H35" s="995"/>
      <c r="I35" s="995"/>
      <c r="J35" s="995"/>
      <c r="K35" s="995"/>
      <c r="L35" s="995"/>
      <c r="M35" s="995"/>
      <c r="N35" s="995"/>
      <c r="O35" s="995"/>
      <c r="P35" s="995"/>
      <c r="Q35" s="995"/>
      <c r="R35" s="995"/>
      <c r="S35" s="995"/>
      <c r="T35" s="995"/>
      <c r="U35" s="995"/>
      <c r="V35" s="995"/>
      <c r="W35" s="995"/>
      <c r="X35" s="995"/>
      <c r="Y35" s="995"/>
      <c r="Z35" s="995"/>
      <c r="AA35" s="995"/>
      <c r="AB35" s="995"/>
      <c r="AC35" s="995"/>
    </row>
    <row r="36" spans="1:29" ht="33.75" customHeight="1" x14ac:dyDescent="0.4">
      <c r="A36" s="56">
        <v>32</v>
      </c>
      <c r="B36" s="64" t="s">
        <v>60</v>
      </c>
      <c r="C36" s="995"/>
      <c r="D36" s="995"/>
      <c r="E36" s="995"/>
      <c r="F36" s="995"/>
      <c r="G36" s="995"/>
      <c r="H36" s="995"/>
      <c r="I36" s="995"/>
      <c r="J36" s="995"/>
      <c r="K36" s="995"/>
      <c r="L36" s="995"/>
      <c r="M36" s="995"/>
      <c r="N36" s="995"/>
      <c r="O36" s="995"/>
      <c r="P36" s="995"/>
      <c r="Q36" s="995"/>
      <c r="R36" s="995"/>
      <c r="S36" s="995"/>
      <c r="T36" s="995"/>
      <c r="U36" s="995"/>
      <c r="V36" s="995"/>
      <c r="W36" s="995"/>
      <c r="X36" s="995"/>
      <c r="Y36" s="995"/>
      <c r="Z36" s="995"/>
      <c r="AA36" s="995"/>
      <c r="AB36" s="995"/>
      <c r="AC36" s="995"/>
    </row>
    <row r="37" spans="1:29" ht="27" customHeight="1" x14ac:dyDescent="0.4">
      <c r="A37" s="56">
        <v>33</v>
      </c>
      <c r="B37" s="65" t="s">
        <v>42</v>
      </c>
      <c r="C37" s="995"/>
      <c r="D37" s="995"/>
      <c r="E37" s="995"/>
      <c r="F37" s="995"/>
      <c r="G37" s="995"/>
      <c r="H37" s="995"/>
      <c r="I37" s="995"/>
      <c r="J37" s="995"/>
      <c r="K37" s="995"/>
      <c r="L37" s="995"/>
      <c r="M37" s="995"/>
      <c r="N37" s="995"/>
      <c r="O37" s="995"/>
      <c r="P37" s="995"/>
      <c r="Q37" s="995"/>
      <c r="R37" s="995"/>
      <c r="S37" s="995"/>
      <c r="T37" s="995"/>
      <c r="U37" s="995"/>
      <c r="V37" s="995"/>
      <c r="W37" s="995"/>
      <c r="X37" s="995"/>
      <c r="Y37" s="995"/>
      <c r="Z37" s="995"/>
      <c r="AA37" s="995"/>
      <c r="AB37" s="995"/>
      <c r="AC37" s="995"/>
    </row>
    <row r="38" spans="1:29" ht="27" customHeight="1" x14ac:dyDescent="0.4">
      <c r="A38" s="56">
        <v>34</v>
      </c>
      <c r="B38" s="65" t="s">
        <v>43</v>
      </c>
      <c r="C38" s="993"/>
      <c r="D38" s="993"/>
      <c r="E38" s="993"/>
      <c r="F38" s="993"/>
      <c r="G38" s="993"/>
      <c r="H38" s="993"/>
      <c r="I38" s="995">
        <v>19195</v>
      </c>
      <c r="J38" s="995">
        <v>17422</v>
      </c>
      <c r="K38" s="995">
        <v>36617</v>
      </c>
      <c r="L38" s="995">
        <v>33813</v>
      </c>
      <c r="M38" s="995">
        <v>14730</v>
      </c>
      <c r="N38" s="995">
        <v>48543</v>
      </c>
      <c r="O38" s="995">
        <v>0</v>
      </c>
      <c r="P38" s="995">
        <v>0</v>
      </c>
      <c r="Q38" s="995">
        <v>0</v>
      </c>
      <c r="R38" s="995">
        <v>0</v>
      </c>
      <c r="S38" s="995">
        <v>0</v>
      </c>
      <c r="T38" s="995">
        <v>0</v>
      </c>
      <c r="U38" s="995">
        <v>0</v>
      </c>
      <c r="V38" s="995">
        <v>0</v>
      </c>
      <c r="W38" s="995">
        <v>0</v>
      </c>
      <c r="X38" s="993"/>
      <c r="Y38" s="993"/>
      <c r="Z38" s="993"/>
      <c r="AA38" s="995">
        <v>53008</v>
      </c>
      <c r="AB38" s="995">
        <v>32152</v>
      </c>
      <c r="AC38" s="995">
        <v>85160</v>
      </c>
    </row>
    <row r="39" spans="1:29" ht="27" customHeight="1" x14ac:dyDescent="0.4">
      <c r="A39" s="56">
        <v>35</v>
      </c>
      <c r="B39" s="65" t="s">
        <v>44</v>
      </c>
      <c r="C39" s="995"/>
      <c r="D39" s="995"/>
      <c r="E39" s="995"/>
      <c r="F39" s="995"/>
      <c r="G39" s="995"/>
      <c r="H39" s="995"/>
      <c r="I39" s="995"/>
      <c r="J39" s="995"/>
      <c r="K39" s="995"/>
      <c r="L39" s="995"/>
      <c r="M39" s="995"/>
      <c r="N39" s="995"/>
      <c r="O39" s="995"/>
      <c r="P39" s="995"/>
      <c r="Q39" s="995"/>
      <c r="R39" s="995"/>
      <c r="S39" s="995"/>
      <c r="T39" s="995"/>
      <c r="U39" s="995"/>
      <c r="V39" s="995"/>
      <c r="W39" s="995"/>
      <c r="X39" s="995"/>
      <c r="Y39" s="995"/>
      <c r="Z39" s="995"/>
      <c r="AA39" s="995"/>
      <c r="AB39" s="995"/>
      <c r="AC39" s="995"/>
    </row>
    <row r="40" spans="1:29" ht="27" customHeight="1" x14ac:dyDescent="0.4">
      <c r="A40" s="56">
        <v>36</v>
      </c>
      <c r="B40" s="65" t="s">
        <v>45</v>
      </c>
      <c r="C40" s="995"/>
      <c r="D40" s="995"/>
      <c r="E40" s="995"/>
      <c r="F40" s="995"/>
      <c r="G40" s="995"/>
      <c r="H40" s="995"/>
      <c r="I40" s="995"/>
      <c r="J40" s="995"/>
      <c r="K40" s="995"/>
      <c r="L40" s="995"/>
      <c r="M40" s="995"/>
      <c r="N40" s="995"/>
      <c r="O40" s="995"/>
      <c r="P40" s="995"/>
      <c r="Q40" s="995"/>
      <c r="R40" s="995"/>
      <c r="S40" s="995"/>
      <c r="T40" s="995"/>
      <c r="U40" s="995"/>
      <c r="V40" s="995"/>
      <c r="W40" s="995"/>
      <c r="X40" s="995"/>
      <c r="Y40" s="995"/>
      <c r="Z40" s="995"/>
      <c r="AA40" s="995"/>
      <c r="AB40" s="995"/>
      <c r="AC40" s="995"/>
    </row>
    <row r="41" spans="1:29" ht="27" customHeight="1" x14ac:dyDescent="0.4">
      <c r="A41" s="734" t="s">
        <v>46</v>
      </c>
      <c r="B41" s="734"/>
      <c r="C41" s="996">
        <v>0</v>
      </c>
      <c r="D41" s="996">
        <v>0</v>
      </c>
      <c r="E41" s="996">
        <v>0</v>
      </c>
      <c r="F41" s="996">
        <v>0</v>
      </c>
      <c r="G41" s="996">
        <v>0</v>
      </c>
      <c r="H41" s="996">
        <v>0</v>
      </c>
      <c r="I41" s="996">
        <v>105776</v>
      </c>
      <c r="J41" s="996">
        <v>141134</v>
      </c>
      <c r="K41" s="996">
        <v>246910</v>
      </c>
      <c r="L41" s="996">
        <v>286728</v>
      </c>
      <c r="M41" s="996">
        <v>242025</v>
      </c>
      <c r="N41" s="996">
        <v>528753</v>
      </c>
      <c r="O41" s="996">
        <v>1</v>
      </c>
      <c r="P41" s="996">
        <v>1</v>
      </c>
      <c r="Q41" s="996">
        <v>2</v>
      </c>
      <c r="R41" s="996">
        <v>2</v>
      </c>
      <c r="S41" s="996">
        <v>1</v>
      </c>
      <c r="T41" s="996">
        <v>3</v>
      </c>
      <c r="U41" s="996">
        <v>119</v>
      </c>
      <c r="V41" s="996">
        <v>373</v>
      </c>
      <c r="W41" s="996">
        <v>492</v>
      </c>
      <c r="X41" s="996">
        <v>0</v>
      </c>
      <c r="Y41" s="996">
        <v>0</v>
      </c>
      <c r="Z41" s="996">
        <v>0</v>
      </c>
      <c r="AA41" s="996">
        <v>392626</v>
      </c>
      <c r="AB41" s="996">
        <v>383534</v>
      </c>
      <c r="AC41" s="996">
        <v>776160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9055118110236227" right="0.35433070866141736" top="0.39370078740157483" bottom="0.39370078740157483" header="0.31496062992125984" footer="0.19685039370078741"/>
  <pageSetup paperSize="9" scale="70" firstPageNumber="15" orientation="portrait" r:id="rId1"/>
  <headerFooter>
    <oddFooter>&amp;L&amp;"Arial,Italic"&amp;9AISHE 2022-23&amp;RT-6c</oddFooter>
  </headerFooter>
  <colBreaks count="2" manualBreakCount="2">
    <brk id="11" max="40" man="1"/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18C-B9C2-436B-96F4-C1EE0B0DA797}">
  <sheetPr codeName="Sheet11">
    <tabColor rgb="FF92D050"/>
  </sheetPr>
  <dimension ref="A1:AC41"/>
  <sheetViews>
    <sheetView view="pageBreakPreview" zoomScale="85" zoomScaleSheetLayoutView="70" workbookViewId="0">
      <pane xSplit="2" ySplit="3" topLeftCell="C11" activePane="bottomRight" state="frozen"/>
      <selection activeCell="S20" sqref="S20"/>
      <selection pane="topRight" activeCell="S20" sqref="S20"/>
      <selection pane="bottomLeft" activeCell="S20" sqref="S20"/>
      <selection pane="bottomRight" activeCell="H36" sqref="H36"/>
    </sheetView>
  </sheetViews>
  <sheetFormatPr defaultColWidth="9.26953125" defaultRowHeight="18" x14ac:dyDescent="0.4"/>
  <cols>
    <col min="1" max="1" width="5.26953125" style="58" customWidth="1"/>
    <col min="2" max="2" width="24.453125" style="58" customWidth="1"/>
    <col min="3" max="3" width="6.6328125" style="58" bestFit="1" customWidth="1"/>
    <col min="4" max="4" width="9" style="58" bestFit="1" customWidth="1"/>
    <col min="5" max="5" width="6.7265625" style="58" bestFit="1" customWidth="1"/>
    <col min="6" max="6" width="6.6328125" style="58" bestFit="1" customWidth="1"/>
    <col min="7" max="7" width="9" style="58" bestFit="1" customWidth="1"/>
    <col min="8" max="8" width="6.7265625" style="58" customWidth="1"/>
    <col min="9" max="10" width="9.26953125" style="58" customWidth="1"/>
    <col min="11" max="14" width="9.26953125" style="58" bestFit="1" customWidth="1"/>
    <col min="15" max="15" width="8" style="58" bestFit="1" customWidth="1"/>
    <col min="16" max="16" width="9" style="58" bestFit="1" customWidth="1"/>
    <col min="17" max="18" width="8" style="58" bestFit="1" customWidth="1"/>
    <col min="19" max="19" width="9" style="58" bestFit="1" customWidth="1"/>
    <col min="20" max="20" width="8" style="58" bestFit="1" customWidth="1"/>
    <col min="21" max="21" width="9.26953125" style="58" bestFit="1" customWidth="1"/>
    <col min="22" max="22" width="9" style="58" bestFit="1" customWidth="1"/>
    <col min="23" max="23" width="9.26953125" style="58" bestFit="1" customWidth="1"/>
    <col min="24" max="24" width="6.6328125" style="58" bestFit="1" customWidth="1"/>
    <col min="25" max="25" width="9" style="58" bestFit="1" customWidth="1"/>
    <col min="26" max="26" width="6.7265625" style="58" bestFit="1" customWidth="1"/>
    <col min="27" max="28" width="9.26953125" style="58" bestFit="1" customWidth="1"/>
    <col min="29" max="29" width="11.1796875" style="58" bestFit="1" customWidth="1"/>
    <col min="30" max="16384" width="9.26953125" style="58"/>
  </cols>
  <sheetData>
    <row r="1" spans="1:29" ht="40.5" customHeight="1" x14ac:dyDescent="0.4">
      <c r="B1" s="59" t="s">
        <v>1060</v>
      </c>
      <c r="C1" s="735" t="s">
        <v>1010</v>
      </c>
      <c r="D1" s="735"/>
      <c r="E1" s="735"/>
      <c r="F1" s="735"/>
      <c r="G1" s="735"/>
      <c r="H1" s="735"/>
      <c r="I1" s="735"/>
      <c r="J1" s="735"/>
      <c r="K1" s="735"/>
      <c r="L1" s="735" t="s">
        <v>98</v>
      </c>
      <c r="M1" s="735"/>
      <c r="N1" s="735"/>
      <c r="O1" s="735"/>
      <c r="P1" s="735"/>
      <c r="Q1" s="735"/>
      <c r="R1" s="735"/>
      <c r="S1" s="735"/>
      <c r="T1" s="735"/>
      <c r="U1" s="735" t="s">
        <v>98</v>
      </c>
      <c r="V1" s="735"/>
      <c r="W1" s="735"/>
      <c r="X1" s="735"/>
      <c r="Y1" s="735"/>
      <c r="Z1" s="735"/>
      <c r="AA1" s="735"/>
      <c r="AB1" s="735"/>
      <c r="AC1" s="735"/>
    </row>
    <row r="2" spans="1:29" s="60" customFormat="1" ht="24.75" customHeight="1" x14ac:dyDescent="0.35">
      <c r="A2" s="736" t="s">
        <v>84</v>
      </c>
      <c r="B2" s="738" t="s">
        <v>1005</v>
      </c>
      <c r="C2" s="739" t="s">
        <v>85</v>
      </c>
      <c r="D2" s="740"/>
      <c r="E2" s="741"/>
      <c r="F2" s="739" t="s">
        <v>86</v>
      </c>
      <c r="G2" s="740"/>
      <c r="H2" s="741"/>
      <c r="I2" s="739" t="s">
        <v>87</v>
      </c>
      <c r="J2" s="740"/>
      <c r="K2" s="741"/>
      <c r="L2" s="739" t="s">
        <v>88</v>
      </c>
      <c r="M2" s="740"/>
      <c r="N2" s="741"/>
      <c r="O2" s="739" t="s">
        <v>89</v>
      </c>
      <c r="P2" s="740"/>
      <c r="Q2" s="741"/>
      <c r="R2" s="739" t="s">
        <v>90</v>
      </c>
      <c r="S2" s="740"/>
      <c r="T2" s="741"/>
      <c r="U2" s="739" t="s">
        <v>91</v>
      </c>
      <c r="V2" s="740"/>
      <c r="W2" s="741"/>
      <c r="X2" s="739" t="s">
        <v>92</v>
      </c>
      <c r="Y2" s="740"/>
      <c r="Z2" s="741"/>
      <c r="AA2" s="739" t="s">
        <v>12</v>
      </c>
      <c r="AB2" s="740"/>
      <c r="AC2" s="741"/>
    </row>
    <row r="3" spans="1:29" s="61" customFormat="1" ht="24.75" customHeight="1" x14ac:dyDescent="0.35">
      <c r="A3" s="737"/>
      <c r="B3" s="738"/>
      <c r="C3" s="53" t="s">
        <v>93</v>
      </c>
      <c r="D3" s="53" t="s">
        <v>94</v>
      </c>
      <c r="E3" s="53" t="s">
        <v>54</v>
      </c>
      <c r="F3" s="53" t="s">
        <v>93</v>
      </c>
      <c r="G3" s="53" t="s">
        <v>94</v>
      </c>
      <c r="H3" s="53" t="s">
        <v>54</v>
      </c>
      <c r="I3" s="53" t="s">
        <v>93</v>
      </c>
      <c r="J3" s="53" t="s">
        <v>94</v>
      </c>
      <c r="K3" s="53" t="s">
        <v>54</v>
      </c>
      <c r="L3" s="53" t="s">
        <v>93</v>
      </c>
      <c r="M3" s="53" t="s">
        <v>94</v>
      </c>
      <c r="N3" s="53" t="s">
        <v>54</v>
      </c>
      <c r="O3" s="53" t="s">
        <v>93</v>
      </c>
      <c r="P3" s="53" t="s">
        <v>94</v>
      </c>
      <c r="Q3" s="53" t="s">
        <v>54</v>
      </c>
      <c r="R3" s="53" t="s">
        <v>93</v>
      </c>
      <c r="S3" s="53" t="s">
        <v>94</v>
      </c>
      <c r="T3" s="53" t="s">
        <v>54</v>
      </c>
      <c r="U3" s="53" t="s">
        <v>93</v>
      </c>
      <c r="V3" s="53" t="s">
        <v>94</v>
      </c>
      <c r="W3" s="53" t="s">
        <v>54</v>
      </c>
      <c r="X3" s="53" t="s">
        <v>93</v>
      </c>
      <c r="Y3" s="53" t="s">
        <v>94</v>
      </c>
      <c r="Z3" s="53" t="s">
        <v>54</v>
      </c>
      <c r="AA3" s="53" t="s">
        <v>93</v>
      </c>
      <c r="AB3" s="53" t="s">
        <v>94</v>
      </c>
      <c r="AC3" s="53" t="s">
        <v>54</v>
      </c>
    </row>
    <row r="4" spans="1:29" s="63" customFormat="1" ht="16.5" customHeight="1" x14ac:dyDescent="0.35">
      <c r="A4" s="62">
        <v>1</v>
      </c>
      <c r="B4" s="62">
        <v>2</v>
      </c>
      <c r="C4" s="62">
        <v>3</v>
      </c>
      <c r="D4" s="62">
        <v>4</v>
      </c>
      <c r="E4" s="62">
        <v>5</v>
      </c>
      <c r="F4" s="62">
        <v>6</v>
      </c>
      <c r="G4" s="62">
        <v>7</v>
      </c>
      <c r="H4" s="62">
        <v>8</v>
      </c>
      <c r="I4" s="62">
        <v>9</v>
      </c>
      <c r="J4" s="62">
        <v>10</v>
      </c>
      <c r="K4" s="62">
        <v>11</v>
      </c>
      <c r="L4" s="62">
        <v>12</v>
      </c>
      <c r="M4" s="62">
        <v>13</v>
      </c>
      <c r="N4" s="62">
        <v>14</v>
      </c>
      <c r="O4" s="62">
        <v>15</v>
      </c>
      <c r="P4" s="62">
        <v>16</v>
      </c>
      <c r="Q4" s="62">
        <v>17</v>
      </c>
      <c r="R4" s="62">
        <v>18</v>
      </c>
      <c r="S4" s="62">
        <v>19</v>
      </c>
      <c r="T4" s="62">
        <v>20</v>
      </c>
      <c r="U4" s="62">
        <v>21</v>
      </c>
      <c r="V4" s="62">
        <v>22</v>
      </c>
      <c r="W4" s="62">
        <v>23</v>
      </c>
      <c r="X4" s="62">
        <v>24</v>
      </c>
      <c r="Y4" s="62">
        <v>25</v>
      </c>
      <c r="Z4" s="62">
        <v>26</v>
      </c>
      <c r="AA4" s="62">
        <v>27</v>
      </c>
      <c r="AB4" s="62">
        <v>28</v>
      </c>
      <c r="AC4" s="62">
        <v>29</v>
      </c>
    </row>
    <row r="5" spans="1:29" ht="21.75" customHeight="1" x14ac:dyDescent="0.4">
      <c r="A5" s="56">
        <v>1</v>
      </c>
      <c r="B5" s="64" t="s">
        <v>58</v>
      </c>
      <c r="C5" s="993"/>
      <c r="D5" s="993"/>
      <c r="E5" s="993"/>
      <c r="F5" s="993"/>
      <c r="G5" s="993"/>
      <c r="H5" s="993"/>
      <c r="I5" s="993"/>
      <c r="J5" s="993"/>
      <c r="K5" s="993"/>
      <c r="L5" s="993"/>
      <c r="M5" s="993"/>
      <c r="N5" s="993"/>
      <c r="O5" s="993">
        <f>Q5-P5</f>
        <v>0</v>
      </c>
      <c r="P5" s="993"/>
      <c r="Q5" s="993"/>
      <c r="R5" s="993">
        <f>T5-S5</f>
        <v>0</v>
      </c>
      <c r="S5" s="993"/>
      <c r="T5" s="993"/>
      <c r="U5" s="993">
        <f>W5-V5</f>
        <v>0</v>
      </c>
      <c r="V5" s="993"/>
      <c r="W5" s="993"/>
      <c r="X5" s="993"/>
      <c r="Y5" s="993"/>
      <c r="Z5" s="993"/>
      <c r="AA5" s="993">
        <f>SUM(C5,F5,I5,L5,O5,R5,U5,X5)</f>
        <v>0</v>
      </c>
      <c r="AB5" s="993">
        <f t="shared" ref="AB5:AC20" si="0">SUM(D5,G5,J5,M5,P5,S5,V5,Y5)</f>
        <v>0</v>
      </c>
      <c r="AC5" s="993">
        <f t="shared" si="0"/>
        <v>0</v>
      </c>
    </row>
    <row r="6" spans="1:29" ht="21.75" customHeight="1" x14ac:dyDescent="0.4">
      <c r="A6" s="56">
        <v>2</v>
      </c>
      <c r="B6" s="65" t="s">
        <v>13</v>
      </c>
      <c r="C6" s="993"/>
      <c r="D6" s="993"/>
      <c r="E6" s="993"/>
      <c r="F6" s="993"/>
      <c r="G6" s="993"/>
      <c r="H6" s="993"/>
      <c r="I6" s="993">
        <f>K6-J6</f>
        <v>3287</v>
      </c>
      <c r="J6" s="993">
        <v>575</v>
      </c>
      <c r="K6" s="993">
        <v>3862</v>
      </c>
      <c r="L6" s="993">
        <f>N6-M6</f>
        <v>145</v>
      </c>
      <c r="M6" s="993">
        <v>60</v>
      </c>
      <c r="N6" s="993">
        <v>205</v>
      </c>
      <c r="O6" s="993">
        <f t="shared" ref="O6:O40" si="1">Q6-P6</f>
        <v>0</v>
      </c>
      <c r="P6" s="993">
        <v>0</v>
      </c>
      <c r="Q6" s="993">
        <v>0</v>
      </c>
      <c r="R6" s="993">
        <f t="shared" ref="R6:R40" si="2">T6-S6</f>
        <v>0</v>
      </c>
      <c r="S6" s="993">
        <v>0</v>
      </c>
      <c r="T6" s="993">
        <v>0</v>
      </c>
      <c r="U6" s="993">
        <f t="shared" ref="U6:U40" si="3">W6-V6</f>
        <v>0</v>
      </c>
      <c r="V6" s="993">
        <v>0</v>
      </c>
      <c r="W6" s="993">
        <v>0</v>
      </c>
      <c r="X6" s="993"/>
      <c r="Y6" s="993"/>
      <c r="Z6" s="993"/>
      <c r="AA6" s="993">
        <f t="shared" ref="AA6:AC41" si="4">SUM(C6,F6,I6,L6,O6,R6,U6,X6)</f>
        <v>3432</v>
      </c>
      <c r="AB6" s="993">
        <f t="shared" si="0"/>
        <v>635</v>
      </c>
      <c r="AC6" s="993">
        <f t="shared" si="0"/>
        <v>4067</v>
      </c>
    </row>
    <row r="7" spans="1:29" ht="21.75" customHeight="1" x14ac:dyDescent="0.4">
      <c r="A7" s="56">
        <v>3</v>
      </c>
      <c r="B7" s="65" t="s">
        <v>14</v>
      </c>
      <c r="C7" s="993"/>
      <c r="D7" s="993"/>
      <c r="E7" s="993"/>
      <c r="F7" s="993"/>
      <c r="G7" s="993"/>
      <c r="H7" s="993"/>
      <c r="I7" s="993">
        <f t="shared" ref="I7:I40" si="5">K7-J7</f>
        <v>0</v>
      </c>
      <c r="J7" s="993"/>
      <c r="K7" s="993"/>
      <c r="L7" s="993"/>
      <c r="M7" s="993"/>
      <c r="N7" s="993"/>
      <c r="O7" s="993">
        <f t="shared" si="1"/>
        <v>0</v>
      </c>
      <c r="P7" s="993"/>
      <c r="Q7" s="993"/>
      <c r="R7" s="993">
        <f t="shared" si="2"/>
        <v>0</v>
      </c>
      <c r="S7" s="993"/>
      <c r="T7" s="993"/>
      <c r="U7" s="993">
        <f t="shared" si="3"/>
        <v>0</v>
      </c>
      <c r="V7" s="993"/>
      <c r="W7" s="993"/>
      <c r="X7" s="993"/>
      <c r="Y7" s="993"/>
      <c r="Z7" s="993"/>
      <c r="AA7" s="993">
        <f t="shared" si="4"/>
        <v>0</v>
      </c>
      <c r="AB7" s="993">
        <f t="shared" si="0"/>
        <v>0</v>
      </c>
      <c r="AC7" s="993">
        <f t="shared" si="0"/>
        <v>0</v>
      </c>
    </row>
    <row r="8" spans="1:29" ht="21.75" customHeight="1" x14ac:dyDescent="0.4">
      <c r="A8" s="56">
        <v>4</v>
      </c>
      <c r="B8" s="65" t="s">
        <v>15</v>
      </c>
      <c r="C8" s="993"/>
      <c r="D8" s="993"/>
      <c r="E8" s="993"/>
      <c r="F8" s="993"/>
      <c r="G8" s="993"/>
      <c r="H8" s="993"/>
      <c r="I8" s="993">
        <f t="shared" si="5"/>
        <v>0</v>
      </c>
      <c r="J8" s="993"/>
      <c r="K8" s="993"/>
      <c r="L8" s="993"/>
      <c r="M8" s="993"/>
      <c r="N8" s="993"/>
      <c r="O8" s="993">
        <f t="shared" si="1"/>
        <v>0</v>
      </c>
      <c r="P8" s="993"/>
      <c r="Q8" s="993"/>
      <c r="R8" s="993">
        <f t="shared" si="2"/>
        <v>0</v>
      </c>
      <c r="S8" s="993"/>
      <c r="T8" s="993"/>
      <c r="U8" s="993">
        <f t="shared" si="3"/>
        <v>0</v>
      </c>
      <c r="V8" s="993"/>
      <c r="W8" s="993"/>
      <c r="X8" s="993"/>
      <c r="Y8" s="993"/>
      <c r="Z8" s="993"/>
      <c r="AA8" s="993">
        <f t="shared" si="4"/>
        <v>0</v>
      </c>
      <c r="AB8" s="993">
        <f t="shared" si="0"/>
        <v>0</v>
      </c>
      <c r="AC8" s="993">
        <f t="shared" si="0"/>
        <v>0</v>
      </c>
    </row>
    <row r="9" spans="1:29" ht="21.75" customHeight="1" x14ac:dyDescent="0.4">
      <c r="A9" s="56">
        <v>5</v>
      </c>
      <c r="B9" s="64" t="s">
        <v>16</v>
      </c>
      <c r="C9" s="993"/>
      <c r="D9" s="993"/>
      <c r="E9" s="993"/>
      <c r="F9" s="993"/>
      <c r="G9" s="993"/>
      <c r="H9" s="993"/>
      <c r="I9" s="993">
        <f t="shared" si="5"/>
        <v>0</v>
      </c>
      <c r="J9" s="993"/>
      <c r="K9" s="993"/>
      <c r="L9" s="993"/>
      <c r="M9" s="993"/>
      <c r="N9" s="993"/>
      <c r="O9" s="993">
        <f t="shared" si="1"/>
        <v>0</v>
      </c>
      <c r="P9" s="993"/>
      <c r="Q9" s="993"/>
      <c r="R9" s="993">
        <f t="shared" si="2"/>
        <v>0</v>
      </c>
      <c r="S9" s="993"/>
      <c r="T9" s="993"/>
      <c r="U9" s="993">
        <f t="shared" si="3"/>
        <v>0</v>
      </c>
      <c r="V9" s="993"/>
      <c r="W9" s="993"/>
      <c r="X9" s="993"/>
      <c r="Y9" s="993"/>
      <c r="Z9" s="993"/>
      <c r="AA9" s="993">
        <f t="shared" si="4"/>
        <v>0</v>
      </c>
      <c r="AB9" s="993">
        <f t="shared" si="0"/>
        <v>0</v>
      </c>
      <c r="AC9" s="993">
        <f t="shared" si="0"/>
        <v>0</v>
      </c>
    </row>
    <row r="10" spans="1:29" ht="21.75" customHeight="1" x14ac:dyDescent="0.4">
      <c r="A10" s="56">
        <v>6</v>
      </c>
      <c r="B10" s="65" t="s">
        <v>17</v>
      </c>
      <c r="C10" s="993"/>
      <c r="D10" s="993"/>
      <c r="E10" s="993"/>
      <c r="F10" s="993"/>
      <c r="G10" s="993"/>
      <c r="H10" s="993"/>
      <c r="I10" s="993">
        <f t="shared" si="5"/>
        <v>0</v>
      </c>
      <c r="J10" s="993"/>
      <c r="K10" s="993"/>
      <c r="L10" s="993"/>
      <c r="M10" s="993"/>
      <c r="N10" s="993"/>
      <c r="O10" s="993">
        <f t="shared" si="1"/>
        <v>0</v>
      </c>
      <c r="P10" s="993"/>
      <c r="Q10" s="993"/>
      <c r="R10" s="993">
        <f t="shared" si="2"/>
        <v>0</v>
      </c>
      <c r="S10" s="993"/>
      <c r="T10" s="993"/>
      <c r="U10" s="993">
        <f t="shared" si="3"/>
        <v>0</v>
      </c>
      <c r="V10" s="993"/>
      <c r="W10" s="993"/>
      <c r="X10" s="993"/>
      <c r="Y10" s="993"/>
      <c r="Z10" s="993"/>
      <c r="AA10" s="993">
        <f t="shared" si="4"/>
        <v>0</v>
      </c>
      <c r="AB10" s="993">
        <f t="shared" si="0"/>
        <v>0</v>
      </c>
      <c r="AC10" s="993">
        <f t="shared" si="0"/>
        <v>0</v>
      </c>
    </row>
    <row r="11" spans="1:29" ht="21.75" customHeight="1" x14ac:dyDescent="0.4">
      <c r="A11" s="56">
        <v>7</v>
      </c>
      <c r="B11" s="65" t="s">
        <v>18</v>
      </c>
      <c r="C11" s="632"/>
      <c r="D11" s="993"/>
      <c r="E11" s="993"/>
      <c r="F11" s="993"/>
      <c r="G11" s="993"/>
      <c r="H11" s="993"/>
      <c r="I11" s="993">
        <f t="shared" si="5"/>
        <v>345</v>
      </c>
      <c r="J11" s="993">
        <v>87</v>
      </c>
      <c r="K11" s="993">
        <v>432</v>
      </c>
      <c r="L11" s="993"/>
      <c r="M11" s="993">
        <v>0</v>
      </c>
      <c r="N11" s="993">
        <v>0</v>
      </c>
      <c r="O11" s="993">
        <f t="shared" si="1"/>
        <v>0</v>
      </c>
      <c r="P11" s="993">
        <v>0</v>
      </c>
      <c r="Q11" s="993">
        <v>0</v>
      </c>
      <c r="R11" s="993">
        <f t="shared" si="2"/>
        <v>0</v>
      </c>
      <c r="S11" s="993">
        <v>0</v>
      </c>
      <c r="T11" s="993">
        <v>0</v>
      </c>
      <c r="U11" s="993">
        <f t="shared" si="3"/>
        <v>0</v>
      </c>
      <c r="V11" s="993">
        <v>0</v>
      </c>
      <c r="W11" s="993">
        <v>0</v>
      </c>
      <c r="X11" s="993"/>
      <c r="Y11" s="993"/>
      <c r="Z11" s="993"/>
      <c r="AA11" s="993">
        <f t="shared" si="4"/>
        <v>345</v>
      </c>
      <c r="AB11" s="993">
        <f t="shared" si="0"/>
        <v>87</v>
      </c>
      <c r="AC11" s="993">
        <f t="shared" si="0"/>
        <v>432</v>
      </c>
    </row>
    <row r="12" spans="1:29" ht="21.75" customHeight="1" x14ac:dyDescent="0.4">
      <c r="A12" s="56">
        <v>8</v>
      </c>
      <c r="B12" s="65" t="s">
        <v>19</v>
      </c>
      <c r="C12" s="993"/>
      <c r="D12" s="993"/>
      <c r="E12" s="993"/>
      <c r="F12" s="993"/>
      <c r="G12" s="993"/>
      <c r="H12" s="993"/>
      <c r="I12" s="993">
        <f t="shared" si="5"/>
        <v>4426</v>
      </c>
      <c r="J12" s="993">
        <v>3242</v>
      </c>
      <c r="K12" s="993">
        <v>7668</v>
      </c>
      <c r="L12" s="993">
        <f>N12-M12</f>
        <v>5287</v>
      </c>
      <c r="M12" s="993">
        <v>2401</v>
      </c>
      <c r="N12" s="993">
        <v>7688</v>
      </c>
      <c r="O12" s="993">
        <f t="shared" si="1"/>
        <v>809</v>
      </c>
      <c r="P12" s="993">
        <v>358</v>
      </c>
      <c r="Q12" s="993">
        <v>1167</v>
      </c>
      <c r="R12" s="993">
        <f t="shared" si="2"/>
        <v>529</v>
      </c>
      <c r="S12" s="993">
        <v>605</v>
      </c>
      <c r="T12" s="993">
        <v>1134</v>
      </c>
      <c r="U12" s="993">
        <f t="shared" si="3"/>
        <v>0</v>
      </c>
      <c r="V12" s="993">
        <v>0</v>
      </c>
      <c r="W12" s="993">
        <v>0</v>
      </c>
      <c r="X12" s="993"/>
      <c r="Y12" s="993"/>
      <c r="Z12" s="993"/>
      <c r="AA12" s="993">
        <f t="shared" si="4"/>
        <v>11051</v>
      </c>
      <c r="AB12" s="993">
        <f t="shared" si="0"/>
        <v>6606</v>
      </c>
      <c r="AC12" s="993">
        <f t="shared" si="0"/>
        <v>17657</v>
      </c>
    </row>
    <row r="13" spans="1:29" ht="21.75" customHeight="1" x14ac:dyDescent="0.4">
      <c r="A13" s="56">
        <v>9</v>
      </c>
      <c r="B13" s="65" t="s">
        <v>20</v>
      </c>
      <c r="C13" s="993"/>
      <c r="D13" s="993"/>
      <c r="E13" s="993"/>
      <c r="F13" s="993"/>
      <c r="G13" s="993"/>
      <c r="H13" s="993"/>
      <c r="I13" s="993">
        <f t="shared" si="5"/>
        <v>0</v>
      </c>
      <c r="J13" s="993"/>
      <c r="K13" s="993"/>
      <c r="L13" s="993"/>
      <c r="M13" s="993"/>
      <c r="N13" s="993"/>
      <c r="O13" s="993">
        <f t="shared" si="1"/>
        <v>0</v>
      </c>
      <c r="P13" s="993"/>
      <c r="Q13" s="993"/>
      <c r="R13" s="993">
        <f t="shared" si="2"/>
        <v>0</v>
      </c>
      <c r="S13" s="993"/>
      <c r="T13" s="993"/>
      <c r="U13" s="993">
        <f t="shared" si="3"/>
        <v>0</v>
      </c>
      <c r="V13" s="993"/>
      <c r="W13" s="993"/>
      <c r="X13" s="993"/>
      <c r="Y13" s="993"/>
      <c r="Z13" s="993"/>
      <c r="AA13" s="993">
        <f t="shared" si="4"/>
        <v>0</v>
      </c>
      <c r="AB13" s="993">
        <f t="shared" si="0"/>
        <v>0</v>
      </c>
      <c r="AC13" s="993">
        <f t="shared" si="0"/>
        <v>0</v>
      </c>
    </row>
    <row r="14" spans="1:29" ht="21.75" customHeight="1" x14ac:dyDescent="0.4">
      <c r="A14" s="56">
        <v>10</v>
      </c>
      <c r="B14" s="65" t="s">
        <v>21</v>
      </c>
      <c r="C14" s="993"/>
      <c r="D14" s="993"/>
      <c r="E14" s="993"/>
      <c r="F14" s="993"/>
      <c r="G14" s="993"/>
      <c r="H14" s="993"/>
      <c r="I14" s="993">
        <f t="shared" si="5"/>
        <v>0</v>
      </c>
      <c r="J14" s="993"/>
      <c r="K14" s="993"/>
      <c r="L14" s="993"/>
      <c r="M14" s="993"/>
      <c r="N14" s="993"/>
      <c r="O14" s="993">
        <f t="shared" si="1"/>
        <v>0</v>
      </c>
      <c r="P14" s="993"/>
      <c r="Q14" s="993"/>
      <c r="R14" s="993">
        <f t="shared" si="2"/>
        <v>0</v>
      </c>
      <c r="S14" s="993"/>
      <c r="T14" s="993"/>
      <c r="U14" s="993">
        <f t="shared" si="3"/>
        <v>0</v>
      </c>
      <c r="V14" s="993"/>
      <c r="W14" s="993"/>
      <c r="X14" s="993"/>
      <c r="Y14" s="993"/>
      <c r="Z14" s="993"/>
      <c r="AA14" s="993">
        <f t="shared" si="4"/>
        <v>0</v>
      </c>
      <c r="AB14" s="993">
        <f t="shared" si="0"/>
        <v>0</v>
      </c>
      <c r="AC14" s="993">
        <f t="shared" si="0"/>
        <v>0</v>
      </c>
    </row>
    <row r="15" spans="1:29" ht="21.75" customHeight="1" x14ac:dyDescent="0.4">
      <c r="A15" s="56">
        <v>11</v>
      </c>
      <c r="B15" s="65" t="s">
        <v>22</v>
      </c>
      <c r="C15" s="993">
        <v>1</v>
      </c>
      <c r="D15" s="993">
        <v>0</v>
      </c>
      <c r="E15" s="993">
        <v>1</v>
      </c>
      <c r="F15" s="993"/>
      <c r="G15" s="993"/>
      <c r="H15" s="993"/>
      <c r="I15" s="993">
        <f t="shared" si="5"/>
        <v>277</v>
      </c>
      <c r="J15" s="993">
        <v>138</v>
      </c>
      <c r="K15" s="993">
        <v>415</v>
      </c>
      <c r="L15" s="993">
        <f>N15-M15</f>
        <v>247</v>
      </c>
      <c r="M15" s="993">
        <v>75</v>
      </c>
      <c r="N15" s="993">
        <v>322</v>
      </c>
      <c r="O15" s="993">
        <f t="shared" si="1"/>
        <v>341</v>
      </c>
      <c r="P15" s="993">
        <v>163</v>
      </c>
      <c r="Q15" s="993">
        <v>504</v>
      </c>
      <c r="R15" s="993">
        <f t="shared" si="2"/>
        <v>0</v>
      </c>
      <c r="S15" s="993">
        <v>0</v>
      </c>
      <c r="T15" s="993">
        <v>0</v>
      </c>
      <c r="U15" s="993">
        <f t="shared" si="3"/>
        <v>0</v>
      </c>
      <c r="V15" s="993">
        <v>0</v>
      </c>
      <c r="W15" s="993">
        <v>0</v>
      </c>
      <c r="X15" s="993"/>
      <c r="Y15" s="993"/>
      <c r="Z15" s="993"/>
      <c r="AA15" s="993">
        <f t="shared" si="4"/>
        <v>866</v>
      </c>
      <c r="AB15" s="993">
        <f t="shared" si="0"/>
        <v>376</v>
      </c>
      <c r="AC15" s="993">
        <f t="shared" si="0"/>
        <v>1242</v>
      </c>
    </row>
    <row r="16" spans="1:29" ht="21.75" customHeight="1" x14ac:dyDescent="0.4">
      <c r="A16" s="56">
        <v>12</v>
      </c>
      <c r="B16" s="65" t="s">
        <v>23</v>
      </c>
      <c r="C16" s="993"/>
      <c r="D16" s="993"/>
      <c r="E16" s="993"/>
      <c r="F16" s="993"/>
      <c r="G16" s="993"/>
      <c r="H16" s="993"/>
      <c r="I16" s="993">
        <f t="shared" si="5"/>
        <v>0</v>
      </c>
      <c r="J16" s="993"/>
      <c r="K16" s="993"/>
      <c r="L16" s="993"/>
      <c r="M16" s="993"/>
      <c r="N16" s="993"/>
      <c r="O16" s="993">
        <f t="shared" si="1"/>
        <v>0</v>
      </c>
      <c r="P16" s="993"/>
      <c r="Q16" s="993"/>
      <c r="R16" s="993">
        <f t="shared" si="2"/>
        <v>0</v>
      </c>
      <c r="S16" s="993"/>
      <c r="T16" s="993"/>
      <c r="U16" s="993">
        <f t="shared" si="3"/>
        <v>0</v>
      </c>
      <c r="V16" s="993"/>
      <c r="W16" s="993"/>
      <c r="X16" s="993"/>
      <c r="Y16" s="993"/>
      <c r="Z16" s="993"/>
      <c r="AA16" s="993">
        <f t="shared" si="4"/>
        <v>0</v>
      </c>
      <c r="AB16" s="993">
        <f t="shared" si="0"/>
        <v>0</v>
      </c>
      <c r="AC16" s="993">
        <f t="shared" si="0"/>
        <v>0</v>
      </c>
    </row>
    <row r="17" spans="1:29" ht="21.75" customHeight="1" x14ac:dyDescent="0.4">
      <c r="A17" s="56">
        <v>13</v>
      </c>
      <c r="B17" s="65" t="s">
        <v>24</v>
      </c>
      <c r="C17" s="993"/>
      <c r="D17" s="993"/>
      <c r="E17" s="993"/>
      <c r="F17" s="993"/>
      <c r="G17" s="993"/>
      <c r="H17" s="993"/>
      <c r="I17" s="993">
        <f t="shared" si="5"/>
        <v>32</v>
      </c>
      <c r="J17" s="993">
        <v>9</v>
      </c>
      <c r="K17" s="993">
        <v>41</v>
      </c>
      <c r="L17" s="993"/>
      <c r="M17" s="993">
        <v>0</v>
      </c>
      <c r="N17" s="993">
        <v>0</v>
      </c>
      <c r="O17" s="993">
        <f t="shared" si="1"/>
        <v>0</v>
      </c>
      <c r="P17" s="993">
        <v>0</v>
      </c>
      <c r="Q17" s="993">
        <v>0</v>
      </c>
      <c r="R17" s="993">
        <f t="shared" si="2"/>
        <v>0</v>
      </c>
      <c r="S17" s="993">
        <v>0</v>
      </c>
      <c r="T17" s="993">
        <v>0</v>
      </c>
      <c r="U17" s="993">
        <f t="shared" si="3"/>
        <v>0</v>
      </c>
      <c r="V17" s="993">
        <v>0</v>
      </c>
      <c r="W17" s="993">
        <v>0</v>
      </c>
      <c r="X17" s="993"/>
      <c r="Y17" s="993"/>
      <c r="Z17" s="993"/>
      <c r="AA17" s="993">
        <f t="shared" si="4"/>
        <v>32</v>
      </c>
      <c r="AB17" s="993">
        <f t="shared" si="0"/>
        <v>9</v>
      </c>
      <c r="AC17" s="993">
        <f t="shared" si="0"/>
        <v>41</v>
      </c>
    </row>
    <row r="18" spans="1:29" ht="21.75" customHeight="1" x14ac:dyDescent="0.4">
      <c r="A18" s="56">
        <v>14</v>
      </c>
      <c r="B18" s="65" t="s">
        <v>25</v>
      </c>
      <c r="C18" s="993"/>
      <c r="D18" s="993"/>
      <c r="E18" s="993"/>
      <c r="F18" s="993"/>
      <c r="G18" s="993"/>
      <c r="H18" s="993"/>
      <c r="I18" s="993">
        <f t="shared" si="5"/>
        <v>0</v>
      </c>
      <c r="J18" s="993"/>
      <c r="K18" s="993"/>
      <c r="L18" s="993"/>
      <c r="M18" s="993"/>
      <c r="N18" s="993"/>
      <c r="O18" s="993">
        <f t="shared" si="1"/>
        <v>0</v>
      </c>
      <c r="P18" s="993"/>
      <c r="Q18" s="993"/>
      <c r="R18" s="993">
        <f t="shared" si="2"/>
        <v>0</v>
      </c>
      <c r="S18" s="993"/>
      <c r="T18" s="993"/>
      <c r="U18" s="993">
        <f t="shared" si="3"/>
        <v>0</v>
      </c>
      <c r="V18" s="993"/>
      <c r="W18" s="993"/>
      <c r="X18" s="993"/>
      <c r="Y18" s="993"/>
      <c r="Z18" s="993"/>
      <c r="AA18" s="993">
        <f t="shared" si="4"/>
        <v>0</v>
      </c>
      <c r="AB18" s="993">
        <f t="shared" si="0"/>
        <v>0</v>
      </c>
      <c r="AC18" s="993">
        <f t="shared" si="0"/>
        <v>0</v>
      </c>
    </row>
    <row r="19" spans="1:29" ht="21.75" customHeight="1" x14ac:dyDescent="0.4">
      <c r="A19" s="56">
        <v>15</v>
      </c>
      <c r="B19" s="65" t="s">
        <v>26</v>
      </c>
      <c r="C19" s="993"/>
      <c r="D19" s="993"/>
      <c r="E19" s="993"/>
      <c r="F19" s="993"/>
      <c r="G19" s="993"/>
      <c r="H19" s="993"/>
      <c r="I19" s="993">
        <f t="shared" si="5"/>
        <v>1874</v>
      </c>
      <c r="J19" s="993">
        <v>856</v>
      </c>
      <c r="K19" s="993">
        <v>2730</v>
      </c>
      <c r="L19" s="993">
        <f>N19-M19</f>
        <v>1807</v>
      </c>
      <c r="M19" s="993">
        <v>632</v>
      </c>
      <c r="N19" s="993">
        <v>2439</v>
      </c>
      <c r="O19" s="993">
        <f t="shared" si="1"/>
        <v>0</v>
      </c>
      <c r="P19" s="993">
        <v>0</v>
      </c>
      <c r="Q19" s="993">
        <v>0</v>
      </c>
      <c r="R19" s="993">
        <f t="shared" si="2"/>
        <v>52</v>
      </c>
      <c r="S19" s="993">
        <v>63</v>
      </c>
      <c r="T19" s="993">
        <v>115</v>
      </c>
      <c r="U19" s="993">
        <f t="shared" si="3"/>
        <v>9</v>
      </c>
      <c r="V19" s="993">
        <v>49</v>
      </c>
      <c r="W19" s="993">
        <v>58</v>
      </c>
      <c r="X19" s="993"/>
      <c r="Y19" s="993"/>
      <c r="Z19" s="993"/>
      <c r="AA19" s="993">
        <f t="shared" si="4"/>
        <v>3742</v>
      </c>
      <c r="AB19" s="993">
        <f t="shared" si="0"/>
        <v>1600</v>
      </c>
      <c r="AC19" s="993">
        <f t="shared" si="0"/>
        <v>5342</v>
      </c>
    </row>
    <row r="20" spans="1:29" ht="21.75" customHeight="1" x14ac:dyDescent="0.4">
      <c r="A20" s="56">
        <v>16</v>
      </c>
      <c r="B20" s="65" t="s">
        <v>27</v>
      </c>
      <c r="C20" s="993"/>
      <c r="D20" s="993"/>
      <c r="E20" s="993"/>
      <c r="F20" s="993"/>
      <c r="G20" s="993"/>
      <c r="H20" s="993"/>
      <c r="I20" s="993">
        <f t="shared" si="5"/>
        <v>0</v>
      </c>
      <c r="J20" s="993"/>
      <c r="K20" s="993"/>
      <c r="L20" s="993"/>
      <c r="M20" s="993"/>
      <c r="N20" s="993"/>
      <c r="O20" s="993">
        <f t="shared" si="1"/>
        <v>0</v>
      </c>
      <c r="P20" s="993"/>
      <c r="Q20" s="993"/>
      <c r="R20" s="993">
        <f t="shared" si="2"/>
        <v>0</v>
      </c>
      <c r="S20" s="993"/>
      <c r="T20" s="993"/>
      <c r="U20" s="993">
        <f t="shared" si="3"/>
        <v>0</v>
      </c>
      <c r="V20" s="993"/>
      <c r="W20" s="993"/>
      <c r="X20" s="993"/>
      <c r="Y20" s="993"/>
      <c r="Z20" s="993"/>
      <c r="AA20" s="993">
        <f t="shared" si="4"/>
        <v>0</v>
      </c>
      <c r="AB20" s="993">
        <f t="shared" si="0"/>
        <v>0</v>
      </c>
      <c r="AC20" s="993">
        <f t="shared" si="0"/>
        <v>0</v>
      </c>
    </row>
    <row r="21" spans="1:29" ht="21.75" customHeight="1" x14ac:dyDescent="0.4">
      <c r="A21" s="56">
        <v>17</v>
      </c>
      <c r="B21" s="65" t="s">
        <v>28</v>
      </c>
      <c r="C21" s="993"/>
      <c r="D21" s="993"/>
      <c r="E21" s="993"/>
      <c r="F21" s="993"/>
      <c r="G21" s="993"/>
      <c r="H21" s="993"/>
      <c r="I21" s="993">
        <f t="shared" si="5"/>
        <v>0</v>
      </c>
      <c r="J21" s="993"/>
      <c r="K21" s="993"/>
      <c r="L21" s="993"/>
      <c r="M21" s="993"/>
      <c r="N21" s="993"/>
      <c r="O21" s="993">
        <f t="shared" si="1"/>
        <v>0</v>
      </c>
      <c r="P21" s="993"/>
      <c r="Q21" s="993"/>
      <c r="R21" s="993">
        <f t="shared" si="2"/>
        <v>0</v>
      </c>
      <c r="S21" s="993"/>
      <c r="T21" s="993"/>
      <c r="U21" s="993">
        <f t="shared" si="3"/>
        <v>0</v>
      </c>
      <c r="V21" s="993"/>
      <c r="W21" s="993"/>
      <c r="X21" s="993"/>
      <c r="Y21" s="993"/>
      <c r="Z21" s="993"/>
      <c r="AA21" s="993">
        <f t="shared" si="4"/>
        <v>0</v>
      </c>
      <c r="AB21" s="993">
        <f t="shared" si="4"/>
        <v>0</v>
      </c>
      <c r="AC21" s="993">
        <f t="shared" si="4"/>
        <v>0</v>
      </c>
    </row>
    <row r="22" spans="1:29" ht="21.75" customHeight="1" x14ac:dyDescent="0.4">
      <c r="A22" s="56">
        <v>18</v>
      </c>
      <c r="B22" s="65" t="s">
        <v>72</v>
      </c>
      <c r="C22" s="993"/>
      <c r="D22" s="993"/>
      <c r="E22" s="993"/>
      <c r="F22" s="993"/>
      <c r="G22" s="993"/>
      <c r="H22" s="993"/>
      <c r="I22" s="993">
        <f t="shared" si="5"/>
        <v>0</v>
      </c>
      <c r="J22" s="993"/>
      <c r="K22" s="993"/>
      <c r="L22" s="993"/>
      <c r="M22" s="993"/>
      <c r="N22" s="993"/>
      <c r="O22" s="993">
        <f t="shared" si="1"/>
        <v>0</v>
      </c>
      <c r="P22" s="993"/>
      <c r="Q22" s="993"/>
      <c r="R22" s="993">
        <f t="shared" si="2"/>
        <v>0</v>
      </c>
      <c r="S22" s="993"/>
      <c r="T22" s="993"/>
      <c r="U22" s="993">
        <f t="shared" si="3"/>
        <v>0</v>
      </c>
      <c r="V22" s="993"/>
      <c r="W22" s="993"/>
      <c r="X22" s="993"/>
      <c r="Y22" s="993"/>
      <c r="Z22" s="993"/>
      <c r="AA22" s="993">
        <f t="shared" si="4"/>
        <v>0</v>
      </c>
      <c r="AB22" s="993">
        <f t="shared" si="4"/>
        <v>0</v>
      </c>
      <c r="AC22" s="993">
        <f t="shared" si="4"/>
        <v>0</v>
      </c>
    </row>
    <row r="23" spans="1:29" ht="21.75" customHeight="1" x14ac:dyDescent="0.4">
      <c r="A23" s="56">
        <v>19</v>
      </c>
      <c r="B23" s="65" t="s">
        <v>29</v>
      </c>
      <c r="C23" s="993"/>
      <c r="D23" s="993"/>
      <c r="E23" s="993"/>
      <c r="F23" s="993"/>
      <c r="G23" s="993"/>
      <c r="H23" s="993"/>
      <c r="I23" s="993">
        <f t="shared" si="5"/>
        <v>0</v>
      </c>
      <c r="J23" s="993"/>
      <c r="K23" s="993"/>
      <c r="L23" s="993"/>
      <c r="M23" s="993"/>
      <c r="N23" s="993"/>
      <c r="O23" s="993">
        <f t="shared" si="1"/>
        <v>0</v>
      </c>
      <c r="P23" s="993"/>
      <c r="Q23" s="993"/>
      <c r="R23" s="993">
        <f t="shared" si="2"/>
        <v>0</v>
      </c>
      <c r="S23" s="993"/>
      <c r="T23" s="993"/>
      <c r="U23" s="993">
        <f t="shared" si="3"/>
        <v>0</v>
      </c>
      <c r="V23" s="993"/>
      <c r="W23" s="993"/>
      <c r="X23" s="993"/>
      <c r="Y23" s="993"/>
      <c r="Z23" s="993"/>
      <c r="AA23" s="993">
        <f t="shared" si="4"/>
        <v>0</v>
      </c>
      <c r="AB23" s="993">
        <f t="shared" si="4"/>
        <v>0</v>
      </c>
      <c r="AC23" s="993">
        <f t="shared" si="4"/>
        <v>0</v>
      </c>
    </row>
    <row r="24" spans="1:29" ht="21.75" customHeight="1" x14ac:dyDescent="0.4">
      <c r="A24" s="56">
        <v>20</v>
      </c>
      <c r="B24" s="65" t="s">
        <v>30</v>
      </c>
      <c r="C24" s="993"/>
      <c r="D24" s="993"/>
      <c r="E24" s="993"/>
      <c r="F24" s="993"/>
      <c r="G24" s="993"/>
      <c r="H24" s="993"/>
      <c r="I24" s="993">
        <f t="shared" si="5"/>
        <v>17373</v>
      </c>
      <c r="J24" s="993">
        <v>12629</v>
      </c>
      <c r="K24" s="993">
        <v>30002</v>
      </c>
      <c r="L24" s="993">
        <f>N24-M24</f>
        <v>5657</v>
      </c>
      <c r="M24" s="993">
        <v>2882</v>
      </c>
      <c r="N24" s="993">
        <v>8539</v>
      </c>
      <c r="O24" s="993">
        <f t="shared" si="1"/>
        <v>0</v>
      </c>
      <c r="P24" s="993">
        <v>0</v>
      </c>
      <c r="Q24" s="993">
        <v>0</v>
      </c>
      <c r="R24" s="993">
        <f t="shared" si="2"/>
        <v>5</v>
      </c>
      <c r="S24" s="993">
        <v>6</v>
      </c>
      <c r="T24" s="993">
        <v>11</v>
      </c>
      <c r="U24" s="993">
        <f t="shared" si="3"/>
        <v>0</v>
      </c>
      <c r="V24" s="993">
        <v>0</v>
      </c>
      <c r="W24" s="993">
        <v>0</v>
      </c>
      <c r="X24" s="993"/>
      <c r="Y24" s="993"/>
      <c r="Z24" s="993"/>
      <c r="AA24" s="993">
        <f t="shared" si="4"/>
        <v>23035</v>
      </c>
      <c r="AB24" s="993">
        <f t="shared" si="4"/>
        <v>15517</v>
      </c>
      <c r="AC24" s="993">
        <f t="shared" si="4"/>
        <v>38552</v>
      </c>
    </row>
    <row r="25" spans="1:29" ht="21.75" customHeight="1" x14ac:dyDescent="0.4">
      <c r="A25" s="56">
        <v>21</v>
      </c>
      <c r="B25" s="65" t="s">
        <v>31</v>
      </c>
      <c r="C25" s="993"/>
      <c r="D25" s="993"/>
      <c r="E25" s="993"/>
      <c r="F25" s="993"/>
      <c r="G25" s="993"/>
      <c r="H25" s="993"/>
      <c r="I25" s="993">
        <f t="shared" si="5"/>
        <v>0</v>
      </c>
      <c r="J25" s="993"/>
      <c r="K25" s="993"/>
      <c r="L25" s="993"/>
      <c r="M25" s="993"/>
      <c r="N25" s="993"/>
      <c r="O25" s="993">
        <f t="shared" si="1"/>
        <v>0</v>
      </c>
      <c r="P25" s="993"/>
      <c r="Q25" s="993"/>
      <c r="R25" s="993">
        <f t="shared" si="2"/>
        <v>0</v>
      </c>
      <c r="S25" s="993"/>
      <c r="T25" s="993"/>
      <c r="U25" s="993">
        <f t="shared" si="3"/>
        <v>0</v>
      </c>
      <c r="V25" s="993"/>
      <c r="W25" s="993"/>
      <c r="X25" s="993"/>
      <c r="Y25" s="993"/>
      <c r="Z25" s="993"/>
      <c r="AA25" s="993">
        <f t="shared" si="4"/>
        <v>0</v>
      </c>
      <c r="AB25" s="993">
        <f t="shared" si="4"/>
        <v>0</v>
      </c>
      <c r="AC25" s="993">
        <f t="shared" si="4"/>
        <v>0</v>
      </c>
    </row>
    <row r="26" spans="1:29" ht="21.75" customHeight="1" x14ac:dyDescent="0.4">
      <c r="A26" s="56">
        <v>22</v>
      </c>
      <c r="B26" s="65" t="s">
        <v>32</v>
      </c>
      <c r="C26" s="993"/>
      <c r="D26" s="993"/>
      <c r="E26" s="993"/>
      <c r="F26" s="993"/>
      <c r="G26" s="993"/>
      <c r="H26" s="993"/>
      <c r="I26" s="993">
        <f t="shared" si="5"/>
        <v>0</v>
      </c>
      <c r="J26" s="993"/>
      <c r="K26" s="993"/>
      <c r="L26" s="993"/>
      <c r="M26" s="993"/>
      <c r="N26" s="993"/>
      <c r="O26" s="993">
        <f t="shared" si="1"/>
        <v>0</v>
      </c>
      <c r="P26" s="993"/>
      <c r="Q26" s="993"/>
      <c r="R26" s="993">
        <f t="shared" si="2"/>
        <v>0</v>
      </c>
      <c r="S26" s="993"/>
      <c r="T26" s="993"/>
      <c r="U26" s="993">
        <f t="shared" si="3"/>
        <v>0</v>
      </c>
      <c r="V26" s="993"/>
      <c r="W26" s="993"/>
      <c r="X26" s="993"/>
      <c r="Y26" s="993"/>
      <c r="Z26" s="993"/>
      <c r="AA26" s="993">
        <f t="shared" si="4"/>
        <v>0</v>
      </c>
      <c r="AB26" s="993">
        <f t="shared" si="4"/>
        <v>0</v>
      </c>
      <c r="AC26" s="993">
        <f t="shared" si="4"/>
        <v>0</v>
      </c>
    </row>
    <row r="27" spans="1:29" ht="21.75" customHeight="1" x14ac:dyDescent="0.4">
      <c r="A27" s="56">
        <v>23</v>
      </c>
      <c r="B27" s="65" t="s">
        <v>33</v>
      </c>
      <c r="C27" s="993"/>
      <c r="D27" s="993"/>
      <c r="E27" s="993"/>
      <c r="F27" s="993"/>
      <c r="G27" s="993"/>
      <c r="H27" s="993"/>
      <c r="I27" s="993">
        <f t="shared" si="5"/>
        <v>0</v>
      </c>
      <c r="J27" s="993"/>
      <c r="K27" s="993"/>
      <c r="L27" s="993"/>
      <c r="M27" s="993"/>
      <c r="N27" s="993"/>
      <c r="O27" s="993">
        <f t="shared" si="1"/>
        <v>0</v>
      </c>
      <c r="P27" s="993"/>
      <c r="Q27" s="993"/>
      <c r="R27" s="993">
        <f t="shared" si="2"/>
        <v>0</v>
      </c>
      <c r="S27" s="993"/>
      <c r="T27" s="993"/>
      <c r="U27" s="993">
        <f t="shared" si="3"/>
        <v>0</v>
      </c>
      <c r="V27" s="993"/>
      <c r="W27" s="993"/>
      <c r="X27" s="993"/>
      <c r="Y27" s="993"/>
      <c r="Z27" s="993"/>
      <c r="AA27" s="993">
        <f t="shared" si="4"/>
        <v>0</v>
      </c>
      <c r="AB27" s="993">
        <f t="shared" si="4"/>
        <v>0</v>
      </c>
      <c r="AC27" s="993">
        <f t="shared" si="4"/>
        <v>0</v>
      </c>
    </row>
    <row r="28" spans="1:29" ht="21.75" customHeight="1" x14ac:dyDescent="0.4">
      <c r="A28" s="56">
        <v>24</v>
      </c>
      <c r="B28" s="65" t="s">
        <v>34</v>
      </c>
      <c r="C28" s="993"/>
      <c r="D28" s="993"/>
      <c r="E28" s="993"/>
      <c r="F28" s="993"/>
      <c r="G28" s="993"/>
      <c r="H28" s="993"/>
      <c r="I28" s="993">
        <f t="shared" si="5"/>
        <v>0</v>
      </c>
      <c r="J28" s="993"/>
      <c r="K28" s="993"/>
      <c r="L28" s="993"/>
      <c r="M28" s="993"/>
      <c r="N28" s="993"/>
      <c r="O28" s="993">
        <f t="shared" si="1"/>
        <v>0</v>
      </c>
      <c r="P28" s="993"/>
      <c r="Q28" s="993"/>
      <c r="R28" s="993">
        <f t="shared" si="2"/>
        <v>0</v>
      </c>
      <c r="S28" s="993"/>
      <c r="T28" s="993"/>
      <c r="U28" s="993">
        <f t="shared" si="3"/>
        <v>0</v>
      </c>
      <c r="V28" s="993"/>
      <c r="W28" s="993"/>
      <c r="X28" s="993"/>
      <c r="Y28" s="993"/>
      <c r="Z28" s="993"/>
      <c r="AA28" s="993">
        <f t="shared" si="4"/>
        <v>0</v>
      </c>
      <c r="AB28" s="993">
        <f t="shared" si="4"/>
        <v>0</v>
      </c>
      <c r="AC28" s="993">
        <f t="shared" si="4"/>
        <v>0</v>
      </c>
    </row>
    <row r="29" spans="1:29" ht="21.75" customHeight="1" x14ac:dyDescent="0.4">
      <c r="A29" s="56">
        <v>25</v>
      </c>
      <c r="B29" s="65" t="s">
        <v>35</v>
      </c>
      <c r="C29" s="993"/>
      <c r="D29" s="993"/>
      <c r="E29" s="993"/>
      <c r="F29" s="993"/>
      <c r="G29" s="993"/>
      <c r="H29" s="993"/>
      <c r="I29" s="993">
        <f t="shared" si="5"/>
        <v>0</v>
      </c>
      <c r="J29" s="993"/>
      <c r="K29" s="993"/>
      <c r="L29" s="993"/>
      <c r="M29" s="993"/>
      <c r="N29" s="993"/>
      <c r="O29" s="993">
        <f t="shared" si="1"/>
        <v>0</v>
      </c>
      <c r="P29" s="993"/>
      <c r="Q29" s="993"/>
      <c r="R29" s="993">
        <f t="shared" si="2"/>
        <v>0</v>
      </c>
      <c r="S29" s="993"/>
      <c r="T29" s="993"/>
      <c r="U29" s="993">
        <f t="shared" si="3"/>
        <v>0</v>
      </c>
      <c r="V29" s="993"/>
      <c r="W29" s="993"/>
      <c r="X29" s="993"/>
      <c r="Y29" s="993"/>
      <c r="Z29" s="993"/>
      <c r="AA29" s="993">
        <f t="shared" si="4"/>
        <v>0</v>
      </c>
      <c r="AB29" s="993">
        <f t="shared" si="4"/>
        <v>0</v>
      </c>
      <c r="AC29" s="993">
        <f t="shared" si="4"/>
        <v>0</v>
      </c>
    </row>
    <row r="30" spans="1:29" ht="21.75" customHeight="1" x14ac:dyDescent="0.4">
      <c r="A30" s="56">
        <v>26</v>
      </c>
      <c r="B30" s="65" t="s">
        <v>36</v>
      </c>
      <c r="C30" s="993"/>
      <c r="D30" s="993"/>
      <c r="E30" s="993"/>
      <c r="F30" s="993"/>
      <c r="G30" s="993"/>
      <c r="H30" s="993"/>
      <c r="I30" s="993">
        <f t="shared" si="5"/>
        <v>0</v>
      </c>
      <c r="J30" s="993"/>
      <c r="K30" s="993"/>
      <c r="L30" s="993"/>
      <c r="M30" s="993"/>
      <c r="N30" s="993"/>
      <c r="O30" s="993">
        <f t="shared" si="1"/>
        <v>0</v>
      </c>
      <c r="P30" s="993"/>
      <c r="Q30" s="993"/>
      <c r="R30" s="993">
        <f t="shared" si="2"/>
        <v>0</v>
      </c>
      <c r="S30" s="993"/>
      <c r="T30" s="993"/>
      <c r="U30" s="993">
        <f t="shared" si="3"/>
        <v>0</v>
      </c>
      <c r="V30" s="993"/>
      <c r="W30" s="993"/>
      <c r="X30" s="993"/>
      <c r="Y30" s="993"/>
      <c r="Z30" s="993"/>
      <c r="AA30" s="993">
        <f t="shared" si="4"/>
        <v>0</v>
      </c>
      <c r="AB30" s="993">
        <f t="shared" si="4"/>
        <v>0</v>
      </c>
      <c r="AC30" s="993">
        <f t="shared" si="4"/>
        <v>0</v>
      </c>
    </row>
    <row r="31" spans="1:29" ht="21.75" customHeight="1" x14ac:dyDescent="0.4">
      <c r="A31" s="56">
        <v>27</v>
      </c>
      <c r="B31" s="65" t="s">
        <v>37</v>
      </c>
      <c r="C31" s="993"/>
      <c r="D31" s="993"/>
      <c r="E31" s="993"/>
      <c r="F31" s="993"/>
      <c r="G31" s="993"/>
      <c r="H31" s="993"/>
      <c r="I31" s="993">
        <f t="shared" si="5"/>
        <v>4137</v>
      </c>
      <c r="J31" s="993">
        <v>2037</v>
      </c>
      <c r="K31" s="993">
        <v>6174</v>
      </c>
      <c r="L31" s="993">
        <f>N31-M31</f>
        <v>2835</v>
      </c>
      <c r="M31" s="993">
        <v>913</v>
      </c>
      <c r="N31" s="993">
        <v>3748</v>
      </c>
      <c r="O31" s="993">
        <f t="shared" si="1"/>
        <v>0</v>
      </c>
      <c r="P31" s="993">
        <v>0</v>
      </c>
      <c r="Q31" s="993">
        <v>0</v>
      </c>
      <c r="R31" s="993">
        <f t="shared" si="2"/>
        <v>0</v>
      </c>
      <c r="S31" s="993">
        <v>0</v>
      </c>
      <c r="T31" s="993">
        <v>0</v>
      </c>
      <c r="U31" s="993">
        <f t="shared" si="3"/>
        <v>0</v>
      </c>
      <c r="V31" s="993">
        <v>0</v>
      </c>
      <c r="W31" s="993">
        <v>0</v>
      </c>
      <c r="X31" s="993"/>
      <c r="Y31" s="993"/>
      <c r="Z31" s="993"/>
      <c r="AA31" s="993">
        <f t="shared" si="4"/>
        <v>6972</v>
      </c>
      <c r="AB31" s="993">
        <f t="shared" si="4"/>
        <v>2950</v>
      </c>
      <c r="AC31" s="993">
        <f t="shared" si="4"/>
        <v>9922</v>
      </c>
    </row>
    <row r="32" spans="1:29" ht="21.75" customHeight="1" x14ac:dyDescent="0.4">
      <c r="A32" s="56">
        <v>28</v>
      </c>
      <c r="B32" s="65" t="s">
        <v>38</v>
      </c>
      <c r="C32" s="993"/>
      <c r="D32" s="993"/>
      <c r="E32" s="993"/>
      <c r="F32" s="993"/>
      <c r="G32" s="993"/>
      <c r="H32" s="993"/>
      <c r="I32" s="993">
        <f t="shared" si="5"/>
        <v>5697</v>
      </c>
      <c r="J32" s="993">
        <v>3167</v>
      </c>
      <c r="K32" s="993">
        <v>8864</v>
      </c>
      <c r="L32" s="993">
        <f>N32-M32</f>
        <v>6740</v>
      </c>
      <c r="M32" s="993">
        <v>2386</v>
      </c>
      <c r="N32" s="993">
        <v>9126</v>
      </c>
      <c r="O32" s="993">
        <f t="shared" si="1"/>
        <v>54</v>
      </c>
      <c r="P32" s="993">
        <v>10</v>
      </c>
      <c r="Q32" s="993">
        <v>64</v>
      </c>
      <c r="R32" s="993">
        <f t="shared" si="2"/>
        <v>0</v>
      </c>
      <c r="S32" s="993">
        <v>0</v>
      </c>
      <c r="T32" s="993">
        <v>0</v>
      </c>
      <c r="U32" s="993">
        <f t="shared" si="3"/>
        <v>0</v>
      </c>
      <c r="V32" s="993">
        <v>0</v>
      </c>
      <c r="W32" s="993">
        <v>0</v>
      </c>
      <c r="X32" s="993"/>
      <c r="Y32" s="993"/>
      <c r="Z32" s="993"/>
      <c r="AA32" s="993">
        <f t="shared" si="4"/>
        <v>12491</v>
      </c>
      <c r="AB32" s="993">
        <f t="shared" si="4"/>
        <v>5563</v>
      </c>
      <c r="AC32" s="993">
        <f t="shared" si="4"/>
        <v>18054</v>
      </c>
    </row>
    <row r="33" spans="1:29" ht="21.75" customHeight="1" x14ac:dyDescent="0.4">
      <c r="A33" s="56">
        <v>29</v>
      </c>
      <c r="B33" s="65" t="s">
        <v>39</v>
      </c>
      <c r="C33" s="993"/>
      <c r="D33" s="993"/>
      <c r="E33" s="993"/>
      <c r="F33" s="993"/>
      <c r="G33" s="993"/>
      <c r="H33" s="993"/>
      <c r="I33" s="993">
        <f t="shared" si="5"/>
        <v>0</v>
      </c>
      <c r="J33" s="993"/>
      <c r="K33" s="993"/>
      <c r="L33" s="993"/>
      <c r="M33" s="993"/>
      <c r="N33" s="993"/>
      <c r="O33" s="993">
        <f t="shared" si="1"/>
        <v>0</v>
      </c>
      <c r="P33" s="993"/>
      <c r="Q33" s="993"/>
      <c r="R33" s="993">
        <f t="shared" si="2"/>
        <v>0</v>
      </c>
      <c r="S33" s="993"/>
      <c r="T33" s="993"/>
      <c r="U33" s="993">
        <f t="shared" si="3"/>
        <v>0</v>
      </c>
      <c r="V33" s="993"/>
      <c r="W33" s="993"/>
      <c r="X33" s="993"/>
      <c r="Y33" s="993"/>
      <c r="Z33" s="993"/>
      <c r="AA33" s="993">
        <f t="shared" si="4"/>
        <v>0</v>
      </c>
      <c r="AB33" s="993">
        <f t="shared" si="4"/>
        <v>0</v>
      </c>
      <c r="AC33" s="993">
        <f t="shared" si="4"/>
        <v>0</v>
      </c>
    </row>
    <row r="34" spans="1:29" ht="21.75" customHeight="1" x14ac:dyDescent="0.4">
      <c r="A34" s="56">
        <v>30</v>
      </c>
      <c r="B34" s="65" t="s">
        <v>40</v>
      </c>
      <c r="C34" s="993"/>
      <c r="D34" s="993"/>
      <c r="E34" s="993"/>
      <c r="F34" s="993"/>
      <c r="G34" s="993"/>
      <c r="H34" s="993"/>
      <c r="I34" s="993">
        <f t="shared" si="5"/>
        <v>2604</v>
      </c>
      <c r="J34" s="993">
        <v>1438</v>
      </c>
      <c r="K34" s="993">
        <v>4042</v>
      </c>
      <c r="L34" s="993">
        <f>N34-M34</f>
        <v>2662</v>
      </c>
      <c r="M34" s="993">
        <v>719</v>
      </c>
      <c r="N34" s="993">
        <v>3381</v>
      </c>
      <c r="O34" s="993">
        <f t="shared" si="1"/>
        <v>0</v>
      </c>
      <c r="P34" s="993">
        <v>0</v>
      </c>
      <c r="Q34" s="993">
        <v>0</v>
      </c>
      <c r="R34" s="993">
        <f t="shared" si="2"/>
        <v>5346</v>
      </c>
      <c r="S34" s="993">
        <v>1984</v>
      </c>
      <c r="T34" s="993">
        <v>7330</v>
      </c>
      <c r="U34" s="993">
        <f t="shared" si="3"/>
        <v>12097</v>
      </c>
      <c r="V34" s="993">
        <v>4595</v>
      </c>
      <c r="W34" s="993">
        <v>16692</v>
      </c>
      <c r="X34" s="993"/>
      <c r="Y34" s="993"/>
      <c r="Z34" s="993"/>
      <c r="AA34" s="993">
        <f t="shared" si="4"/>
        <v>22709</v>
      </c>
      <c r="AB34" s="993">
        <f t="shared" si="4"/>
        <v>8736</v>
      </c>
      <c r="AC34" s="993">
        <f t="shared" si="4"/>
        <v>31445</v>
      </c>
    </row>
    <row r="35" spans="1:29" ht="21.75" customHeight="1" x14ac:dyDescent="0.4">
      <c r="A35" s="56">
        <v>31</v>
      </c>
      <c r="B35" s="65" t="s">
        <v>41</v>
      </c>
      <c r="C35" s="993"/>
      <c r="D35" s="993"/>
      <c r="E35" s="993"/>
      <c r="F35" s="993"/>
      <c r="G35" s="993"/>
      <c r="H35" s="993"/>
      <c r="I35" s="993">
        <f t="shared" si="5"/>
        <v>429</v>
      </c>
      <c r="J35" s="993">
        <v>372</v>
      </c>
      <c r="K35" s="993">
        <v>801</v>
      </c>
      <c r="L35" s="993"/>
      <c r="M35" s="993">
        <v>0</v>
      </c>
      <c r="N35" s="993">
        <v>0</v>
      </c>
      <c r="O35" s="993">
        <f t="shared" si="1"/>
        <v>0</v>
      </c>
      <c r="P35" s="993">
        <v>0</v>
      </c>
      <c r="Q35" s="993">
        <v>0</v>
      </c>
      <c r="R35" s="993">
        <f t="shared" si="2"/>
        <v>0</v>
      </c>
      <c r="S35" s="993">
        <v>0</v>
      </c>
      <c r="T35" s="993">
        <v>0</v>
      </c>
      <c r="U35" s="993">
        <f t="shared" si="3"/>
        <v>0</v>
      </c>
      <c r="V35" s="993">
        <v>0</v>
      </c>
      <c r="W35" s="993">
        <v>0</v>
      </c>
      <c r="X35" s="993"/>
      <c r="Y35" s="993"/>
      <c r="Z35" s="993"/>
      <c r="AA35" s="993">
        <f t="shared" si="4"/>
        <v>429</v>
      </c>
      <c r="AB35" s="993">
        <f t="shared" si="4"/>
        <v>372</v>
      </c>
      <c r="AC35" s="993">
        <f t="shared" si="4"/>
        <v>801</v>
      </c>
    </row>
    <row r="36" spans="1:29" ht="39" customHeight="1" x14ac:dyDescent="0.4">
      <c r="A36" s="56">
        <v>32</v>
      </c>
      <c r="B36" s="64" t="s">
        <v>60</v>
      </c>
      <c r="C36" s="993"/>
      <c r="D36" s="993"/>
      <c r="E36" s="993"/>
      <c r="F36" s="993"/>
      <c r="G36" s="993"/>
      <c r="H36" s="993"/>
      <c r="I36" s="993">
        <f t="shared" si="5"/>
        <v>0</v>
      </c>
      <c r="J36" s="993"/>
      <c r="K36" s="993"/>
      <c r="L36" s="993"/>
      <c r="M36" s="993"/>
      <c r="N36" s="993"/>
      <c r="O36" s="993">
        <f t="shared" si="1"/>
        <v>0</v>
      </c>
      <c r="P36" s="993"/>
      <c r="Q36" s="993"/>
      <c r="R36" s="993">
        <f t="shared" si="2"/>
        <v>0</v>
      </c>
      <c r="S36" s="993"/>
      <c r="T36" s="993"/>
      <c r="U36" s="993">
        <f t="shared" si="3"/>
        <v>0</v>
      </c>
      <c r="V36" s="993"/>
      <c r="W36" s="993"/>
      <c r="X36" s="993"/>
      <c r="Y36" s="993"/>
      <c r="Z36" s="993"/>
      <c r="AA36" s="993">
        <f t="shared" si="4"/>
        <v>0</v>
      </c>
      <c r="AB36" s="993">
        <f t="shared" si="4"/>
        <v>0</v>
      </c>
      <c r="AC36" s="993">
        <f t="shared" si="4"/>
        <v>0</v>
      </c>
    </row>
    <row r="37" spans="1:29" ht="21.75" customHeight="1" x14ac:dyDescent="0.4">
      <c r="A37" s="56">
        <v>33</v>
      </c>
      <c r="B37" s="65" t="s">
        <v>42</v>
      </c>
      <c r="C37" s="993"/>
      <c r="D37" s="993"/>
      <c r="E37" s="993"/>
      <c r="F37" s="993"/>
      <c r="G37" s="993"/>
      <c r="H37" s="993"/>
      <c r="I37" s="993">
        <f t="shared" si="5"/>
        <v>0</v>
      </c>
      <c r="J37" s="993"/>
      <c r="K37" s="993"/>
      <c r="L37" s="993"/>
      <c r="M37" s="993"/>
      <c r="N37" s="993"/>
      <c r="O37" s="993">
        <f t="shared" si="1"/>
        <v>0</v>
      </c>
      <c r="P37" s="993"/>
      <c r="Q37" s="993"/>
      <c r="R37" s="993">
        <f t="shared" si="2"/>
        <v>0</v>
      </c>
      <c r="S37" s="993"/>
      <c r="T37" s="993"/>
      <c r="U37" s="993">
        <f t="shared" si="3"/>
        <v>0</v>
      </c>
      <c r="V37" s="993"/>
      <c r="W37" s="993"/>
      <c r="X37" s="993"/>
      <c r="Y37" s="993"/>
      <c r="Z37" s="993"/>
      <c r="AA37" s="993">
        <f t="shared" si="4"/>
        <v>0</v>
      </c>
      <c r="AB37" s="993">
        <f t="shared" si="4"/>
        <v>0</v>
      </c>
      <c r="AC37" s="993">
        <f t="shared" si="4"/>
        <v>0</v>
      </c>
    </row>
    <row r="38" spans="1:29" ht="21.75" customHeight="1" x14ac:dyDescent="0.4">
      <c r="A38" s="56">
        <v>34</v>
      </c>
      <c r="B38" s="65" t="s">
        <v>43</v>
      </c>
      <c r="C38" s="993"/>
      <c r="D38" s="993"/>
      <c r="E38" s="993"/>
      <c r="F38" s="993"/>
      <c r="G38" s="993"/>
      <c r="H38" s="993"/>
      <c r="I38" s="993">
        <f t="shared" si="5"/>
        <v>4840</v>
      </c>
      <c r="J38" s="993">
        <v>4156</v>
      </c>
      <c r="K38" s="993">
        <v>8996</v>
      </c>
      <c r="L38" s="993">
        <f>N38-M38</f>
        <v>8244</v>
      </c>
      <c r="M38" s="993">
        <v>4733</v>
      </c>
      <c r="N38" s="993">
        <v>12977</v>
      </c>
      <c r="O38" s="993">
        <f t="shared" si="1"/>
        <v>0</v>
      </c>
      <c r="P38" s="993">
        <v>0</v>
      </c>
      <c r="Q38" s="993">
        <v>0</v>
      </c>
      <c r="R38" s="993">
        <f t="shared" si="2"/>
        <v>0</v>
      </c>
      <c r="S38" s="993">
        <v>0</v>
      </c>
      <c r="T38" s="993">
        <v>0</v>
      </c>
      <c r="U38" s="993">
        <f t="shared" si="3"/>
        <v>0</v>
      </c>
      <c r="V38" s="993">
        <v>0</v>
      </c>
      <c r="W38" s="993">
        <v>0</v>
      </c>
      <c r="X38" s="993"/>
      <c r="Y38" s="993"/>
      <c r="Z38" s="993"/>
      <c r="AA38" s="993">
        <f t="shared" si="4"/>
        <v>13084</v>
      </c>
      <c r="AB38" s="993">
        <f t="shared" si="4"/>
        <v>8889</v>
      </c>
      <c r="AC38" s="993">
        <f t="shared" si="4"/>
        <v>21973</v>
      </c>
    </row>
    <row r="39" spans="1:29" ht="21.75" customHeight="1" x14ac:dyDescent="0.4">
      <c r="A39" s="56">
        <v>35</v>
      </c>
      <c r="B39" s="65" t="s">
        <v>44</v>
      </c>
      <c r="C39" s="993"/>
      <c r="D39" s="993"/>
      <c r="E39" s="993"/>
      <c r="F39" s="993"/>
      <c r="G39" s="993"/>
      <c r="H39" s="993"/>
      <c r="I39" s="993">
        <f t="shared" si="5"/>
        <v>829</v>
      </c>
      <c r="J39" s="993">
        <v>338</v>
      </c>
      <c r="K39" s="993">
        <v>1167</v>
      </c>
      <c r="L39" s="993">
        <f>N39-M39</f>
        <v>377</v>
      </c>
      <c r="M39" s="993">
        <v>107</v>
      </c>
      <c r="N39" s="993">
        <v>484</v>
      </c>
      <c r="O39" s="993">
        <f t="shared" si="1"/>
        <v>0</v>
      </c>
      <c r="P39" s="993">
        <v>0</v>
      </c>
      <c r="Q39" s="993">
        <v>0</v>
      </c>
      <c r="R39" s="993">
        <f t="shared" si="2"/>
        <v>0</v>
      </c>
      <c r="S39" s="993">
        <v>0</v>
      </c>
      <c r="T39" s="993">
        <v>0</v>
      </c>
      <c r="U39" s="993">
        <f t="shared" si="3"/>
        <v>0</v>
      </c>
      <c r="V39" s="993">
        <v>0</v>
      </c>
      <c r="W39" s="993">
        <v>0</v>
      </c>
      <c r="X39" s="993"/>
      <c r="Y39" s="993"/>
      <c r="Z39" s="993"/>
      <c r="AA39" s="993">
        <f t="shared" si="4"/>
        <v>1206</v>
      </c>
      <c r="AB39" s="993">
        <f t="shared" si="4"/>
        <v>445</v>
      </c>
      <c r="AC39" s="993">
        <f t="shared" si="4"/>
        <v>1651</v>
      </c>
    </row>
    <row r="40" spans="1:29" ht="21.75" customHeight="1" x14ac:dyDescent="0.4">
      <c r="A40" s="56">
        <v>36</v>
      </c>
      <c r="B40" s="65" t="s">
        <v>45</v>
      </c>
      <c r="C40" s="993"/>
      <c r="D40" s="993"/>
      <c r="E40" s="993"/>
      <c r="F40" s="993"/>
      <c r="G40" s="993"/>
      <c r="H40" s="993"/>
      <c r="I40" s="993">
        <f t="shared" si="5"/>
        <v>19</v>
      </c>
      <c r="J40" s="993">
        <v>11</v>
      </c>
      <c r="K40" s="993">
        <v>30</v>
      </c>
      <c r="L40" s="993"/>
      <c r="M40" s="993">
        <v>0</v>
      </c>
      <c r="N40" s="993">
        <v>0</v>
      </c>
      <c r="O40" s="993">
        <f t="shared" si="1"/>
        <v>0</v>
      </c>
      <c r="P40" s="993">
        <v>0</v>
      </c>
      <c r="Q40" s="993">
        <v>0</v>
      </c>
      <c r="R40" s="993">
        <f t="shared" si="2"/>
        <v>0</v>
      </c>
      <c r="S40" s="993">
        <v>0</v>
      </c>
      <c r="T40" s="993">
        <v>0</v>
      </c>
      <c r="U40" s="993">
        <f t="shared" si="3"/>
        <v>0</v>
      </c>
      <c r="V40" s="993">
        <v>0</v>
      </c>
      <c r="W40" s="993">
        <v>0</v>
      </c>
      <c r="X40" s="993"/>
      <c r="Y40" s="993"/>
      <c r="Z40" s="993"/>
      <c r="AA40" s="993">
        <f t="shared" si="4"/>
        <v>19</v>
      </c>
      <c r="AB40" s="993">
        <f t="shared" si="4"/>
        <v>11</v>
      </c>
      <c r="AC40" s="993">
        <f t="shared" si="4"/>
        <v>30</v>
      </c>
    </row>
    <row r="41" spans="1:29" x14ac:dyDescent="0.4">
      <c r="A41" s="734" t="s">
        <v>46</v>
      </c>
      <c r="B41" s="734"/>
      <c r="C41" s="994">
        <v>1</v>
      </c>
      <c r="D41" s="994">
        <v>0</v>
      </c>
      <c r="E41" s="994">
        <v>1</v>
      </c>
      <c r="F41" s="994">
        <v>0</v>
      </c>
      <c r="G41" s="994">
        <v>0</v>
      </c>
      <c r="H41" s="994">
        <v>0</v>
      </c>
      <c r="I41" s="994">
        <v>46169</v>
      </c>
      <c r="J41" s="994">
        <v>29055</v>
      </c>
      <c r="K41" s="994">
        <v>75224</v>
      </c>
      <c r="L41" s="994">
        <v>34001</v>
      </c>
      <c r="M41" s="994">
        <v>14908</v>
      </c>
      <c r="N41" s="994">
        <v>48909</v>
      </c>
      <c r="O41" s="994">
        <v>1204</v>
      </c>
      <c r="P41" s="994">
        <v>531</v>
      </c>
      <c r="Q41" s="994">
        <v>1735</v>
      </c>
      <c r="R41" s="994">
        <v>5932</v>
      </c>
      <c r="S41" s="994">
        <v>2658</v>
      </c>
      <c r="T41" s="994">
        <v>8590</v>
      </c>
      <c r="U41" s="994">
        <v>12106</v>
      </c>
      <c r="V41" s="994">
        <v>4644</v>
      </c>
      <c r="W41" s="994">
        <v>16750</v>
      </c>
      <c r="X41" s="994"/>
      <c r="Y41" s="994"/>
      <c r="Z41" s="994"/>
      <c r="AA41" s="994">
        <f t="shared" si="4"/>
        <v>99413</v>
      </c>
      <c r="AB41" s="994">
        <f t="shared" si="4"/>
        <v>51796</v>
      </c>
      <c r="AC41" s="994">
        <f t="shared" si="4"/>
        <v>151209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9055118110236227" right="0.35433070866141736" top="0.39370078740157483" bottom="0.39370078740157483" header="0.31496062992125984" footer="0.19685039370078741"/>
  <pageSetup paperSize="9" scale="75" firstPageNumber="15" orientation="portrait" r:id="rId1"/>
  <headerFooter>
    <oddFooter>&amp;L&amp;"Arial,Italic"&amp;9AISHE 2022-23&amp;RT-6d</oddFooter>
  </headerFooter>
  <colBreaks count="2" manualBreakCount="2">
    <brk id="11" max="40" man="1"/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749B-6D19-4FE6-BE15-A1F16857CF39}">
  <sheetPr codeName="Sheet12">
    <tabColor rgb="FF92D050"/>
  </sheetPr>
  <dimension ref="A1:AE42"/>
  <sheetViews>
    <sheetView showZeros="0" view="pageBreakPreview" zoomScaleSheetLayoutView="100" workbookViewId="0">
      <pane xSplit="2" ySplit="3" topLeftCell="C22" activePane="bottomRight" state="frozen"/>
      <selection activeCell="S20" sqref="S20"/>
      <selection pane="topRight" activeCell="S20" sqref="S20"/>
      <selection pane="bottomLeft" activeCell="S20" sqref="S20"/>
      <selection pane="bottomRight" activeCell="A32" sqref="A32"/>
    </sheetView>
  </sheetViews>
  <sheetFormatPr defaultColWidth="9.26953125" defaultRowHeight="15.5" x14ac:dyDescent="0.35"/>
  <cols>
    <col min="1" max="1" width="14.6328125" style="78" customWidth="1"/>
    <col min="2" max="2" width="30.26953125" style="78" bestFit="1" customWidth="1"/>
    <col min="3" max="3" width="6.81640625" style="78" bestFit="1" customWidth="1"/>
    <col min="4" max="4" width="11.7265625" style="78" bestFit="1" customWidth="1"/>
    <col min="5" max="5" width="9.54296875" style="78" bestFit="1" customWidth="1"/>
    <col min="6" max="6" width="7.90625" style="78" bestFit="1" customWidth="1"/>
    <col min="7" max="7" width="9.54296875" style="78" bestFit="1" customWidth="1"/>
    <col min="8" max="8" width="5.6328125" style="78" bestFit="1" customWidth="1"/>
    <col min="9" max="9" width="7.6328125" style="78" bestFit="1" customWidth="1"/>
    <col min="10" max="10" width="6.81640625" style="78" bestFit="1" customWidth="1"/>
    <col min="11" max="16" width="10.6328125" style="78" bestFit="1" customWidth="1"/>
    <col min="17" max="18" width="7.90625" style="78" bestFit="1" customWidth="1"/>
    <col min="19" max="20" width="9.54296875" style="78" bestFit="1" customWidth="1"/>
    <col min="21" max="21" width="9.54296875" style="78" customWidth="1"/>
    <col min="22" max="22" width="9.54296875" style="78" bestFit="1" customWidth="1"/>
    <col min="23" max="25" width="7.90625" style="78" bestFit="1" customWidth="1"/>
    <col min="26" max="26" width="9.54296875" style="78" bestFit="1" customWidth="1"/>
    <col min="27" max="27" width="7.90625" style="78" bestFit="1" customWidth="1"/>
    <col min="28" max="28" width="9.54296875" style="78" bestFit="1" customWidth="1"/>
    <col min="29" max="30" width="10.6328125" style="78" bestFit="1" customWidth="1"/>
    <col min="31" max="31" width="12.26953125" style="78" bestFit="1" customWidth="1"/>
    <col min="32" max="16384" width="9.26953125" style="78"/>
  </cols>
  <sheetData>
    <row r="1" spans="1:31" s="66" customFormat="1" ht="48" customHeight="1" x14ac:dyDescent="0.35">
      <c r="B1" s="26" t="s">
        <v>99</v>
      </c>
      <c r="C1" s="743" t="s">
        <v>1011</v>
      </c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 t="str">
        <f>C1</f>
        <v>State/UTs-wise Enrolment in Universities Teaching Departments and it's Constituent Units/Off-campus Centres
(Based on Actual Response)</v>
      </c>
      <c r="O1" s="743"/>
      <c r="P1" s="743"/>
      <c r="Q1" s="743"/>
      <c r="R1" s="743"/>
      <c r="S1" s="743"/>
      <c r="T1" s="743"/>
      <c r="U1" s="743"/>
      <c r="V1" s="743"/>
      <c r="W1" s="743" t="str">
        <f>C1</f>
        <v>State/UTs-wise Enrolment in Universities Teaching Departments and it's Constituent Units/Off-campus Centres
(Based on Actual Response)</v>
      </c>
      <c r="X1" s="743"/>
      <c r="Y1" s="743"/>
      <c r="Z1" s="743"/>
      <c r="AA1" s="743"/>
      <c r="AB1" s="743"/>
      <c r="AC1" s="743"/>
      <c r="AD1" s="743"/>
      <c r="AE1" s="743"/>
    </row>
    <row r="2" spans="1:31" s="68" customFormat="1" ht="33" customHeight="1" x14ac:dyDescent="0.35">
      <c r="A2" s="744" t="s">
        <v>84</v>
      </c>
      <c r="B2" s="746" t="s">
        <v>1005</v>
      </c>
      <c r="C2" s="746" t="s">
        <v>1034</v>
      </c>
      <c r="D2" s="746"/>
      <c r="E2" s="747" t="s">
        <v>85</v>
      </c>
      <c r="F2" s="748"/>
      <c r="G2" s="749"/>
      <c r="H2" s="747" t="s">
        <v>86</v>
      </c>
      <c r="I2" s="748"/>
      <c r="J2" s="749"/>
      <c r="K2" s="747" t="s">
        <v>87</v>
      </c>
      <c r="L2" s="748"/>
      <c r="M2" s="749"/>
      <c r="N2" s="747" t="s">
        <v>88</v>
      </c>
      <c r="O2" s="748"/>
      <c r="P2" s="749"/>
      <c r="Q2" s="747" t="s">
        <v>89</v>
      </c>
      <c r="R2" s="748"/>
      <c r="S2" s="749"/>
      <c r="T2" s="747" t="s">
        <v>90</v>
      </c>
      <c r="U2" s="748"/>
      <c r="V2" s="749"/>
      <c r="W2" s="747" t="s">
        <v>91</v>
      </c>
      <c r="X2" s="748"/>
      <c r="Y2" s="749"/>
      <c r="Z2" s="747" t="s">
        <v>92</v>
      </c>
      <c r="AA2" s="748"/>
      <c r="AB2" s="749"/>
      <c r="AC2" s="747" t="s">
        <v>12</v>
      </c>
      <c r="AD2" s="748"/>
      <c r="AE2" s="749"/>
    </row>
    <row r="3" spans="1:31" s="71" customFormat="1" ht="24.75" customHeight="1" x14ac:dyDescent="0.35">
      <c r="A3" s="745"/>
      <c r="B3" s="746"/>
      <c r="C3" s="67" t="s">
        <v>54</v>
      </c>
      <c r="D3" s="69" t="s">
        <v>100</v>
      </c>
      <c r="E3" s="70" t="s">
        <v>93</v>
      </c>
      <c r="F3" s="70" t="s">
        <v>94</v>
      </c>
      <c r="G3" s="70" t="s">
        <v>54</v>
      </c>
      <c r="H3" s="70" t="s">
        <v>93</v>
      </c>
      <c r="I3" s="70" t="s">
        <v>94</v>
      </c>
      <c r="J3" s="70" t="s">
        <v>54</v>
      </c>
      <c r="K3" s="70" t="s">
        <v>93</v>
      </c>
      <c r="L3" s="70" t="s">
        <v>94</v>
      </c>
      <c r="M3" s="70" t="s">
        <v>54</v>
      </c>
      <c r="N3" s="70" t="s">
        <v>93</v>
      </c>
      <c r="O3" s="70" t="s">
        <v>94</v>
      </c>
      <c r="P3" s="70" t="s">
        <v>54</v>
      </c>
      <c r="Q3" s="70" t="s">
        <v>93</v>
      </c>
      <c r="R3" s="70" t="s">
        <v>94</v>
      </c>
      <c r="S3" s="70" t="s">
        <v>54</v>
      </c>
      <c r="T3" s="70" t="s">
        <v>93</v>
      </c>
      <c r="U3" s="70" t="s">
        <v>94</v>
      </c>
      <c r="V3" s="70" t="s">
        <v>54</v>
      </c>
      <c r="W3" s="70" t="s">
        <v>93</v>
      </c>
      <c r="X3" s="70" t="s">
        <v>94</v>
      </c>
      <c r="Y3" s="70" t="s">
        <v>54</v>
      </c>
      <c r="Z3" s="70" t="s">
        <v>93</v>
      </c>
      <c r="AA3" s="70" t="s">
        <v>94</v>
      </c>
      <c r="AB3" s="70" t="s">
        <v>54</v>
      </c>
      <c r="AC3" s="70" t="s">
        <v>93</v>
      </c>
      <c r="AD3" s="70" t="s">
        <v>94</v>
      </c>
      <c r="AE3" s="70" t="s">
        <v>54</v>
      </c>
    </row>
    <row r="4" spans="1:31" s="555" customFormat="1" ht="15" customHeight="1" x14ac:dyDescent="0.35">
      <c r="A4" s="554">
        <v>1</v>
      </c>
      <c r="B4" s="554">
        <v>2</v>
      </c>
      <c r="C4" s="554">
        <v>3</v>
      </c>
      <c r="D4" s="554">
        <v>4</v>
      </c>
      <c r="E4" s="554">
        <v>5</v>
      </c>
      <c r="F4" s="554">
        <v>6</v>
      </c>
      <c r="G4" s="554">
        <v>7</v>
      </c>
      <c r="H4" s="554">
        <v>8</v>
      </c>
      <c r="I4" s="554">
        <v>9</v>
      </c>
      <c r="J4" s="554">
        <v>10</v>
      </c>
      <c r="K4" s="554">
        <v>11</v>
      </c>
      <c r="L4" s="554">
        <v>12</v>
      </c>
      <c r="M4" s="554">
        <v>13</v>
      </c>
      <c r="N4" s="554">
        <v>14</v>
      </c>
      <c r="O4" s="554">
        <v>15</v>
      </c>
      <c r="P4" s="554">
        <v>16</v>
      </c>
      <c r="Q4" s="554">
        <v>17</v>
      </c>
      <c r="R4" s="554">
        <v>18</v>
      </c>
      <c r="S4" s="554">
        <v>19</v>
      </c>
      <c r="T4" s="554">
        <v>20</v>
      </c>
      <c r="U4" s="554">
        <v>21</v>
      </c>
      <c r="V4" s="554">
        <v>22</v>
      </c>
      <c r="W4" s="554">
        <v>23</v>
      </c>
      <c r="X4" s="554">
        <v>24</v>
      </c>
      <c r="Y4" s="554">
        <v>25</v>
      </c>
      <c r="Z4" s="554">
        <v>26</v>
      </c>
      <c r="AA4" s="554">
        <v>27</v>
      </c>
      <c r="AB4" s="554">
        <v>28</v>
      </c>
      <c r="AC4" s="554">
        <v>29</v>
      </c>
      <c r="AD4" s="554">
        <v>30</v>
      </c>
      <c r="AE4" s="554">
        <v>31</v>
      </c>
    </row>
    <row r="5" spans="1:31" s="71" customFormat="1" ht="21" customHeight="1" x14ac:dyDescent="0.35">
      <c r="A5" s="15">
        <v>1</v>
      </c>
      <c r="B5" s="72" t="s">
        <v>58</v>
      </c>
      <c r="C5" s="631"/>
      <c r="D5" s="631"/>
      <c r="E5" s="631">
        <v>0</v>
      </c>
      <c r="F5" s="631"/>
      <c r="G5" s="631"/>
      <c r="H5" s="631">
        <v>0</v>
      </c>
      <c r="I5" s="631"/>
      <c r="J5" s="631"/>
      <c r="K5" s="631">
        <v>534</v>
      </c>
      <c r="L5" s="631">
        <v>751</v>
      </c>
      <c r="M5" s="631">
        <v>1285</v>
      </c>
      <c r="N5" s="631">
        <v>1638</v>
      </c>
      <c r="O5" s="631">
        <v>1257</v>
      </c>
      <c r="P5" s="631">
        <v>2895</v>
      </c>
      <c r="Q5" s="631">
        <v>34</v>
      </c>
      <c r="R5" s="631">
        <v>41</v>
      </c>
      <c r="S5" s="631">
        <v>75</v>
      </c>
      <c r="T5" s="631">
        <v>14</v>
      </c>
      <c r="U5" s="631">
        <v>22</v>
      </c>
      <c r="V5" s="631">
        <v>36</v>
      </c>
      <c r="W5" s="631">
        <v>0</v>
      </c>
      <c r="X5" s="631">
        <v>0</v>
      </c>
      <c r="Y5" s="631">
        <v>0</v>
      </c>
      <c r="Z5" s="631">
        <v>0</v>
      </c>
      <c r="AA5" s="631"/>
      <c r="AB5" s="631"/>
      <c r="AC5" s="631">
        <v>2220</v>
      </c>
      <c r="AD5" s="631">
        <v>2071</v>
      </c>
      <c r="AE5" s="631">
        <v>4291</v>
      </c>
    </row>
    <row r="6" spans="1:31" s="71" customFormat="1" ht="21.75" customHeight="1" x14ac:dyDescent="0.35">
      <c r="A6" s="15">
        <v>2</v>
      </c>
      <c r="B6" s="73" t="s">
        <v>13</v>
      </c>
      <c r="C6" s="631">
        <v>51</v>
      </c>
      <c r="D6" s="631">
        <v>51</v>
      </c>
      <c r="E6" s="631">
        <v>2683</v>
      </c>
      <c r="F6" s="631">
        <v>2248</v>
      </c>
      <c r="G6" s="631">
        <v>4931</v>
      </c>
      <c r="H6" s="631">
        <v>0</v>
      </c>
      <c r="I6" s="631"/>
      <c r="J6" s="631"/>
      <c r="K6" s="631">
        <v>42360</v>
      </c>
      <c r="L6" s="631">
        <v>40996</v>
      </c>
      <c r="M6" s="631">
        <v>83356</v>
      </c>
      <c r="N6" s="631">
        <v>147958</v>
      </c>
      <c r="O6" s="631">
        <v>112841</v>
      </c>
      <c r="P6" s="631">
        <v>260799</v>
      </c>
      <c r="Q6" s="631">
        <v>718</v>
      </c>
      <c r="R6" s="631">
        <v>419</v>
      </c>
      <c r="S6" s="631">
        <v>1137</v>
      </c>
      <c r="T6" s="631">
        <v>683</v>
      </c>
      <c r="U6" s="631">
        <v>834</v>
      </c>
      <c r="V6" s="631">
        <v>1517</v>
      </c>
      <c r="W6" s="631">
        <v>71</v>
      </c>
      <c r="X6" s="631">
        <v>51</v>
      </c>
      <c r="Y6" s="631">
        <v>122</v>
      </c>
      <c r="Z6" s="631">
        <v>2501</v>
      </c>
      <c r="AA6" s="631">
        <v>2393</v>
      </c>
      <c r="AB6" s="631">
        <v>4894</v>
      </c>
      <c r="AC6" s="631">
        <v>196974</v>
      </c>
      <c r="AD6" s="631">
        <v>159782</v>
      </c>
      <c r="AE6" s="631">
        <v>356756</v>
      </c>
    </row>
    <row r="7" spans="1:31" s="71" customFormat="1" ht="21.75" customHeight="1" x14ac:dyDescent="0.35">
      <c r="A7" s="15">
        <v>3</v>
      </c>
      <c r="B7" s="73" t="s">
        <v>14</v>
      </c>
      <c r="C7" s="631">
        <v>10</v>
      </c>
      <c r="D7" s="631">
        <v>10</v>
      </c>
      <c r="E7" s="631">
        <v>390</v>
      </c>
      <c r="F7" s="631">
        <v>260</v>
      </c>
      <c r="G7" s="631">
        <v>650</v>
      </c>
      <c r="H7" s="631">
        <v>23</v>
      </c>
      <c r="I7" s="631">
        <v>18</v>
      </c>
      <c r="J7" s="631">
        <v>41</v>
      </c>
      <c r="K7" s="631">
        <v>5577</v>
      </c>
      <c r="L7" s="631">
        <v>5614</v>
      </c>
      <c r="M7" s="631">
        <v>11191</v>
      </c>
      <c r="N7" s="631">
        <v>10888</v>
      </c>
      <c r="O7" s="631">
        <v>7317</v>
      </c>
      <c r="P7" s="631">
        <v>18205</v>
      </c>
      <c r="Q7" s="631">
        <v>117</v>
      </c>
      <c r="R7" s="631">
        <v>89</v>
      </c>
      <c r="S7" s="631">
        <v>206</v>
      </c>
      <c r="T7" s="631">
        <v>603</v>
      </c>
      <c r="U7" s="631">
        <v>578</v>
      </c>
      <c r="V7" s="631">
        <v>1181</v>
      </c>
      <c r="W7" s="631">
        <v>329</v>
      </c>
      <c r="X7" s="631">
        <v>194</v>
      </c>
      <c r="Y7" s="631">
        <v>523</v>
      </c>
      <c r="Z7" s="631">
        <v>862</v>
      </c>
      <c r="AA7" s="631">
        <v>535</v>
      </c>
      <c r="AB7" s="631">
        <v>1397</v>
      </c>
      <c r="AC7" s="631">
        <v>18789</v>
      </c>
      <c r="AD7" s="631">
        <v>14605</v>
      </c>
      <c r="AE7" s="631">
        <v>33394</v>
      </c>
    </row>
    <row r="8" spans="1:31" s="71" customFormat="1" ht="21.75" customHeight="1" x14ac:dyDescent="0.35">
      <c r="A8" s="15">
        <v>4</v>
      </c>
      <c r="B8" s="73" t="s">
        <v>15</v>
      </c>
      <c r="C8" s="631">
        <v>31</v>
      </c>
      <c r="D8" s="631">
        <v>31</v>
      </c>
      <c r="E8" s="631">
        <v>2957</v>
      </c>
      <c r="F8" s="631">
        <v>2283</v>
      </c>
      <c r="G8" s="631">
        <v>5240</v>
      </c>
      <c r="H8" s="631">
        <v>3</v>
      </c>
      <c r="I8" s="631">
        <v>14</v>
      </c>
      <c r="J8" s="631">
        <v>17</v>
      </c>
      <c r="K8" s="631">
        <v>35289</v>
      </c>
      <c r="L8" s="631">
        <v>50571</v>
      </c>
      <c r="M8" s="631">
        <v>85860</v>
      </c>
      <c r="N8" s="631">
        <v>44076</v>
      </c>
      <c r="O8" s="631">
        <v>26182</v>
      </c>
      <c r="P8" s="631">
        <v>70258</v>
      </c>
      <c r="Q8" s="631">
        <v>432</v>
      </c>
      <c r="R8" s="631">
        <v>436</v>
      </c>
      <c r="S8" s="631">
        <v>868</v>
      </c>
      <c r="T8" s="631">
        <v>1193</v>
      </c>
      <c r="U8" s="631">
        <v>1010</v>
      </c>
      <c r="V8" s="631">
        <v>2203</v>
      </c>
      <c r="W8" s="631">
        <v>613</v>
      </c>
      <c r="X8" s="631">
        <v>154</v>
      </c>
      <c r="Y8" s="631">
        <v>767</v>
      </c>
      <c r="Z8" s="631">
        <v>1088</v>
      </c>
      <c r="AA8" s="631">
        <v>1241</v>
      </c>
      <c r="AB8" s="631">
        <v>2329</v>
      </c>
      <c r="AC8" s="631">
        <v>85651</v>
      </c>
      <c r="AD8" s="631">
        <v>81891</v>
      </c>
      <c r="AE8" s="631">
        <v>167542</v>
      </c>
    </row>
    <row r="9" spans="1:31" s="71" customFormat="1" ht="21.75" customHeight="1" x14ac:dyDescent="0.35">
      <c r="A9" s="15">
        <v>5</v>
      </c>
      <c r="B9" s="73" t="s">
        <v>16</v>
      </c>
      <c r="C9" s="631">
        <v>37</v>
      </c>
      <c r="D9" s="631">
        <v>37</v>
      </c>
      <c r="E9" s="631">
        <v>3401</v>
      </c>
      <c r="F9" s="631">
        <v>2190</v>
      </c>
      <c r="G9" s="631">
        <v>5591</v>
      </c>
      <c r="H9" s="631">
        <v>0</v>
      </c>
      <c r="I9" s="631"/>
      <c r="J9" s="631"/>
      <c r="K9" s="631">
        <v>46202</v>
      </c>
      <c r="L9" s="631">
        <v>44367</v>
      </c>
      <c r="M9" s="631">
        <v>90569</v>
      </c>
      <c r="N9" s="631">
        <v>108556</v>
      </c>
      <c r="O9" s="631">
        <v>68813</v>
      </c>
      <c r="P9" s="631">
        <v>177369</v>
      </c>
      <c r="Q9" s="631">
        <v>1157</v>
      </c>
      <c r="R9" s="631">
        <v>551</v>
      </c>
      <c r="S9" s="631">
        <v>1708</v>
      </c>
      <c r="T9" s="631">
        <v>3792</v>
      </c>
      <c r="U9" s="631">
        <v>2012</v>
      </c>
      <c r="V9" s="631">
        <v>5804</v>
      </c>
      <c r="W9" s="631">
        <v>342</v>
      </c>
      <c r="X9" s="631">
        <v>328</v>
      </c>
      <c r="Y9" s="631">
        <v>670</v>
      </c>
      <c r="Z9" s="631">
        <v>1206</v>
      </c>
      <c r="AA9" s="631">
        <v>1016</v>
      </c>
      <c r="AB9" s="631">
        <v>2222</v>
      </c>
      <c r="AC9" s="631">
        <v>164656</v>
      </c>
      <c r="AD9" s="631">
        <v>119277</v>
      </c>
      <c r="AE9" s="631">
        <v>283933</v>
      </c>
    </row>
    <row r="10" spans="1:31" s="71" customFormat="1" ht="21.75" customHeight="1" x14ac:dyDescent="0.35">
      <c r="A10" s="15">
        <v>6</v>
      </c>
      <c r="B10" s="73" t="s">
        <v>17</v>
      </c>
      <c r="C10" s="631">
        <v>3</v>
      </c>
      <c r="D10" s="631">
        <v>3</v>
      </c>
      <c r="E10" s="631">
        <v>340</v>
      </c>
      <c r="F10" s="631">
        <v>330</v>
      </c>
      <c r="G10" s="631">
        <v>670</v>
      </c>
      <c r="H10" s="631">
        <v>0</v>
      </c>
      <c r="I10" s="631"/>
      <c r="J10" s="631"/>
      <c r="K10" s="631">
        <v>7271</v>
      </c>
      <c r="L10" s="631">
        <v>8898</v>
      </c>
      <c r="M10" s="631">
        <v>16169</v>
      </c>
      <c r="N10" s="631">
        <v>21113</v>
      </c>
      <c r="O10" s="631">
        <v>11401</v>
      </c>
      <c r="P10" s="631">
        <v>32514</v>
      </c>
      <c r="Q10" s="631">
        <v>610</v>
      </c>
      <c r="R10" s="631">
        <v>605</v>
      </c>
      <c r="S10" s="631">
        <v>1215</v>
      </c>
      <c r="T10" s="631">
        <v>460</v>
      </c>
      <c r="U10" s="631">
        <v>1354</v>
      </c>
      <c r="V10" s="631">
        <v>1814</v>
      </c>
      <c r="W10" s="631">
        <v>336</v>
      </c>
      <c r="X10" s="631">
        <v>193</v>
      </c>
      <c r="Y10" s="631">
        <v>529</v>
      </c>
      <c r="Z10" s="631">
        <v>1057</v>
      </c>
      <c r="AA10" s="631">
        <v>1462</v>
      </c>
      <c r="AB10" s="631">
        <v>2519</v>
      </c>
      <c r="AC10" s="631">
        <v>31187</v>
      </c>
      <c r="AD10" s="631">
        <v>24243</v>
      </c>
      <c r="AE10" s="631">
        <v>55430</v>
      </c>
    </row>
    <row r="11" spans="1:31" s="71" customFormat="1" ht="21.75" customHeight="1" x14ac:dyDescent="0.35">
      <c r="A11" s="15">
        <v>7</v>
      </c>
      <c r="B11" s="73" t="s">
        <v>18</v>
      </c>
      <c r="C11" s="632">
        <v>34</v>
      </c>
      <c r="D11" s="631">
        <v>34</v>
      </c>
      <c r="E11" s="631">
        <v>1029</v>
      </c>
      <c r="F11" s="631">
        <v>1008</v>
      </c>
      <c r="G11" s="631">
        <v>2037</v>
      </c>
      <c r="H11" s="631">
        <v>0</v>
      </c>
      <c r="I11" s="631"/>
      <c r="J11" s="631"/>
      <c r="K11" s="631">
        <v>47244</v>
      </c>
      <c r="L11" s="631">
        <v>57595</v>
      </c>
      <c r="M11" s="631">
        <v>104839</v>
      </c>
      <c r="N11" s="631">
        <v>125179</v>
      </c>
      <c r="O11" s="631">
        <v>104655</v>
      </c>
      <c r="P11" s="631">
        <v>229834</v>
      </c>
      <c r="Q11" s="631">
        <v>1770</v>
      </c>
      <c r="R11" s="631">
        <v>1491</v>
      </c>
      <c r="S11" s="631">
        <v>3261</v>
      </c>
      <c r="T11" s="631">
        <v>5060</v>
      </c>
      <c r="U11" s="631">
        <v>3754</v>
      </c>
      <c r="V11" s="631">
        <v>8814</v>
      </c>
      <c r="W11" s="631">
        <v>58</v>
      </c>
      <c r="X11" s="631">
        <v>47</v>
      </c>
      <c r="Y11" s="631">
        <v>105</v>
      </c>
      <c r="Z11" s="631">
        <v>1724</v>
      </c>
      <c r="AA11" s="631">
        <v>1525</v>
      </c>
      <c r="AB11" s="631">
        <v>3249</v>
      </c>
      <c r="AC11" s="631">
        <v>182064</v>
      </c>
      <c r="AD11" s="631">
        <v>170075</v>
      </c>
      <c r="AE11" s="631">
        <v>352139</v>
      </c>
    </row>
    <row r="12" spans="1:31" s="71" customFormat="1" ht="21.75" customHeight="1" x14ac:dyDescent="0.35">
      <c r="A12" s="15">
        <v>8</v>
      </c>
      <c r="B12" s="73" t="s">
        <v>19</v>
      </c>
      <c r="C12" s="631">
        <v>30</v>
      </c>
      <c r="D12" s="631">
        <v>30</v>
      </c>
      <c r="E12" s="631">
        <v>11249</v>
      </c>
      <c r="F12" s="631">
        <v>9601</v>
      </c>
      <c r="G12" s="631">
        <v>20850</v>
      </c>
      <c r="H12" s="631">
        <v>249</v>
      </c>
      <c r="I12" s="631">
        <v>251</v>
      </c>
      <c r="J12" s="631">
        <v>500</v>
      </c>
      <c r="K12" s="631">
        <v>72994</v>
      </c>
      <c r="L12" s="631">
        <v>97235</v>
      </c>
      <c r="M12" s="631">
        <v>170229</v>
      </c>
      <c r="N12" s="631">
        <v>336932</v>
      </c>
      <c r="O12" s="631">
        <v>291545</v>
      </c>
      <c r="P12" s="631">
        <v>628477</v>
      </c>
      <c r="Q12" s="631">
        <v>5405</v>
      </c>
      <c r="R12" s="631">
        <v>4394</v>
      </c>
      <c r="S12" s="631">
        <v>9799</v>
      </c>
      <c r="T12" s="631">
        <v>11175</v>
      </c>
      <c r="U12" s="631">
        <v>3900</v>
      </c>
      <c r="V12" s="631">
        <v>15075</v>
      </c>
      <c r="W12" s="631">
        <v>1074</v>
      </c>
      <c r="X12" s="631">
        <v>544</v>
      </c>
      <c r="Y12" s="631">
        <v>1618</v>
      </c>
      <c r="Z12" s="631">
        <v>2353</v>
      </c>
      <c r="AA12" s="631">
        <v>1404</v>
      </c>
      <c r="AB12" s="631">
        <v>3757</v>
      </c>
      <c r="AC12" s="631">
        <v>441431</v>
      </c>
      <c r="AD12" s="631">
        <v>408874</v>
      </c>
      <c r="AE12" s="631">
        <v>850305</v>
      </c>
    </row>
    <row r="13" spans="1:31" s="71" customFormat="1" ht="21.75" customHeight="1" x14ac:dyDescent="0.35">
      <c r="A13" s="15">
        <v>9</v>
      </c>
      <c r="B13" s="73" t="s">
        <v>20</v>
      </c>
      <c r="C13" s="631">
        <v>4</v>
      </c>
      <c r="D13" s="631">
        <v>4</v>
      </c>
      <c r="E13" s="631">
        <v>572</v>
      </c>
      <c r="F13" s="631">
        <v>624</v>
      </c>
      <c r="G13" s="631">
        <v>1196</v>
      </c>
      <c r="H13" s="631">
        <v>0</v>
      </c>
      <c r="I13" s="631"/>
      <c r="J13" s="631"/>
      <c r="K13" s="631">
        <v>1888</v>
      </c>
      <c r="L13" s="631">
        <v>2881</v>
      </c>
      <c r="M13" s="631">
        <v>4769</v>
      </c>
      <c r="N13" s="631">
        <v>5831</v>
      </c>
      <c r="O13" s="631">
        <v>1711</v>
      </c>
      <c r="P13" s="631">
        <v>7542</v>
      </c>
      <c r="Q13" s="631">
        <v>72</v>
      </c>
      <c r="R13" s="631">
        <v>61</v>
      </c>
      <c r="S13" s="631">
        <v>133</v>
      </c>
      <c r="T13" s="631">
        <v>20</v>
      </c>
      <c r="U13" s="631">
        <v>61</v>
      </c>
      <c r="V13" s="631">
        <v>81</v>
      </c>
      <c r="W13" s="631">
        <v>0</v>
      </c>
      <c r="X13" s="631">
        <v>0</v>
      </c>
      <c r="Y13" s="631">
        <v>0</v>
      </c>
      <c r="Z13" s="631">
        <v>1331</v>
      </c>
      <c r="AA13" s="631">
        <v>330</v>
      </c>
      <c r="AB13" s="631">
        <v>1661</v>
      </c>
      <c r="AC13" s="631">
        <v>9714</v>
      </c>
      <c r="AD13" s="631">
        <v>5668</v>
      </c>
      <c r="AE13" s="631">
        <v>15382</v>
      </c>
    </row>
    <row r="14" spans="1:31" s="71" customFormat="1" ht="21.75" customHeight="1" x14ac:dyDescent="0.35">
      <c r="A14" s="15">
        <v>10</v>
      </c>
      <c r="B14" s="73" t="s">
        <v>21</v>
      </c>
      <c r="C14" s="631">
        <v>102</v>
      </c>
      <c r="D14" s="631">
        <v>102</v>
      </c>
      <c r="E14" s="631">
        <v>5829</v>
      </c>
      <c r="F14" s="631">
        <v>4674</v>
      </c>
      <c r="G14" s="631">
        <v>10503</v>
      </c>
      <c r="H14" s="631">
        <v>31</v>
      </c>
      <c r="I14" s="631">
        <v>17</v>
      </c>
      <c r="J14" s="631">
        <v>48</v>
      </c>
      <c r="K14" s="631">
        <v>61473</v>
      </c>
      <c r="L14" s="631">
        <v>66133</v>
      </c>
      <c r="M14" s="631">
        <v>127606</v>
      </c>
      <c r="N14" s="631">
        <v>219089</v>
      </c>
      <c r="O14" s="631">
        <v>142458</v>
      </c>
      <c r="P14" s="631">
        <v>361547</v>
      </c>
      <c r="Q14" s="631">
        <v>3442</v>
      </c>
      <c r="R14" s="631">
        <v>2617</v>
      </c>
      <c r="S14" s="631">
        <v>6059</v>
      </c>
      <c r="T14" s="631">
        <v>27971</v>
      </c>
      <c r="U14" s="631">
        <v>8511</v>
      </c>
      <c r="V14" s="631">
        <v>36482</v>
      </c>
      <c r="W14" s="631">
        <v>466</v>
      </c>
      <c r="X14" s="631">
        <v>245</v>
      </c>
      <c r="Y14" s="631">
        <v>711</v>
      </c>
      <c r="Z14" s="631">
        <v>14105</v>
      </c>
      <c r="AA14" s="631">
        <v>11152</v>
      </c>
      <c r="AB14" s="631">
        <v>25257</v>
      </c>
      <c r="AC14" s="631">
        <v>332406</v>
      </c>
      <c r="AD14" s="631">
        <v>235807</v>
      </c>
      <c r="AE14" s="631">
        <v>568213</v>
      </c>
    </row>
    <row r="15" spans="1:31" s="71" customFormat="1" ht="21.75" customHeight="1" x14ac:dyDescent="0.35">
      <c r="A15" s="15">
        <v>11</v>
      </c>
      <c r="B15" s="73" t="s">
        <v>22</v>
      </c>
      <c r="C15" s="631">
        <v>57</v>
      </c>
      <c r="D15" s="631">
        <v>57</v>
      </c>
      <c r="E15" s="631">
        <v>2648</v>
      </c>
      <c r="F15" s="631">
        <v>3977</v>
      </c>
      <c r="G15" s="631">
        <v>6625</v>
      </c>
      <c r="H15" s="631">
        <v>10</v>
      </c>
      <c r="I15" s="631">
        <v>39</v>
      </c>
      <c r="J15" s="631">
        <v>49</v>
      </c>
      <c r="K15" s="631">
        <v>38739</v>
      </c>
      <c r="L15" s="631">
        <v>60882</v>
      </c>
      <c r="M15" s="631">
        <v>99621</v>
      </c>
      <c r="N15" s="631">
        <v>141604</v>
      </c>
      <c r="O15" s="631">
        <v>102481</v>
      </c>
      <c r="P15" s="631">
        <v>244085</v>
      </c>
      <c r="Q15" s="631">
        <v>1409</v>
      </c>
      <c r="R15" s="631">
        <v>1044</v>
      </c>
      <c r="S15" s="631">
        <v>2453</v>
      </c>
      <c r="T15" s="631">
        <v>3786</v>
      </c>
      <c r="U15" s="631">
        <v>3899</v>
      </c>
      <c r="V15" s="631">
        <v>7685</v>
      </c>
      <c r="W15" s="631">
        <v>247</v>
      </c>
      <c r="X15" s="631">
        <v>190</v>
      </c>
      <c r="Y15" s="631">
        <v>437</v>
      </c>
      <c r="Z15" s="631">
        <v>8666</v>
      </c>
      <c r="AA15" s="631">
        <v>7928</v>
      </c>
      <c r="AB15" s="631">
        <v>16594</v>
      </c>
      <c r="AC15" s="631">
        <v>197109</v>
      </c>
      <c r="AD15" s="631">
        <v>180440</v>
      </c>
      <c r="AE15" s="631">
        <v>377549</v>
      </c>
    </row>
    <row r="16" spans="1:31" s="71" customFormat="1" ht="21.75" customHeight="1" x14ac:dyDescent="0.35">
      <c r="A16" s="15">
        <v>12</v>
      </c>
      <c r="B16" s="73" t="s">
        <v>23</v>
      </c>
      <c r="C16" s="631">
        <v>29</v>
      </c>
      <c r="D16" s="631">
        <v>29</v>
      </c>
      <c r="E16" s="631">
        <v>961</v>
      </c>
      <c r="F16" s="631">
        <v>974</v>
      </c>
      <c r="G16" s="631">
        <v>1935</v>
      </c>
      <c r="H16" s="631">
        <v>11</v>
      </c>
      <c r="I16" s="631">
        <v>1</v>
      </c>
      <c r="J16" s="631">
        <v>12</v>
      </c>
      <c r="K16" s="631">
        <v>14330</v>
      </c>
      <c r="L16" s="631">
        <v>13900</v>
      </c>
      <c r="M16" s="631">
        <v>28230</v>
      </c>
      <c r="N16" s="631">
        <v>43909</v>
      </c>
      <c r="O16" s="631">
        <v>28573</v>
      </c>
      <c r="P16" s="631">
        <v>72482</v>
      </c>
      <c r="Q16" s="631">
        <v>302</v>
      </c>
      <c r="R16" s="631">
        <v>243</v>
      </c>
      <c r="S16" s="631">
        <v>545</v>
      </c>
      <c r="T16" s="631">
        <v>1238</v>
      </c>
      <c r="U16" s="631">
        <v>2340</v>
      </c>
      <c r="V16" s="631">
        <v>3578</v>
      </c>
      <c r="W16" s="631">
        <v>123</v>
      </c>
      <c r="X16" s="631">
        <v>105</v>
      </c>
      <c r="Y16" s="631">
        <v>228</v>
      </c>
      <c r="Z16" s="631">
        <v>1449</v>
      </c>
      <c r="AA16" s="631">
        <v>1010</v>
      </c>
      <c r="AB16" s="631">
        <v>2459</v>
      </c>
      <c r="AC16" s="631">
        <v>62323</v>
      </c>
      <c r="AD16" s="631">
        <v>47146</v>
      </c>
      <c r="AE16" s="631">
        <v>109469</v>
      </c>
    </row>
    <row r="17" spans="1:31" s="71" customFormat="1" ht="21.75" customHeight="1" x14ac:dyDescent="0.35">
      <c r="A17" s="15">
        <v>13</v>
      </c>
      <c r="B17" s="73" t="s">
        <v>24</v>
      </c>
      <c r="C17" s="631">
        <v>16</v>
      </c>
      <c r="D17" s="631">
        <v>16</v>
      </c>
      <c r="E17" s="631">
        <v>1701</v>
      </c>
      <c r="F17" s="631">
        <v>1926</v>
      </c>
      <c r="G17" s="631">
        <v>3627</v>
      </c>
      <c r="H17" s="631">
        <v>0</v>
      </c>
      <c r="I17" s="631"/>
      <c r="J17" s="631"/>
      <c r="K17" s="631">
        <v>24055</v>
      </c>
      <c r="L17" s="631">
        <v>38628</v>
      </c>
      <c r="M17" s="631">
        <v>62683</v>
      </c>
      <c r="N17" s="631">
        <v>50274</v>
      </c>
      <c r="O17" s="631">
        <v>35067</v>
      </c>
      <c r="P17" s="631">
        <v>85341</v>
      </c>
      <c r="Q17" s="631">
        <v>498</v>
      </c>
      <c r="R17" s="631">
        <v>318</v>
      </c>
      <c r="S17" s="631">
        <v>816</v>
      </c>
      <c r="T17" s="631">
        <v>547</v>
      </c>
      <c r="U17" s="631">
        <v>429</v>
      </c>
      <c r="V17" s="631">
        <v>976</v>
      </c>
      <c r="W17" s="631">
        <v>146</v>
      </c>
      <c r="X17" s="631">
        <v>206</v>
      </c>
      <c r="Y17" s="631">
        <v>352</v>
      </c>
      <c r="Z17" s="631">
        <v>2965</v>
      </c>
      <c r="AA17" s="631">
        <v>3684</v>
      </c>
      <c r="AB17" s="631">
        <v>6649</v>
      </c>
      <c r="AC17" s="631">
        <v>80186</v>
      </c>
      <c r="AD17" s="631">
        <v>80258</v>
      </c>
      <c r="AE17" s="631">
        <v>160444</v>
      </c>
    </row>
    <row r="18" spans="1:31" s="71" customFormat="1" ht="21.75" customHeight="1" x14ac:dyDescent="0.35">
      <c r="A18" s="15">
        <v>14</v>
      </c>
      <c r="B18" s="73" t="s">
        <v>25</v>
      </c>
      <c r="C18" s="631">
        <v>34</v>
      </c>
      <c r="D18" s="631">
        <v>34</v>
      </c>
      <c r="E18" s="631">
        <v>1376</v>
      </c>
      <c r="F18" s="631">
        <v>862</v>
      </c>
      <c r="G18" s="631">
        <v>2238</v>
      </c>
      <c r="H18" s="631">
        <v>0</v>
      </c>
      <c r="I18" s="631"/>
      <c r="J18" s="631"/>
      <c r="K18" s="631">
        <v>28386</v>
      </c>
      <c r="L18" s="631">
        <v>36541</v>
      </c>
      <c r="M18" s="631">
        <v>64927</v>
      </c>
      <c r="N18" s="631">
        <v>61616</v>
      </c>
      <c r="O18" s="631">
        <v>43288</v>
      </c>
      <c r="P18" s="631">
        <v>104904</v>
      </c>
      <c r="Q18" s="631">
        <v>1499</v>
      </c>
      <c r="R18" s="631">
        <v>727</v>
      </c>
      <c r="S18" s="631">
        <v>2226</v>
      </c>
      <c r="T18" s="631">
        <v>4704</v>
      </c>
      <c r="U18" s="631">
        <v>1652</v>
      </c>
      <c r="V18" s="631">
        <v>6356</v>
      </c>
      <c r="W18" s="631">
        <v>64</v>
      </c>
      <c r="X18" s="631">
        <v>32</v>
      </c>
      <c r="Y18" s="631">
        <v>96</v>
      </c>
      <c r="Z18" s="631">
        <v>2076</v>
      </c>
      <c r="AA18" s="631">
        <v>1457</v>
      </c>
      <c r="AB18" s="631">
        <v>3533</v>
      </c>
      <c r="AC18" s="631">
        <v>99721</v>
      </c>
      <c r="AD18" s="631">
        <v>84559</v>
      </c>
      <c r="AE18" s="631">
        <v>184280</v>
      </c>
    </row>
    <row r="19" spans="1:31" s="71" customFormat="1" ht="21.75" customHeight="1" x14ac:dyDescent="0.35">
      <c r="A19" s="15">
        <v>15</v>
      </c>
      <c r="B19" s="73" t="s">
        <v>26</v>
      </c>
      <c r="C19" s="631">
        <v>79</v>
      </c>
      <c r="D19" s="631">
        <v>79</v>
      </c>
      <c r="E19" s="631">
        <v>4974</v>
      </c>
      <c r="F19" s="631">
        <v>5016</v>
      </c>
      <c r="G19" s="631">
        <v>9990</v>
      </c>
      <c r="H19" s="631">
        <v>47</v>
      </c>
      <c r="I19" s="631">
        <v>117</v>
      </c>
      <c r="J19" s="631">
        <v>164</v>
      </c>
      <c r="K19" s="631">
        <v>70889</v>
      </c>
      <c r="L19" s="631">
        <v>86904</v>
      </c>
      <c r="M19" s="631">
        <v>157793</v>
      </c>
      <c r="N19" s="631">
        <v>190297</v>
      </c>
      <c r="O19" s="631">
        <v>129661</v>
      </c>
      <c r="P19" s="631">
        <v>319958</v>
      </c>
      <c r="Q19" s="631">
        <v>2968</v>
      </c>
      <c r="R19" s="631">
        <v>2147</v>
      </c>
      <c r="S19" s="631">
        <v>5115</v>
      </c>
      <c r="T19" s="631">
        <v>1136</v>
      </c>
      <c r="U19" s="631">
        <v>949</v>
      </c>
      <c r="V19" s="631">
        <v>2085</v>
      </c>
      <c r="W19" s="631">
        <v>740</v>
      </c>
      <c r="X19" s="631">
        <v>592</v>
      </c>
      <c r="Y19" s="631">
        <v>1332</v>
      </c>
      <c r="Z19" s="631">
        <v>4434</v>
      </c>
      <c r="AA19" s="631">
        <v>4150</v>
      </c>
      <c r="AB19" s="631">
        <v>8584</v>
      </c>
      <c r="AC19" s="631">
        <v>275485</v>
      </c>
      <c r="AD19" s="631">
        <v>229536</v>
      </c>
      <c r="AE19" s="631">
        <v>505021</v>
      </c>
    </row>
    <row r="20" spans="1:31" s="71" customFormat="1" ht="21.75" customHeight="1" x14ac:dyDescent="0.35">
      <c r="A20" s="15">
        <v>16</v>
      </c>
      <c r="B20" s="73" t="s">
        <v>27</v>
      </c>
      <c r="C20" s="631">
        <v>25</v>
      </c>
      <c r="D20" s="631">
        <v>25</v>
      </c>
      <c r="E20" s="631">
        <v>1656</v>
      </c>
      <c r="F20" s="631">
        <v>2891</v>
      </c>
      <c r="G20" s="631">
        <v>4547</v>
      </c>
      <c r="H20" s="631">
        <v>12</v>
      </c>
      <c r="I20" s="631">
        <v>30</v>
      </c>
      <c r="J20" s="631">
        <v>42</v>
      </c>
      <c r="K20" s="631">
        <v>25054</v>
      </c>
      <c r="L20" s="631">
        <v>49327</v>
      </c>
      <c r="M20" s="631">
        <v>74381</v>
      </c>
      <c r="N20" s="631">
        <v>89802</v>
      </c>
      <c r="O20" s="631">
        <v>99876</v>
      </c>
      <c r="P20" s="631">
        <v>189678</v>
      </c>
      <c r="Q20" s="631">
        <v>859</v>
      </c>
      <c r="R20" s="631">
        <v>1094</v>
      </c>
      <c r="S20" s="631">
        <v>1953</v>
      </c>
      <c r="T20" s="631">
        <v>791</v>
      </c>
      <c r="U20" s="631">
        <v>822</v>
      </c>
      <c r="V20" s="631">
        <v>1613</v>
      </c>
      <c r="W20" s="631">
        <v>501</v>
      </c>
      <c r="X20" s="631">
        <v>515</v>
      </c>
      <c r="Y20" s="631">
        <v>1016</v>
      </c>
      <c r="Z20" s="631">
        <v>1234</v>
      </c>
      <c r="AA20" s="631">
        <v>1775</v>
      </c>
      <c r="AB20" s="631">
        <v>3009</v>
      </c>
      <c r="AC20" s="631">
        <v>119909</v>
      </c>
      <c r="AD20" s="631">
        <v>156330</v>
      </c>
      <c r="AE20" s="631">
        <v>276239</v>
      </c>
    </row>
    <row r="21" spans="1:31" s="71" customFormat="1" ht="21.75" customHeight="1" x14ac:dyDescent="0.35">
      <c r="A21" s="15">
        <v>17</v>
      </c>
      <c r="B21" s="74" t="s">
        <v>28</v>
      </c>
      <c r="C21" s="631">
        <v>2</v>
      </c>
      <c r="D21" s="631">
        <v>2</v>
      </c>
      <c r="E21" s="631">
        <v>10</v>
      </c>
      <c r="F21" s="631">
        <v>8</v>
      </c>
      <c r="G21" s="631">
        <v>18</v>
      </c>
      <c r="H21" s="631">
        <v>0</v>
      </c>
      <c r="I21" s="631"/>
      <c r="J21" s="631"/>
      <c r="K21" s="631">
        <v>129</v>
      </c>
      <c r="L21" s="631">
        <v>284</v>
      </c>
      <c r="M21" s="631">
        <v>413</v>
      </c>
      <c r="N21" s="631">
        <v>128</v>
      </c>
      <c r="O21" s="631">
        <v>194</v>
      </c>
      <c r="P21" s="631">
        <v>322</v>
      </c>
      <c r="Q21" s="631">
        <v>0</v>
      </c>
      <c r="R21" s="631"/>
      <c r="S21" s="631"/>
      <c r="T21" s="631">
        <v>0</v>
      </c>
      <c r="U21" s="631"/>
      <c r="V21" s="631"/>
      <c r="W21" s="631">
        <v>5</v>
      </c>
      <c r="X21" s="631">
        <v>1</v>
      </c>
      <c r="Y21" s="631">
        <v>6</v>
      </c>
      <c r="Z21" s="631">
        <v>0</v>
      </c>
      <c r="AA21" s="631"/>
      <c r="AB21" s="631"/>
      <c r="AC21" s="631">
        <v>272</v>
      </c>
      <c r="AD21" s="631">
        <v>487</v>
      </c>
      <c r="AE21" s="631">
        <v>759</v>
      </c>
    </row>
    <row r="22" spans="1:31" s="71" customFormat="1" ht="21.75" customHeight="1" x14ac:dyDescent="0.35">
      <c r="A22" s="15">
        <v>18</v>
      </c>
      <c r="B22" s="73" t="s">
        <v>72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1"/>
      <c r="N22" s="631"/>
      <c r="O22" s="631"/>
      <c r="P22" s="631"/>
      <c r="Q22" s="631"/>
      <c r="R22" s="631"/>
      <c r="S22" s="631"/>
      <c r="T22" s="631"/>
      <c r="U22" s="631"/>
      <c r="V22" s="631"/>
      <c r="W22" s="631"/>
      <c r="X22" s="631"/>
      <c r="Y22" s="631"/>
      <c r="Z22" s="631"/>
      <c r="AA22" s="631"/>
      <c r="AB22" s="631"/>
      <c r="AC22" s="631"/>
      <c r="AD22" s="631">
        <v>0</v>
      </c>
      <c r="AE22" s="631">
        <v>0</v>
      </c>
    </row>
    <row r="23" spans="1:31" s="71" customFormat="1" ht="21.75" customHeight="1" x14ac:dyDescent="0.35">
      <c r="A23" s="15">
        <v>19</v>
      </c>
      <c r="B23" s="73" t="s">
        <v>29</v>
      </c>
      <c r="C23" s="631">
        <v>78</v>
      </c>
      <c r="D23" s="631">
        <v>78</v>
      </c>
      <c r="E23" s="631">
        <v>3731</v>
      </c>
      <c r="F23" s="631">
        <v>2803</v>
      </c>
      <c r="G23" s="631">
        <v>6534</v>
      </c>
      <c r="H23" s="631">
        <v>1</v>
      </c>
      <c r="I23" s="631">
        <v>15</v>
      </c>
      <c r="J23" s="631">
        <v>16</v>
      </c>
      <c r="K23" s="631">
        <v>87626</v>
      </c>
      <c r="L23" s="631">
        <v>73570</v>
      </c>
      <c r="M23" s="631">
        <v>161196</v>
      </c>
      <c r="N23" s="631">
        <v>287629</v>
      </c>
      <c r="O23" s="631">
        <v>155800</v>
      </c>
      <c r="P23" s="631">
        <v>443429</v>
      </c>
      <c r="Q23" s="631">
        <v>18174</v>
      </c>
      <c r="R23" s="631">
        <v>19825</v>
      </c>
      <c r="S23" s="631">
        <v>37999</v>
      </c>
      <c r="T23" s="631">
        <v>52352</v>
      </c>
      <c r="U23" s="631">
        <v>26550</v>
      </c>
      <c r="V23" s="631">
        <v>78902</v>
      </c>
      <c r="W23" s="631">
        <v>572</v>
      </c>
      <c r="X23" s="631">
        <v>383</v>
      </c>
      <c r="Y23" s="631">
        <v>955</v>
      </c>
      <c r="Z23" s="631">
        <v>10355</v>
      </c>
      <c r="AA23" s="631">
        <v>6211</v>
      </c>
      <c r="AB23" s="631">
        <v>16566</v>
      </c>
      <c r="AC23" s="631">
        <v>460440</v>
      </c>
      <c r="AD23" s="631">
        <v>285157</v>
      </c>
      <c r="AE23" s="631">
        <v>745597</v>
      </c>
    </row>
    <row r="24" spans="1:31" s="71" customFormat="1" ht="21.75" customHeight="1" x14ac:dyDescent="0.35">
      <c r="A24" s="15">
        <v>20</v>
      </c>
      <c r="B24" s="73" t="s">
        <v>30</v>
      </c>
      <c r="C24" s="631">
        <v>78</v>
      </c>
      <c r="D24" s="631">
        <v>78</v>
      </c>
      <c r="E24" s="631">
        <v>8097</v>
      </c>
      <c r="F24" s="631">
        <v>6725</v>
      </c>
      <c r="G24" s="631">
        <v>14822</v>
      </c>
      <c r="H24" s="631">
        <v>11</v>
      </c>
      <c r="I24" s="631">
        <v>15</v>
      </c>
      <c r="J24" s="631">
        <v>26</v>
      </c>
      <c r="K24" s="631">
        <v>160181</v>
      </c>
      <c r="L24" s="631">
        <v>142175</v>
      </c>
      <c r="M24" s="631">
        <v>302356</v>
      </c>
      <c r="N24" s="631">
        <v>384653</v>
      </c>
      <c r="O24" s="631">
        <v>246418</v>
      </c>
      <c r="P24" s="631">
        <v>631071</v>
      </c>
      <c r="Q24" s="631">
        <v>8105</v>
      </c>
      <c r="R24" s="631">
        <v>5999</v>
      </c>
      <c r="S24" s="631">
        <v>14104</v>
      </c>
      <c r="T24" s="631">
        <v>18197</v>
      </c>
      <c r="U24" s="631">
        <v>11016</v>
      </c>
      <c r="V24" s="631">
        <v>29213</v>
      </c>
      <c r="W24" s="631">
        <v>1510</v>
      </c>
      <c r="X24" s="631">
        <v>1959</v>
      </c>
      <c r="Y24" s="631">
        <v>3469</v>
      </c>
      <c r="Z24" s="631">
        <v>5396</v>
      </c>
      <c r="AA24" s="631">
        <v>3526</v>
      </c>
      <c r="AB24" s="631">
        <v>8922</v>
      </c>
      <c r="AC24" s="631">
        <v>586150</v>
      </c>
      <c r="AD24" s="631">
        <v>417833</v>
      </c>
      <c r="AE24" s="631">
        <v>1003983</v>
      </c>
    </row>
    <row r="25" spans="1:31" s="71" customFormat="1" ht="21.75" customHeight="1" x14ac:dyDescent="0.35">
      <c r="A25" s="15">
        <v>21</v>
      </c>
      <c r="B25" s="73" t="s">
        <v>31</v>
      </c>
      <c r="C25" s="631">
        <v>12</v>
      </c>
      <c r="D25" s="631">
        <v>11</v>
      </c>
      <c r="E25" s="631">
        <v>1122</v>
      </c>
      <c r="F25" s="631">
        <v>1188</v>
      </c>
      <c r="G25" s="631">
        <v>2310</v>
      </c>
      <c r="H25" s="631">
        <v>0</v>
      </c>
      <c r="I25" s="631"/>
      <c r="J25" s="631"/>
      <c r="K25" s="631">
        <v>5131</v>
      </c>
      <c r="L25" s="631">
        <v>5709</v>
      </c>
      <c r="M25" s="631">
        <v>10840</v>
      </c>
      <c r="N25" s="631">
        <v>4636</v>
      </c>
      <c r="O25" s="631">
        <v>2953</v>
      </c>
      <c r="P25" s="631">
        <v>7589</v>
      </c>
      <c r="Q25" s="631">
        <v>83</v>
      </c>
      <c r="R25" s="631">
        <v>59</v>
      </c>
      <c r="S25" s="631">
        <v>142</v>
      </c>
      <c r="T25" s="631">
        <v>187</v>
      </c>
      <c r="U25" s="631">
        <v>182</v>
      </c>
      <c r="V25" s="631">
        <v>369</v>
      </c>
      <c r="W25" s="631">
        <v>0</v>
      </c>
      <c r="X25" s="631">
        <v>0</v>
      </c>
      <c r="Y25" s="631">
        <v>0</v>
      </c>
      <c r="Z25" s="631">
        <v>0</v>
      </c>
      <c r="AA25" s="631"/>
      <c r="AB25" s="631"/>
      <c r="AC25" s="631">
        <v>11159</v>
      </c>
      <c r="AD25" s="631">
        <v>10091</v>
      </c>
      <c r="AE25" s="631">
        <v>21250</v>
      </c>
    </row>
    <row r="26" spans="1:31" s="71" customFormat="1" ht="21.75" customHeight="1" x14ac:dyDescent="0.35">
      <c r="A26" s="15">
        <v>22</v>
      </c>
      <c r="B26" s="73" t="s">
        <v>32</v>
      </c>
      <c r="C26" s="631">
        <v>11</v>
      </c>
      <c r="D26" s="631">
        <v>11</v>
      </c>
      <c r="E26" s="631">
        <v>510</v>
      </c>
      <c r="F26" s="631">
        <v>527</v>
      </c>
      <c r="G26" s="631">
        <v>1037</v>
      </c>
      <c r="H26" s="631">
        <v>0</v>
      </c>
      <c r="I26" s="631">
        <v>0</v>
      </c>
      <c r="J26" s="631">
        <v>0</v>
      </c>
      <c r="K26" s="631">
        <v>5860</v>
      </c>
      <c r="L26" s="631">
        <v>9214</v>
      </c>
      <c r="M26" s="631">
        <v>15074</v>
      </c>
      <c r="N26" s="631">
        <v>5413</v>
      </c>
      <c r="O26" s="631">
        <v>4670</v>
      </c>
      <c r="P26" s="631">
        <v>10083</v>
      </c>
      <c r="Q26" s="631">
        <v>115</v>
      </c>
      <c r="R26" s="631">
        <v>116</v>
      </c>
      <c r="S26" s="631">
        <v>231</v>
      </c>
      <c r="T26" s="631">
        <v>325</v>
      </c>
      <c r="U26" s="631">
        <v>303</v>
      </c>
      <c r="V26" s="631">
        <v>628</v>
      </c>
      <c r="W26" s="631">
        <v>308</v>
      </c>
      <c r="X26" s="631">
        <v>309</v>
      </c>
      <c r="Y26" s="631">
        <v>617</v>
      </c>
      <c r="Z26" s="631">
        <v>135</v>
      </c>
      <c r="AA26" s="631">
        <v>98</v>
      </c>
      <c r="AB26" s="631">
        <v>233</v>
      </c>
      <c r="AC26" s="631">
        <v>12666</v>
      </c>
      <c r="AD26" s="631">
        <v>15237</v>
      </c>
      <c r="AE26" s="631">
        <v>27903</v>
      </c>
    </row>
    <row r="27" spans="1:31" s="71" customFormat="1" ht="21.75" customHeight="1" x14ac:dyDescent="0.35">
      <c r="A27" s="15">
        <v>23</v>
      </c>
      <c r="B27" s="73" t="s">
        <v>33</v>
      </c>
      <c r="C27" s="631">
        <v>3</v>
      </c>
      <c r="D27" s="631">
        <v>3</v>
      </c>
      <c r="E27" s="631">
        <v>662</v>
      </c>
      <c r="F27" s="631">
        <v>576</v>
      </c>
      <c r="G27" s="631">
        <v>1238</v>
      </c>
      <c r="H27" s="631">
        <v>0</v>
      </c>
      <c r="I27" s="631"/>
      <c r="J27" s="631"/>
      <c r="K27" s="631">
        <v>2286</v>
      </c>
      <c r="L27" s="631">
        <v>2817</v>
      </c>
      <c r="M27" s="631">
        <v>5103</v>
      </c>
      <c r="N27" s="631">
        <v>3078</v>
      </c>
      <c r="O27" s="631">
        <v>2721</v>
      </c>
      <c r="P27" s="631">
        <v>5799</v>
      </c>
      <c r="Q27" s="631">
        <v>18</v>
      </c>
      <c r="R27" s="631">
        <v>8</v>
      </c>
      <c r="S27" s="631">
        <v>26</v>
      </c>
      <c r="T27" s="631">
        <v>9</v>
      </c>
      <c r="U27" s="631">
        <v>32</v>
      </c>
      <c r="V27" s="631">
        <v>41</v>
      </c>
      <c r="W27" s="631">
        <v>0</v>
      </c>
      <c r="X27" s="631">
        <v>0</v>
      </c>
      <c r="Y27" s="631">
        <v>0</v>
      </c>
      <c r="Z27" s="631">
        <v>5</v>
      </c>
      <c r="AA27" s="631">
        <v>2</v>
      </c>
      <c r="AB27" s="631">
        <v>7</v>
      </c>
      <c r="AC27" s="631">
        <v>6058</v>
      </c>
      <c r="AD27" s="631">
        <v>6156</v>
      </c>
      <c r="AE27" s="631">
        <v>12214</v>
      </c>
    </row>
    <row r="28" spans="1:31" s="71" customFormat="1" ht="21.75" customHeight="1" x14ac:dyDescent="0.35">
      <c r="A28" s="15">
        <v>24</v>
      </c>
      <c r="B28" s="73" t="s">
        <v>34</v>
      </c>
      <c r="C28" s="631">
        <v>6</v>
      </c>
      <c r="D28" s="631">
        <v>6</v>
      </c>
      <c r="E28" s="631">
        <v>332</v>
      </c>
      <c r="F28" s="631">
        <v>343</v>
      </c>
      <c r="G28" s="631">
        <v>675</v>
      </c>
      <c r="H28" s="631">
        <v>0</v>
      </c>
      <c r="I28" s="631"/>
      <c r="J28" s="631"/>
      <c r="K28" s="631">
        <v>2442</v>
      </c>
      <c r="L28" s="631">
        <v>4041</v>
      </c>
      <c r="M28" s="631">
        <v>6483</v>
      </c>
      <c r="N28" s="631">
        <v>2709</v>
      </c>
      <c r="O28" s="631">
        <v>2290</v>
      </c>
      <c r="P28" s="631">
        <v>4999</v>
      </c>
      <c r="Q28" s="631">
        <v>16</v>
      </c>
      <c r="R28" s="631">
        <v>31</v>
      </c>
      <c r="S28" s="631">
        <v>47</v>
      </c>
      <c r="T28" s="631">
        <v>15</v>
      </c>
      <c r="U28" s="631">
        <v>90</v>
      </c>
      <c r="V28" s="631">
        <v>105</v>
      </c>
      <c r="W28" s="631">
        <v>0</v>
      </c>
      <c r="X28" s="631">
        <v>1</v>
      </c>
      <c r="Y28" s="631">
        <v>1</v>
      </c>
      <c r="Z28" s="631">
        <v>0</v>
      </c>
      <c r="AA28" s="631"/>
      <c r="AB28" s="631"/>
      <c r="AC28" s="631">
        <v>5514</v>
      </c>
      <c r="AD28" s="631">
        <v>6796</v>
      </c>
      <c r="AE28" s="631">
        <v>12310</v>
      </c>
    </row>
    <row r="29" spans="1:31" s="71" customFormat="1" ht="21.75" customHeight="1" x14ac:dyDescent="0.35">
      <c r="A29" s="15">
        <v>25</v>
      </c>
      <c r="B29" s="73" t="s">
        <v>35</v>
      </c>
      <c r="C29" s="631">
        <v>39</v>
      </c>
      <c r="D29" s="631">
        <v>39</v>
      </c>
      <c r="E29" s="631">
        <v>2375</v>
      </c>
      <c r="F29" s="631">
        <v>1588</v>
      </c>
      <c r="G29" s="631">
        <v>3963</v>
      </c>
      <c r="H29" s="631">
        <v>0</v>
      </c>
      <c r="I29" s="631"/>
      <c r="J29" s="631"/>
      <c r="K29" s="631">
        <v>26911</v>
      </c>
      <c r="L29" s="631">
        <v>32359</v>
      </c>
      <c r="M29" s="631">
        <v>59270</v>
      </c>
      <c r="N29" s="631">
        <v>64311</v>
      </c>
      <c r="O29" s="631">
        <v>49277</v>
      </c>
      <c r="P29" s="631">
        <v>113588</v>
      </c>
      <c r="Q29" s="631">
        <v>427</v>
      </c>
      <c r="R29" s="631">
        <v>221</v>
      </c>
      <c r="S29" s="631">
        <v>648</v>
      </c>
      <c r="T29" s="631">
        <v>1738</v>
      </c>
      <c r="U29" s="631">
        <v>1994</v>
      </c>
      <c r="V29" s="631">
        <v>3732</v>
      </c>
      <c r="W29" s="631">
        <v>27</v>
      </c>
      <c r="X29" s="631">
        <v>74</v>
      </c>
      <c r="Y29" s="631">
        <v>101</v>
      </c>
      <c r="Z29" s="631">
        <v>4419</v>
      </c>
      <c r="AA29" s="631">
        <v>4279</v>
      </c>
      <c r="AB29" s="631">
        <v>8698</v>
      </c>
      <c r="AC29" s="631">
        <v>100208</v>
      </c>
      <c r="AD29" s="631">
        <v>89792</v>
      </c>
      <c r="AE29" s="631">
        <v>190000</v>
      </c>
    </row>
    <row r="30" spans="1:31" s="71" customFormat="1" ht="21.75" customHeight="1" x14ac:dyDescent="0.35">
      <c r="A30" s="15">
        <v>26</v>
      </c>
      <c r="B30" s="73" t="s">
        <v>36</v>
      </c>
      <c r="C30" s="631">
        <v>5</v>
      </c>
      <c r="D30" s="631">
        <v>5</v>
      </c>
      <c r="E30" s="631">
        <v>367</v>
      </c>
      <c r="F30" s="631">
        <v>298</v>
      </c>
      <c r="G30" s="631">
        <v>665</v>
      </c>
      <c r="H30" s="631">
        <v>0</v>
      </c>
      <c r="I30" s="631"/>
      <c r="J30" s="631"/>
      <c r="K30" s="631">
        <v>12188</v>
      </c>
      <c r="L30" s="631">
        <v>11272</v>
      </c>
      <c r="M30" s="631">
        <v>23460</v>
      </c>
      <c r="N30" s="631">
        <v>7481</v>
      </c>
      <c r="O30" s="631">
        <v>7092</v>
      </c>
      <c r="P30" s="631">
        <v>14573</v>
      </c>
      <c r="Q30" s="631">
        <v>21</v>
      </c>
      <c r="R30" s="631">
        <v>15</v>
      </c>
      <c r="S30" s="631">
        <v>36</v>
      </c>
      <c r="T30" s="631">
        <v>3</v>
      </c>
      <c r="U30" s="631">
        <v>2</v>
      </c>
      <c r="V30" s="631">
        <v>5</v>
      </c>
      <c r="W30" s="631">
        <v>16</v>
      </c>
      <c r="X30" s="631">
        <v>4</v>
      </c>
      <c r="Y30" s="631">
        <v>20</v>
      </c>
      <c r="Z30" s="631">
        <v>497</v>
      </c>
      <c r="AA30" s="631">
        <v>459</v>
      </c>
      <c r="AB30" s="631">
        <v>956</v>
      </c>
      <c r="AC30" s="631">
        <v>20573</v>
      </c>
      <c r="AD30" s="631">
        <v>19142</v>
      </c>
      <c r="AE30" s="631">
        <v>39715</v>
      </c>
    </row>
    <row r="31" spans="1:31" s="71" customFormat="1" ht="21.75" customHeight="1" x14ac:dyDescent="0.35">
      <c r="A31" s="15">
        <v>27</v>
      </c>
      <c r="B31" s="73" t="s">
        <v>37</v>
      </c>
      <c r="C31" s="631">
        <v>40</v>
      </c>
      <c r="D31" s="631">
        <v>40</v>
      </c>
      <c r="E31" s="631">
        <v>3788</v>
      </c>
      <c r="F31" s="631">
        <v>4881</v>
      </c>
      <c r="G31" s="631">
        <v>8669</v>
      </c>
      <c r="H31" s="631">
        <v>0</v>
      </c>
      <c r="I31" s="631"/>
      <c r="J31" s="631"/>
      <c r="K31" s="631">
        <v>41460</v>
      </c>
      <c r="L31" s="631">
        <v>39020</v>
      </c>
      <c r="M31" s="631">
        <v>80480</v>
      </c>
      <c r="N31" s="631">
        <v>124316</v>
      </c>
      <c r="O31" s="631">
        <v>68950</v>
      </c>
      <c r="P31" s="631">
        <v>193266</v>
      </c>
      <c r="Q31" s="631">
        <v>520</v>
      </c>
      <c r="R31" s="631">
        <v>512</v>
      </c>
      <c r="S31" s="631">
        <v>1032</v>
      </c>
      <c r="T31" s="631">
        <v>7781</v>
      </c>
      <c r="U31" s="631">
        <v>10511</v>
      </c>
      <c r="V31" s="631">
        <v>18292</v>
      </c>
      <c r="W31" s="631">
        <v>398</v>
      </c>
      <c r="X31" s="631">
        <v>210</v>
      </c>
      <c r="Y31" s="631">
        <v>608</v>
      </c>
      <c r="Z31" s="631">
        <v>6447</v>
      </c>
      <c r="AA31" s="631">
        <v>7712</v>
      </c>
      <c r="AB31" s="631">
        <v>14159</v>
      </c>
      <c r="AC31" s="631">
        <v>184710</v>
      </c>
      <c r="AD31" s="631">
        <v>131796</v>
      </c>
      <c r="AE31" s="631">
        <v>316506</v>
      </c>
    </row>
    <row r="32" spans="1:31" s="71" customFormat="1" ht="21.75" customHeight="1" x14ac:dyDescent="0.35">
      <c r="A32" s="15">
        <v>28</v>
      </c>
      <c r="B32" s="73" t="s">
        <v>38</v>
      </c>
      <c r="C32" s="631">
        <v>91</v>
      </c>
      <c r="D32" s="631">
        <v>90</v>
      </c>
      <c r="E32" s="631">
        <v>5024</v>
      </c>
      <c r="F32" s="631">
        <v>6076</v>
      </c>
      <c r="G32" s="631">
        <v>11100</v>
      </c>
      <c r="H32" s="631">
        <v>14</v>
      </c>
      <c r="I32" s="631">
        <v>48</v>
      </c>
      <c r="J32" s="631">
        <v>62</v>
      </c>
      <c r="K32" s="631">
        <v>89576</v>
      </c>
      <c r="L32" s="631">
        <v>83744</v>
      </c>
      <c r="M32" s="631">
        <v>173320</v>
      </c>
      <c r="N32" s="631">
        <v>265942</v>
      </c>
      <c r="O32" s="631">
        <v>166640</v>
      </c>
      <c r="P32" s="631">
        <v>432582</v>
      </c>
      <c r="Q32" s="631">
        <v>4697</v>
      </c>
      <c r="R32" s="631">
        <v>1870</v>
      </c>
      <c r="S32" s="631">
        <v>6567</v>
      </c>
      <c r="T32" s="631">
        <v>27965</v>
      </c>
      <c r="U32" s="631">
        <v>13825</v>
      </c>
      <c r="V32" s="631">
        <v>41790</v>
      </c>
      <c r="W32" s="631">
        <v>257</v>
      </c>
      <c r="X32" s="631">
        <v>220</v>
      </c>
      <c r="Y32" s="631">
        <v>477</v>
      </c>
      <c r="Z32" s="631">
        <v>13554</v>
      </c>
      <c r="AA32" s="631">
        <v>9971</v>
      </c>
      <c r="AB32" s="631">
        <v>23525</v>
      </c>
      <c r="AC32" s="631">
        <v>407029</v>
      </c>
      <c r="AD32" s="631">
        <v>282394</v>
      </c>
      <c r="AE32" s="631">
        <v>689423</v>
      </c>
    </row>
    <row r="33" spans="1:31" s="71" customFormat="1" ht="21.75" customHeight="1" x14ac:dyDescent="0.35">
      <c r="A33" s="15">
        <v>29</v>
      </c>
      <c r="B33" s="73" t="s">
        <v>39</v>
      </c>
      <c r="C33" s="631">
        <v>11</v>
      </c>
      <c r="D33" s="631">
        <v>9</v>
      </c>
      <c r="E33" s="631">
        <v>376</v>
      </c>
      <c r="F33" s="631">
        <v>321</v>
      </c>
      <c r="G33" s="631">
        <v>697</v>
      </c>
      <c r="H33" s="631">
        <v>18</v>
      </c>
      <c r="I33" s="631">
        <v>25</v>
      </c>
      <c r="J33" s="631">
        <v>43</v>
      </c>
      <c r="K33" s="631">
        <v>2023</v>
      </c>
      <c r="L33" s="631">
        <v>3222</v>
      </c>
      <c r="M33" s="631">
        <v>5245</v>
      </c>
      <c r="N33" s="631">
        <v>5260</v>
      </c>
      <c r="O33" s="631">
        <v>4265</v>
      </c>
      <c r="P33" s="631">
        <v>9525</v>
      </c>
      <c r="Q33" s="631">
        <v>21</v>
      </c>
      <c r="R33" s="631">
        <v>16</v>
      </c>
      <c r="S33" s="631">
        <v>37</v>
      </c>
      <c r="T33" s="631">
        <v>71</v>
      </c>
      <c r="U33" s="631">
        <v>182</v>
      </c>
      <c r="V33" s="631">
        <v>253</v>
      </c>
      <c r="W33" s="631">
        <v>6</v>
      </c>
      <c r="X33" s="631">
        <v>3</v>
      </c>
      <c r="Y33" s="631">
        <v>9</v>
      </c>
      <c r="Z33" s="631">
        <v>70</v>
      </c>
      <c r="AA33" s="631">
        <v>81</v>
      </c>
      <c r="AB33" s="631">
        <v>151</v>
      </c>
      <c r="AC33" s="631">
        <v>7845</v>
      </c>
      <c r="AD33" s="631">
        <v>8115</v>
      </c>
      <c r="AE33" s="631">
        <v>15960</v>
      </c>
    </row>
    <row r="34" spans="1:31" s="71" customFormat="1" ht="21.75" customHeight="1" x14ac:dyDescent="0.35">
      <c r="A34" s="15">
        <v>30</v>
      </c>
      <c r="B34" s="73" t="s">
        <v>40</v>
      </c>
      <c r="C34" s="631">
        <v>65</v>
      </c>
      <c r="D34" s="631">
        <v>65</v>
      </c>
      <c r="E34" s="631">
        <v>7980</v>
      </c>
      <c r="F34" s="631">
        <v>9340</v>
      </c>
      <c r="G34" s="631">
        <v>17320</v>
      </c>
      <c r="H34" s="631">
        <v>66</v>
      </c>
      <c r="I34" s="631">
        <v>141</v>
      </c>
      <c r="J34" s="631">
        <v>207</v>
      </c>
      <c r="K34" s="631">
        <v>97692</v>
      </c>
      <c r="L34" s="631">
        <v>111660</v>
      </c>
      <c r="M34" s="631">
        <v>209352</v>
      </c>
      <c r="N34" s="631">
        <v>305369</v>
      </c>
      <c r="O34" s="631">
        <v>186095</v>
      </c>
      <c r="P34" s="631">
        <v>491464</v>
      </c>
      <c r="Q34" s="631">
        <v>701</v>
      </c>
      <c r="R34" s="631">
        <v>605</v>
      </c>
      <c r="S34" s="631">
        <v>1306</v>
      </c>
      <c r="T34" s="631">
        <v>10156</v>
      </c>
      <c r="U34" s="631">
        <v>5913</v>
      </c>
      <c r="V34" s="631">
        <v>16069</v>
      </c>
      <c r="W34" s="631">
        <v>13290</v>
      </c>
      <c r="X34" s="631">
        <v>5817</v>
      </c>
      <c r="Y34" s="631">
        <v>19107</v>
      </c>
      <c r="Z34" s="631">
        <v>9750</v>
      </c>
      <c r="AA34" s="631">
        <v>9144</v>
      </c>
      <c r="AB34" s="631">
        <v>18894</v>
      </c>
      <c r="AC34" s="631">
        <v>445004</v>
      </c>
      <c r="AD34" s="631">
        <v>328715</v>
      </c>
      <c r="AE34" s="631">
        <v>773719</v>
      </c>
    </row>
    <row r="35" spans="1:31" s="71" customFormat="1" ht="21.75" customHeight="1" x14ac:dyDescent="0.35">
      <c r="A35" s="15">
        <v>31</v>
      </c>
      <c r="B35" s="73" t="s">
        <v>41</v>
      </c>
      <c r="C35" s="631">
        <v>32</v>
      </c>
      <c r="D35" s="631">
        <v>31</v>
      </c>
      <c r="E35" s="631">
        <v>4597</v>
      </c>
      <c r="F35" s="631">
        <v>2549</v>
      </c>
      <c r="G35" s="631">
        <v>7146</v>
      </c>
      <c r="H35" s="631">
        <v>0</v>
      </c>
      <c r="I35" s="631"/>
      <c r="J35" s="631"/>
      <c r="K35" s="631">
        <v>36251</v>
      </c>
      <c r="L35" s="631">
        <v>43729</v>
      </c>
      <c r="M35" s="631">
        <v>79980</v>
      </c>
      <c r="N35" s="631">
        <v>98011</v>
      </c>
      <c r="O35" s="631">
        <v>78822</v>
      </c>
      <c r="P35" s="631">
        <v>176833</v>
      </c>
      <c r="Q35" s="631">
        <v>2290</v>
      </c>
      <c r="R35" s="631">
        <v>1754</v>
      </c>
      <c r="S35" s="631">
        <v>4044</v>
      </c>
      <c r="T35" s="631">
        <v>1866</v>
      </c>
      <c r="U35" s="631">
        <v>1454</v>
      </c>
      <c r="V35" s="631">
        <v>3320</v>
      </c>
      <c r="W35" s="631">
        <v>1619</v>
      </c>
      <c r="X35" s="631">
        <v>866</v>
      </c>
      <c r="Y35" s="631">
        <v>2485</v>
      </c>
      <c r="Z35" s="631">
        <v>2631</v>
      </c>
      <c r="AA35" s="631">
        <v>1954</v>
      </c>
      <c r="AB35" s="631">
        <v>4585</v>
      </c>
      <c r="AC35" s="631">
        <v>147265</v>
      </c>
      <c r="AD35" s="631">
        <v>131128</v>
      </c>
      <c r="AE35" s="631">
        <v>278393</v>
      </c>
    </row>
    <row r="36" spans="1:31" s="71" customFormat="1" ht="30" x14ac:dyDescent="0.35">
      <c r="A36" s="15">
        <v>32</v>
      </c>
      <c r="B36" s="72" t="s">
        <v>60</v>
      </c>
      <c r="C36" s="631"/>
      <c r="D36" s="631"/>
      <c r="E36" s="631">
        <v>0</v>
      </c>
      <c r="F36" s="631"/>
      <c r="G36" s="631"/>
      <c r="H36" s="631">
        <v>0</v>
      </c>
      <c r="I36" s="631"/>
      <c r="J36" s="631"/>
      <c r="K36" s="631">
        <v>40</v>
      </c>
      <c r="L36" s="631">
        <v>58</v>
      </c>
      <c r="M36" s="631">
        <v>98</v>
      </c>
      <c r="N36" s="631">
        <v>240</v>
      </c>
      <c r="O36" s="631">
        <v>31</v>
      </c>
      <c r="P36" s="631">
        <v>271</v>
      </c>
      <c r="Q36" s="631">
        <v>0</v>
      </c>
      <c r="R36" s="631"/>
      <c r="S36" s="631"/>
      <c r="T36" s="631">
        <v>0</v>
      </c>
      <c r="U36" s="631"/>
      <c r="V36" s="631"/>
      <c r="W36" s="631">
        <v>0</v>
      </c>
      <c r="X36" s="631"/>
      <c r="Y36" s="631"/>
      <c r="Z36" s="631">
        <v>0</v>
      </c>
      <c r="AA36" s="631"/>
      <c r="AB36" s="631"/>
      <c r="AC36" s="631">
        <v>280</v>
      </c>
      <c r="AD36" s="631">
        <v>89</v>
      </c>
      <c r="AE36" s="631">
        <v>369</v>
      </c>
    </row>
    <row r="37" spans="1:31" s="71" customFormat="1" ht="21.75" customHeight="1" x14ac:dyDescent="0.35">
      <c r="A37" s="15">
        <v>33</v>
      </c>
      <c r="B37" s="73" t="s">
        <v>42</v>
      </c>
      <c r="C37" s="631">
        <v>5</v>
      </c>
      <c r="D37" s="631">
        <v>5</v>
      </c>
      <c r="E37" s="631">
        <v>120</v>
      </c>
      <c r="F37" s="631">
        <v>73</v>
      </c>
      <c r="G37" s="631">
        <v>193</v>
      </c>
      <c r="H37" s="631">
        <v>1</v>
      </c>
      <c r="I37" s="631">
        <v>4</v>
      </c>
      <c r="J37" s="631">
        <v>5</v>
      </c>
      <c r="K37" s="631">
        <v>4024</v>
      </c>
      <c r="L37" s="631">
        <v>4750</v>
      </c>
      <c r="M37" s="631">
        <v>8774</v>
      </c>
      <c r="N37" s="631">
        <v>7048</v>
      </c>
      <c r="O37" s="631">
        <v>3738</v>
      </c>
      <c r="P37" s="631">
        <v>10786</v>
      </c>
      <c r="Q37" s="631">
        <v>45</v>
      </c>
      <c r="R37" s="631">
        <v>29</v>
      </c>
      <c r="S37" s="631">
        <v>74</v>
      </c>
      <c r="T37" s="631">
        <v>35</v>
      </c>
      <c r="U37" s="631">
        <v>107</v>
      </c>
      <c r="V37" s="631">
        <v>142</v>
      </c>
      <c r="W37" s="631">
        <v>0</v>
      </c>
      <c r="X37" s="631">
        <v>0</v>
      </c>
      <c r="Y37" s="631">
        <v>0</v>
      </c>
      <c r="Z37" s="631">
        <v>1025</v>
      </c>
      <c r="AA37" s="631">
        <v>818</v>
      </c>
      <c r="AB37" s="631">
        <v>1843</v>
      </c>
      <c r="AC37" s="631">
        <v>12298</v>
      </c>
      <c r="AD37" s="631">
        <v>9519</v>
      </c>
      <c r="AE37" s="631">
        <v>21817</v>
      </c>
    </row>
    <row r="38" spans="1:31" s="71" customFormat="1" ht="21.75" customHeight="1" x14ac:dyDescent="0.35">
      <c r="A38" s="15">
        <v>34</v>
      </c>
      <c r="B38" s="73" t="s">
        <v>43</v>
      </c>
      <c r="C38" s="631">
        <v>94</v>
      </c>
      <c r="D38" s="631">
        <v>94</v>
      </c>
      <c r="E38" s="631">
        <v>13253</v>
      </c>
      <c r="F38" s="631">
        <v>9871</v>
      </c>
      <c r="G38" s="631">
        <v>23124</v>
      </c>
      <c r="H38" s="631">
        <v>19</v>
      </c>
      <c r="I38" s="631">
        <v>67</v>
      </c>
      <c r="J38" s="631">
        <v>86</v>
      </c>
      <c r="K38" s="631">
        <v>114780</v>
      </c>
      <c r="L38" s="631">
        <v>96841</v>
      </c>
      <c r="M38" s="631">
        <v>211621</v>
      </c>
      <c r="N38" s="631">
        <v>328215</v>
      </c>
      <c r="O38" s="631">
        <v>182654</v>
      </c>
      <c r="P38" s="631">
        <v>510869</v>
      </c>
      <c r="Q38" s="631">
        <v>3476</v>
      </c>
      <c r="R38" s="631">
        <v>2022</v>
      </c>
      <c r="S38" s="631">
        <v>5498</v>
      </c>
      <c r="T38" s="631">
        <v>18135</v>
      </c>
      <c r="U38" s="631">
        <v>7016</v>
      </c>
      <c r="V38" s="631">
        <v>25151</v>
      </c>
      <c r="W38" s="631">
        <v>9559</v>
      </c>
      <c r="X38" s="631">
        <v>6988</v>
      </c>
      <c r="Y38" s="631">
        <v>16547</v>
      </c>
      <c r="Z38" s="631">
        <v>13978</v>
      </c>
      <c r="AA38" s="631">
        <v>9543</v>
      </c>
      <c r="AB38" s="631">
        <v>23521</v>
      </c>
      <c r="AC38" s="631">
        <v>501415</v>
      </c>
      <c r="AD38" s="631">
        <v>315002</v>
      </c>
      <c r="AE38" s="631">
        <v>816417</v>
      </c>
    </row>
    <row r="39" spans="1:31" s="71" customFormat="1" ht="21.75" customHeight="1" x14ac:dyDescent="0.35">
      <c r="A39" s="15">
        <v>35</v>
      </c>
      <c r="B39" s="73" t="s">
        <v>44</v>
      </c>
      <c r="C39" s="631">
        <v>40</v>
      </c>
      <c r="D39" s="631">
        <v>40</v>
      </c>
      <c r="E39" s="631">
        <v>4216</v>
      </c>
      <c r="F39" s="631">
        <v>2738</v>
      </c>
      <c r="G39" s="631">
        <v>6954</v>
      </c>
      <c r="H39" s="631">
        <v>0</v>
      </c>
      <c r="I39" s="631"/>
      <c r="J39" s="631"/>
      <c r="K39" s="631">
        <v>30950</v>
      </c>
      <c r="L39" s="631">
        <v>38138</v>
      </c>
      <c r="M39" s="631">
        <v>69088</v>
      </c>
      <c r="N39" s="631">
        <v>107177</v>
      </c>
      <c r="O39" s="631">
        <v>76589</v>
      </c>
      <c r="P39" s="631">
        <v>183766</v>
      </c>
      <c r="Q39" s="631">
        <v>377</v>
      </c>
      <c r="R39" s="631">
        <v>263</v>
      </c>
      <c r="S39" s="631">
        <v>640</v>
      </c>
      <c r="T39" s="631">
        <v>3095</v>
      </c>
      <c r="U39" s="631">
        <v>868</v>
      </c>
      <c r="V39" s="631">
        <v>3963</v>
      </c>
      <c r="W39" s="631">
        <v>104</v>
      </c>
      <c r="X39" s="631">
        <v>65</v>
      </c>
      <c r="Y39" s="631">
        <v>169</v>
      </c>
      <c r="Z39" s="631">
        <v>2524</v>
      </c>
      <c r="AA39" s="631">
        <v>1765</v>
      </c>
      <c r="AB39" s="631">
        <v>4289</v>
      </c>
      <c r="AC39" s="631">
        <v>148443</v>
      </c>
      <c r="AD39" s="631">
        <v>120426</v>
      </c>
      <c r="AE39" s="631">
        <v>268869</v>
      </c>
    </row>
    <row r="40" spans="1:31" s="71" customFormat="1" ht="21.75" customHeight="1" x14ac:dyDescent="0.35">
      <c r="A40" s="15">
        <v>36</v>
      </c>
      <c r="B40" s="73" t="s">
        <v>45</v>
      </c>
      <c r="C40" s="631">
        <v>59</v>
      </c>
      <c r="D40" s="631">
        <v>59</v>
      </c>
      <c r="E40" s="631">
        <v>7597</v>
      </c>
      <c r="F40" s="631">
        <v>4526</v>
      </c>
      <c r="G40" s="631">
        <v>12123</v>
      </c>
      <c r="H40" s="631">
        <v>275</v>
      </c>
      <c r="I40" s="631">
        <v>224</v>
      </c>
      <c r="J40" s="631">
        <v>499</v>
      </c>
      <c r="K40" s="631">
        <v>110962</v>
      </c>
      <c r="L40" s="631">
        <v>159630</v>
      </c>
      <c r="M40" s="631">
        <v>270592</v>
      </c>
      <c r="N40" s="631">
        <v>296188</v>
      </c>
      <c r="O40" s="631">
        <v>166796</v>
      </c>
      <c r="P40" s="631">
        <v>462984</v>
      </c>
      <c r="Q40" s="631">
        <v>1248</v>
      </c>
      <c r="R40" s="631">
        <v>1143</v>
      </c>
      <c r="S40" s="631">
        <v>2391</v>
      </c>
      <c r="T40" s="631">
        <v>2295</v>
      </c>
      <c r="U40" s="631">
        <v>1518</v>
      </c>
      <c r="V40" s="631">
        <v>3813</v>
      </c>
      <c r="W40" s="631">
        <v>2341</v>
      </c>
      <c r="X40" s="631">
        <v>1748</v>
      </c>
      <c r="Y40" s="631">
        <v>4089</v>
      </c>
      <c r="Z40" s="631">
        <v>5715</v>
      </c>
      <c r="AA40" s="631">
        <v>2234</v>
      </c>
      <c r="AB40" s="631">
        <v>7949</v>
      </c>
      <c r="AC40" s="631">
        <v>426621</v>
      </c>
      <c r="AD40" s="631">
        <v>337819</v>
      </c>
      <c r="AE40" s="631">
        <v>764440</v>
      </c>
    </row>
    <row r="41" spans="1:31" s="75" customFormat="1" ht="21.75" customHeight="1" x14ac:dyDescent="0.35">
      <c r="A41" s="742" t="s">
        <v>46</v>
      </c>
      <c r="B41" s="742"/>
      <c r="C41" s="633">
        <v>1213</v>
      </c>
      <c r="D41" s="633">
        <v>1208</v>
      </c>
      <c r="E41" s="633">
        <v>105923</v>
      </c>
      <c r="F41" s="633">
        <v>93295</v>
      </c>
      <c r="G41" s="633">
        <v>199218</v>
      </c>
      <c r="H41" s="633">
        <v>791</v>
      </c>
      <c r="I41" s="633">
        <v>1026</v>
      </c>
      <c r="J41" s="633">
        <v>1817</v>
      </c>
      <c r="K41" s="633">
        <v>1352797</v>
      </c>
      <c r="L41" s="633">
        <v>1523456</v>
      </c>
      <c r="M41" s="633">
        <v>2876253</v>
      </c>
      <c r="N41" s="633">
        <v>3896566</v>
      </c>
      <c r="O41" s="633">
        <v>2613121</v>
      </c>
      <c r="P41" s="633">
        <v>6509687</v>
      </c>
      <c r="Q41" s="633">
        <v>61626</v>
      </c>
      <c r="R41" s="633">
        <v>50765</v>
      </c>
      <c r="S41" s="633">
        <v>112391</v>
      </c>
      <c r="T41" s="633">
        <v>207398</v>
      </c>
      <c r="U41" s="633">
        <v>113690</v>
      </c>
      <c r="V41" s="633">
        <v>321088</v>
      </c>
      <c r="W41" s="633">
        <v>35122</v>
      </c>
      <c r="X41" s="633">
        <v>22044</v>
      </c>
      <c r="Y41" s="633">
        <v>57166</v>
      </c>
      <c r="Z41" s="633">
        <v>123552</v>
      </c>
      <c r="AA41" s="633">
        <v>98859</v>
      </c>
      <c r="AB41" s="633">
        <v>222411</v>
      </c>
      <c r="AC41" s="633">
        <v>5783775</v>
      </c>
      <c r="AD41" s="633">
        <v>4516256</v>
      </c>
      <c r="AE41" s="633">
        <v>10300031</v>
      </c>
    </row>
    <row r="42" spans="1:31" x14ac:dyDescent="0.35">
      <c r="A42" s="76" t="s">
        <v>101</v>
      </c>
      <c r="B42" s="77"/>
    </row>
  </sheetData>
  <mergeCells count="16">
    <mergeCell ref="A41:B41"/>
    <mergeCell ref="C1:M1"/>
    <mergeCell ref="N1:V1"/>
    <mergeCell ref="W1:AE1"/>
    <mergeCell ref="A2:A3"/>
    <mergeCell ref="B2:B3"/>
    <mergeCell ref="C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pageMargins left="0.59055118110236227" right="0.35433070866141736" top="0.39370078740157483" bottom="0.39370078740157483" header="0.31496062992125984" footer="0.19685039370078741"/>
  <pageSetup paperSize="9" scale="70" firstPageNumber="13" orientation="portrait" r:id="rId1"/>
  <headerFooter>
    <oddFooter>&amp;L&amp;"Arial,Italic"&amp;9AISHE 2022-23&amp;RT-7</oddFooter>
  </headerFooter>
  <colBreaks count="2" manualBreakCount="2">
    <brk id="13" max="1048575" man="1"/>
    <brk id="2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EF22-4212-4F65-A80E-17A141FE5695}">
  <sheetPr codeName="Sheet13">
    <tabColor rgb="FF92D050"/>
  </sheetPr>
  <dimension ref="A1:AF41"/>
  <sheetViews>
    <sheetView view="pageBreakPreview" zoomScaleSheetLayoutView="100" workbookViewId="0">
      <pane xSplit="2" ySplit="4" topLeftCell="C5" activePane="bottomRight" state="frozen"/>
      <selection activeCell="S20" sqref="S20"/>
      <selection pane="topRight" activeCell="S20" sqref="S20"/>
      <selection pane="bottomLeft" activeCell="S20" sqref="S20"/>
      <selection pane="bottomRight" activeCell="A5" sqref="A5"/>
    </sheetView>
  </sheetViews>
  <sheetFormatPr defaultColWidth="9.26953125" defaultRowHeight="13" x14ac:dyDescent="0.3"/>
  <cols>
    <col min="1" max="1" width="5.26953125" style="543" customWidth="1"/>
    <col min="2" max="2" width="22.26953125" style="543" customWidth="1"/>
    <col min="3" max="3" width="9.08984375" style="543" bestFit="1" customWidth="1"/>
    <col min="4" max="7" width="9" style="543" bestFit="1" customWidth="1"/>
    <col min="8" max="9" width="6.7265625" style="543" bestFit="1" customWidth="1"/>
    <col min="10" max="10" width="8.08984375" style="543" bestFit="1" customWidth="1"/>
    <col min="11" max="13" width="11.26953125" style="543" bestFit="1" customWidth="1"/>
    <col min="14" max="22" width="9.453125" style="543" customWidth="1"/>
    <col min="23" max="23" width="6.7265625" style="543" customWidth="1"/>
    <col min="24" max="25" width="9" style="543" bestFit="1" customWidth="1"/>
    <col min="26" max="28" width="10.36328125" style="543" bestFit="1" customWidth="1"/>
    <col min="29" max="31" width="12.6328125" style="543" bestFit="1" customWidth="1"/>
    <col min="32" max="32" width="12.26953125" style="543" customWidth="1"/>
    <col min="33" max="16384" width="9.26953125" style="543"/>
  </cols>
  <sheetData>
    <row r="1" spans="1:32" s="556" customFormat="1" ht="36.75" customHeight="1" x14ac:dyDescent="0.35">
      <c r="B1" s="544" t="s">
        <v>102</v>
      </c>
      <c r="C1" s="750" t="s">
        <v>1026</v>
      </c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0" t="str">
        <f>C1</f>
        <v>State/UTs-wise Number of Registered and Responsed Colleges and their Enrolment at various levels (Based on Actual Response)</v>
      </c>
      <c r="O1" s="750"/>
      <c r="P1" s="750"/>
      <c r="Q1" s="750"/>
      <c r="R1" s="750"/>
      <c r="S1" s="750"/>
      <c r="T1" s="750"/>
      <c r="U1" s="750"/>
      <c r="V1" s="750"/>
      <c r="W1" s="750" t="str">
        <f>C1</f>
        <v>State/UTs-wise Number of Registered and Responsed Colleges and their Enrolment at various levels (Based on Actual Response)</v>
      </c>
      <c r="X1" s="750"/>
      <c r="Y1" s="750"/>
      <c r="Z1" s="750"/>
      <c r="AA1" s="750"/>
      <c r="AB1" s="750"/>
      <c r="AC1" s="750"/>
      <c r="AD1" s="750"/>
      <c r="AE1" s="750"/>
      <c r="AF1" s="750"/>
    </row>
    <row r="2" spans="1:32" s="545" customFormat="1" ht="27" customHeight="1" x14ac:dyDescent="0.35">
      <c r="A2" s="752" t="s">
        <v>84</v>
      </c>
      <c r="B2" s="717" t="s">
        <v>1005</v>
      </c>
      <c r="C2" s="718" t="s">
        <v>103</v>
      </c>
      <c r="D2" s="720"/>
      <c r="E2" s="718" t="s">
        <v>85</v>
      </c>
      <c r="F2" s="719"/>
      <c r="G2" s="720"/>
      <c r="H2" s="718" t="s">
        <v>86</v>
      </c>
      <c r="I2" s="719"/>
      <c r="J2" s="720"/>
      <c r="K2" s="718" t="s">
        <v>87</v>
      </c>
      <c r="L2" s="719"/>
      <c r="M2" s="720"/>
      <c r="N2" s="718" t="s">
        <v>88</v>
      </c>
      <c r="O2" s="719"/>
      <c r="P2" s="720"/>
      <c r="Q2" s="718" t="s">
        <v>89</v>
      </c>
      <c r="R2" s="719"/>
      <c r="S2" s="720"/>
      <c r="T2" s="718" t="s">
        <v>90</v>
      </c>
      <c r="U2" s="719"/>
      <c r="V2" s="720"/>
      <c r="W2" s="718" t="s">
        <v>91</v>
      </c>
      <c r="X2" s="719"/>
      <c r="Y2" s="720"/>
      <c r="Z2" s="718" t="s">
        <v>92</v>
      </c>
      <c r="AA2" s="719"/>
      <c r="AB2" s="720"/>
      <c r="AC2" s="718" t="s">
        <v>12</v>
      </c>
      <c r="AD2" s="719"/>
      <c r="AE2" s="720"/>
      <c r="AF2" s="717" t="s">
        <v>104</v>
      </c>
    </row>
    <row r="3" spans="1:32" s="14" customFormat="1" ht="27" customHeight="1" x14ac:dyDescent="0.35">
      <c r="A3" s="753"/>
      <c r="B3" s="717"/>
      <c r="C3" s="86" t="s">
        <v>55</v>
      </c>
      <c r="D3" s="85" t="s">
        <v>998</v>
      </c>
      <c r="E3" s="86" t="s">
        <v>93</v>
      </c>
      <c r="F3" s="86" t="s">
        <v>94</v>
      </c>
      <c r="G3" s="86" t="s">
        <v>54</v>
      </c>
      <c r="H3" s="86" t="s">
        <v>93</v>
      </c>
      <c r="I3" s="86" t="s">
        <v>94</v>
      </c>
      <c r="J3" s="86" t="s">
        <v>54</v>
      </c>
      <c r="K3" s="86" t="s">
        <v>93</v>
      </c>
      <c r="L3" s="86" t="s">
        <v>94</v>
      </c>
      <c r="M3" s="86" t="s">
        <v>54</v>
      </c>
      <c r="N3" s="86" t="s">
        <v>93</v>
      </c>
      <c r="O3" s="86" t="s">
        <v>94</v>
      </c>
      <c r="P3" s="86" t="s">
        <v>54</v>
      </c>
      <c r="Q3" s="86" t="s">
        <v>93</v>
      </c>
      <c r="R3" s="86" t="s">
        <v>94</v>
      </c>
      <c r="S3" s="86" t="s">
        <v>54</v>
      </c>
      <c r="T3" s="86" t="s">
        <v>93</v>
      </c>
      <c r="U3" s="86" t="s">
        <v>94</v>
      </c>
      <c r="V3" s="86" t="s">
        <v>54</v>
      </c>
      <c r="W3" s="86" t="s">
        <v>93</v>
      </c>
      <c r="X3" s="86" t="s">
        <v>94</v>
      </c>
      <c r="Y3" s="86" t="s">
        <v>54</v>
      </c>
      <c r="Z3" s="86" t="s">
        <v>93</v>
      </c>
      <c r="AA3" s="86" t="s">
        <v>94</v>
      </c>
      <c r="AB3" s="86" t="s">
        <v>54</v>
      </c>
      <c r="AC3" s="86" t="s">
        <v>93</v>
      </c>
      <c r="AD3" s="86" t="s">
        <v>94</v>
      </c>
      <c r="AE3" s="86" t="s">
        <v>54</v>
      </c>
      <c r="AF3" s="717"/>
    </row>
    <row r="4" spans="1:32" s="14" customFormat="1" ht="15" customHeight="1" x14ac:dyDescent="0.35">
      <c r="A4" s="546">
        <v>1</v>
      </c>
      <c r="B4" s="546">
        <v>2</v>
      </c>
      <c r="C4" s="546">
        <v>3</v>
      </c>
      <c r="D4" s="546">
        <v>4</v>
      </c>
      <c r="E4" s="546">
        <v>5</v>
      </c>
      <c r="F4" s="546">
        <v>6</v>
      </c>
      <c r="G4" s="546">
        <v>7</v>
      </c>
      <c r="H4" s="546">
        <v>8</v>
      </c>
      <c r="I4" s="546">
        <v>9</v>
      </c>
      <c r="J4" s="546">
        <v>10</v>
      </c>
      <c r="K4" s="546">
        <v>11</v>
      </c>
      <c r="L4" s="546">
        <v>12</v>
      </c>
      <c r="M4" s="546">
        <v>13</v>
      </c>
      <c r="N4" s="546">
        <v>14</v>
      </c>
      <c r="O4" s="546">
        <v>15</v>
      </c>
      <c r="P4" s="546">
        <v>16</v>
      </c>
      <c r="Q4" s="546">
        <v>17</v>
      </c>
      <c r="R4" s="546">
        <v>18</v>
      </c>
      <c r="S4" s="546">
        <v>19</v>
      </c>
      <c r="T4" s="546">
        <v>20</v>
      </c>
      <c r="U4" s="546">
        <v>21</v>
      </c>
      <c r="V4" s="546">
        <v>22</v>
      </c>
      <c r="W4" s="546">
        <v>23</v>
      </c>
      <c r="X4" s="546">
        <v>24</v>
      </c>
      <c r="Y4" s="546">
        <v>25</v>
      </c>
      <c r="Z4" s="546">
        <v>26</v>
      </c>
      <c r="AA4" s="546">
        <v>27</v>
      </c>
      <c r="AB4" s="546">
        <v>28</v>
      </c>
      <c r="AC4" s="546">
        <v>29</v>
      </c>
      <c r="AD4" s="546">
        <v>30</v>
      </c>
      <c r="AE4" s="546">
        <v>31</v>
      </c>
      <c r="AF4" s="546">
        <v>32</v>
      </c>
    </row>
    <row r="5" spans="1:32" s="14" customFormat="1" ht="23.25" customHeight="1" x14ac:dyDescent="0.35">
      <c r="A5" s="90">
        <v>1</v>
      </c>
      <c r="B5" s="557" t="s">
        <v>58</v>
      </c>
      <c r="C5" s="634">
        <v>9</v>
      </c>
      <c r="D5" s="634">
        <v>3</v>
      </c>
      <c r="E5" s="634">
        <v>0</v>
      </c>
      <c r="F5" s="634"/>
      <c r="G5" s="634"/>
      <c r="H5" s="634">
        <v>0</v>
      </c>
      <c r="I5" s="634"/>
      <c r="J5" s="634"/>
      <c r="K5" s="634">
        <v>0</v>
      </c>
      <c r="L5" s="634"/>
      <c r="M5" s="634"/>
      <c r="N5" s="634">
        <v>578</v>
      </c>
      <c r="O5" s="634">
        <v>537</v>
      </c>
      <c r="P5" s="634">
        <v>1115</v>
      </c>
      <c r="Q5" s="634">
        <v>0</v>
      </c>
      <c r="R5" s="634"/>
      <c r="S5" s="634"/>
      <c r="T5" s="634">
        <v>405</v>
      </c>
      <c r="U5" s="634">
        <v>209</v>
      </c>
      <c r="V5" s="634">
        <v>614</v>
      </c>
      <c r="W5" s="634">
        <v>0</v>
      </c>
      <c r="X5" s="634"/>
      <c r="Y5" s="634"/>
      <c r="Z5" s="634">
        <v>48</v>
      </c>
      <c r="AA5" s="634">
        <v>131</v>
      </c>
      <c r="AB5" s="634">
        <v>179</v>
      </c>
      <c r="AC5" s="634">
        <v>1031</v>
      </c>
      <c r="AD5" s="634">
        <v>877</v>
      </c>
      <c r="AE5" s="634">
        <v>1908</v>
      </c>
      <c r="AF5" s="634">
        <f>AE5/D5</f>
        <v>636</v>
      </c>
    </row>
    <row r="6" spans="1:32" s="14" customFormat="1" ht="21.75" customHeight="1" x14ac:dyDescent="0.35">
      <c r="A6" s="90">
        <v>2</v>
      </c>
      <c r="B6" s="558" t="s">
        <v>13</v>
      </c>
      <c r="C6" s="634">
        <v>2590</v>
      </c>
      <c r="D6" s="634">
        <v>2580</v>
      </c>
      <c r="E6" s="634">
        <v>665</v>
      </c>
      <c r="F6" s="634">
        <v>598</v>
      </c>
      <c r="G6" s="634">
        <v>1263</v>
      </c>
      <c r="H6" s="634">
        <v>0</v>
      </c>
      <c r="I6" s="634"/>
      <c r="J6" s="634"/>
      <c r="K6" s="634">
        <v>56218</v>
      </c>
      <c r="L6" s="634">
        <v>57632</v>
      </c>
      <c r="M6" s="634">
        <v>113850</v>
      </c>
      <c r="N6" s="634">
        <v>614481</v>
      </c>
      <c r="O6" s="634">
        <v>596953</v>
      </c>
      <c r="P6" s="634">
        <v>1211434</v>
      </c>
      <c r="Q6" s="634">
        <v>121</v>
      </c>
      <c r="R6" s="634">
        <v>91</v>
      </c>
      <c r="S6" s="634">
        <v>212</v>
      </c>
      <c r="T6" s="634">
        <v>31411</v>
      </c>
      <c r="U6" s="634">
        <v>12449</v>
      </c>
      <c r="V6" s="634">
        <v>43860</v>
      </c>
      <c r="W6" s="634">
        <v>0</v>
      </c>
      <c r="X6" s="634"/>
      <c r="Y6" s="634"/>
      <c r="Z6" s="634">
        <v>5333</v>
      </c>
      <c r="AA6" s="634">
        <v>2723</v>
      </c>
      <c r="AB6" s="634">
        <v>8056</v>
      </c>
      <c r="AC6" s="634">
        <v>708229</v>
      </c>
      <c r="AD6" s="634">
        <v>670446</v>
      </c>
      <c r="AE6" s="634">
        <v>1378675</v>
      </c>
      <c r="AF6" s="634">
        <f t="shared" ref="AF6:AF41" si="0">AE6/D6</f>
        <v>534.37015503875966</v>
      </c>
    </row>
    <row r="7" spans="1:32" s="14" customFormat="1" ht="21.75" customHeight="1" x14ac:dyDescent="0.35">
      <c r="A7" s="90">
        <v>3</v>
      </c>
      <c r="B7" s="558" t="s">
        <v>14</v>
      </c>
      <c r="C7" s="634">
        <v>43</v>
      </c>
      <c r="D7" s="634">
        <v>43</v>
      </c>
      <c r="E7" s="634">
        <v>12</v>
      </c>
      <c r="F7" s="634">
        <v>15</v>
      </c>
      <c r="G7" s="634">
        <v>27</v>
      </c>
      <c r="H7" s="634">
        <v>0</v>
      </c>
      <c r="I7" s="634"/>
      <c r="J7" s="634"/>
      <c r="K7" s="634">
        <v>156</v>
      </c>
      <c r="L7" s="634">
        <v>230</v>
      </c>
      <c r="M7" s="634">
        <v>386</v>
      </c>
      <c r="N7" s="634">
        <v>13647</v>
      </c>
      <c r="O7" s="634">
        <v>13635</v>
      </c>
      <c r="P7" s="634">
        <v>27282</v>
      </c>
      <c r="Q7" s="634">
        <v>8</v>
      </c>
      <c r="R7" s="634">
        <v>4</v>
      </c>
      <c r="S7" s="634">
        <v>12</v>
      </c>
      <c r="T7" s="634">
        <v>0</v>
      </c>
      <c r="U7" s="634">
        <v>179</v>
      </c>
      <c r="V7" s="634">
        <v>179</v>
      </c>
      <c r="W7" s="634">
        <v>0</v>
      </c>
      <c r="X7" s="634"/>
      <c r="Y7" s="634"/>
      <c r="Z7" s="634">
        <v>251</v>
      </c>
      <c r="AA7" s="634">
        <v>231</v>
      </c>
      <c r="AB7" s="634">
        <v>482</v>
      </c>
      <c r="AC7" s="634">
        <v>14074</v>
      </c>
      <c r="AD7" s="634">
        <v>14294</v>
      </c>
      <c r="AE7" s="634">
        <v>28368</v>
      </c>
      <c r="AF7" s="634">
        <f t="shared" si="0"/>
        <v>659.72093023255809</v>
      </c>
    </row>
    <row r="8" spans="1:32" s="14" customFormat="1" ht="21.75" customHeight="1" x14ac:dyDescent="0.35">
      <c r="A8" s="90">
        <v>4</v>
      </c>
      <c r="B8" s="558" t="s">
        <v>15</v>
      </c>
      <c r="C8" s="634">
        <v>654</v>
      </c>
      <c r="D8" s="634">
        <v>650</v>
      </c>
      <c r="E8" s="634">
        <v>91</v>
      </c>
      <c r="F8" s="634">
        <v>76</v>
      </c>
      <c r="G8" s="634">
        <v>167</v>
      </c>
      <c r="H8" s="634">
        <v>13</v>
      </c>
      <c r="I8" s="634">
        <v>28</v>
      </c>
      <c r="J8" s="634">
        <v>41</v>
      </c>
      <c r="K8" s="634">
        <v>4855</v>
      </c>
      <c r="L8" s="634">
        <v>7916</v>
      </c>
      <c r="M8" s="634">
        <v>12771</v>
      </c>
      <c r="N8" s="634">
        <v>234024</v>
      </c>
      <c r="O8" s="634">
        <v>253589</v>
      </c>
      <c r="P8" s="634">
        <v>487613</v>
      </c>
      <c r="Q8" s="634">
        <v>325</v>
      </c>
      <c r="R8" s="634">
        <v>401</v>
      </c>
      <c r="S8" s="634">
        <v>726</v>
      </c>
      <c r="T8" s="634">
        <v>6352</v>
      </c>
      <c r="U8" s="634">
        <v>7193</v>
      </c>
      <c r="V8" s="634">
        <v>13545</v>
      </c>
      <c r="W8" s="634">
        <v>15428</v>
      </c>
      <c r="X8" s="634">
        <v>23021</v>
      </c>
      <c r="Y8" s="634">
        <v>38449</v>
      </c>
      <c r="Z8" s="634">
        <v>1791</v>
      </c>
      <c r="AA8" s="634">
        <v>2357</v>
      </c>
      <c r="AB8" s="634">
        <v>4148</v>
      </c>
      <c r="AC8" s="634">
        <v>262879</v>
      </c>
      <c r="AD8" s="634">
        <v>294581</v>
      </c>
      <c r="AE8" s="634">
        <v>557460</v>
      </c>
      <c r="AF8" s="634">
        <f t="shared" si="0"/>
        <v>857.63076923076926</v>
      </c>
    </row>
    <row r="9" spans="1:32" s="14" customFormat="1" ht="21.75" customHeight="1" x14ac:dyDescent="0.35">
      <c r="A9" s="90">
        <v>5</v>
      </c>
      <c r="B9" s="558" t="s">
        <v>16</v>
      </c>
      <c r="C9" s="634">
        <v>1173</v>
      </c>
      <c r="D9" s="634">
        <v>1162</v>
      </c>
      <c r="E9" s="634">
        <v>32</v>
      </c>
      <c r="F9" s="634">
        <v>12</v>
      </c>
      <c r="G9" s="634">
        <v>44</v>
      </c>
      <c r="H9" s="634">
        <v>0</v>
      </c>
      <c r="I9" s="634"/>
      <c r="J9" s="634"/>
      <c r="K9" s="634">
        <v>31739</v>
      </c>
      <c r="L9" s="634">
        <v>42004</v>
      </c>
      <c r="M9" s="634">
        <v>73743</v>
      </c>
      <c r="N9" s="634">
        <v>1085018</v>
      </c>
      <c r="O9" s="634">
        <v>1042565</v>
      </c>
      <c r="P9" s="634">
        <v>2127583</v>
      </c>
      <c r="Q9" s="634">
        <v>355</v>
      </c>
      <c r="R9" s="634">
        <v>216</v>
      </c>
      <c r="S9" s="634">
        <v>571</v>
      </c>
      <c r="T9" s="634">
        <v>19440</v>
      </c>
      <c r="U9" s="634">
        <v>24084</v>
      </c>
      <c r="V9" s="634">
        <v>43524</v>
      </c>
      <c r="W9" s="634">
        <v>1393</v>
      </c>
      <c r="X9" s="634">
        <v>1035</v>
      </c>
      <c r="Y9" s="634">
        <v>2428</v>
      </c>
      <c r="Z9" s="634">
        <v>1453</v>
      </c>
      <c r="AA9" s="634">
        <v>965</v>
      </c>
      <c r="AB9" s="634">
        <v>2418</v>
      </c>
      <c r="AC9" s="634">
        <v>1139430</v>
      </c>
      <c r="AD9" s="634">
        <v>1110881</v>
      </c>
      <c r="AE9" s="634">
        <v>2250311</v>
      </c>
      <c r="AF9" s="634">
        <f t="shared" si="0"/>
        <v>1936.5843373493976</v>
      </c>
    </row>
    <row r="10" spans="1:32" s="14" customFormat="1" ht="21.75" customHeight="1" x14ac:dyDescent="0.35">
      <c r="A10" s="90">
        <v>6</v>
      </c>
      <c r="B10" s="558" t="s">
        <v>17</v>
      </c>
      <c r="C10" s="634">
        <v>26</v>
      </c>
      <c r="D10" s="634">
        <v>26</v>
      </c>
      <c r="E10" s="634">
        <v>0</v>
      </c>
      <c r="F10" s="634">
        <v>20</v>
      </c>
      <c r="G10" s="634">
        <v>20</v>
      </c>
      <c r="H10" s="634">
        <v>0</v>
      </c>
      <c r="I10" s="634">
        <v>1</v>
      </c>
      <c r="J10" s="634">
        <v>1</v>
      </c>
      <c r="K10" s="634">
        <v>1529</v>
      </c>
      <c r="L10" s="634">
        <v>3782</v>
      </c>
      <c r="M10" s="634">
        <v>5311</v>
      </c>
      <c r="N10" s="634">
        <v>18346</v>
      </c>
      <c r="O10" s="634">
        <v>24138</v>
      </c>
      <c r="P10" s="634">
        <v>42484</v>
      </c>
      <c r="Q10" s="634">
        <v>200</v>
      </c>
      <c r="R10" s="634">
        <v>304</v>
      </c>
      <c r="S10" s="634">
        <v>504</v>
      </c>
      <c r="T10" s="634">
        <v>124</v>
      </c>
      <c r="U10" s="634">
        <v>129</v>
      </c>
      <c r="V10" s="634">
        <v>253</v>
      </c>
      <c r="W10" s="634">
        <v>137</v>
      </c>
      <c r="X10" s="634">
        <v>121</v>
      </c>
      <c r="Y10" s="634">
        <v>258</v>
      </c>
      <c r="Z10" s="634">
        <v>37</v>
      </c>
      <c r="AA10" s="634">
        <v>91</v>
      </c>
      <c r="AB10" s="634">
        <v>128</v>
      </c>
      <c r="AC10" s="634">
        <v>20373</v>
      </c>
      <c r="AD10" s="634">
        <v>28586</v>
      </c>
      <c r="AE10" s="634">
        <v>48959</v>
      </c>
      <c r="AF10" s="634">
        <f t="shared" si="0"/>
        <v>1883.0384615384614</v>
      </c>
    </row>
    <row r="11" spans="1:32" s="14" customFormat="1" ht="21.75" customHeight="1" x14ac:dyDescent="0.35">
      <c r="A11" s="90">
        <v>7</v>
      </c>
      <c r="B11" s="558" t="s">
        <v>18</v>
      </c>
      <c r="C11" s="635">
        <v>948</v>
      </c>
      <c r="D11" s="634">
        <v>927</v>
      </c>
      <c r="E11" s="634">
        <v>271</v>
      </c>
      <c r="F11" s="634">
        <v>335</v>
      </c>
      <c r="G11" s="634">
        <v>606</v>
      </c>
      <c r="H11" s="634">
        <v>7</v>
      </c>
      <c r="I11" s="634">
        <v>18</v>
      </c>
      <c r="J11" s="634">
        <v>25</v>
      </c>
      <c r="K11" s="634">
        <v>22516</v>
      </c>
      <c r="L11" s="634">
        <v>41196</v>
      </c>
      <c r="M11" s="634">
        <v>63712</v>
      </c>
      <c r="N11" s="634">
        <v>190177</v>
      </c>
      <c r="O11" s="634">
        <v>260113</v>
      </c>
      <c r="P11" s="634">
        <v>450290</v>
      </c>
      <c r="Q11" s="634">
        <v>5336</v>
      </c>
      <c r="R11" s="634">
        <v>6943</v>
      </c>
      <c r="S11" s="634">
        <v>12279</v>
      </c>
      <c r="T11" s="634">
        <v>15833</v>
      </c>
      <c r="U11" s="634">
        <v>10939</v>
      </c>
      <c r="V11" s="634">
        <v>26772</v>
      </c>
      <c r="W11" s="634">
        <v>215</v>
      </c>
      <c r="X11" s="634">
        <v>356</v>
      </c>
      <c r="Y11" s="634">
        <v>571</v>
      </c>
      <c r="Z11" s="634">
        <v>1051</v>
      </c>
      <c r="AA11" s="634">
        <v>1129</v>
      </c>
      <c r="AB11" s="634">
        <v>2180</v>
      </c>
      <c r="AC11" s="634">
        <v>235406</v>
      </c>
      <c r="AD11" s="634">
        <v>321029</v>
      </c>
      <c r="AE11" s="634">
        <v>556435</v>
      </c>
      <c r="AF11" s="634">
        <f t="shared" si="0"/>
        <v>600.25350593311759</v>
      </c>
    </row>
    <row r="12" spans="1:32" s="14" customFormat="1" ht="21.75" customHeight="1" x14ac:dyDescent="0.35">
      <c r="A12" s="90">
        <v>8</v>
      </c>
      <c r="B12" s="558" t="s">
        <v>19</v>
      </c>
      <c r="C12" s="634">
        <v>193</v>
      </c>
      <c r="D12" s="634">
        <v>167</v>
      </c>
      <c r="E12" s="634">
        <v>63</v>
      </c>
      <c r="F12" s="634">
        <v>32</v>
      </c>
      <c r="G12" s="634">
        <v>95</v>
      </c>
      <c r="H12" s="634">
        <v>0</v>
      </c>
      <c r="I12" s="634"/>
      <c r="J12" s="634"/>
      <c r="K12" s="634">
        <v>7322</v>
      </c>
      <c r="L12" s="634">
        <v>9249</v>
      </c>
      <c r="M12" s="634">
        <v>16571</v>
      </c>
      <c r="N12" s="634">
        <v>196980</v>
      </c>
      <c r="O12" s="634">
        <v>194881</v>
      </c>
      <c r="P12" s="634">
        <v>391861</v>
      </c>
      <c r="Q12" s="634">
        <v>445</v>
      </c>
      <c r="R12" s="634">
        <v>339</v>
      </c>
      <c r="S12" s="634">
        <v>784</v>
      </c>
      <c r="T12" s="634">
        <v>1330</v>
      </c>
      <c r="U12" s="634">
        <v>2977</v>
      </c>
      <c r="V12" s="634">
        <v>4307</v>
      </c>
      <c r="W12" s="634">
        <v>250</v>
      </c>
      <c r="X12" s="634">
        <v>634</v>
      </c>
      <c r="Y12" s="634">
        <v>884</v>
      </c>
      <c r="Z12" s="634">
        <v>2901</v>
      </c>
      <c r="AA12" s="634">
        <v>2561</v>
      </c>
      <c r="AB12" s="634">
        <v>5462</v>
      </c>
      <c r="AC12" s="634">
        <v>209291</v>
      </c>
      <c r="AD12" s="634">
        <v>210673</v>
      </c>
      <c r="AE12" s="634">
        <v>419964</v>
      </c>
      <c r="AF12" s="634">
        <f t="shared" si="0"/>
        <v>2514.754491017964</v>
      </c>
    </row>
    <row r="13" spans="1:32" s="14" customFormat="1" ht="21.75" customHeight="1" x14ac:dyDescent="0.35">
      <c r="A13" s="90">
        <v>9</v>
      </c>
      <c r="B13" s="558" t="s">
        <v>20</v>
      </c>
      <c r="C13" s="634">
        <v>63</v>
      </c>
      <c r="D13" s="634">
        <v>63</v>
      </c>
      <c r="E13" s="634">
        <v>57</v>
      </c>
      <c r="F13" s="634">
        <v>111</v>
      </c>
      <c r="G13" s="634">
        <v>168</v>
      </c>
      <c r="H13" s="634">
        <v>4</v>
      </c>
      <c r="I13" s="634">
        <v>10</v>
      </c>
      <c r="J13" s="634">
        <v>14</v>
      </c>
      <c r="K13" s="634">
        <v>899</v>
      </c>
      <c r="L13" s="634">
        <v>2007</v>
      </c>
      <c r="M13" s="634">
        <v>2906</v>
      </c>
      <c r="N13" s="634">
        <v>16664</v>
      </c>
      <c r="O13" s="634">
        <v>20731</v>
      </c>
      <c r="P13" s="634">
        <v>37395</v>
      </c>
      <c r="Q13" s="634">
        <v>31</v>
      </c>
      <c r="R13" s="634">
        <v>67</v>
      </c>
      <c r="S13" s="634">
        <v>98</v>
      </c>
      <c r="T13" s="634">
        <v>81</v>
      </c>
      <c r="U13" s="634">
        <v>252</v>
      </c>
      <c r="V13" s="634">
        <v>333</v>
      </c>
      <c r="W13" s="634">
        <v>9</v>
      </c>
      <c r="X13" s="634">
        <v>0</v>
      </c>
      <c r="Y13" s="634">
        <v>9</v>
      </c>
      <c r="Z13" s="634">
        <v>338</v>
      </c>
      <c r="AA13" s="634">
        <v>1010</v>
      </c>
      <c r="AB13" s="634">
        <v>1348</v>
      </c>
      <c r="AC13" s="634">
        <v>18083</v>
      </c>
      <c r="AD13" s="634">
        <v>24188</v>
      </c>
      <c r="AE13" s="634">
        <v>42271</v>
      </c>
      <c r="AF13" s="634">
        <f t="shared" si="0"/>
        <v>670.96825396825398</v>
      </c>
    </row>
    <row r="14" spans="1:32" s="14" customFormat="1" ht="21.75" customHeight="1" x14ac:dyDescent="0.35">
      <c r="A14" s="90">
        <v>10</v>
      </c>
      <c r="B14" s="558" t="s">
        <v>21</v>
      </c>
      <c r="C14" s="634">
        <v>2449</v>
      </c>
      <c r="D14" s="634">
        <v>2449</v>
      </c>
      <c r="E14" s="634">
        <v>268</v>
      </c>
      <c r="F14" s="634">
        <v>220</v>
      </c>
      <c r="G14" s="634">
        <v>488</v>
      </c>
      <c r="H14" s="634">
        <v>0</v>
      </c>
      <c r="I14" s="634"/>
      <c r="J14" s="634"/>
      <c r="K14" s="634">
        <v>52867</v>
      </c>
      <c r="L14" s="634">
        <v>68414</v>
      </c>
      <c r="M14" s="634">
        <v>121281</v>
      </c>
      <c r="N14" s="634">
        <v>564235</v>
      </c>
      <c r="O14" s="634">
        <v>472513</v>
      </c>
      <c r="P14" s="634">
        <v>1036748</v>
      </c>
      <c r="Q14" s="634">
        <v>1621</v>
      </c>
      <c r="R14" s="634">
        <v>1772</v>
      </c>
      <c r="S14" s="634">
        <v>3393</v>
      </c>
      <c r="T14" s="634">
        <v>79498</v>
      </c>
      <c r="U14" s="634">
        <v>32762</v>
      </c>
      <c r="V14" s="634">
        <v>112260</v>
      </c>
      <c r="W14" s="634">
        <v>2546</v>
      </c>
      <c r="X14" s="634">
        <v>2141</v>
      </c>
      <c r="Y14" s="634">
        <v>4687</v>
      </c>
      <c r="Z14" s="634">
        <v>1937</v>
      </c>
      <c r="AA14" s="634">
        <v>1392</v>
      </c>
      <c r="AB14" s="634">
        <v>3329</v>
      </c>
      <c r="AC14" s="634">
        <v>702972</v>
      </c>
      <c r="AD14" s="634">
        <v>579214</v>
      </c>
      <c r="AE14" s="634">
        <v>1282186</v>
      </c>
      <c r="AF14" s="634">
        <f t="shared" si="0"/>
        <v>523.55492037566353</v>
      </c>
    </row>
    <row r="15" spans="1:32" s="14" customFormat="1" ht="21.75" customHeight="1" x14ac:dyDescent="0.35">
      <c r="A15" s="90">
        <v>11</v>
      </c>
      <c r="B15" s="558" t="s">
        <v>22</v>
      </c>
      <c r="C15" s="634">
        <v>1121</v>
      </c>
      <c r="D15" s="634">
        <v>1122</v>
      </c>
      <c r="E15" s="634">
        <v>70</v>
      </c>
      <c r="F15" s="634">
        <v>162</v>
      </c>
      <c r="G15" s="634">
        <v>232</v>
      </c>
      <c r="H15" s="634">
        <v>8</v>
      </c>
      <c r="I15" s="634">
        <v>8</v>
      </c>
      <c r="J15" s="634">
        <v>16</v>
      </c>
      <c r="K15" s="634">
        <v>19052</v>
      </c>
      <c r="L15" s="634">
        <v>42504</v>
      </c>
      <c r="M15" s="634">
        <v>61556</v>
      </c>
      <c r="N15" s="634">
        <v>267273</v>
      </c>
      <c r="O15" s="634">
        <v>329480</v>
      </c>
      <c r="P15" s="634">
        <v>596753</v>
      </c>
      <c r="Q15" s="634">
        <v>407</v>
      </c>
      <c r="R15" s="634">
        <v>743</v>
      </c>
      <c r="S15" s="634">
        <v>1150</v>
      </c>
      <c r="T15" s="634">
        <v>15224</v>
      </c>
      <c r="U15" s="634">
        <v>13786</v>
      </c>
      <c r="V15" s="634">
        <v>29010</v>
      </c>
      <c r="W15" s="634">
        <v>241</v>
      </c>
      <c r="X15" s="634">
        <v>691</v>
      </c>
      <c r="Y15" s="634">
        <v>932</v>
      </c>
      <c r="Z15" s="634">
        <v>4100</v>
      </c>
      <c r="AA15" s="634">
        <v>3362</v>
      </c>
      <c r="AB15" s="634">
        <v>7462</v>
      </c>
      <c r="AC15" s="634">
        <v>306375</v>
      </c>
      <c r="AD15" s="634">
        <v>390736</v>
      </c>
      <c r="AE15" s="634">
        <v>697111</v>
      </c>
      <c r="AF15" s="634">
        <f t="shared" si="0"/>
        <v>621.31105169340458</v>
      </c>
    </row>
    <row r="16" spans="1:32" s="14" customFormat="1" ht="21.75" customHeight="1" x14ac:dyDescent="0.35">
      <c r="A16" s="90">
        <v>12</v>
      </c>
      <c r="B16" s="558" t="s">
        <v>23</v>
      </c>
      <c r="C16" s="634">
        <v>357</v>
      </c>
      <c r="D16" s="634">
        <v>339</v>
      </c>
      <c r="E16" s="634">
        <v>4</v>
      </c>
      <c r="F16" s="634">
        <v>2</v>
      </c>
      <c r="G16" s="634">
        <v>6</v>
      </c>
      <c r="H16" s="634">
        <v>0</v>
      </c>
      <c r="I16" s="634"/>
      <c r="J16" s="634"/>
      <c r="K16" s="634">
        <v>3050</v>
      </c>
      <c r="L16" s="634">
        <v>7461</v>
      </c>
      <c r="M16" s="634">
        <v>10511</v>
      </c>
      <c r="N16" s="634">
        <v>72793</v>
      </c>
      <c r="O16" s="634">
        <v>104702</v>
      </c>
      <c r="P16" s="634">
        <v>177495</v>
      </c>
      <c r="Q16" s="634">
        <v>387</v>
      </c>
      <c r="R16" s="634">
        <v>631</v>
      </c>
      <c r="S16" s="634">
        <v>1018</v>
      </c>
      <c r="T16" s="634">
        <v>1426</v>
      </c>
      <c r="U16" s="634">
        <v>2771</v>
      </c>
      <c r="V16" s="634">
        <v>4197</v>
      </c>
      <c r="W16" s="634">
        <v>33</v>
      </c>
      <c r="X16" s="634">
        <v>109</v>
      </c>
      <c r="Y16" s="634">
        <v>142</v>
      </c>
      <c r="Z16" s="634">
        <v>82</v>
      </c>
      <c r="AA16" s="634">
        <v>173</v>
      </c>
      <c r="AB16" s="634">
        <v>255</v>
      </c>
      <c r="AC16" s="634">
        <v>77775</v>
      </c>
      <c r="AD16" s="634">
        <v>115849</v>
      </c>
      <c r="AE16" s="634">
        <v>193624</v>
      </c>
      <c r="AF16" s="634">
        <f t="shared" si="0"/>
        <v>571.16224188790557</v>
      </c>
    </row>
    <row r="17" spans="1:32" s="14" customFormat="1" ht="21.75" customHeight="1" x14ac:dyDescent="0.35">
      <c r="A17" s="90">
        <v>13</v>
      </c>
      <c r="B17" s="558" t="s">
        <v>24</v>
      </c>
      <c r="C17" s="634">
        <v>328</v>
      </c>
      <c r="D17" s="634">
        <v>328</v>
      </c>
      <c r="E17" s="634">
        <v>87</v>
      </c>
      <c r="F17" s="634">
        <v>159</v>
      </c>
      <c r="G17" s="634">
        <v>246</v>
      </c>
      <c r="H17" s="634">
        <v>0</v>
      </c>
      <c r="I17" s="634"/>
      <c r="J17" s="634"/>
      <c r="K17" s="634">
        <v>1818</v>
      </c>
      <c r="L17" s="634">
        <v>3015</v>
      </c>
      <c r="M17" s="634">
        <v>4833</v>
      </c>
      <c r="N17" s="634">
        <v>95896</v>
      </c>
      <c r="O17" s="634">
        <v>108109</v>
      </c>
      <c r="P17" s="634">
        <v>204005</v>
      </c>
      <c r="Q17" s="634">
        <v>90</v>
      </c>
      <c r="R17" s="634">
        <v>66</v>
      </c>
      <c r="S17" s="634">
        <v>156</v>
      </c>
      <c r="T17" s="634">
        <v>295</v>
      </c>
      <c r="U17" s="634">
        <v>704</v>
      </c>
      <c r="V17" s="634">
        <v>999</v>
      </c>
      <c r="W17" s="634">
        <v>0</v>
      </c>
      <c r="X17" s="634"/>
      <c r="Y17" s="634"/>
      <c r="Z17" s="634">
        <v>2414</v>
      </c>
      <c r="AA17" s="634">
        <v>2533</v>
      </c>
      <c r="AB17" s="634">
        <v>4947</v>
      </c>
      <c r="AC17" s="634">
        <v>100600</v>
      </c>
      <c r="AD17" s="634">
        <v>114586</v>
      </c>
      <c r="AE17" s="634">
        <v>215186</v>
      </c>
      <c r="AF17" s="634">
        <f t="shared" si="0"/>
        <v>656.05487804878044</v>
      </c>
    </row>
    <row r="18" spans="1:32" s="14" customFormat="1" ht="21.75" customHeight="1" x14ac:dyDescent="0.35">
      <c r="A18" s="90">
        <v>14</v>
      </c>
      <c r="B18" s="558" t="s">
        <v>25</v>
      </c>
      <c r="C18" s="634">
        <v>410</v>
      </c>
      <c r="D18" s="634">
        <v>410</v>
      </c>
      <c r="E18" s="634">
        <v>11</v>
      </c>
      <c r="F18" s="634">
        <v>9</v>
      </c>
      <c r="G18" s="634">
        <v>20</v>
      </c>
      <c r="H18" s="634">
        <v>13</v>
      </c>
      <c r="I18" s="634">
        <v>66</v>
      </c>
      <c r="J18" s="634">
        <v>79</v>
      </c>
      <c r="K18" s="634">
        <v>17750</v>
      </c>
      <c r="L18" s="634">
        <v>30118</v>
      </c>
      <c r="M18" s="634">
        <v>47868</v>
      </c>
      <c r="N18" s="634">
        <v>295526</v>
      </c>
      <c r="O18" s="634">
        <v>307335</v>
      </c>
      <c r="P18" s="634">
        <v>602861</v>
      </c>
      <c r="Q18" s="634">
        <v>70</v>
      </c>
      <c r="R18" s="634">
        <v>38</v>
      </c>
      <c r="S18" s="634">
        <v>108</v>
      </c>
      <c r="T18" s="634">
        <v>23992</v>
      </c>
      <c r="U18" s="634">
        <v>10302</v>
      </c>
      <c r="V18" s="634">
        <v>34294</v>
      </c>
      <c r="W18" s="634">
        <v>180</v>
      </c>
      <c r="X18" s="634">
        <v>285</v>
      </c>
      <c r="Y18" s="634">
        <v>465</v>
      </c>
      <c r="Z18" s="634">
        <v>653</v>
      </c>
      <c r="AA18" s="634">
        <v>227</v>
      </c>
      <c r="AB18" s="634">
        <v>880</v>
      </c>
      <c r="AC18" s="634">
        <v>338195</v>
      </c>
      <c r="AD18" s="634">
        <v>348380</v>
      </c>
      <c r="AE18" s="634">
        <v>686575</v>
      </c>
      <c r="AF18" s="634">
        <f t="shared" si="0"/>
        <v>1674.5731707317073</v>
      </c>
    </row>
    <row r="19" spans="1:32" s="14" customFormat="1" ht="21.75" customHeight="1" x14ac:dyDescent="0.35">
      <c r="A19" s="90">
        <v>15</v>
      </c>
      <c r="B19" s="558" t="s">
        <v>26</v>
      </c>
      <c r="C19" s="634">
        <v>4509</v>
      </c>
      <c r="D19" s="634">
        <v>4220</v>
      </c>
      <c r="E19" s="634">
        <v>882</v>
      </c>
      <c r="F19" s="634">
        <v>767</v>
      </c>
      <c r="G19" s="634">
        <v>1649</v>
      </c>
      <c r="H19" s="634">
        <v>6</v>
      </c>
      <c r="I19" s="634">
        <v>22</v>
      </c>
      <c r="J19" s="634">
        <v>28</v>
      </c>
      <c r="K19" s="634">
        <v>56803</v>
      </c>
      <c r="L19" s="634">
        <v>73029</v>
      </c>
      <c r="M19" s="634">
        <v>129832</v>
      </c>
      <c r="N19" s="634">
        <v>810786</v>
      </c>
      <c r="O19" s="634">
        <v>818392</v>
      </c>
      <c r="P19" s="634">
        <v>1629178</v>
      </c>
      <c r="Q19" s="634">
        <v>569</v>
      </c>
      <c r="R19" s="634">
        <v>648</v>
      </c>
      <c r="S19" s="634">
        <v>1217</v>
      </c>
      <c r="T19" s="634">
        <v>8769</v>
      </c>
      <c r="U19" s="634">
        <v>9701</v>
      </c>
      <c r="V19" s="634">
        <v>18470</v>
      </c>
      <c r="W19" s="634">
        <v>938</v>
      </c>
      <c r="X19" s="634">
        <v>544</v>
      </c>
      <c r="Y19" s="634">
        <v>1482</v>
      </c>
      <c r="Z19" s="634">
        <v>4744</v>
      </c>
      <c r="AA19" s="634">
        <v>4865</v>
      </c>
      <c r="AB19" s="634">
        <v>9609</v>
      </c>
      <c r="AC19" s="634">
        <v>883497</v>
      </c>
      <c r="AD19" s="634">
        <v>907968</v>
      </c>
      <c r="AE19" s="634">
        <v>1791465</v>
      </c>
      <c r="AF19" s="634">
        <f t="shared" si="0"/>
        <v>424.51777251184836</v>
      </c>
    </row>
    <row r="20" spans="1:32" s="14" customFormat="1" ht="21.75" customHeight="1" x14ac:dyDescent="0.35">
      <c r="A20" s="90">
        <v>16</v>
      </c>
      <c r="B20" s="558" t="s">
        <v>27</v>
      </c>
      <c r="C20" s="634">
        <v>1500</v>
      </c>
      <c r="D20" s="634">
        <v>1398</v>
      </c>
      <c r="E20" s="634">
        <v>1237</v>
      </c>
      <c r="F20" s="634">
        <v>3187</v>
      </c>
      <c r="G20" s="634">
        <v>4424</v>
      </c>
      <c r="H20" s="634">
        <v>2</v>
      </c>
      <c r="I20" s="634">
        <v>28</v>
      </c>
      <c r="J20" s="634">
        <v>30</v>
      </c>
      <c r="K20" s="634">
        <v>18522</v>
      </c>
      <c r="L20" s="634">
        <v>63845</v>
      </c>
      <c r="M20" s="634">
        <v>82367</v>
      </c>
      <c r="N20" s="634">
        <v>288097</v>
      </c>
      <c r="O20" s="634">
        <v>405239</v>
      </c>
      <c r="P20" s="634">
        <v>693336</v>
      </c>
      <c r="Q20" s="634">
        <v>49</v>
      </c>
      <c r="R20" s="634">
        <v>196</v>
      </c>
      <c r="S20" s="634">
        <v>245</v>
      </c>
      <c r="T20" s="634">
        <v>6106</v>
      </c>
      <c r="U20" s="634">
        <v>5205</v>
      </c>
      <c r="V20" s="634">
        <v>11311</v>
      </c>
      <c r="W20" s="634">
        <v>67</v>
      </c>
      <c r="X20" s="634">
        <v>210</v>
      </c>
      <c r="Y20" s="634">
        <v>277</v>
      </c>
      <c r="Z20" s="634">
        <v>4467</v>
      </c>
      <c r="AA20" s="634">
        <v>7406</v>
      </c>
      <c r="AB20" s="634">
        <v>11873</v>
      </c>
      <c r="AC20" s="634">
        <v>318547</v>
      </c>
      <c r="AD20" s="634">
        <v>485316</v>
      </c>
      <c r="AE20" s="634">
        <v>803863</v>
      </c>
      <c r="AF20" s="634">
        <f t="shared" si="0"/>
        <v>575.00929899856942</v>
      </c>
    </row>
    <row r="21" spans="1:32" s="14" customFormat="1" ht="21.75" customHeight="1" x14ac:dyDescent="0.35">
      <c r="A21" s="90">
        <v>17</v>
      </c>
      <c r="B21" s="558" t="s">
        <v>28</v>
      </c>
      <c r="C21" s="634">
        <v>6</v>
      </c>
      <c r="D21" s="634">
        <v>6</v>
      </c>
      <c r="E21" s="634">
        <v>0</v>
      </c>
      <c r="F21" s="634"/>
      <c r="G21" s="634"/>
      <c r="H21" s="634">
        <v>0</v>
      </c>
      <c r="I21" s="634"/>
      <c r="J21" s="634"/>
      <c r="K21" s="634">
        <v>0</v>
      </c>
      <c r="L21" s="634"/>
      <c r="M21" s="634"/>
      <c r="N21" s="634">
        <v>1119</v>
      </c>
      <c r="O21" s="634">
        <v>1991</v>
      </c>
      <c r="P21" s="634">
        <v>3110</v>
      </c>
      <c r="Q21" s="634">
        <v>0</v>
      </c>
      <c r="R21" s="634"/>
      <c r="S21" s="634"/>
      <c r="T21" s="634">
        <v>0</v>
      </c>
      <c r="U21" s="634"/>
      <c r="V21" s="634"/>
      <c r="W21" s="634">
        <v>0</v>
      </c>
      <c r="X21" s="634"/>
      <c r="Y21" s="634"/>
      <c r="Z21" s="634">
        <v>0</v>
      </c>
      <c r="AA21" s="634"/>
      <c r="AB21" s="634"/>
      <c r="AC21" s="634">
        <v>1119</v>
      </c>
      <c r="AD21" s="634">
        <v>1991</v>
      </c>
      <c r="AE21" s="634">
        <v>3110</v>
      </c>
      <c r="AF21" s="634">
        <f t="shared" si="0"/>
        <v>518.33333333333337</v>
      </c>
    </row>
    <row r="22" spans="1:32" s="14" customFormat="1" ht="21.75" customHeight="1" x14ac:dyDescent="0.35">
      <c r="A22" s="90">
        <v>18</v>
      </c>
      <c r="B22" s="558" t="s">
        <v>72</v>
      </c>
      <c r="C22" s="634">
        <v>4</v>
      </c>
      <c r="D22" s="634">
        <v>4</v>
      </c>
      <c r="E22" s="634">
        <v>0</v>
      </c>
      <c r="F22" s="634"/>
      <c r="G22" s="634"/>
      <c r="H22" s="634">
        <v>0</v>
      </c>
      <c r="I22" s="634"/>
      <c r="J22" s="634"/>
      <c r="K22" s="634">
        <v>0</v>
      </c>
      <c r="L22" s="634"/>
      <c r="M22" s="634"/>
      <c r="N22" s="634">
        <v>121</v>
      </c>
      <c r="O22" s="634">
        <v>299</v>
      </c>
      <c r="P22" s="634">
        <v>420</v>
      </c>
      <c r="Q22" s="634">
        <v>0</v>
      </c>
      <c r="R22" s="634"/>
      <c r="S22" s="634"/>
      <c r="T22" s="634">
        <v>71</v>
      </c>
      <c r="U22" s="634">
        <v>22</v>
      </c>
      <c r="V22" s="634">
        <v>93</v>
      </c>
      <c r="W22" s="634">
        <v>0</v>
      </c>
      <c r="X22" s="634"/>
      <c r="Y22" s="634"/>
      <c r="Z22" s="634">
        <v>0</v>
      </c>
      <c r="AA22" s="634"/>
      <c r="AB22" s="634"/>
      <c r="AC22" s="634">
        <v>192</v>
      </c>
      <c r="AD22" s="634">
        <v>321</v>
      </c>
      <c r="AE22" s="634">
        <v>513</v>
      </c>
      <c r="AF22" s="634">
        <f t="shared" si="0"/>
        <v>128.25</v>
      </c>
    </row>
    <row r="23" spans="1:32" s="14" customFormat="1" ht="21.75" customHeight="1" x14ac:dyDescent="0.35">
      <c r="A23" s="90">
        <v>19</v>
      </c>
      <c r="B23" s="558" t="s">
        <v>29</v>
      </c>
      <c r="C23" s="634">
        <v>2577</v>
      </c>
      <c r="D23" s="634">
        <v>2528</v>
      </c>
      <c r="E23" s="634">
        <v>615</v>
      </c>
      <c r="F23" s="634">
        <v>758</v>
      </c>
      <c r="G23" s="634">
        <v>1373</v>
      </c>
      <c r="H23" s="634">
        <v>0</v>
      </c>
      <c r="I23" s="634"/>
      <c r="J23" s="634"/>
      <c r="K23" s="634">
        <v>126324</v>
      </c>
      <c r="L23" s="634">
        <v>178562</v>
      </c>
      <c r="M23" s="634">
        <v>304886</v>
      </c>
      <c r="N23" s="634">
        <v>743853</v>
      </c>
      <c r="O23" s="634">
        <v>751782</v>
      </c>
      <c r="P23" s="634">
        <v>1495635</v>
      </c>
      <c r="Q23" s="634">
        <v>3537</v>
      </c>
      <c r="R23" s="634">
        <v>3955</v>
      </c>
      <c r="S23" s="634">
        <v>7492</v>
      </c>
      <c r="T23" s="634">
        <v>44667</v>
      </c>
      <c r="U23" s="634">
        <v>30034</v>
      </c>
      <c r="V23" s="634">
        <v>74701</v>
      </c>
      <c r="W23" s="634">
        <v>2065</v>
      </c>
      <c r="X23" s="634">
        <v>843</v>
      </c>
      <c r="Y23" s="634">
        <v>2908</v>
      </c>
      <c r="Z23" s="634">
        <v>11177</v>
      </c>
      <c r="AA23" s="634">
        <v>11580</v>
      </c>
      <c r="AB23" s="634">
        <v>22757</v>
      </c>
      <c r="AC23" s="634">
        <v>932238</v>
      </c>
      <c r="AD23" s="634">
        <v>977514</v>
      </c>
      <c r="AE23" s="634">
        <v>1909752</v>
      </c>
      <c r="AF23" s="634">
        <f t="shared" si="0"/>
        <v>755.43987341772151</v>
      </c>
    </row>
    <row r="24" spans="1:32" s="14" customFormat="1" ht="21.75" customHeight="1" x14ac:dyDescent="0.35">
      <c r="A24" s="90">
        <v>20</v>
      </c>
      <c r="B24" s="558" t="s">
        <v>30</v>
      </c>
      <c r="C24" s="634">
        <v>5389</v>
      </c>
      <c r="D24" s="634">
        <v>5061</v>
      </c>
      <c r="E24" s="634">
        <v>5074</v>
      </c>
      <c r="F24" s="634">
        <v>4637</v>
      </c>
      <c r="G24" s="634">
        <v>9711</v>
      </c>
      <c r="H24" s="634">
        <v>22</v>
      </c>
      <c r="I24" s="634">
        <v>13</v>
      </c>
      <c r="J24" s="634">
        <v>35</v>
      </c>
      <c r="K24" s="634">
        <v>153282</v>
      </c>
      <c r="L24" s="634">
        <v>187836</v>
      </c>
      <c r="M24" s="634">
        <v>341118</v>
      </c>
      <c r="N24" s="634">
        <v>1566720</v>
      </c>
      <c r="O24" s="634">
        <v>1320735</v>
      </c>
      <c r="P24" s="634">
        <v>2887455</v>
      </c>
      <c r="Q24" s="634">
        <v>2185</v>
      </c>
      <c r="R24" s="634">
        <v>2174</v>
      </c>
      <c r="S24" s="634">
        <v>4359</v>
      </c>
      <c r="T24" s="634">
        <v>25041</v>
      </c>
      <c r="U24" s="634">
        <v>17459</v>
      </c>
      <c r="V24" s="634">
        <v>42500</v>
      </c>
      <c r="W24" s="634">
        <v>1265</v>
      </c>
      <c r="X24" s="634">
        <v>1377</v>
      </c>
      <c r="Y24" s="634">
        <v>2642</v>
      </c>
      <c r="Z24" s="634">
        <v>7742</v>
      </c>
      <c r="AA24" s="634">
        <v>7953</v>
      </c>
      <c r="AB24" s="634">
        <v>15695</v>
      </c>
      <c r="AC24" s="634">
        <v>1761331</v>
      </c>
      <c r="AD24" s="634">
        <v>1542184</v>
      </c>
      <c r="AE24" s="634">
        <v>3303515</v>
      </c>
      <c r="AF24" s="634">
        <f t="shared" si="0"/>
        <v>652.73957715866425</v>
      </c>
    </row>
    <row r="25" spans="1:32" s="14" customFormat="1" ht="21.75" customHeight="1" x14ac:dyDescent="0.35">
      <c r="A25" s="90">
        <v>21</v>
      </c>
      <c r="B25" s="558" t="s">
        <v>31</v>
      </c>
      <c r="C25" s="634">
        <v>110</v>
      </c>
      <c r="D25" s="634">
        <v>106</v>
      </c>
      <c r="E25" s="634">
        <v>17</v>
      </c>
      <c r="F25" s="634">
        <v>23</v>
      </c>
      <c r="G25" s="634">
        <v>40</v>
      </c>
      <c r="H25" s="634">
        <v>4</v>
      </c>
      <c r="I25" s="634">
        <v>8</v>
      </c>
      <c r="J25" s="634">
        <v>12</v>
      </c>
      <c r="K25" s="634">
        <v>804</v>
      </c>
      <c r="L25" s="634">
        <v>837</v>
      </c>
      <c r="M25" s="634">
        <v>1641</v>
      </c>
      <c r="N25" s="634">
        <v>45947</v>
      </c>
      <c r="O25" s="634">
        <v>45261</v>
      </c>
      <c r="P25" s="634">
        <v>91208</v>
      </c>
      <c r="Q25" s="634">
        <v>38</v>
      </c>
      <c r="R25" s="634">
        <v>118</v>
      </c>
      <c r="S25" s="634">
        <v>156</v>
      </c>
      <c r="T25" s="634">
        <v>528</v>
      </c>
      <c r="U25" s="634">
        <v>557</v>
      </c>
      <c r="V25" s="634">
        <v>1085</v>
      </c>
      <c r="W25" s="634">
        <v>17</v>
      </c>
      <c r="X25" s="634">
        <v>13</v>
      </c>
      <c r="Y25" s="634">
        <v>30</v>
      </c>
      <c r="Z25" s="634">
        <v>0</v>
      </c>
      <c r="AA25" s="634"/>
      <c r="AB25" s="634"/>
      <c r="AC25" s="634">
        <v>47355</v>
      </c>
      <c r="AD25" s="634">
        <v>46817</v>
      </c>
      <c r="AE25" s="634">
        <v>94172</v>
      </c>
      <c r="AF25" s="634">
        <f t="shared" si="0"/>
        <v>888.41509433962267</v>
      </c>
    </row>
    <row r="26" spans="1:32" s="14" customFormat="1" ht="21.75" customHeight="1" x14ac:dyDescent="0.35">
      <c r="A26" s="90">
        <v>22</v>
      </c>
      <c r="B26" s="558" t="s">
        <v>32</v>
      </c>
      <c r="C26" s="634">
        <v>78</v>
      </c>
      <c r="D26" s="634">
        <v>75</v>
      </c>
      <c r="E26" s="634">
        <v>15</v>
      </c>
      <c r="F26" s="634">
        <v>7</v>
      </c>
      <c r="G26" s="634">
        <v>22</v>
      </c>
      <c r="H26" s="634">
        <v>0</v>
      </c>
      <c r="I26" s="634"/>
      <c r="J26" s="634"/>
      <c r="K26" s="634">
        <v>205</v>
      </c>
      <c r="L26" s="634">
        <v>472</v>
      </c>
      <c r="M26" s="634">
        <v>677</v>
      </c>
      <c r="N26" s="634">
        <v>29701</v>
      </c>
      <c r="O26" s="634">
        <v>37170</v>
      </c>
      <c r="P26" s="634">
        <v>66871</v>
      </c>
      <c r="Q26" s="634">
        <v>7</v>
      </c>
      <c r="R26" s="634">
        <v>19</v>
      </c>
      <c r="S26" s="634">
        <v>26</v>
      </c>
      <c r="T26" s="634">
        <v>0</v>
      </c>
      <c r="U26" s="634"/>
      <c r="V26" s="634"/>
      <c r="W26" s="634">
        <v>150</v>
      </c>
      <c r="X26" s="634">
        <v>146</v>
      </c>
      <c r="Y26" s="634">
        <v>296</v>
      </c>
      <c r="Z26" s="634">
        <v>99</v>
      </c>
      <c r="AA26" s="634">
        <v>153</v>
      </c>
      <c r="AB26" s="634">
        <v>252</v>
      </c>
      <c r="AC26" s="634">
        <v>30177</v>
      </c>
      <c r="AD26" s="634">
        <v>37967</v>
      </c>
      <c r="AE26" s="634">
        <v>68144</v>
      </c>
      <c r="AF26" s="634">
        <f t="shared" si="0"/>
        <v>908.5866666666667</v>
      </c>
    </row>
    <row r="27" spans="1:32" s="14" customFormat="1" ht="21.75" customHeight="1" x14ac:dyDescent="0.35">
      <c r="A27" s="90">
        <v>23</v>
      </c>
      <c r="B27" s="558" t="s">
        <v>33</v>
      </c>
      <c r="C27" s="634">
        <v>40</v>
      </c>
      <c r="D27" s="634">
        <v>40</v>
      </c>
      <c r="E27" s="634">
        <v>5</v>
      </c>
      <c r="F27" s="634">
        <v>3</v>
      </c>
      <c r="G27" s="634">
        <v>8</v>
      </c>
      <c r="H27" s="634">
        <v>0</v>
      </c>
      <c r="I27" s="634"/>
      <c r="J27" s="634"/>
      <c r="K27" s="634">
        <v>236</v>
      </c>
      <c r="L27" s="634">
        <v>246</v>
      </c>
      <c r="M27" s="634">
        <v>482</v>
      </c>
      <c r="N27" s="634">
        <v>13221</v>
      </c>
      <c r="O27" s="634">
        <v>12214</v>
      </c>
      <c r="P27" s="634">
        <v>25435</v>
      </c>
      <c r="Q27" s="634">
        <v>2</v>
      </c>
      <c r="R27" s="634">
        <v>1</v>
      </c>
      <c r="S27" s="634">
        <v>3</v>
      </c>
      <c r="T27" s="634">
        <v>264</v>
      </c>
      <c r="U27" s="634">
        <v>199</v>
      </c>
      <c r="V27" s="634">
        <v>463</v>
      </c>
      <c r="W27" s="634">
        <v>0</v>
      </c>
      <c r="X27" s="634"/>
      <c r="Y27" s="634"/>
      <c r="Z27" s="634">
        <v>0</v>
      </c>
      <c r="AA27" s="634"/>
      <c r="AB27" s="634"/>
      <c r="AC27" s="634">
        <v>13728</v>
      </c>
      <c r="AD27" s="634">
        <v>12663</v>
      </c>
      <c r="AE27" s="634">
        <v>26391</v>
      </c>
      <c r="AF27" s="634">
        <f t="shared" si="0"/>
        <v>659.77499999999998</v>
      </c>
    </row>
    <row r="28" spans="1:32" s="14" customFormat="1" ht="21.75" customHeight="1" x14ac:dyDescent="0.35">
      <c r="A28" s="90">
        <v>24</v>
      </c>
      <c r="B28" s="558" t="s">
        <v>34</v>
      </c>
      <c r="C28" s="634">
        <v>69</v>
      </c>
      <c r="D28" s="634">
        <v>69</v>
      </c>
      <c r="E28" s="634">
        <v>11</v>
      </c>
      <c r="F28" s="634">
        <v>14</v>
      </c>
      <c r="G28" s="634">
        <v>25</v>
      </c>
      <c r="H28" s="634">
        <v>0</v>
      </c>
      <c r="I28" s="634"/>
      <c r="J28" s="634"/>
      <c r="K28" s="634">
        <v>514</v>
      </c>
      <c r="L28" s="634">
        <v>948</v>
      </c>
      <c r="M28" s="634">
        <v>1462</v>
      </c>
      <c r="N28" s="634">
        <v>15228</v>
      </c>
      <c r="O28" s="634">
        <v>18322</v>
      </c>
      <c r="P28" s="634">
        <v>33550</v>
      </c>
      <c r="Q28" s="634">
        <v>0</v>
      </c>
      <c r="R28" s="634"/>
      <c r="S28" s="634"/>
      <c r="T28" s="634">
        <v>65</v>
      </c>
      <c r="U28" s="634">
        <v>182</v>
      </c>
      <c r="V28" s="634">
        <v>247</v>
      </c>
      <c r="W28" s="634">
        <v>844</v>
      </c>
      <c r="X28" s="634">
        <v>819</v>
      </c>
      <c r="Y28" s="634">
        <v>1663</v>
      </c>
      <c r="Z28" s="634">
        <v>0</v>
      </c>
      <c r="AA28" s="634"/>
      <c r="AB28" s="634"/>
      <c r="AC28" s="634">
        <v>16662</v>
      </c>
      <c r="AD28" s="634">
        <v>20285</v>
      </c>
      <c r="AE28" s="634">
        <v>36947</v>
      </c>
      <c r="AF28" s="634">
        <f t="shared" si="0"/>
        <v>535.463768115942</v>
      </c>
    </row>
    <row r="29" spans="1:32" s="14" customFormat="1" ht="21.75" customHeight="1" x14ac:dyDescent="0.35">
      <c r="A29" s="90">
        <v>25</v>
      </c>
      <c r="B29" s="558" t="s">
        <v>35</v>
      </c>
      <c r="C29" s="634">
        <v>1359</v>
      </c>
      <c r="D29" s="634">
        <v>1359</v>
      </c>
      <c r="E29" s="634">
        <v>73</v>
      </c>
      <c r="F29" s="634">
        <v>46</v>
      </c>
      <c r="G29" s="634">
        <v>119</v>
      </c>
      <c r="H29" s="634">
        <v>0</v>
      </c>
      <c r="I29" s="634"/>
      <c r="J29" s="634"/>
      <c r="K29" s="634">
        <v>27564</v>
      </c>
      <c r="L29" s="634">
        <v>25203</v>
      </c>
      <c r="M29" s="634">
        <v>52767</v>
      </c>
      <c r="N29" s="634">
        <v>337819</v>
      </c>
      <c r="O29" s="634">
        <v>347844</v>
      </c>
      <c r="P29" s="634">
        <v>685663</v>
      </c>
      <c r="Q29" s="634">
        <v>527</v>
      </c>
      <c r="R29" s="634">
        <v>359</v>
      </c>
      <c r="S29" s="634">
        <v>886</v>
      </c>
      <c r="T29" s="634">
        <v>13029</v>
      </c>
      <c r="U29" s="634">
        <v>3958</v>
      </c>
      <c r="V29" s="634">
        <v>16987</v>
      </c>
      <c r="W29" s="634">
        <v>412</v>
      </c>
      <c r="X29" s="634">
        <v>619</v>
      </c>
      <c r="Y29" s="634">
        <v>1031</v>
      </c>
      <c r="Z29" s="634">
        <v>2248</v>
      </c>
      <c r="AA29" s="634">
        <v>2357</v>
      </c>
      <c r="AB29" s="634">
        <v>4605</v>
      </c>
      <c r="AC29" s="634">
        <v>381672</v>
      </c>
      <c r="AD29" s="634">
        <v>380386</v>
      </c>
      <c r="AE29" s="634">
        <v>762058</v>
      </c>
      <c r="AF29" s="634">
        <f t="shared" si="0"/>
        <v>560.7490802060338</v>
      </c>
    </row>
    <row r="30" spans="1:32" s="14" customFormat="1" ht="21.75" customHeight="1" x14ac:dyDescent="0.35">
      <c r="A30" s="90">
        <v>26</v>
      </c>
      <c r="B30" s="558" t="s">
        <v>36</v>
      </c>
      <c r="C30" s="634">
        <v>88</v>
      </c>
      <c r="D30" s="634">
        <v>72</v>
      </c>
      <c r="E30" s="634">
        <v>8</v>
      </c>
      <c r="F30" s="634">
        <v>27</v>
      </c>
      <c r="G30" s="634">
        <v>35</v>
      </c>
      <c r="H30" s="634">
        <v>0</v>
      </c>
      <c r="I30" s="634"/>
      <c r="J30" s="634"/>
      <c r="K30" s="634">
        <v>1778</v>
      </c>
      <c r="L30" s="634">
        <v>3148</v>
      </c>
      <c r="M30" s="634">
        <v>4926</v>
      </c>
      <c r="N30" s="634">
        <v>19413</v>
      </c>
      <c r="O30" s="634">
        <v>23976</v>
      </c>
      <c r="P30" s="634">
        <v>43389</v>
      </c>
      <c r="Q30" s="634">
        <v>17</v>
      </c>
      <c r="R30" s="634">
        <v>10</v>
      </c>
      <c r="S30" s="634">
        <v>27</v>
      </c>
      <c r="T30" s="634">
        <v>160</v>
      </c>
      <c r="U30" s="634">
        <v>513</v>
      </c>
      <c r="V30" s="634">
        <v>673</v>
      </c>
      <c r="W30" s="634">
        <v>0</v>
      </c>
      <c r="X30" s="634"/>
      <c r="Y30" s="634"/>
      <c r="Z30" s="634">
        <v>69</v>
      </c>
      <c r="AA30" s="634">
        <v>483</v>
      </c>
      <c r="AB30" s="634">
        <v>552</v>
      </c>
      <c r="AC30" s="634">
        <v>21445</v>
      </c>
      <c r="AD30" s="634">
        <v>28157</v>
      </c>
      <c r="AE30" s="634">
        <v>49602</v>
      </c>
      <c r="AF30" s="634">
        <f t="shared" si="0"/>
        <v>688.91666666666663</v>
      </c>
    </row>
    <row r="31" spans="1:32" s="14" customFormat="1" ht="21.75" customHeight="1" x14ac:dyDescent="0.35">
      <c r="A31" s="90">
        <v>27</v>
      </c>
      <c r="B31" s="558" t="s">
        <v>37</v>
      </c>
      <c r="C31" s="634">
        <v>1036</v>
      </c>
      <c r="D31" s="634">
        <v>1034</v>
      </c>
      <c r="E31" s="634">
        <v>2</v>
      </c>
      <c r="F31" s="634">
        <v>1</v>
      </c>
      <c r="G31" s="634">
        <v>3</v>
      </c>
      <c r="H31" s="634">
        <v>3</v>
      </c>
      <c r="I31" s="634">
        <v>14</v>
      </c>
      <c r="J31" s="634">
        <v>17</v>
      </c>
      <c r="K31" s="634">
        <v>14891</v>
      </c>
      <c r="L31" s="634">
        <v>28202</v>
      </c>
      <c r="M31" s="634">
        <v>43093</v>
      </c>
      <c r="N31" s="634">
        <v>211875</v>
      </c>
      <c r="O31" s="634">
        <v>231341</v>
      </c>
      <c r="P31" s="634">
        <v>443216</v>
      </c>
      <c r="Q31" s="634">
        <v>2770</v>
      </c>
      <c r="R31" s="634">
        <v>3086</v>
      </c>
      <c r="S31" s="634">
        <v>5856</v>
      </c>
      <c r="T31" s="634">
        <v>11230</v>
      </c>
      <c r="U31" s="634">
        <v>19673</v>
      </c>
      <c r="V31" s="634">
        <v>30903</v>
      </c>
      <c r="W31" s="634">
        <v>468</v>
      </c>
      <c r="X31" s="634">
        <v>674</v>
      </c>
      <c r="Y31" s="634">
        <v>1142</v>
      </c>
      <c r="Z31" s="634">
        <v>3685</v>
      </c>
      <c r="AA31" s="634">
        <v>5520</v>
      </c>
      <c r="AB31" s="634">
        <v>9205</v>
      </c>
      <c r="AC31" s="634">
        <v>244924</v>
      </c>
      <c r="AD31" s="634">
        <v>288511</v>
      </c>
      <c r="AE31" s="634">
        <v>533435</v>
      </c>
      <c r="AF31" s="634">
        <f t="shared" si="0"/>
        <v>515.89458413926502</v>
      </c>
    </row>
    <row r="32" spans="1:32" s="14" customFormat="1" ht="21.75" customHeight="1" x14ac:dyDescent="0.35">
      <c r="A32" s="90">
        <v>28</v>
      </c>
      <c r="B32" s="558" t="s">
        <v>38</v>
      </c>
      <c r="C32" s="634">
        <v>3857</v>
      </c>
      <c r="D32" s="634">
        <v>3809</v>
      </c>
      <c r="E32" s="634">
        <v>548</v>
      </c>
      <c r="F32" s="634">
        <v>448</v>
      </c>
      <c r="G32" s="634">
        <v>996</v>
      </c>
      <c r="H32" s="634">
        <v>0</v>
      </c>
      <c r="I32" s="634"/>
      <c r="J32" s="634"/>
      <c r="K32" s="634">
        <v>51509</v>
      </c>
      <c r="L32" s="634">
        <v>93749</v>
      </c>
      <c r="M32" s="634">
        <v>145258</v>
      </c>
      <c r="N32" s="634">
        <v>757347</v>
      </c>
      <c r="O32" s="634">
        <v>785149</v>
      </c>
      <c r="P32" s="634">
        <v>1542496</v>
      </c>
      <c r="Q32" s="634">
        <v>1922</v>
      </c>
      <c r="R32" s="634">
        <v>1865</v>
      </c>
      <c r="S32" s="634">
        <v>3787</v>
      </c>
      <c r="T32" s="634">
        <v>23610</v>
      </c>
      <c r="U32" s="634">
        <v>11542</v>
      </c>
      <c r="V32" s="634">
        <v>35152</v>
      </c>
      <c r="W32" s="634">
        <v>571</v>
      </c>
      <c r="X32" s="634">
        <v>812</v>
      </c>
      <c r="Y32" s="634">
        <v>1383</v>
      </c>
      <c r="Z32" s="634">
        <v>60117</v>
      </c>
      <c r="AA32" s="634">
        <v>63278</v>
      </c>
      <c r="AB32" s="634">
        <v>123395</v>
      </c>
      <c r="AC32" s="634">
        <v>895624</v>
      </c>
      <c r="AD32" s="634">
        <v>956843</v>
      </c>
      <c r="AE32" s="634">
        <v>1852467</v>
      </c>
      <c r="AF32" s="634">
        <f t="shared" si="0"/>
        <v>486.33945917563665</v>
      </c>
    </row>
    <row r="33" spans="1:32" s="14" customFormat="1" ht="21.75" customHeight="1" x14ac:dyDescent="0.35">
      <c r="A33" s="90">
        <v>29</v>
      </c>
      <c r="B33" s="558" t="s">
        <v>39</v>
      </c>
      <c r="C33" s="634">
        <v>23</v>
      </c>
      <c r="D33" s="634">
        <v>21</v>
      </c>
      <c r="E33" s="634">
        <v>9</v>
      </c>
      <c r="F33" s="634">
        <v>11</v>
      </c>
      <c r="G33" s="634">
        <v>20</v>
      </c>
      <c r="H33" s="634">
        <v>0</v>
      </c>
      <c r="I33" s="634"/>
      <c r="J33" s="634"/>
      <c r="K33" s="634">
        <v>211</v>
      </c>
      <c r="L33" s="634">
        <v>301</v>
      </c>
      <c r="M33" s="634">
        <v>512</v>
      </c>
      <c r="N33" s="634">
        <v>6203</v>
      </c>
      <c r="O33" s="634">
        <v>7400</v>
      </c>
      <c r="P33" s="634">
        <v>13603</v>
      </c>
      <c r="Q33" s="634">
        <v>0</v>
      </c>
      <c r="R33" s="634"/>
      <c r="S33" s="634"/>
      <c r="T33" s="634">
        <v>89</v>
      </c>
      <c r="U33" s="634">
        <v>31</v>
      </c>
      <c r="V33" s="634">
        <v>120</v>
      </c>
      <c r="W33" s="634">
        <v>35</v>
      </c>
      <c r="X33" s="634">
        <v>3</v>
      </c>
      <c r="Y33" s="634">
        <v>38</v>
      </c>
      <c r="Z33" s="634">
        <v>97</v>
      </c>
      <c r="AA33" s="634">
        <v>190</v>
      </c>
      <c r="AB33" s="634">
        <v>287</v>
      </c>
      <c r="AC33" s="634">
        <v>6644</v>
      </c>
      <c r="AD33" s="634">
        <v>7936</v>
      </c>
      <c r="AE33" s="634">
        <v>14580</v>
      </c>
      <c r="AF33" s="634">
        <f t="shared" si="0"/>
        <v>694.28571428571433</v>
      </c>
    </row>
    <row r="34" spans="1:32" s="14" customFormat="1" ht="21.75" customHeight="1" x14ac:dyDescent="0.35">
      <c r="A34" s="90">
        <v>30</v>
      </c>
      <c r="B34" s="558" t="s">
        <v>40</v>
      </c>
      <c r="C34" s="634">
        <v>2910</v>
      </c>
      <c r="D34" s="634">
        <v>2875</v>
      </c>
      <c r="E34" s="634">
        <v>3268</v>
      </c>
      <c r="F34" s="634">
        <v>6022</v>
      </c>
      <c r="G34" s="634">
        <v>9290</v>
      </c>
      <c r="H34" s="634">
        <v>325</v>
      </c>
      <c r="I34" s="634">
        <v>646</v>
      </c>
      <c r="J34" s="634">
        <v>971</v>
      </c>
      <c r="K34" s="634">
        <v>99668</v>
      </c>
      <c r="L34" s="634">
        <v>159739</v>
      </c>
      <c r="M34" s="634">
        <v>259407</v>
      </c>
      <c r="N34" s="634">
        <v>983840</v>
      </c>
      <c r="O34" s="634">
        <v>1091537</v>
      </c>
      <c r="P34" s="634">
        <v>2075377</v>
      </c>
      <c r="Q34" s="634">
        <v>1288</v>
      </c>
      <c r="R34" s="634">
        <v>1461</v>
      </c>
      <c r="S34" s="634">
        <v>2749</v>
      </c>
      <c r="T34" s="634">
        <v>7046</v>
      </c>
      <c r="U34" s="634">
        <v>15249</v>
      </c>
      <c r="V34" s="634">
        <v>22295</v>
      </c>
      <c r="W34" s="634">
        <v>986</v>
      </c>
      <c r="X34" s="634">
        <v>5455</v>
      </c>
      <c r="Y34" s="634">
        <v>6441</v>
      </c>
      <c r="Z34" s="634">
        <v>3658</v>
      </c>
      <c r="AA34" s="634">
        <v>5548</v>
      </c>
      <c r="AB34" s="634">
        <v>9206</v>
      </c>
      <c r="AC34" s="634">
        <v>1100079</v>
      </c>
      <c r="AD34" s="634">
        <v>1285657</v>
      </c>
      <c r="AE34" s="634">
        <v>2385736</v>
      </c>
      <c r="AF34" s="634">
        <f t="shared" si="0"/>
        <v>829.82121739130434</v>
      </c>
    </row>
    <row r="35" spans="1:32" s="14" customFormat="1" ht="21.75" customHeight="1" x14ac:dyDescent="0.35">
      <c r="A35" s="90">
        <v>31</v>
      </c>
      <c r="B35" s="558" t="s">
        <v>41</v>
      </c>
      <c r="C35" s="634">
        <v>2091</v>
      </c>
      <c r="D35" s="634">
        <v>1803</v>
      </c>
      <c r="E35" s="634">
        <v>26</v>
      </c>
      <c r="F35" s="634">
        <v>56</v>
      </c>
      <c r="G35" s="634">
        <v>82</v>
      </c>
      <c r="H35" s="634">
        <v>34</v>
      </c>
      <c r="I35" s="634">
        <v>38</v>
      </c>
      <c r="J35" s="634">
        <v>72</v>
      </c>
      <c r="K35" s="634">
        <v>48296</v>
      </c>
      <c r="L35" s="634">
        <v>72857</v>
      </c>
      <c r="M35" s="634">
        <v>121153</v>
      </c>
      <c r="N35" s="634">
        <v>512403</v>
      </c>
      <c r="O35" s="634">
        <v>529739</v>
      </c>
      <c r="P35" s="634">
        <v>1042142</v>
      </c>
      <c r="Q35" s="634">
        <v>95</v>
      </c>
      <c r="R35" s="634">
        <v>241</v>
      </c>
      <c r="S35" s="634">
        <v>336</v>
      </c>
      <c r="T35" s="634">
        <v>6048</v>
      </c>
      <c r="U35" s="634">
        <v>2971</v>
      </c>
      <c r="V35" s="634">
        <v>9019</v>
      </c>
      <c r="W35" s="634">
        <v>153</v>
      </c>
      <c r="X35" s="634">
        <v>492</v>
      </c>
      <c r="Y35" s="634">
        <v>645</v>
      </c>
      <c r="Z35" s="634">
        <v>2480</v>
      </c>
      <c r="AA35" s="634">
        <v>2364</v>
      </c>
      <c r="AB35" s="634">
        <v>4844</v>
      </c>
      <c r="AC35" s="634">
        <v>569535</v>
      </c>
      <c r="AD35" s="634">
        <v>608758</v>
      </c>
      <c r="AE35" s="634">
        <v>1178293</v>
      </c>
      <c r="AF35" s="634">
        <f t="shared" si="0"/>
        <v>653.51802551303388</v>
      </c>
    </row>
    <row r="36" spans="1:32" s="14" customFormat="1" ht="26" x14ac:dyDescent="0.35">
      <c r="A36" s="90">
        <v>32</v>
      </c>
      <c r="B36" s="559" t="s">
        <v>60</v>
      </c>
      <c r="C36" s="634">
        <v>19</v>
      </c>
      <c r="D36" s="634">
        <v>19</v>
      </c>
      <c r="E36" s="634">
        <v>0</v>
      </c>
      <c r="F36" s="634">
        <v>2</v>
      </c>
      <c r="G36" s="634">
        <v>2</v>
      </c>
      <c r="H36" s="634">
        <v>0</v>
      </c>
      <c r="I36" s="634"/>
      <c r="J36" s="634"/>
      <c r="K36" s="634">
        <v>228</v>
      </c>
      <c r="L36" s="634">
        <v>583</v>
      </c>
      <c r="M36" s="634">
        <v>811</v>
      </c>
      <c r="N36" s="634">
        <v>4463</v>
      </c>
      <c r="O36" s="634">
        <v>5233</v>
      </c>
      <c r="P36" s="634">
        <v>9696</v>
      </c>
      <c r="Q36" s="634">
        <v>3</v>
      </c>
      <c r="R36" s="634">
        <v>2</v>
      </c>
      <c r="S36" s="634">
        <v>5</v>
      </c>
      <c r="T36" s="634">
        <v>1500</v>
      </c>
      <c r="U36" s="634">
        <v>395</v>
      </c>
      <c r="V36" s="634">
        <v>1895</v>
      </c>
      <c r="W36" s="634">
        <v>0</v>
      </c>
      <c r="X36" s="634"/>
      <c r="Y36" s="634"/>
      <c r="Z36" s="634">
        <v>51</v>
      </c>
      <c r="AA36" s="634">
        <v>71</v>
      </c>
      <c r="AB36" s="634">
        <v>122</v>
      </c>
      <c r="AC36" s="634">
        <v>6245</v>
      </c>
      <c r="AD36" s="634">
        <v>6286</v>
      </c>
      <c r="AE36" s="634">
        <v>12531</v>
      </c>
      <c r="AF36" s="634">
        <f t="shared" si="0"/>
        <v>659.52631578947364</v>
      </c>
    </row>
    <row r="37" spans="1:32" s="14" customFormat="1" ht="21.75" customHeight="1" x14ac:dyDescent="0.35">
      <c r="A37" s="90">
        <v>33</v>
      </c>
      <c r="B37" s="558" t="s">
        <v>42</v>
      </c>
      <c r="C37" s="634">
        <v>59</v>
      </c>
      <c r="D37" s="634">
        <v>58</v>
      </c>
      <c r="E37" s="634">
        <v>7</v>
      </c>
      <c r="F37" s="634">
        <v>4</v>
      </c>
      <c r="G37" s="634">
        <v>11</v>
      </c>
      <c r="H37" s="634">
        <v>0</v>
      </c>
      <c r="I37" s="634"/>
      <c r="J37" s="634"/>
      <c r="K37" s="634">
        <v>302</v>
      </c>
      <c r="L37" s="634">
        <v>380</v>
      </c>
      <c r="M37" s="634">
        <v>682</v>
      </c>
      <c r="N37" s="634">
        <v>37014</v>
      </c>
      <c r="O37" s="634">
        <v>37598</v>
      </c>
      <c r="P37" s="634">
        <v>74612</v>
      </c>
      <c r="Q37" s="634">
        <v>0</v>
      </c>
      <c r="R37" s="634"/>
      <c r="S37" s="634"/>
      <c r="T37" s="634">
        <v>1711</v>
      </c>
      <c r="U37" s="634">
        <v>1325</v>
      </c>
      <c r="V37" s="634">
        <v>3036</v>
      </c>
      <c r="W37" s="634">
        <v>7</v>
      </c>
      <c r="X37" s="634">
        <v>1</v>
      </c>
      <c r="Y37" s="634">
        <v>8</v>
      </c>
      <c r="Z37" s="634">
        <v>121</v>
      </c>
      <c r="AA37" s="634">
        <v>140</v>
      </c>
      <c r="AB37" s="634">
        <v>261</v>
      </c>
      <c r="AC37" s="634">
        <v>39162</v>
      </c>
      <c r="AD37" s="634">
        <v>39448</v>
      </c>
      <c r="AE37" s="634">
        <v>78610</v>
      </c>
      <c r="AF37" s="634">
        <f t="shared" si="0"/>
        <v>1355.344827586207</v>
      </c>
    </row>
    <row r="38" spans="1:32" s="14" customFormat="1" ht="21.75" customHeight="1" x14ac:dyDescent="0.35">
      <c r="A38" s="90">
        <v>34</v>
      </c>
      <c r="B38" s="558" t="s">
        <v>43</v>
      </c>
      <c r="C38" s="634">
        <v>8280</v>
      </c>
      <c r="D38" s="634">
        <v>7748</v>
      </c>
      <c r="E38" s="634">
        <v>973</v>
      </c>
      <c r="F38" s="634">
        <v>943</v>
      </c>
      <c r="G38" s="634">
        <v>1916</v>
      </c>
      <c r="H38" s="634">
        <v>0</v>
      </c>
      <c r="I38" s="634"/>
      <c r="J38" s="634"/>
      <c r="K38" s="634">
        <v>254679</v>
      </c>
      <c r="L38" s="634">
        <v>368812</v>
      </c>
      <c r="M38" s="634">
        <v>623491</v>
      </c>
      <c r="N38" s="634">
        <v>2603390</v>
      </c>
      <c r="O38" s="634">
        <v>2605015</v>
      </c>
      <c r="P38" s="634">
        <v>5208405</v>
      </c>
      <c r="Q38" s="634">
        <v>3231</v>
      </c>
      <c r="R38" s="634">
        <v>3548</v>
      </c>
      <c r="S38" s="634">
        <v>6779</v>
      </c>
      <c r="T38" s="634">
        <v>54197</v>
      </c>
      <c r="U38" s="634">
        <v>32489</v>
      </c>
      <c r="V38" s="634">
        <v>86686</v>
      </c>
      <c r="W38" s="634">
        <v>2195</v>
      </c>
      <c r="X38" s="634">
        <v>1938</v>
      </c>
      <c r="Y38" s="634">
        <v>4133</v>
      </c>
      <c r="Z38" s="634">
        <v>32831</v>
      </c>
      <c r="AA38" s="634">
        <v>18033</v>
      </c>
      <c r="AB38" s="634">
        <v>50864</v>
      </c>
      <c r="AC38" s="634">
        <v>2951496</v>
      </c>
      <c r="AD38" s="634">
        <v>3030778</v>
      </c>
      <c r="AE38" s="634">
        <v>5982274</v>
      </c>
      <c r="AF38" s="634">
        <f t="shared" si="0"/>
        <v>772.10557563242128</v>
      </c>
    </row>
    <row r="39" spans="1:32" s="14" customFormat="1" ht="21.75" customHeight="1" x14ac:dyDescent="0.35">
      <c r="A39" s="90">
        <v>35</v>
      </c>
      <c r="B39" s="558" t="s">
        <v>44</v>
      </c>
      <c r="C39" s="634">
        <v>512</v>
      </c>
      <c r="D39" s="634">
        <v>387</v>
      </c>
      <c r="E39" s="634">
        <v>151</v>
      </c>
      <c r="F39" s="634">
        <v>181</v>
      </c>
      <c r="G39" s="634">
        <v>332</v>
      </c>
      <c r="H39" s="634">
        <v>0</v>
      </c>
      <c r="I39" s="634"/>
      <c r="J39" s="634"/>
      <c r="K39" s="634">
        <v>10708</v>
      </c>
      <c r="L39" s="634">
        <v>18667</v>
      </c>
      <c r="M39" s="634">
        <v>29375</v>
      </c>
      <c r="N39" s="634">
        <v>91567</v>
      </c>
      <c r="O39" s="634">
        <v>112661</v>
      </c>
      <c r="P39" s="634">
        <v>204228</v>
      </c>
      <c r="Q39" s="634">
        <v>97</v>
      </c>
      <c r="R39" s="634">
        <v>149</v>
      </c>
      <c r="S39" s="634">
        <v>246</v>
      </c>
      <c r="T39" s="634">
        <v>3077</v>
      </c>
      <c r="U39" s="634">
        <v>2118</v>
      </c>
      <c r="V39" s="634">
        <v>5195</v>
      </c>
      <c r="W39" s="634">
        <v>0</v>
      </c>
      <c r="X39" s="634"/>
      <c r="Y39" s="634"/>
      <c r="Z39" s="634">
        <v>941</v>
      </c>
      <c r="AA39" s="634">
        <v>543</v>
      </c>
      <c r="AB39" s="634">
        <v>1484</v>
      </c>
      <c r="AC39" s="634">
        <v>106541</v>
      </c>
      <c r="AD39" s="634">
        <v>134319</v>
      </c>
      <c r="AE39" s="634">
        <v>240860</v>
      </c>
      <c r="AF39" s="634">
        <f t="shared" si="0"/>
        <v>622.37726098191217</v>
      </c>
    </row>
    <row r="40" spans="1:32" s="14" customFormat="1" ht="21.75" customHeight="1" x14ac:dyDescent="0.35">
      <c r="A40" s="90">
        <v>36</v>
      </c>
      <c r="B40" s="558" t="s">
        <v>45</v>
      </c>
      <c r="C40" s="634">
        <v>1559</v>
      </c>
      <c r="D40" s="634">
        <v>1558</v>
      </c>
      <c r="E40" s="634">
        <v>316</v>
      </c>
      <c r="F40" s="634">
        <v>102</v>
      </c>
      <c r="G40" s="634">
        <v>418</v>
      </c>
      <c r="H40" s="634">
        <v>38</v>
      </c>
      <c r="I40" s="634">
        <v>38</v>
      </c>
      <c r="J40" s="634">
        <v>76</v>
      </c>
      <c r="K40" s="634">
        <v>19084</v>
      </c>
      <c r="L40" s="634">
        <v>26228</v>
      </c>
      <c r="M40" s="634">
        <v>45312</v>
      </c>
      <c r="N40" s="634">
        <v>780500</v>
      </c>
      <c r="O40" s="634">
        <v>871861</v>
      </c>
      <c r="P40" s="634">
        <v>1652361</v>
      </c>
      <c r="Q40" s="634">
        <v>747</v>
      </c>
      <c r="R40" s="634">
        <v>428</v>
      </c>
      <c r="S40" s="634">
        <v>1175</v>
      </c>
      <c r="T40" s="634">
        <v>25266</v>
      </c>
      <c r="U40" s="634">
        <v>26874</v>
      </c>
      <c r="V40" s="634">
        <v>52140</v>
      </c>
      <c r="W40" s="634">
        <v>2822</v>
      </c>
      <c r="X40" s="634">
        <v>3147</v>
      </c>
      <c r="Y40" s="634">
        <v>5969</v>
      </c>
      <c r="Z40" s="634">
        <v>4173</v>
      </c>
      <c r="AA40" s="634">
        <v>4622</v>
      </c>
      <c r="AB40" s="634">
        <v>8795</v>
      </c>
      <c r="AC40" s="634">
        <v>832946</v>
      </c>
      <c r="AD40" s="634">
        <v>933300</v>
      </c>
      <c r="AE40" s="634">
        <v>1766246</v>
      </c>
      <c r="AF40" s="634">
        <f t="shared" si="0"/>
        <v>1133.6623876765084</v>
      </c>
    </row>
    <row r="41" spans="1:32" s="548" customFormat="1" ht="21.75" customHeight="1" x14ac:dyDescent="0.35">
      <c r="A41" s="716" t="s">
        <v>46</v>
      </c>
      <c r="B41" s="716"/>
      <c r="C41" s="636">
        <v>46439</v>
      </c>
      <c r="D41" s="636">
        <v>44519</v>
      </c>
      <c r="E41" s="636">
        <v>14868</v>
      </c>
      <c r="F41" s="636">
        <v>18990</v>
      </c>
      <c r="G41" s="636">
        <v>33858</v>
      </c>
      <c r="H41" s="636">
        <v>479</v>
      </c>
      <c r="I41" s="636">
        <v>938</v>
      </c>
      <c r="J41" s="636">
        <v>1417</v>
      </c>
      <c r="K41" s="636">
        <v>1105379</v>
      </c>
      <c r="L41" s="636">
        <v>1619172</v>
      </c>
      <c r="M41" s="636">
        <v>2724551</v>
      </c>
      <c r="N41" s="636">
        <v>13526265</v>
      </c>
      <c r="O41" s="636">
        <v>13790040</v>
      </c>
      <c r="P41" s="636">
        <v>27316305</v>
      </c>
      <c r="Q41" s="636">
        <v>26480</v>
      </c>
      <c r="R41" s="636">
        <v>29875</v>
      </c>
      <c r="S41" s="636">
        <v>56355</v>
      </c>
      <c r="T41" s="636">
        <v>427885</v>
      </c>
      <c r="U41" s="636">
        <v>299233</v>
      </c>
      <c r="V41" s="636">
        <v>727118</v>
      </c>
      <c r="W41" s="636">
        <v>33427</v>
      </c>
      <c r="X41" s="636">
        <v>45486</v>
      </c>
      <c r="Y41" s="636">
        <v>78913</v>
      </c>
      <c r="Z41" s="636">
        <v>161089</v>
      </c>
      <c r="AA41" s="636">
        <v>153991</v>
      </c>
      <c r="AB41" s="636">
        <v>315080</v>
      </c>
      <c r="AC41" s="636">
        <v>15295872</v>
      </c>
      <c r="AD41" s="636">
        <v>15957725</v>
      </c>
      <c r="AE41" s="636">
        <v>31253597</v>
      </c>
      <c r="AF41" s="634">
        <f t="shared" si="0"/>
        <v>702.02828006019899</v>
      </c>
    </row>
  </sheetData>
  <mergeCells count="17">
    <mergeCell ref="A41:B41"/>
    <mergeCell ref="Q2:S2"/>
    <mergeCell ref="T2:V2"/>
    <mergeCell ref="W2:Y2"/>
    <mergeCell ref="Z2:AB2"/>
    <mergeCell ref="A2:A3"/>
    <mergeCell ref="B2:B3"/>
    <mergeCell ref="AC2:AE2"/>
    <mergeCell ref="AF2:AF3"/>
    <mergeCell ref="C1:M1"/>
    <mergeCell ref="N1:V1"/>
    <mergeCell ref="W1:AF1"/>
    <mergeCell ref="C2:D2"/>
    <mergeCell ref="E2:G2"/>
    <mergeCell ref="H2:J2"/>
    <mergeCell ref="K2:M2"/>
    <mergeCell ref="N2:P2"/>
  </mergeCells>
  <conditionalFormatting sqref="AF5:AF41">
    <cfRule type="cellIs" dxfId="0" priority="1" operator="lessThan">
      <formula>0</formula>
    </cfRule>
  </conditionalFormatting>
  <pageMargins left="0.59055118110236227" right="0.35433070866141736" top="0.39370078740157483" bottom="0.39370078740157483" header="0.31496062992125984" footer="0.19685039370078741"/>
  <pageSetup paperSize="9" scale="80" firstPageNumber="14" orientation="portrait" r:id="rId1"/>
  <headerFooter>
    <oddFooter>&amp;L&amp;"Arial,Italic"&amp;9AISHE 2022-23&amp;RT-8</oddFooter>
  </headerFooter>
  <colBreaks count="2" manualBreakCount="2">
    <brk id="13" max="38" man="1"/>
    <brk id="2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E399-3881-4144-8553-2EAD7750E7F6}">
  <sheetPr codeName="Sheet14">
    <tabColor rgb="FF92D050"/>
  </sheetPr>
  <dimension ref="A1:AX41"/>
  <sheetViews>
    <sheetView showZeros="0" view="pageBreakPreview" zoomScaleSheetLayoutView="100" workbookViewId="0">
      <pane xSplit="2" ySplit="5" topLeftCell="AK31" activePane="bottomRight" state="frozen"/>
      <selection activeCell="S20" sqref="S20"/>
      <selection pane="topRight" activeCell="S20" sqref="S20"/>
      <selection pane="bottomLeft" activeCell="S20" sqref="S20"/>
      <selection pane="bottomRight" activeCell="AO39" sqref="AO39"/>
    </sheetView>
  </sheetViews>
  <sheetFormatPr defaultColWidth="9.26953125" defaultRowHeight="13" x14ac:dyDescent="0.3"/>
  <cols>
    <col min="1" max="1" width="5.7265625" style="563" bestFit="1" customWidth="1"/>
    <col min="2" max="2" width="26.1796875" style="563" bestFit="1" customWidth="1"/>
    <col min="3" max="3" width="9.26953125" style="563" customWidth="1"/>
    <col min="4" max="4" width="10.81640625" style="563" bestFit="1" customWidth="1"/>
    <col min="5" max="5" width="14.08984375" style="563" bestFit="1" customWidth="1"/>
    <col min="6" max="6" width="13.1796875" style="563" bestFit="1" customWidth="1"/>
    <col min="7" max="8" width="14.08984375" style="563" bestFit="1" customWidth="1"/>
    <col min="9" max="9" width="10.36328125" style="563" bestFit="1" customWidth="1"/>
    <col min="10" max="10" width="10.08984375" style="563" bestFit="1" customWidth="1"/>
    <col min="11" max="13" width="11.7265625" style="563" bestFit="1" customWidth="1"/>
    <col min="14" max="14" width="14.08984375" style="563" bestFit="1" customWidth="1"/>
    <col min="15" max="16" width="10.81640625" style="641" bestFit="1" customWidth="1"/>
    <col min="17" max="17" width="11.7265625" style="641" bestFit="1" customWidth="1"/>
    <col min="18" max="19" width="13.1796875" style="641" bestFit="1" customWidth="1"/>
    <col min="20" max="20" width="14.1796875" style="641" bestFit="1" customWidth="1"/>
    <col min="21" max="22" width="10.81640625" style="641" bestFit="1" customWidth="1"/>
    <col min="23" max="23" width="11.7265625" style="641" bestFit="1" customWidth="1"/>
    <col min="24" max="25" width="13.1796875" style="641" bestFit="1" customWidth="1"/>
    <col min="26" max="26" width="14.1796875" style="641" bestFit="1" customWidth="1"/>
    <col min="27" max="27" width="10.453125" style="641" bestFit="1" customWidth="1"/>
    <col min="28" max="28" width="10.1796875" style="641" bestFit="1" customWidth="1"/>
    <col min="29" max="31" width="11.7265625" style="641" bestFit="1" customWidth="1"/>
    <col min="32" max="32" width="14.1796875" style="641" bestFit="1" customWidth="1"/>
    <col min="33" max="33" width="10.453125" style="641" bestFit="1" customWidth="1"/>
    <col min="34" max="34" width="10.1796875" style="641" bestFit="1" customWidth="1"/>
    <col min="35" max="37" width="11.7265625" style="641" bestFit="1" customWidth="1"/>
    <col min="38" max="38" width="14.1796875" style="641" bestFit="1" customWidth="1"/>
    <col min="39" max="39" width="10.453125" style="641" bestFit="1" customWidth="1"/>
    <col min="40" max="40" width="10.1796875" style="641" bestFit="1" customWidth="1"/>
    <col min="41" max="41" width="11.7265625" style="641" bestFit="1" customWidth="1"/>
    <col min="42" max="42" width="10.81640625" style="641" bestFit="1" customWidth="1"/>
    <col min="43" max="43" width="11.7265625" style="641" bestFit="1" customWidth="1"/>
    <col min="44" max="44" width="14.1796875" style="641" bestFit="1" customWidth="1"/>
    <col min="45" max="46" width="11.7265625" style="641" bestFit="1" customWidth="1"/>
    <col min="47" max="47" width="14.08984375" style="641" bestFit="1" customWidth="1"/>
    <col min="48" max="48" width="13.1796875" style="641" bestFit="1" customWidth="1"/>
    <col min="49" max="49" width="14.08984375" style="641" bestFit="1" customWidth="1"/>
    <col min="50" max="50" width="13.81640625" style="641" bestFit="1" customWidth="1"/>
    <col min="51" max="16384" width="9.26953125" style="563"/>
  </cols>
  <sheetData>
    <row r="1" spans="1:50" s="81" customFormat="1" ht="15.5" x14ac:dyDescent="0.35">
      <c r="B1" s="26" t="s">
        <v>105</v>
      </c>
      <c r="C1" s="754" t="s">
        <v>1012</v>
      </c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5" t="str">
        <f>C1</f>
        <v>State/UTs-wise Number of Registered and Responsed Standalone and their Enrolment at various Institution Type
(Based on Actual Response)</v>
      </c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 t="str">
        <f>O1</f>
        <v>State/UTs-wise Number of Registered and Responsed Standalone and their Enrolment at various Institution Type
(Based on Actual Response)</v>
      </c>
      <c r="AB1" s="755"/>
      <c r="AC1" s="755"/>
      <c r="AD1" s="755"/>
      <c r="AE1" s="755"/>
      <c r="AF1" s="755"/>
      <c r="AG1" s="755"/>
      <c r="AH1" s="755"/>
      <c r="AI1" s="755"/>
      <c r="AJ1" s="755"/>
      <c r="AK1" s="755"/>
      <c r="AL1" s="755"/>
      <c r="AM1" s="755" t="str">
        <f>AA1</f>
        <v>State/UTs-wise Number of Registered and Responsed Standalone and their Enrolment at various Institution Type
(Based on Actual Response)</v>
      </c>
      <c r="AN1" s="755"/>
      <c r="AO1" s="755"/>
      <c r="AP1" s="755"/>
      <c r="AQ1" s="755"/>
      <c r="AR1" s="755"/>
      <c r="AS1" s="755"/>
      <c r="AT1" s="755"/>
      <c r="AU1" s="755"/>
      <c r="AV1" s="755"/>
      <c r="AW1" s="755"/>
      <c r="AX1" s="755"/>
    </row>
    <row r="2" spans="1:50" s="560" customFormat="1" x14ac:dyDescent="0.3">
      <c r="A2" s="717" t="s">
        <v>84</v>
      </c>
      <c r="B2" s="717" t="s">
        <v>1005</v>
      </c>
      <c r="C2" s="756" t="s">
        <v>106</v>
      </c>
      <c r="D2" s="756"/>
      <c r="E2" s="756"/>
      <c r="F2" s="756"/>
      <c r="G2" s="756"/>
      <c r="H2" s="756"/>
      <c r="I2" s="756" t="s">
        <v>107</v>
      </c>
      <c r="J2" s="756"/>
      <c r="K2" s="756"/>
      <c r="L2" s="756"/>
      <c r="M2" s="756"/>
      <c r="N2" s="756"/>
      <c r="O2" s="757" t="s">
        <v>108</v>
      </c>
      <c r="P2" s="757"/>
      <c r="Q2" s="757"/>
      <c r="R2" s="757"/>
      <c r="S2" s="757"/>
      <c r="T2" s="757"/>
      <c r="U2" s="757" t="s">
        <v>109</v>
      </c>
      <c r="V2" s="757"/>
      <c r="W2" s="757"/>
      <c r="X2" s="757"/>
      <c r="Y2" s="757"/>
      <c r="Z2" s="757"/>
      <c r="AA2" s="757" t="s">
        <v>110</v>
      </c>
      <c r="AB2" s="757"/>
      <c r="AC2" s="757"/>
      <c r="AD2" s="757"/>
      <c r="AE2" s="757"/>
      <c r="AF2" s="757"/>
      <c r="AG2" s="758" t="s">
        <v>111</v>
      </c>
      <c r="AH2" s="759"/>
      <c r="AI2" s="759"/>
      <c r="AJ2" s="759"/>
      <c r="AK2" s="759"/>
      <c r="AL2" s="760"/>
      <c r="AM2" s="758" t="s">
        <v>112</v>
      </c>
      <c r="AN2" s="759"/>
      <c r="AO2" s="759"/>
      <c r="AP2" s="759"/>
      <c r="AQ2" s="759"/>
      <c r="AR2" s="760"/>
      <c r="AS2" s="757" t="s">
        <v>113</v>
      </c>
      <c r="AT2" s="757"/>
      <c r="AU2" s="757"/>
      <c r="AV2" s="757"/>
      <c r="AW2" s="757"/>
      <c r="AX2" s="757"/>
    </row>
    <row r="3" spans="1:50" s="545" customFormat="1" x14ac:dyDescent="0.35">
      <c r="A3" s="717"/>
      <c r="B3" s="717"/>
      <c r="C3" s="717" t="s">
        <v>114</v>
      </c>
      <c r="D3" s="717"/>
      <c r="E3" s="717" t="s">
        <v>82</v>
      </c>
      <c r="F3" s="717"/>
      <c r="G3" s="717"/>
      <c r="H3" s="764" t="s">
        <v>115</v>
      </c>
      <c r="I3" s="717" t="s">
        <v>114</v>
      </c>
      <c r="J3" s="717"/>
      <c r="K3" s="717" t="s">
        <v>82</v>
      </c>
      <c r="L3" s="717"/>
      <c r="M3" s="717"/>
      <c r="N3" s="764" t="s">
        <v>115</v>
      </c>
      <c r="O3" s="763" t="s">
        <v>114</v>
      </c>
      <c r="P3" s="763"/>
      <c r="Q3" s="763" t="s">
        <v>82</v>
      </c>
      <c r="R3" s="763"/>
      <c r="S3" s="763"/>
      <c r="T3" s="761" t="s">
        <v>115</v>
      </c>
      <c r="U3" s="763" t="s">
        <v>114</v>
      </c>
      <c r="V3" s="763"/>
      <c r="W3" s="763" t="s">
        <v>82</v>
      </c>
      <c r="X3" s="763"/>
      <c r="Y3" s="763"/>
      <c r="Z3" s="761" t="s">
        <v>115</v>
      </c>
      <c r="AA3" s="763" t="s">
        <v>114</v>
      </c>
      <c r="AB3" s="763"/>
      <c r="AC3" s="763" t="s">
        <v>82</v>
      </c>
      <c r="AD3" s="763"/>
      <c r="AE3" s="763"/>
      <c r="AF3" s="761" t="s">
        <v>115</v>
      </c>
      <c r="AG3" s="763" t="s">
        <v>114</v>
      </c>
      <c r="AH3" s="763"/>
      <c r="AI3" s="763" t="s">
        <v>82</v>
      </c>
      <c r="AJ3" s="763"/>
      <c r="AK3" s="763"/>
      <c r="AL3" s="761" t="s">
        <v>115</v>
      </c>
      <c r="AM3" s="763" t="s">
        <v>114</v>
      </c>
      <c r="AN3" s="763"/>
      <c r="AO3" s="763" t="s">
        <v>82</v>
      </c>
      <c r="AP3" s="763"/>
      <c r="AQ3" s="763"/>
      <c r="AR3" s="761" t="s">
        <v>115</v>
      </c>
      <c r="AS3" s="763" t="s">
        <v>114</v>
      </c>
      <c r="AT3" s="763"/>
      <c r="AU3" s="763" t="s">
        <v>82</v>
      </c>
      <c r="AV3" s="763"/>
      <c r="AW3" s="763"/>
      <c r="AX3" s="761" t="s">
        <v>115</v>
      </c>
    </row>
    <row r="4" spans="1:50" s="87" customFormat="1" ht="67.150000000000006" customHeight="1" x14ac:dyDescent="0.35">
      <c r="A4" s="717"/>
      <c r="B4" s="717"/>
      <c r="C4" s="85" t="s">
        <v>55</v>
      </c>
      <c r="D4" s="85" t="s">
        <v>998</v>
      </c>
      <c r="E4" s="86" t="s">
        <v>93</v>
      </c>
      <c r="F4" s="86" t="s">
        <v>94</v>
      </c>
      <c r="G4" s="85" t="s">
        <v>54</v>
      </c>
      <c r="H4" s="765"/>
      <c r="I4" s="85" t="s">
        <v>55</v>
      </c>
      <c r="J4" s="85" t="s">
        <v>998</v>
      </c>
      <c r="K4" s="86" t="s">
        <v>93</v>
      </c>
      <c r="L4" s="86" t="s">
        <v>94</v>
      </c>
      <c r="M4" s="85" t="s">
        <v>54</v>
      </c>
      <c r="N4" s="765"/>
      <c r="O4" s="638" t="s">
        <v>55</v>
      </c>
      <c r="P4" s="638" t="s">
        <v>998</v>
      </c>
      <c r="Q4" s="637" t="s">
        <v>93</v>
      </c>
      <c r="R4" s="637" t="s">
        <v>94</v>
      </c>
      <c r="S4" s="638" t="s">
        <v>54</v>
      </c>
      <c r="T4" s="762"/>
      <c r="U4" s="638" t="s">
        <v>55</v>
      </c>
      <c r="V4" s="638" t="s">
        <v>998</v>
      </c>
      <c r="W4" s="637" t="s">
        <v>93</v>
      </c>
      <c r="X4" s="637" t="s">
        <v>94</v>
      </c>
      <c r="Y4" s="638" t="s">
        <v>54</v>
      </c>
      <c r="Z4" s="762"/>
      <c r="AA4" s="638" t="s">
        <v>55</v>
      </c>
      <c r="AB4" s="638" t="s">
        <v>998</v>
      </c>
      <c r="AC4" s="637" t="s">
        <v>93</v>
      </c>
      <c r="AD4" s="637" t="s">
        <v>94</v>
      </c>
      <c r="AE4" s="638" t="s">
        <v>54</v>
      </c>
      <c r="AF4" s="762"/>
      <c r="AG4" s="638" t="s">
        <v>55</v>
      </c>
      <c r="AH4" s="638" t="s">
        <v>998</v>
      </c>
      <c r="AI4" s="637" t="s">
        <v>93</v>
      </c>
      <c r="AJ4" s="637" t="s">
        <v>94</v>
      </c>
      <c r="AK4" s="638" t="s">
        <v>54</v>
      </c>
      <c r="AL4" s="762"/>
      <c r="AM4" s="638" t="s">
        <v>55</v>
      </c>
      <c r="AN4" s="638" t="s">
        <v>998</v>
      </c>
      <c r="AO4" s="637" t="s">
        <v>93</v>
      </c>
      <c r="AP4" s="637" t="s">
        <v>94</v>
      </c>
      <c r="AQ4" s="638" t="s">
        <v>54</v>
      </c>
      <c r="AR4" s="762"/>
      <c r="AS4" s="638" t="s">
        <v>55</v>
      </c>
      <c r="AT4" s="638" t="s">
        <v>998</v>
      </c>
      <c r="AU4" s="637" t="s">
        <v>93</v>
      </c>
      <c r="AV4" s="637" t="s">
        <v>94</v>
      </c>
      <c r="AW4" s="638" t="s">
        <v>54</v>
      </c>
      <c r="AX4" s="762"/>
    </row>
    <row r="5" spans="1:50" s="87" customFormat="1" x14ac:dyDescent="0.35">
      <c r="A5" s="561">
        <v>1</v>
      </c>
      <c r="B5" s="561">
        <v>2</v>
      </c>
      <c r="C5" s="561">
        <v>3</v>
      </c>
      <c r="D5" s="561">
        <v>4</v>
      </c>
      <c r="E5" s="561">
        <v>5</v>
      </c>
      <c r="F5" s="561">
        <v>6</v>
      </c>
      <c r="G5" s="561">
        <v>7</v>
      </c>
      <c r="H5" s="561">
        <v>8</v>
      </c>
      <c r="I5" s="561">
        <v>9</v>
      </c>
      <c r="J5" s="561">
        <v>10</v>
      </c>
      <c r="K5" s="561">
        <v>11</v>
      </c>
      <c r="L5" s="561">
        <v>12</v>
      </c>
      <c r="M5" s="561">
        <v>13</v>
      </c>
      <c r="N5" s="561">
        <v>14</v>
      </c>
      <c r="O5" s="639">
        <v>15</v>
      </c>
      <c r="P5" s="639">
        <v>16</v>
      </c>
      <c r="Q5" s="639">
        <v>17</v>
      </c>
      <c r="R5" s="639">
        <v>18</v>
      </c>
      <c r="S5" s="639">
        <v>19</v>
      </c>
      <c r="T5" s="639">
        <v>20</v>
      </c>
      <c r="U5" s="639">
        <v>21</v>
      </c>
      <c r="V5" s="639">
        <v>22</v>
      </c>
      <c r="W5" s="639">
        <v>23</v>
      </c>
      <c r="X5" s="639">
        <v>24</v>
      </c>
      <c r="Y5" s="639">
        <v>25</v>
      </c>
      <c r="Z5" s="639">
        <v>26</v>
      </c>
      <c r="AA5" s="639">
        <v>27</v>
      </c>
      <c r="AB5" s="639">
        <v>28</v>
      </c>
      <c r="AC5" s="639">
        <v>29</v>
      </c>
      <c r="AD5" s="639">
        <v>30</v>
      </c>
      <c r="AE5" s="639">
        <v>31</v>
      </c>
      <c r="AF5" s="639">
        <v>32</v>
      </c>
      <c r="AG5" s="639">
        <v>33</v>
      </c>
      <c r="AH5" s="639">
        <v>34</v>
      </c>
      <c r="AI5" s="639">
        <v>35</v>
      </c>
      <c r="AJ5" s="639">
        <v>36</v>
      </c>
      <c r="AK5" s="639">
        <v>37</v>
      </c>
      <c r="AL5" s="639">
        <v>38</v>
      </c>
      <c r="AM5" s="639">
        <v>39</v>
      </c>
      <c r="AN5" s="639">
        <v>40</v>
      </c>
      <c r="AO5" s="639">
        <v>41</v>
      </c>
      <c r="AP5" s="639">
        <v>42</v>
      </c>
      <c r="AQ5" s="639">
        <v>43</v>
      </c>
      <c r="AR5" s="639">
        <v>44</v>
      </c>
      <c r="AS5" s="639">
        <v>45</v>
      </c>
      <c r="AT5" s="639">
        <v>46</v>
      </c>
      <c r="AU5" s="639">
        <v>47</v>
      </c>
      <c r="AV5" s="639">
        <v>48</v>
      </c>
      <c r="AW5" s="639">
        <v>49</v>
      </c>
      <c r="AX5" s="639">
        <v>50</v>
      </c>
    </row>
    <row r="6" spans="1:50" s="14" customFormat="1" ht="18" customHeight="1" x14ac:dyDescent="0.35">
      <c r="A6" s="90">
        <v>1</v>
      </c>
      <c r="B6" s="557" t="s">
        <v>116</v>
      </c>
      <c r="C6" s="634"/>
      <c r="D6" s="634"/>
      <c r="E6" s="634">
        <f>G6-F6</f>
        <v>0</v>
      </c>
      <c r="F6" s="634"/>
      <c r="G6" s="634"/>
      <c r="H6" s="634"/>
      <c r="I6" s="634"/>
      <c r="J6" s="634"/>
      <c r="K6" s="634">
        <f>M6-L6</f>
        <v>0</v>
      </c>
      <c r="L6" s="634"/>
      <c r="M6" s="634"/>
      <c r="N6" s="634"/>
      <c r="O6" s="634"/>
      <c r="P6" s="634"/>
      <c r="Q6" s="634">
        <f>S6-R6</f>
        <v>0</v>
      </c>
      <c r="R6" s="634"/>
      <c r="S6" s="634"/>
      <c r="T6" s="634"/>
      <c r="U6" s="634">
        <v>1</v>
      </c>
      <c r="V6" s="634">
        <v>1</v>
      </c>
      <c r="W6" s="634">
        <f>Y6-X6</f>
        <v>24</v>
      </c>
      <c r="X6" s="634">
        <v>103</v>
      </c>
      <c r="Y6" s="634">
        <v>127</v>
      </c>
      <c r="Z6" s="634">
        <v>127</v>
      </c>
      <c r="AA6" s="634"/>
      <c r="AB6" s="634"/>
      <c r="AC6" s="634">
        <f>AE6-AD6</f>
        <v>0</v>
      </c>
      <c r="AD6" s="634"/>
      <c r="AE6" s="634"/>
      <c r="AF6" s="634"/>
      <c r="AG6" s="634"/>
      <c r="AH6" s="634"/>
      <c r="AI6" s="634">
        <f>AK6-AJ6</f>
        <v>0</v>
      </c>
      <c r="AJ6" s="634"/>
      <c r="AK6" s="634"/>
      <c r="AL6" s="634"/>
      <c r="AM6" s="634"/>
      <c r="AN6" s="634"/>
      <c r="AO6" s="634">
        <f>AQ6-AP6</f>
        <v>0</v>
      </c>
      <c r="AP6" s="634"/>
      <c r="AQ6" s="634"/>
      <c r="AR6" s="634"/>
      <c r="AS6" s="634">
        <v>1</v>
      </c>
      <c r="AT6" s="634">
        <v>1</v>
      </c>
      <c r="AU6" s="634">
        <f>AW6-AV6</f>
        <v>24</v>
      </c>
      <c r="AV6" s="634">
        <v>103</v>
      </c>
      <c r="AW6" s="634">
        <v>127</v>
      </c>
      <c r="AX6" s="634">
        <v>127</v>
      </c>
    </row>
    <row r="7" spans="1:50" s="14" customFormat="1" ht="18" customHeight="1" x14ac:dyDescent="0.35">
      <c r="A7" s="90">
        <v>2</v>
      </c>
      <c r="B7" s="558" t="s">
        <v>13</v>
      </c>
      <c r="C7" s="634">
        <v>154</v>
      </c>
      <c r="D7" s="634">
        <v>144</v>
      </c>
      <c r="E7" s="634">
        <f t="shared" ref="E7:E41" si="0">G7-F7</f>
        <v>51696</v>
      </c>
      <c r="F7" s="634">
        <v>17237</v>
      </c>
      <c r="G7" s="634">
        <v>68933</v>
      </c>
      <c r="H7" s="634">
        <v>447.61688311688312</v>
      </c>
      <c r="I7" s="634">
        <v>5</v>
      </c>
      <c r="J7" s="634">
        <v>4</v>
      </c>
      <c r="K7" s="634">
        <f t="shared" ref="K7:K41" si="1">M7-L7</f>
        <v>137</v>
      </c>
      <c r="L7" s="634">
        <v>87</v>
      </c>
      <c r="M7" s="634">
        <v>224</v>
      </c>
      <c r="N7" s="634">
        <v>44.8</v>
      </c>
      <c r="O7" s="634">
        <v>279</v>
      </c>
      <c r="P7" s="634">
        <v>271</v>
      </c>
      <c r="Q7" s="634">
        <f t="shared" ref="Q7:Q41" si="2">S7-R7</f>
        <v>2319</v>
      </c>
      <c r="R7" s="634">
        <v>27730</v>
      </c>
      <c r="S7" s="634">
        <v>30049</v>
      </c>
      <c r="T7" s="634">
        <v>107.70250896057348</v>
      </c>
      <c r="U7" s="634">
        <v>295</v>
      </c>
      <c r="V7" s="634">
        <v>63</v>
      </c>
      <c r="W7" s="634">
        <f t="shared" ref="W7:W41" si="3">Y7-X7</f>
        <v>459</v>
      </c>
      <c r="X7" s="634">
        <v>1851</v>
      </c>
      <c r="Y7" s="634">
        <v>2310</v>
      </c>
      <c r="Z7" s="634">
        <v>7.8305084745762707</v>
      </c>
      <c r="AA7" s="634">
        <v>4</v>
      </c>
      <c r="AB7" s="634">
        <v>4</v>
      </c>
      <c r="AC7" s="634">
        <f t="shared" ref="AC7:AC41" si="4">AE7-AD7</f>
        <v>618</v>
      </c>
      <c r="AD7" s="634">
        <v>131</v>
      </c>
      <c r="AE7" s="634">
        <v>749</v>
      </c>
      <c r="AF7" s="634">
        <v>187.25</v>
      </c>
      <c r="AG7" s="634">
        <v>4</v>
      </c>
      <c r="AH7" s="634">
        <v>2</v>
      </c>
      <c r="AI7" s="634">
        <f t="shared" ref="AI7:AI41" si="5">AK7-AJ7</f>
        <v>35</v>
      </c>
      <c r="AJ7" s="634">
        <v>18</v>
      </c>
      <c r="AK7" s="634">
        <v>53</v>
      </c>
      <c r="AL7" s="634">
        <v>13.25</v>
      </c>
      <c r="AM7" s="634"/>
      <c r="AN7" s="634"/>
      <c r="AO7" s="634">
        <f t="shared" ref="AO7:AO41" si="6">AQ7-AP7</f>
        <v>0</v>
      </c>
      <c r="AP7" s="634"/>
      <c r="AQ7" s="634"/>
      <c r="AR7" s="634"/>
      <c r="AS7" s="634">
        <v>741</v>
      </c>
      <c r="AT7" s="634">
        <v>488</v>
      </c>
      <c r="AU7" s="634">
        <f t="shared" ref="AU7:AU41" si="7">AW7-AV7</f>
        <v>55264</v>
      </c>
      <c r="AV7" s="634">
        <v>47054</v>
      </c>
      <c r="AW7" s="634">
        <v>102318</v>
      </c>
      <c r="AX7" s="634">
        <v>138.08097165991902</v>
      </c>
    </row>
    <row r="8" spans="1:50" s="14" customFormat="1" ht="18" customHeight="1" x14ac:dyDescent="0.35">
      <c r="A8" s="90">
        <v>3</v>
      </c>
      <c r="B8" s="558" t="s">
        <v>14</v>
      </c>
      <c r="C8" s="634">
        <v>8</v>
      </c>
      <c r="D8" s="634">
        <v>8</v>
      </c>
      <c r="E8" s="634">
        <f t="shared" si="0"/>
        <v>501</v>
      </c>
      <c r="F8" s="634">
        <v>91</v>
      </c>
      <c r="G8" s="634">
        <v>592</v>
      </c>
      <c r="H8" s="634">
        <v>74</v>
      </c>
      <c r="I8" s="634"/>
      <c r="J8" s="634"/>
      <c r="K8" s="634">
        <f t="shared" si="1"/>
        <v>0</v>
      </c>
      <c r="L8" s="634"/>
      <c r="M8" s="634"/>
      <c r="N8" s="634"/>
      <c r="O8" s="634">
        <v>6</v>
      </c>
      <c r="P8" s="634">
        <v>5</v>
      </c>
      <c r="Q8" s="634">
        <f t="shared" si="2"/>
        <v>0</v>
      </c>
      <c r="R8" s="634">
        <v>186</v>
      </c>
      <c r="S8" s="634">
        <v>186</v>
      </c>
      <c r="T8" s="634">
        <v>31</v>
      </c>
      <c r="U8" s="634">
        <v>8</v>
      </c>
      <c r="V8" s="634">
        <v>8</v>
      </c>
      <c r="W8" s="634">
        <f t="shared" si="3"/>
        <v>346</v>
      </c>
      <c r="X8" s="634">
        <v>626</v>
      </c>
      <c r="Y8" s="634">
        <v>972</v>
      </c>
      <c r="Z8" s="634">
        <v>121.5</v>
      </c>
      <c r="AA8" s="634"/>
      <c r="AB8" s="634"/>
      <c r="AC8" s="634">
        <f t="shared" si="4"/>
        <v>0</v>
      </c>
      <c r="AD8" s="634"/>
      <c r="AE8" s="634"/>
      <c r="AF8" s="634"/>
      <c r="AG8" s="634"/>
      <c r="AH8" s="634"/>
      <c r="AI8" s="634">
        <f t="shared" si="5"/>
        <v>0</v>
      </c>
      <c r="AJ8" s="634"/>
      <c r="AK8" s="634"/>
      <c r="AL8" s="634"/>
      <c r="AM8" s="634"/>
      <c r="AN8" s="634"/>
      <c r="AO8" s="634">
        <f t="shared" si="6"/>
        <v>0</v>
      </c>
      <c r="AP8" s="634"/>
      <c r="AQ8" s="634"/>
      <c r="AR8" s="634"/>
      <c r="AS8" s="634">
        <v>22</v>
      </c>
      <c r="AT8" s="634">
        <v>21</v>
      </c>
      <c r="AU8" s="634">
        <f t="shared" si="7"/>
        <v>847</v>
      </c>
      <c r="AV8" s="634">
        <v>903</v>
      </c>
      <c r="AW8" s="634">
        <v>1750</v>
      </c>
      <c r="AX8" s="634">
        <v>79.545454545454547</v>
      </c>
    </row>
    <row r="9" spans="1:50" s="14" customFormat="1" ht="18" customHeight="1" x14ac:dyDescent="0.35">
      <c r="A9" s="90">
        <v>4</v>
      </c>
      <c r="B9" s="558" t="s">
        <v>15</v>
      </c>
      <c r="C9" s="634">
        <v>28</v>
      </c>
      <c r="D9" s="634">
        <v>28</v>
      </c>
      <c r="E9" s="634">
        <f t="shared" si="0"/>
        <v>8637</v>
      </c>
      <c r="F9" s="634">
        <v>2795</v>
      </c>
      <c r="G9" s="634">
        <v>11432</v>
      </c>
      <c r="H9" s="634">
        <v>408.28571428571428</v>
      </c>
      <c r="I9" s="634">
        <v>1</v>
      </c>
      <c r="J9" s="634">
        <v>1</v>
      </c>
      <c r="K9" s="634">
        <f t="shared" si="1"/>
        <v>48</v>
      </c>
      <c r="L9" s="634">
        <v>30</v>
      </c>
      <c r="M9" s="634">
        <v>78</v>
      </c>
      <c r="N9" s="634">
        <v>78</v>
      </c>
      <c r="O9" s="634">
        <v>67</v>
      </c>
      <c r="P9" s="634">
        <v>64</v>
      </c>
      <c r="Q9" s="634">
        <f t="shared" si="2"/>
        <v>284</v>
      </c>
      <c r="R9" s="634">
        <v>6346</v>
      </c>
      <c r="S9" s="634">
        <v>6630</v>
      </c>
      <c r="T9" s="634">
        <v>98.955223880597018</v>
      </c>
      <c r="U9" s="634">
        <v>46</v>
      </c>
      <c r="V9" s="634">
        <v>46</v>
      </c>
      <c r="W9" s="634">
        <f t="shared" si="3"/>
        <v>3319</v>
      </c>
      <c r="X9" s="634">
        <v>4018</v>
      </c>
      <c r="Y9" s="634">
        <v>7337</v>
      </c>
      <c r="Z9" s="634">
        <v>159.5</v>
      </c>
      <c r="AA9" s="634">
        <v>2</v>
      </c>
      <c r="AB9" s="634">
        <v>1</v>
      </c>
      <c r="AC9" s="634">
        <f t="shared" si="4"/>
        <v>42</v>
      </c>
      <c r="AD9" s="634">
        <v>109</v>
      </c>
      <c r="AE9" s="634">
        <v>151</v>
      </c>
      <c r="AF9" s="634">
        <v>75.5</v>
      </c>
      <c r="AG9" s="634">
        <v>1</v>
      </c>
      <c r="AH9" s="634">
        <v>1</v>
      </c>
      <c r="AI9" s="634">
        <f t="shared" si="5"/>
        <v>60</v>
      </c>
      <c r="AJ9" s="634">
        <v>18</v>
      </c>
      <c r="AK9" s="634">
        <v>78</v>
      </c>
      <c r="AL9" s="634">
        <v>78</v>
      </c>
      <c r="AM9" s="634">
        <v>1</v>
      </c>
      <c r="AN9" s="634"/>
      <c r="AO9" s="634">
        <f t="shared" si="6"/>
        <v>0</v>
      </c>
      <c r="AP9" s="634"/>
      <c r="AQ9" s="634"/>
      <c r="AR9" s="634">
        <v>0</v>
      </c>
      <c r="AS9" s="634">
        <v>146</v>
      </c>
      <c r="AT9" s="634">
        <v>141</v>
      </c>
      <c r="AU9" s="634">
        <f t="shared" si="7"/>
        <v>12390</v>
      </c>
      <c r="AV9" s="634">
        <v>13316</v>
      </c>
      <c r="AW9" s="634">
        <v>25706</v>
      </c>
      <c r="AX9" s="634">
        <v>176.06849315068493</v>
      </c>
    </row>
    <row r="10" spans="1:50" s="14" customFormat="1" ht="18" customHeight="1" x14ac:dyDescent="0.35">
      <c r="A10" s="90">
        <v>5</v>
      </c>
      <c r="B10" s="558" t="s">
        <v>16</v>
      </c>
      <c r="C10" s="634">
        <v>67</v>
      </c>
      <c r="D10" s="634">
        <v>66</v>
      </c>
      <c r="E10" s="634">
        <f t="shared" si="0"/>
        <v>31503</v>
      </c>
      <c r="F10" s="634">
        <v>7077</v>
      </c>
      <c r="G10" s="634">
        <v>38580</v>
      </c>
      <c r="H10" s="634">
        <v>575.82089552238801</v>
      </c>
      <c r="I10" s="634">
        <v>5</v>
      </c>
      <c r="J10" s="634">
        <v>4</v>
      </c>
      <c r="K10" s="634">
        <f t="shared" si="1"/>
        <v>697</v>
      </c>
      <c r="L10" s="634">
        <v>272</v>
      </c>
      <c r="M10" s="634">
        <v>969</v>
      </c>
      <c r="N10" s="634">
        <v>193.8</v>
      </c>
      <c r="O10" s="634">
        <v>196</v>
      </c>
      <c r="P10" s="634">
        <v>162</v>
      </c>
      <c r="Q10" s="634">
        <f t="shared" si="2"/>
        <v>6708</v>
      </c>
      <c r="R10" s="634">
        <v>19687</v>
      </c>
      <c r="S10" s="634">
        <v>26395</v>
      </c>
      <c r="T10" s="634">
        <v>134.66836734693877</v>
      </c>
      <c r="U10" s="634">
        <v>64</v>
      </c>
      <c r="V10" s="634">
        <v>63</v>
      </c>
      <c r="W10" s="634">
        <f t="shared" si="3"/>
        <v>9417</v>
      </c>
      <c r="X10" s="634">
        <v>7524</v>
      </c>
      <c r="Y10" s="634">
        <v>16941</v>
      </c>
      <c r="Z10" s="634">
        <v>264.703125</v>
      </c>
      <c r="AA10" s="634">
        <v>1</v>
      </c>
      <c r="AB10" s="634">
        <v>1</v>
      </c>
      <c r="AC10" s="634">
        <f t="shared" si="4"/>
        <v>34</v>
      </c>
      <c r="AD10" s="634">
        <v>1</v>
      </c>
      <c r="AE10" s="634">
        <v>35</v>
      </c>
      <c r="AF10" s="634">
        <v>35</v>
      </c>
      <c r="AG10" s="634">
        <v>6</v>
      </c>
      <c r="AH10" s="634">
        <v>6</v>
      </c>
      <c r="AI10" s="634">
        <f t="shared" si="5"/>
        <v>666</v>
      </c>
      <c r="AJ10" s="634">
        <v>263</v>
      </c>
      <c r="AK10" s="634">
        <v>929</v>
      </c>
      <c r="AL10" s="634">
        <v>154.83333333333334</v>
      </c>
      <c r="AM10" s="634">
        <v>2</v>
      </c>
      <c r="AN10" s="634">
        <v>2</v>
      </c>
      <c r="AO10" s="634">
        <f t="shared" si="6"/>
        <v>676</v>
      </c>
      <c r="AP10" s="634">
        <v>123</v>
      </c>
      <c r="AQ10" s="634">
        <v>799</v>
      </c>
      <c r="AR10" s="634">
        <v>399.5</v>
      </c>
      <c r="AS10" s="634">
        <v>341</v>
      </c>
      <c r="AT10" s="634">
        <v>304</v>
      </c>
      <c r="AU10" s="634">
        <f t="shared" si="7"/>
        <v>49701</v>
      </c>
      <c r="AV10" s="634">
        <v>34947</v>
      </c>
      <c r="AW10" s="634">
        <v>84648</v>
      </c>
      <c r="AX10" s="634">
        <v>248.23460410557186</v>
      </c>
    </row>
    <row r="11" spans="1:50" s="14" customFormat="1" ht="18" customHeight="1" x14ac:dyDescent="0.35">
      <c r="A11" s="90">
        <v>6</v>
      </c>
      <c r="B11" s="558" t="s">
        <v>17</v>
      </c>
      <c r="C11" s="635">
        <v>2</v>
      </c>
      <c r="D11" s="634">
        <v>2</v>
      </c>
      <c r="E11" s="634">
        <f t="shared" si="0"/>
        <v>1170</v>
      </c>
      <c r="F11" s="634">
        <v>301</v>
      </c>
      <c r="G11" s="634">
        <v>1471</v>
      </c>
      <c r="H11" s="634">
        <v>735.5</v>
      </c>
      <c r="I11" s="634">
        <v>1</v>
      </c>
      <c r="J11" s="634">
        <v>1</v>
      </c>
      <c r="K11" s="634">
        <f t="shared" si="1"/>
        <v>36</v>
      </c>
      <c r="L11" s="634">
        <v>29</v>
      </c>
      <c r="M11" s="634">
        <v>65</v>
      </c>
      <c r="N11" s="634">
        <v>65</v>
      </c>
      <c r="O11" s="634"/>
      <c r="P11" s="634"/>
      <c r="Q11" s="634">
        <f t="shared" si="2"/>
        <v>0</v>
      </c>
      <c r="R11" s="634"/>
      <c r="S11" s="634"/>
      <c r="T11" s="634"/>
      <c r="U11" s="634">
        <v>3</v>
      </c>
      <c r="V11" s="634">
        <v>3</v>
      </c>
      <c r="W11" s="634">
        <f t="shared" si="3"/>
        <v>15</v>
      </c>
      <c r="X11" s="634">
        <v>421</v>
      </c>
      <c r="Y11" s="634">
        <v>436</v>
      </c>
      <c r="Z11" s="634">
        <v>145.33333333333334</v>
      </c>
      <c r="AA11" s="634">
        <v>1</v>
      </c>
      <c r="AB11" s="634">
        <v>1</v>
      </c>
      <c r="AC11" s="634">
        <f t="shared" si="4"/>
        <v>430</v>
      </c>
      <c r="AD11" s="634">
        <v>64</v>
      </c>
      <c r="AE11" s="634">
        <v>494</v>
      </c>
      <c r="AF11" s="634">
        <v>494</v>
      </c>
      <c r="AG11" s="634"/>
      <c r="AH11" s="634"/>
      <c r="AI11" s="634">
        <f t="shared" si="5"/>
        <v>0</v>
      </c>
      <c r="AJ11" s="634"/>
      <c r="AK11" s="634"/>
      <c r="AL11" s="634"/>
      <c r="AM11" s="634">
        <v>2</v>
      </c>
      <c r="AN11" s="634">
        <v>2</v>
      </c>
      <c r="AO11" s="634">
        <f t="shared" si="6"/>
        <v>860</v>
      </c>
      <c r="AP11" s="634">
        <v>380</v>
      </c>
      <c r="AQ11" s="634">
        <v>1240</v>
      </c>
      <c r="AR11" s="634">
        <v>620</v>
      </c>
      <c r="AS11" s="634">
        <v>9</v>
      </c>
      <c r="AT11" s="634">
        <v>9</v>
      </c>
      <c r="AU11" s="634">
        <f t="shared" si="7"/>
        <v>2511</v>
      </c>
      <c r="AV11" s="634">
        <v>1195</v>
      </c>
      <c r="AW11" s="634">
        <v>3706</v>
      </c>
      <c r="AX11" s="634">
        <v>411.77777777777777</v>
      </c>
    </row>
    <row r="12" spans="1:50" s="14" customFormat="1" ht="18" customHeight="1" x14ac:dyDescent="0.35">
      <c r="A12" s="90">
        <v>7</v>
      </c>
      <c r="B12" s="558" t="s">
        <v>18</v>
      </c>
      <c r="C12" s="634">
        <v>3</v>
      </c>
      <c r="D12" s="634">
        <v>2</v>
      </c>
      <c r="E12" s="634">
        <f t="shared" si="0"/>
        <v>123</v>
      </c>
      <c r="F12" s="634">
        <v>38</v>
      </c>
      <c r="G12" s="634">
        <v>161</v>
      </c>
      <c r="H12" s="634">
        <v>53.666666666666664</v>
      </c>
      <c r="I12" s="634">
        <v>3</v>
      </c>
      <c r="J12" s="634">
        <v>3</v>
      </c>
      <c r="K12" s="634">
        <f t="shared" si="1"/>
        <v>368</v>
      </c>
      <c r="L12" s="634">
        <v>209</v>
      </c>
      <c r="M12" s="634">
        <v>577</v>
      </c>
      <c r="N12" s="634">
        <v>192.33333333333334</v>
      </c>
      <c r="O12" s="634">
        <v>40</v>
      </c>
      <c r="P12" s="634">
        <v>34</v>
      </c>
      <c r="Q12" s="634">
        <f t="shared" si="2"/>
        <v>133</v>
      </c>
      <c r="R12" s="634">
        <v>2489</v>
      </c>
      <c r="S12" s="634">
        <v>2622</v>
      </c>
      <c r="T12" s="634">
        <v>65.55</v>
      </c>
      <c r="U12" s="634">
        <v>34</v>
      </c>
      <c r="V12" s="634">
        <v>30</v>
      </c>
      <c r="W12" s="634">
        <f t="shared" si="3"/>
        <v>1966</v>
      </c>
      <c r="X12" s="634">
        <v>3004</v>
      </c>
      <c r="Y12" s="634">
        <v>4970</v>
      </c>
      <c r="Z12" s="634">
        <v>146.1764705882353</v>
      </c>
      <c r="AA12" s="634">
        <v>1</v>
      </c>
      <c r="AB12" s="634">
        <v>1</v>
      </c>
      <c r="AC12" s="634">
        <f t="shared" si="4"/>
        <v>142</v>
      </c>
      <c r="AD12" s="634">
        <v>62</v>
      </c>
      <c r="AE12" s="634">
        <v>204</v>
      </c>
      <c r="AF12" s="634">
        <v>204</v>
      </c>
      <c r="AG12" s="634"/>
      <c r="AH12" s="634"/>
      <c r="AI12" s="634">
        <f t="shared" si="5"/>
        <v>0</v>
      </c>
      <c r="AJ12" s="634"/>
      <c r="AK12" s="634"/>
      <c r="AL12" s="634"/>
      <c r="AM12" s="634">
        <v>1</v>
      </c>
      <c r="AN12" s="634">
        <v>1</v>
      </c>
      <c r="AO12" s="634">
        <f t="shared" si="6"/>
        <v>94</v>
      </c>
      <c r="AP12" s="634">
        <v>73</v>
      </c>
      <c r="AQ12" s="634">
        <v>167</v>
      </c>
      <c r="AR12" s="634">
        <v>167</v>
      </c>
      <c r="AS12" s="634">
        <v>82</v>
      </c>
      <c r="AT12" s="634">
        <v>71</v>
      </c>
      <c r="AU12" s="634">
        <f t="shared" si="7"/>
        <v>2826</v>
      </c>
      <c r="AV12" s="634">
        <v>5875</v>
      </c>
      <c r="AW12" s="634">
        <v>8701</v>
      </c>
      <c r="AX12" s="634">
        <v>106.10975609756098</v>
      </c>
    </row>
    <row r="13" spans="1:50" s="14" customFormat="1" ht="18" customHeight="1" x14ac:dyDescent="0.35">
      <c r="A13" s="90">
        <v>8</v>
      </c>
      <c r="B13" s="558" t="s">
        <v>19</v>
      </c>
      <c r="C13" s="634">
        <v>11</v>
      </c>
      <c r="D13" s="634">
        <v>10</v>
      </c>
      <c r="E13" s="634">
        <f t="shared" si="0"/>
        <v>4386</v>
      </c>
      <c r="F13" s="634">
        <v>566</v>
      </c>
      <c r="G13" s="634">
        <v>4952</v>
      </c>
      <c r="H13" s="634">
        <v>450.18181818181819</v>
      </c>
      <c r="I13" s="634">
        <v>21</v>
      </c>
      <c r="J13" s="634">
        <v>16</v>
      </c>
      <c r="K13" s="634">
        <f t="shared" si="1"/>
        <v>3057</v>
      </c>
      <c r="L13" s="634">
        <v>2241</v>
      </c>
      <c r="M13" s="634">
        <v>5298</v>
      </c>
      <c r="N13" s="634">
        <v>252.28571428571428</v>
      </c>
      <c r="O13" s="634">
        <v>22</v>
      </c>
      <c r="P13" s="634">
        <v>19</v>
      </c>
      <c r="Q13" s="634">
        <f t="shared" si="2"/>
        <v>62</v>
      </c>
      <c r="R13" s="634">
        <v>1850</v>
      </c>
      <c r="S13" s="634">
        <v>1912</v>
      </c>
      <c r="T13" s="634">
        <v>86.909090909090907</v>
      </c>
      <c r="U13" s="634">
        <v>42</v>
      </c>
      <c r="V13" s="634">
        <v>34</v>
      </c>
      <c r="W13" s="634">
        <f t="shared" si="3"/>
        <v>773</v>
      </c>
      <c r="X13" s="634">
        <v>5082</v>
      </c>
      <c r="Y13" s="634">
        <v>5855</v>
      </c>
      <c r="Z13" s="634">
        <v>139.4047619047619</v>
      </c>
      <c r="AA13" s="634">
        <v>2</v>
      </c>
      <c r="AB13" s="634"/>
      <c r="AC13" s="634">
        <f t="shared" si="4"/>
        <v>0</v>
      </c>
      <c r="AD13" s="634"/>
      <c r="AE13" s="634"/>
      <c r="AF13" s="634">
        <v>0</v>
      </c>
      <c r="AG13" s="634">
        <v>1</v>
      </c>
      <c r="AH13" s="634">
        <v>1</v>
      </c>
      <c r="AI13" s="634">
        <f t="shared" si="5"/>
        <v>469</v>
      </c>
      <c r="AJ13" s="634">
        <v>371</v>
      </c>
      <c r="AK13" s="634">
        <v>840</v>
      </c>
      <c r="AL13" s="634">
        <v>840</v>
      </c>
      <c r="AM13" s="634">
        <v>3</v>
      </c>
      <c r="AN13" s="634"/>
      <c r="AO13" s="634">
        <f t="shared" si="6"/>
        <v>0</v>
      </c>
      <c r="AP13" s="634"/>
      <c r="AQ13" s="634"/>
      <c r="AR13" s="634">
        <v>0</v>
      </c>
      <c r="AS13" s="634">
        <v>102</v>
      </c>
      <c r="AT13" s="634">
        <v>80</v>
      </c>
      <c r="AU13" s="634">
        <f t="shared" si="7"/>
        <v>8747</v>
      </c>
      <c r="AV13" s="634">
        <v>10110</v>
      </c>
      <c r="AW13" s="634">
        <v>18857</v>
      </c>
      <c r="AX13" s="634">
        <v>184.87254901960785</v>
      </c>
    </row>
    <row r="14" spans="1:50" s="14" customFormat="1" ht="18" customHeight="1" x14ac:dyDescent="0.35">
      <c r="A14" s="90">
        <v>9</v>
      </c>
      <c r="B14" s="558" t="s">
        <v>20</v>
      </c>
      <c r="C14" s="634">
        <v>9</v>
      </c>
      <c r="D14" s="634">
        <v>9</v>
      </c>
      <c r="E14" s="634">
        <f t="shared" si="0"/>
        <v>4985</v>
      </c>
      <c r="F14" s="634">
        <v>280</v>
      </c>
      <c r="G14" s="634">
        <v>5265</v>
      </c>
      <c r="H14" s="634">
        <v>585</v>
      </c>
      <c r="I14" s="634">
        <v>1</v>
      </c>
      <c r="J14" s="634">
        <v>1</v>
      </c>
      <c r="K14" s="634">
        <f t="shared" si="1"/>
        <v>663</v>
      </c>
      <c r="L14" s="634">
        <v>332</v>
      </c>
      <c r="M14" s="634">
        <v>995</v>
      </c>
      <c r="N14" s="634">
        <v>995</v>
      </c>
      <c r="O14" s="634">
        <v>1</v>
      </c>
      <c r="P14" s="634">
        <v>1</v>
      </c>
      <c r="Q14" s="634">
        <f t="shared" si="2"/>
        <v>15</v>
      </c>
      <c r="R14" s="634">
        <v>258</v>
      </c>
      <c r="S14" s="634">
        <v>273</v>
      </c>
      <c r="T14" s="634">
        <v>273</v>
      </c>
      <c r="U14" s="634">
        <v>3</v>
      </c>
      <c r="V14" s="634">
        <v>3</v>
      </c>
      <c r="W14" s="634">
        <f t="shared" si="3"/>
        <v>23</v>
      </c>
      <c r="X14" s="634">
        <v>300</v>
      </c>
      <c r="Y14" s="634">
        <v>323</v>
      </c>
      <c r="Z14" s="634">
        <v>107.66666666666667</v>
      </c>
      <c r="AA14" s="634">
        <v>1</v>
      </c>
      <c r="AB14" s="634">
        <v>1</v>
      </c>
      <c r="AC14" s="634">
        <f t="shared" si="4"/>
        <v>33</v>
      </c>
      <c r="AD14" s="634">
        <v>17</v>
      </c>
      <c r="AE14" s="634">
        <v>50</v>
      </c>
      <c r="AF14" s="634">
        <v>50</v>
      </c>
      <c r="AG14" s="634">
        <v>2</v>
      </c>
      <c r="AH14" s="634">
        <v>2</v>
      </c>
      <c r="AI14" s="634">
        <f t="shared" si="5"/>
        <v>48</v>
      </c>
      <c r="AJ14" s="634">
        <v>142</v>
      </c>
      <c r="AK14" s="634">
        <v>190</v>
      </c>
      <c r="AL14" s="634">
        <v>95</v>
      </c>
      <c r="AM14" s="634">
        <v>1</v>
      </c>
      <c r="AN14" s="634">
        <v>1</v>
      </c>
      <c r="AO14" s="634">
        <f t="shared" si="6"/>
        <v>1057</v>
      </c>
      <c r="AP14" s="634">
        <v>219</v>
      </c>
      <c r="AQ14" s="634">
        <v>1276</v>
      </c>
      <c r="AR14" s="634">
        <v>1276</v>
      </c>
      <c r="AS14" s="634">
        <v>18</v>
      </c>
      <c r="AT14" s="634">
        <v>18</v>
      </c>
      <c r="AU14" s="634">
        <f t="shared" si="7"/>
        <v>6824</v>
      </c>
      <c r="AV14" s="634">
        <v>1548</v>
      </c>
      <c r="AW14" s="634">
        <v>8372</v>
      </c>
      <c r="AX14" s="634">
        <v>465.11111111111109</v>
      </c>
    </row>
    <row r="15" spans="1:50" s="14" customFormat="1" ht="18" customHeight="1" x14ac:dyDescent="0.35">
      <c r="A15" s="90">
        <v>10</v>
      </c>
      <c r="B15" s="558" t="s">
        <v>21</v>
      </c>
      <c r="C15" s="634">
        <v>10</v>
      </c>
      <c r="D15" s="634">
        <v>10</v>
      </c>
      <c r="E15" s="634">
        <f t="shared" si="0"/>
        <v>1245</v>
      </c>
      <c r="F15" s="634">
        <v>113</v>
      </c>
      <c r="G15" s="634">
        <v>1358</v>
      </c>
      <c r="H15" s="634">
        <v>135.80000000000001</v>
      </c>
      <c r="I15" s="634">
        <v>8</v>
      </c>
      <c r="J15" s="634">
        <v>8</v>
      </c>
      <c r="K15" s="634">
        <f t="shared" si="1"/>
        <v>1228</v>
      </c>
      <c r="L15" s="634">
        <v>729</v>
      </c>
      <c r="M15" s="634">
        <v>1957</v>
      </c>
      <c r="N15" s="634">
        <v>244.625</v>
      </c>
      <c r="O15" s="634">
        <v>217</v>
      </c>
      <c r="P15" s="634">
        <v>217</v>
      </c>
      <c r="Q15" s="634">
        <f t="shared" si="2"/>
        <v>4400</v>
      </c>
      <c r="R15" s="634">
        <v>21076</v>
      </c>
      <c r="S15" s="634">
        <v>25476</v>
      </c>
      <c r="T15" s="634">
        <v>117.40092165898618</v>
      </c>
      <c r="U15" s="634">
        <v>105</v>
      </c>
      <c r="V15" s="634">
        <v>105</v>
      </c>
      <c r="W15" s="634">
        <f t="shared" si="3"/>
        <v>1609</v>
      </c>
      <c r="X15" s="634">
        <v>4758</v>
      </c>
      <c r="Y15" s="634">
        <v>6367</v>
      </c>
      <c r="Z15" s="634">
        <v>60.638095238095239</v>
      </c>
      <c r="AA15" s="634">
        <v>6</v>
      </c>
      <c r="AB15" s="634">
        <v>6</v>
      </c>
      <c r="AC15" s="634">
        <f t="shared" si="4"/>
        <v>397</v>
      </c>
      <c r="AD15" s="634">
        <v>839</v>
      </c>
      <c r="AE15" s="634">
        <v>1236</v>
      </c>
      <c r="AF15" s="634">
        <v>206</v>
      </c>
      <c r="AG15" s="634">
        <v>1</v>
      </c>
      <c r="AH15" s="634">
        <v>1</v>
      </c>
      <c r="AI15" s="634">
        <f t="shared" si="5"/>
        <v>3</v>
      </c>
      <c r="AJ15" s="634">
        <v>34</v>
      </c>
      <c r="AK15" s="634">
        <v>37</v>
      </c>
      <c r="AL15" s="634">
        <v>37</v>
      </c>
      <c r="AM15" s="634">
        <v>1</v>
      </c>
      <c r="AN15" s="634">
        <v>1</v>
      </c>
      <c r="AO15" s="634">
        <f t="shared" si="6"/>
        <v>518</v>
      </c>
      <c r="AP15" s="634">
        <v>193</v>
      </c>
      <c r="AQ15" s="634">
        <v>711</v>
      </c>
      <c r="AR15" s="634">
        <v>711</v>
      </c>
      <c r="AS15" s="634">
        <v>348</v>
      </c>
      <c r="AT15" s="634">
        <v>348</v>
      </c>
      <c r="AU15" s="634">
        <f t="shared" si="7"/>
        <v>9400</v>
      </c>
      <c r="AV15" s="634">
        <v>27742</v>
      </c>
      <c r="AW15" s="634">
        <v>37142</v>
      </c>
      <c r="AX15" s="634">
        <v>106.72988505747126</v>
      </c>
    </row>
    <row r="16" spans="1:50" s="14" customFormat="1" ht="18" customHeight="1" x14ac:dyDescent="0.35">
      <c r="A16" s="90">
        <v>11</v>
      </c>
      <c r="B16" s="558" t="s">
        <v>22</v>
      </c>
      <c r="C16" s="634">
        <v>126</v>
      </c>
      <c r="D16" s="634">
        <v>126</v>
      </c>
      <c r="E16" s="634">
        <f t="shared" si="0"/>
        <v>44367</v>
      </c>
      <c r="F16" s="634">
        <v>9120</v>
      </c>
      <c r="G16" s="634">
        <v>53487</v>
      </c>
      <c r="H16" s="634">
        <v>424.5</v>
      </c>
      <c r="I16" s="634">
        <v>6</v>
      </c>
      <c r="J16" s="634">
        <v>6</v>
      </c>
      <c r="K16" s="634">
        <f t="shared" si="1"/>
        <v>833</v>
      </c>
      <c r="L16" s="634">
        <v>488</v>
      </c>
      <c r="M16" s="634">
        <v>1321</v>
      </c>
      <c r="N16" s="634">
        <v>220.16666666666666</v>
      </c>
      <c r="O16" s="634">
        <v>68</v>
      </c>
      <c r="P16" s="634">
        <v>68</v>
      </c>
      <c r="Q16" s="634">
        <f t="shared" si="2"/>
        <v>1806</v>
      </c>
      <c r="R16" s="634">
        <v>6828</v>
      </c>
      <c r="S16" s="634">
        <v>8634</v>
      </c>
      <c r="T16" s="634">
        <v>126.97058823529412</v>
      </c>
      <c r="U16" s="634">
        <v>65</v>
      </c>
      <c r="V16" s="634">
        <v>65</v>
      </c>
      <c r="W16" s="634">
        <f t="shared" si="3"/>
        <v>3068</v>
      </c>
      <c r="X16" s="634">
        <v>3190</v>
      </c>
      <c r="Y16" s="634">
        <v>6258</v>
      </c>
      <c r="Z16" s="634">
        <v>96.276923076923083</v>
      </c>
      <c r="AA16" s="634">
        <v>2</v>
      </c>
      <c r="AB16" s="634">
        <v>2</v>
      </c>
      <c r="AC16" s="634">
        <f t="shared" si="4"/>
        <v>27</v>
      </c>
      <c r="AD16" s="634">
        <v>25</v>
      </c>
      <c r="AE16" s="634">
        <v>52</v>
      </c>
      <c r="AF16" s="634">
        <v>26</v>
      </c>
      <c r="AG16" s="634"/>
      <c r="AH16" s="634"/>
      <c r="AI16" s="634">
        <f t="shared" si="5"/>
        <v>0</v>
      </c>
      <c r="AJ16" s="634"/>
      <c r="AK16" s="634"/>
      <c r="AL16" s="634"/>
      <c r="AM16" s="634">
        <v>7</v>
      </c>
      <c r="AN16" s="634">
        <v>7</v>
      </c>
      <c r="AO16" s="634">
        <f t="shared" si="6"/>
        <v>966</v>
      </c>
      <c r="AP16" s="634">
        <v>184</v>
      </c>
      <c r="AQ16" s="634">
        <v>1150</v>
      </c>
      <c r="AR16" s="634">
        <v>164.28571428571428</v>
      </c>
      <c r="AS16" s="634">
        <v>274</v>
      </c>
      <c r="AT16" s="634">
        <v>274</v>
      </c>
      <c r="AU16" s="634">
        <f t="shared" si="7"/>
        <v>51067</v>
      </c>
      <c r="AV16" s="634">
        <v>19835</v>
      </c>
      <c r="AW16" s="634">
        <v>70902</v>
      </c>
      <c r="AX16" s="634">
        <v>258.76642335766422</v>
      </c>
    </row>
    <row r="17" spans="1:50" s="14" customFormat="1" ht="18" customHeight="1" x14ac:dyDescent="0.35">
      <c r="A17" s="90">
        <v>12</v>
      </c>
      <c r="B17" s="558" t="s">
        <v>23</v>
      </c>
      <c r="C17" s="634">
        <v>38</v>
      </c>
      <c r="D17" s="634">
        <v>27</v>
      </c>
      <c r="E17" s="634">
        <f t="shared" si="0"/>
        <v>5322</v>
      </c>
      <c r="F17" s="634">
        <v>1905</v>
      </c>
      <c r="G17" s="634">
        <v>7227</v>
      </c>
      <c r="H17" s="634">
        <v>190.18421052631578</v>
      </c>
      <c r="I17" s="634"/>
      <c r="J17" s="634"/>
      <c r="K17" s="634">
        <f t="shared" si="1"/>
        <v>0</v>
      </c>
      <c r="L17" s="634"/>
      <c r="M17" s="634"/>
      <c r="N17" s="634"/>
      <c r="O17" s="634">
        <v>25</v>
      </c>
      <c r="P17" s="634">
        <v>24</v>
      </c>
      <c r="Q17" s="634">
        <f t="shared" si="2"/>
        <v>0</v>
      </c>
      <c r="R17" s="634">
        <v>3151</v>
      </c>
      <c r="S17" s="634">
        <v>3151</v>
      </c>
      <c r="T17" s="634">
        <v>126.04</v>
      </c>
      <c r="U17" s="634">
        <v>19</v>
      </c>
      <c r="V17" s="634">
        <v>17</v>
      </c>
      <c r="W17" s="634">
        <f t="shared" si="3"/>
        <v>856</v>
      </c>
      <c r="X17" s="634">
        <v>1101</v>
      </c>
      <c r="Y17" s="634">
        <v>1957</v>
      </c>
      <c r="Z17" s="634">
        <v>103</v>
      </c>
      <c r="AA17" s="634">
        <v>1</v>
      </c>
      <c r="AB17" s="634">
        <v>1</v>
      </c>
      <c r="AC17" s="634">
        <f t="shared" si="4"/>
        <v>156</v>
      </c>
      <c r="AD17" s="634">
        <v>4</v>
      </c>
      <c r="AE17" s="634">
        <v>160</v>
      </c>
      <c r="AF17" s="634">
        <v>160</v>
      </c>
      <c r="AG17" s="634">
        <v>1</v>
      </c>
      <c r="AH17" s="634">
        <v>1</v>
      </c>
      <c r="AI17" s="634">
        <f t="shared" si="5"/>
        <v>51</v>
      </c>
      <c r="AJ17" s="634">
        <v>11</v>
      </c>
      <c r="AK17" s="634">
        <v>62</v>
      </c>
      <c r="AL17" s="634">
        <v>62</v>
      </c>
      <c r="AM17" s="634">
        <v>3</v>
      </c>
      <c r="AN17" s="634">
        <v>3</v>
      </c>
      <c r="AO17" s="634">
        <f t="shared" si="6"/>
        <v>1085</v>
      </c>
      <c r="AP17" s="634">
        <v>142</v>
      </c>
      <c r="AQ17" s="634">
        <v>1227</v>
      </c>
      <c r="AR17" s="634">
        <v>409</v>
      </c>
      <c r="AS17" s="634">
        <v>87</v>
      </c>
      <c r="AT17" s="634">
        <v>73</v>
      </c>
      <c r="AU17" s="634">
        <f t="shared" si="7"/>
        <v>7470</v>
      </c>
      <c r="AV17" s="634">
        <v>6314</v>
      </c>
      <c r="AW17" s="634">
        <v>13784</v>
      </c>
      <c r="AX17" s="634">
        <v>158.43678160919541</v>
      </c>
    </row>
    <row r="18" spans="1:50" s="14" customFormat="1" ht="18" customHeight="1" x14ac:dyDescent="0.35">
      <c r="A18" s="90">
        <v>13</v>
      </c>
      <c r="B18" s="557" t="s">
        <v>24</v>
      </c>
      <c r="C18" s="634">
        <v>67</v>
      </c>
      <c r="D18" s="634">
        <v>55</v>
      </c>
      <c r="E18" s="634">
        <f t="shared" si="0"/>
        <v>6215</v>
      </c>
      <c r="F18" s="634">
        <v>4518</v>
      </c>
      <c r="G18" s="634">
        <v>10733</v>
      </c>
      <c r="H18" s="634">
        <v>160.19402985074626</v>
      </c>
      <c r="I18" s="634"/>
      <c r="J18" s="634"/>
      <c r="K18" s="634">
        <f t="shared" si="1"/>
        <v>0</v>
      </c>
      <c r="L18" s="634"/>
      <c r="M18" s="634"/>
      <c r="N18" s="634"/>
      <c r="O18" s="634">
        <v>31</v>
      </c>
      <c r="P18" s="634">
        <v>29</v>
      </c>
      <c r="Q18" s="634">
        <f t="shared" si="2"/>
        <v>1295</v>
      </c>
      <c r="R18" s="634">
        <v>2846</v>
      </c>
      <c r="S18" s="634">
        <v>4141</v>
      </c>
      <c r="T18" s="634">
        <v>133.58064516129033</v>
      </c>
      <c r="U18" s="634">
        <v>20</v>
      </c>
      <c r="V18" s="634">
        <v>19</v>
      </c>
      <c r="W18" s="634">
        <f t="shared" si="3"/>
        <v>87</v>
      </c>
      <c r="X18" s="634">
        <v>63</v>
      </c>
      <c r="Y18" s="634">
        <v>150</v>
      </c>
      <c r="Z18" s="634">
        <v>7.5</v>
      </c>
      <c r="AA18" s="634">
        <v>1</v>
      </c>
      <c r="AB18" s="634">
        <v>1</v>
      </c>
      <c r="AC18" s="634">
        <f t="shared" si="4"/>
        <v>36</v>
      </c>
      <c r="AD18" s="634">
        <v>260</v>
      </c>
      <c r="AE18" s="634">
        <v>296</v>
      </c>
      <c r="AF18" s="634">
        <v>296</v>
      </c>
      <c r="AG18" s="634">
        <v>45</v>
      </c>
      <c r="AH18" s="634">
        <v>36</v>
      </c>
      <c r="AI18" s="634">
        <f t="shared" si="5"/>
        <v>1633</v>
      </c>
      <c r="AJ18" s="634">
        <v>3427</v>
      </c>
      <c r="AK18" s="634">
        <v>5060</v>
      </c>
      <c r="AL18" s="634">
        <v>112.44444444444444</v>
      </c>
      <c r="AM18" s="634">
        <v>2</v>
      </c>
      <c r="AN18" s="634">
        <v>2</v>
      </c>
      <c r="AO18" s="634">
        <f t="shared" si="6"/>
        <v>273</v>
      </c>
      <c r="AP18" s="634">
        <v>28</v>
      </c>
      <c r="AQ18" s="634">
        <v>301</v>
      </c>
      <c r="AR18" s="634">
        <v>150.5</v>
      </c>
      <c r="AS18" s="634">
        <v>166</v>
      </c>
      <c r="AT18" s="634">
        <v>142</v>
      </c>
      <c r="AU18" s="634">
        <f t="shared" si="7"/>
        <v>9539</v>
      </c>
      <c r="AV18" s="634">
        <v>11142</v>
      </c>
      <c r="AW18" s="634">
        <v>20681</v>
      </c>
      <c r="AX18" s="634">
        <v>124.58433734939759</v>
      </c>
    </row>
    <row r="19" spans="1:50" s="14" customFormat="1" ht="18" customHeight="1" x14ac:dyDescent="0.35">
      <c r="A19" s="90">
        <v>14</v>
      </c>
      <c r="B19" s="558" t="s">
        <v>25</v>
      </c>
      <c r="C19" s="634">
        <v>43</v>
      </c>
      <c r="D19" s="634">
        <v>41</v>
      </c>
      <c r="E19" s="634">
        <f t="shared" si="0"/>
        <v>5823</v>
      </c>
      <c r="F19" s="634">
        <v>1265</v>
      </c>
      <c r="G19" s="634">
        <v>7088</v>
      </c>
      <c r="H19" s="634">
        <v>164.83720930232559</v>
      </c>
      <c r="I19" s="634">
        <v>6</v>
      </c>
      <c r="J19" s="634">
        <v>4</v>
      </c>
      <c r="K19" s="634">
        <f t="shared" si="1"/>
        <v>1108</v>
      </c>
      <c r="L19" s="634">
        <v>771</v>
      </c>
      <c r="M19" s="634">
        <v>1879</v>
      </c>
      <c r="N19" s="634">
        <v>313.16666666666669</v>
      </c>
      <c r="O19" s="634">
        <v>111</v>
      </c>
      <c r="P19" s="634">
        <v>102</v>
      </c>
      <c r="Q19" s="634">
        <f t="shared" si="2"/>
        <v>2142</v>
      </c>
      <c r="R19" s="634">
        <v>12782</v>
      </c>
      <c r="S19" s="634">
        <v>14924</v>
      </c>
      <c r="T19" s="634">
        <v>134.45045045045046</v>
      </c>
      <c r="U19" s="634">
        <v>21</v>
      </c>
      <c r="V19" s="634">
        <v>15</v>
      </c>
      <c r="W19" s="634">
        <f t="shared" si="3"/>
        <v>608</v>
      </c>
      <c r="X19" s="634">
        <v>1035</v>
      </c>
      <c r="Y19" s="634">
        <v>1643</v>
      </c>
      <c r="Z19" s="634">
        <v>78.238095238095241</v>
      </c>
      <c r="AA19" s="634">
        <v>2</v>
      </c>
      <c r="AB19" s="634">
        <v>2</v>
      </c>
      <c r="AC19" s="634">
        <f t="shared" si="4"/>
        <v>198</v>
      </c>
      <c r="AD19" s="634">
        <v>34</v>
      </c>
      <c r="AE19" s="634">
        <v>232</v>
      </c>
      <c r="AF19" s="634">
        <v>116</v>
      </c>
      <c r="AG19" s="634">
        <v>38</v>
      </c>
      <c r="AH19" s="634">
        <v>31</v>
      </c>
      <c r="AI19" s="634">
        <f t="shared" si="5"/>
        <v>2863</v>
      </c>
      <c r="AJ19" s="634">
        <v>1074</v>
      </c>
      <c r="AK19" s="634">
        <v>3937</v>
      </c>
      <c r="AL19" s="634">
        <v>103.60526315789474</v>
      </c>
      <c r="AM19" s="634">
        <v>2</v>
      </c>
      <c r="AN19" s="634">
        <v>1</v>
      </c>
      <c r="AO19" s="634">
        <f t="shared" si="6"/>
        <v>168</v>
      </c>
      <c r="AP19" s="634">
        <v>54</v>
      </c>
      <c r="AQ19" s="634">
        <v>222</v>
      </c>
      <c r="AR19" s="634">
        <v>111</v>
      </c>
      <c r="AS19" s="634">
        <v>223</v>
      </c>
      <c r="AT19" s="634">
        <v>196</v>
      </c>
      <c r="AU19" s="634">
        <f t="shared" si="7"/>
        <v>12910</v>
      </c>
      <c r="AV19" s="634">
        <v>17015</v>
      </c>
      <c r="AW19" s="634">
        <v>29925</v>
      </c>
      <c r="AX19" s="634">
        <v>134.19282511210761</v>
      </c>
    </row>
    <row r="20" spans="1:50" s="14" customFormat="1" ht="18" customHeight="1" x14ac:dyDescent="0.35">
      <c r="A20" s="90">
        <v>15</v>
      </c>
      <c r="B20" s="558" t="s">
        <v>26</v>
      </c>
      <c r="C20" s="634">
        <v>449</v>
      </c>
      <c r="D20" s="634">
        <v>365</v>
      </c>
      <c r="E20" s="634">
        <f t="shared" si="0"/>
        <v>102652</v>
      </c>
      <c r="F20" s="634">
        <v>28321</v>
      </c>
      <c r="G20" s="634">
        <v>130973</v>
      </c>
      <c r="H20" s="634">
        <v>291.69933184855233</v>
      </c>
      <c r="I20" s="634">
        <v>31</v>
      </c>
      <c r="J20" s="634">
        <v>20</v>
      </c>
      <c r="K20" s="634">
        <f t="shared" si="1"/>
        <v>3093</v>
      </c>
      <c r="L20" s="634">
        <v>2017</v>
      </c>
      <c r="M20" s="634">
        <v>5110</v>
      </c>
      <c r="N20" s="634">
        <v>164.83870967741936</v>
      </c>
      <c r="O20" s="634">
        <v>637</v>
      </c>
      <c r="P20" s="634">
        <v>539</v>
      </c>
      <c r="Q20" s="634">
        <f t="shared" si="2"/>
        <v>30344</v>
      </c>
      <c r="R20" s="634">
        <v>52607</v>
      </c>
      <c r="S20" s="634">
        <v>82951</v>
      </c>
      <c r="T20" s="634">
        <v>130.22135007849295</v>
      </c>
      <c r="U20" s="634">
        <v>224</v>
      </c>
      <c r="V20" s="634">
        <v>156</v>
      </c>
      <c r="W20" s="634">
        <f t="shared" si="3"/>
        <v>1159</v>
      </c>
      <c r="X20" s="634">
        <v>3565</v>
      </c>
      <c r="Y20" s="634">
        <v>4724</v>
      </c>
      <c r="Z20" s="634">
        <v>21.089285714285715</v>
      </c>
      <c r="AA20" s="634">
        <v>3</v>
      </c>
      <c r="AB20" s="634">
        <v>3</v>
      </c>
      <c r="AC20" s="634">
        <f t="shared" si="4"/>
        <v>538</v>
      </c>
      <c r="AD20" s="634">
        <v>157</v>
      </c>
      <c r="AE20" s="634">
        <v>695</v>
      </c>
      <c r="AF20" s="634">
        <v>231.66666666666666</v>
      </c>
      <c r="AG20" s="634">
        <v>424</v>
      </c>
      <c r="AH20" s="634">
        <v>153</v>
      </c>
      <c r="AI20" s="634">
        <f t="shared" si="5"/>
        <v>8156</v>
      </c>
      <c r="AJ20" s="634">
        <v>11097</v>
      </c>
      <c r="AK20" s="634">
        <v>19253</v>
      </c>
      <c r="AL20" s="634">
        <v>45.408018867924525</v>
      </c>
      <c r="AM20" s="634">
        <v>2</v>
      </c>
      <c r="AN20" s="634">
        <v>1</v>
      </c>
      <c r="AO20" s="634">
        <f t="shared" si="6"/>
        <v>25</v>
      </c>
      <c r="AP20" s="634">
        <v>5</v>
      </c>
      <c r="AQ20" s="634">
        <v>30</v>
      </c>
      <c r="AR20" s="634">
        <v>15</v>
      </c>
      <c r="AS20" s="634">
        <v>1770</v>
      </c>
      <c r="AT20" s="634">
        <v>1237</v>
      </c>
      <c r="AU20" s="634">
        <f t="shared" si="7"/>
        <v>145967</v>
      </c>
      <c r="AV20" s="634">
        <v>97769</v>
      </c>
      <c r="AW20" s="634">
        <v>243736</v>
      </c>
      <c r="AX20" s="634">
        <v>137.70395480225989</v>
      </c>
    </row>
    <row r="21" spans="1:50" s="14" customFormat="1" ht="18" customHeight="1" x14ac:dyDescent="0.35">
      <c r="A21" s="90">
        <v>16</v>
      </c>
      <c r="B21" s="558" t="s">
        <v>27</v>
      </c>
      <c r="C21" s="634">
        <v>96</v>
      </c>
      <c r="D21" s="634">
        <v>90</v>
      </c>
      <c r="E21" s="634">
        <f t="shared" si="0"/>
        <v>43519</v>
      </c>
      <c r="F21" s="634">
        <v>11921</v>
      </c>
      <c r="G21" s="634">
        <v>55440</v>
      </c>
      <c r="H21" s="634">
        <v>577.5</v>
      </c>
      <c r="I21" s="634">
        <v>8</v>
      </c>
      <c r="J21" s="634">
        <v>4</v>
      </c>
      <c r="K21" s="634">
        <f t="shared" si="1"/>
        <v>427</v>
      </c>
      <c r="L21" s="634">
        <v>387</v>
      </c>
      <c r="M21" s="634">
        <v>814</v>
      </c>
      <c r="N21" s="634">
        <v>101.75</v>
      </c>
      <c r="O21" s="634">
        <v>135</v>
      </c>
      <c r="P21" s="634">
        <v>124</v>
      </c>
      <c r="Q21" s="634">
        <f t="shared" si="2"/>
        <v>618</v>
      </c>
      <c r="R21" s="634">
        <v>9792</v>
      </c>
      <c r="S21" s="634">
        <v>10410</v>
      </c>
      <c r="T21" s="634">
        <v>77.111111111111114</v>
      </c>
      <c r="U21" s="634">
        <v>162</v>
      </c>
      <c r="V21" s="634">
        <v>149</v>
      </c>
      <c r="W21" s="634">
        <f t="shared" si="3"/>
        <v>2333</v>
      </c>
      <c r="X21" s="634">
        <v>10138</v>
      </c>
      <c r="Y21" s="634">
        <v>12471</v>
      </c>
      <c r="Z21" s="634">
        <v>76.981481481481481</v>
      </c>
      <c r="AA21" s="634">
        <v>28</v>
      </c>
      <c r="AB21" s="634">
        <v>25</v>
      </c>
      <c r="AC21" s="634">
        <f t="shared" si="4"/>
        <v>1222</v>
      </c>
      <c r="AD21" s="634">
        <v>2653</v>
      </c>
      <c r="AE21" s="634">
        <v>3875</v>
      </c>
      <c r="AF21" s="634">
        <v>138.39285714285714</v>
      </c>
      <c r="AG21" s="634">
        <v>24</v>
      </c>
      <c r="AH21" s="634">
        <v>18</v>
      </c>
      <c r="AI21" s="634">
        <f t="shared" si="5"/>
        <v>170</v>
      </c>
      <c r="AJ21" s="634">
        <v>892</v>
      </c>
      <c r="AK21" s="634">
        <v>1062</v>
      </c>
      <c r="AL21" s="634">
        <v>44.25</v>
      </c>
      <c r="AM21" s="634">
        <v>15</v>
      </c>
      <c r="AN21" s="634">
        <v>14</v>
      </c>
      <c r="AO21" s="634">
        <f t="shared" si="6"/>
        <v>1422</v>
      </c>
      <c r="AP21" s="634">
        <v>219</v>
      </c>
      <c r="AQ21" s="634">
        <v>1641</v>
      </c>
      <c r="AR21" s="634">
        <v>109.4</v>
      </c>
      <c r="AS21" s="634">
        <v>468</v>
      </c>
      <c r="AT21" s="634">
        <v>424</v>
      </c>
      <c r="AU21" s="634">
        <f t="shared" si="7"/>
        <v>49711</v>
      </c>
      <c r="AV21" s="634">
        <v>36002</v>
      </c>
      <c r="AW21" s="634">
        <v>85713</v>
      </c>
      <c r="AX21" s="634">
        <v>183.14743589743588</v>
      </c>
    </row>
    <row r="22" spans="1:50" s="14" customFormat="1" ht="18" customHeight="1" x14ac:dyDescent="0.35">
      <c r="A22" s="90">
        <v>17</v>
      </c>
      <c r="B22" s="558" t="s">
        <v>28</v>
      </c>
      <c r="C22" s="634">
        <v>4</v>
      </c>
      <c r="D22" s="634">
        <v>4</v>
      </c>
      <c r="E22" s="634">
        <f t="shared" si="0"/>
        <v>218</v>
      </c>
      <c r="F22" s="634">
        <v>270</v>
      </c>
      <c r="G22" s="634">
        <v>488</v>
      </c>
      <c r="H22" s="634">
        <v>122</v>
      </c>
      <c r="I22" s="634"/>
      <c r="J22" s="634"/>
      <c r="K22" s="634">
        <f t="shared" si="1"/>
        <v>0</v>
      </c>
      <c r="L22" s="634"/>
      <c r="M22" s="634"/>
      <c r="N22" s="634"/>
      <c r="O22" s="634"/>
      <c r="P22" s="634"/>
      <c r="Q22" s="634">
        <f t="shared" si="2"/>
        <v>0</v>
      </c>
      <c r="R22" s="634"/>
      <c r="S22" s="634"/>
      <c r="T22" s="634"/>
      <c r="U22" s="634">
        <v>2</v>
      </c>
      <c r="V22" s="634">
        <v>2</v>
      </c>
      <c r="W22" s="634">
        <f t="shared" si="3"/>
        <v>30</v>
      </c>
      <c r="X22" s="634">
        <v>137</v>
      </c>
      <c r="Y22" s="634">
        <v>167</v>
      </c>
      <c r="Z22" s="634">
        <v>83.5</v>
      </c>
      <c r="AA22" s="634"/>
      <c r="AB22" s="634"/>
      <c r="AC22" s="634">
        <f t="shared" si="4"/>
        <v>0</v>
      </c>
      <c r="AD22" s="634"/>
      <c r="AE22" s="634"/>
      <c r="AF22" s="634"/>
      <c r="AG22" s="634">
        <v>1</v>
      </c>
      <c r="AH22" s="634">
        <v>1</v>
      </c>
      <c r="AI22" s="634">
        <f t="shared" si="5"/>
        <v>18</v>
      </c>
      <c r="AJ22" s="634">
        <v>136</v>
      </c>
      <c r="AK22" s="634">
        <v>154</v>
      </c>
      <c r="AL22" s="634">
        <v>154</v>
      </c>
      <c r="AM22" s="634"/>
      <c r="AN22" s="634"/>
      <c r="AO22" s="634">
        <f t="shared" si="6"/>
        <v>0</v>
      </c>
      <c r="AP22" s="634"/>
      <c r="AQ22" s="634"/>
      <c r="AR22" s="634"/>
      <c r="AS22" s="634">
        <v>7</v>
      </c>
      <c r="AT22" s="634">
        <v>7</v>
      </c>
      <c r="AU22" s="634">
        <f t="shared" si="7"/>
        <v>266</v>
      </c>
      <c r="AV22" s="634">
        <v>543</v>
      </c>
      <c r="AW22" s="634">
        <v>809</v>
      </c>
      <c r="AX22" s="634">
        <v>115.57142857142857</v>
      </c>
    </row>
    <row r="23" spans="1:50" s="14" customFormat="1" ht="18" customHeight="1" x14ac:dyDescent="0.35">
      <c r="A23" s="90">
        <v>18</v>
      </c>
      <c r="B23" s="558" t="s">
        <v>29</v>
      </c>
      <c r="C23" s="634">
        <v>64</v>
      </c>
      <c r="D23" s="634">
        <v>59</v>
      </c>
      <c r="E23" s="634">
        <f t="shared" si="0"/>
        <v>20005</v>
      </c>
      <c r="F23" s="634">
        <v>4445</v>
      </c>
      <c r="G23" s="634">
        <v>24450</v>
      </c>
      <c r="H23" s="634">
        <v>382.03125</v>
      </c>
      <c r="I23" s="634">
        <v>59</v>
      </c>
      <c r="J23" s="634">
        <v>30</v>
      </c>
      <c r="K23" s="634">
        <f t="shared" si="1"/>
        <v>4656</v>
      </c>
      <c r="L23" s="634">
        <v>2425</v>
      </c>
      <c r="M23" s="634">
        <v>7081</v>
      </c>
      <c r="N23" s="634">
        <v>120.01694915254237</v>
      </c>
      <c r="O23" s="634">
        <v>130</v>
      </c>
      <c r="P23" s="634">
        <v>91</v>
      </c>
      <c r="Q23" s="634">
        <f t="shared" si="2"/>
        <v>5699</v>
      </c>
      <c r="R23" s="634">
        <v>10933</v>
      </c>
      <c r="S23" s="634">
        <v>16632</v>
      </c>
      <c r="T23" s="634">
        <v>127.93846153846154</v>
      </c>
      <c r="U23" s="634">
        <v>143</v>
      </c>
      <c r="V23" s="634">
        <v>117</v>
      </c>
      <c r="W23" s="634">
        <f t="shared" si="3"/>
        <v>7683</v>
      </c>
      <c r="X23" s="634">
        <v>10166</v>
      </c>
      <c r="Y23" s="634">
        <v>17849</v>
      </c>
      <c r="Z23" s="634">
        <v>124.81818181818181</v>
      </c>
      <c r="AA23" s="634">
        <v>2</v>
      </c>
      <c r="AB23" s="634">
        <v>2</v>
      </c>
      <c r="AC23" s="634">
        <f t="shared" si="4"/>
        <v>510</v>
      </c>
      <c r="AD23" s="634">
        <v>284</v>
      </c>
      <c r="AE23" s="634">
        <v>794</v>
      </c>
      <c r="AF23" s="634">
        <v>397</v>
      </c>
      <c r="AG23" s="634">
        <v>6</v>
      </c>
      <c r="AH23" s="634">
        <v>4</v>
      </c>
      <c r="AI23" s="634">
        <f t="shared" si="5"/>
        <v>374</v>
      </c>
      <c r="AJ23" s="634">
        <v>257</v>
      </c>
      <c r="AK23" s="634">
        <v>631</v>
      </c>
      <c r="AL23" s="634">
        <v>105.16666666666667</v>
      </c>
      <c r="AM23" s="634">
        <v>6</v>
      </c>
      <c r="AN23" s="634">
        <v>5</v>
      </c>
      <c r="AO23" s="634">
        <f t="shared" si="6"/>
        <v>767</v>
      </c>
      <c r="AP23" s="634">
        <v>286</v>
      </c>
      <c r="AQ23" s="634">
        <v>1053</v>
      </c>
      <c r="AR23" s="634">
        <v>175.5</v>
      </c>
      <c r="AS23" s="634">
        <v>410</v>
      </c>
      <c r="AT23" s="634">
        <v>308</v>
      </c>
      <c r="AU23" s="634">
        <f t="shared" si="7"/>
        <v>39694</v>
      </c>
      <c r="AV23" s="634">
        <v>28796</v>
      </c>
      <c r="AW23" s="634">
        <v>68490</v>
      </c>
      <c r="AX23" s="634">
        <v>167.04878048780489</v>
      </c>
    </row>
    <row r="24" spans="1:50" s="14" customFormat="1" ht="18" customHeight="1" x14ac:dyDescent="0.35">
      <c r="A24" s="90">
        <v>19</v>
      </c>
      <c r="B24" s="558" t="s">
        <v>30</v>
      </c>
      <c r="C24" s="634">
        <v>641</v>
      </c>
      <c r="D24" s="634">
        <v>641</v>
      </c>
      <c r="E24" s="634">
        <f t="shared" si="0"/>
        <v>183072</v>
      </c>
      <c r="F24" s="634">
        <v>84529</v>
      </c>
      <c r="G24" s="634">
        <v>267601</v>
      </c>
      <c r="H24" s="634">
        <v>417.47425897035879</v>
      </c>
      <c r="I24" s="634">
        <v>63</v>
      </c>
      <c r="J24" s="634">
        <v>54</v>
      </c>
      <c r="K24" s="634">
        <f t="shared" si="1"/>
        <v>7736</v>
      </c>
      <c r="L24" s="634">
        <v>5060</v>
      </c>
      <c r="M24" s="634">
        <v>12796</v>
      </c>
      <c r="N24" s="634">
        <v>203.11111111111111</v>
      </c>
      <c r="O24" s="634">
        <v>711</v>
      </c>
      <c r="P24" s="634">
        <v>653</v>
      </c>
      <c r="Q24" s="634">
        <f t="shared" si="2"/>
        <v>6799</v>
      </c>
      <c r="R24" s="634">
        <v>51311</v>
      </c>
      <c r="S24" s="634">
        <v>58110</v>
      </c>
      <c r="T24" s="634">
        <v>81.729957805907176</v>
      </c>
      <c r="U24" s="634">
        <v>748</v>
      </c>
      <c r="V24" s="634">
        <v>561</v>
      </c>
      <c r="W24" s="634">
        <f t="shared" si="3"/>
        <v>8917</v>
      </c>
      <c r="X24" s="634">
        <v>24114</v>
      </c>
      <c r="Y24" s="634">
        <v>33031</v>
      </c>
      <c r="Z24" s="634">
        <v>44.159090909090907</v>
      </c>
      <c r="AA24" s="634">
        <v>15</v>
      </c>
      <c r="AB24" s="634">
        <v>15</v>
      </c>
      <c r="AC24" s="634">
        <f t="shared" si="4"/>
        <v>7678</v>
      </c>
      <c r="AD24" s="634">
        <v>3501</v>
      </c>
      <c r="AE24" s="634">
        <v>11179</v>
      </c>
      <c r="AF24" s="634">
        <v>745.26666666666665</v>
      </c>
      <c r="AG24" s="634">
        <v>2</v>
      </c>
      <c r="AH24" s="634">
        <v>2</v>
      </c>
      <c r="AI24" s="634">
        <f t="shared" si="5"/>
        <v>467</v>
      </c>
      <c r="AJ24" s="634">
        <v>634</v>
      </c>
      <c r="AK24" s="634">
        <v>1101</v>
      </c>
      <c r="AL24" s="634">
        <v>550.5</v>
      </c>
      <c r="AM24" s="634">
        <v>2</v>
      </c>
      <c r="AN24" s="634">
        <v>1</v>
      </c>
      <c r="AO24" s="634">
        <f t="shared" si="6"/>
        <v>1014</v>
      </c>
      <c r="AP24" s="634">
        <v>386</v>
      </c>
      <c r="AQ24" s="634">
        <v>1400</v>
      </c>
      <c r="AR24" s="634">
        <v>700</v>
      </c>
      <c r="AS24" s="634">
        <v>2182</v>
      </c>
      <c r="AT24" s="634">
        <v>1927</v>
      </c>
      <c r="AU24" s="634">
        <f t="shared" si="7"/>
        <v>215683</v>
      </c>
      <c r="AV24" s="634">
        <v>169535</v>
      </c>
      <c r="AW24" s="634">
        <v>385218</v>
      </c>
      <c r="AX24" s="634">
        <v>176.54353803849679</v>
      </c>
    </row>
    <row r="25" spans="1:50" s="14" customFormat="1" ht="18" customHeight="1" x14ac:dyDescent="0.35">
      <c r="A25" s="90">
        <v>20</v>
      </c>
      <c r="B25" s="558" t="s">
        <v>31</v>
      </c>
      <c r="C25" s="634">
        <v>5</v>
      </c>
      <c r="D25" s="634">
        <v>5</v>
      </c>
      <c r="E25" s="634">
        <f t="shared" si="0"/>
        <v>673</v>
      </c>
      <c r="F25" s="634">
        <v>570</v>
      </c>
      <c r="G25" s="634">
        <v>1243</v>
      </c>
      <c r="H25" s="634">
        <v>248.6</v>
      </c>
      <c r="I25" s="634"/>
      <c r="J25" s="634"/>
      <c r="K25" s="634">
        <f t="shared" si="1"/>
        <v>0</v>
      </c>
      <c r="L25" s="634"/>
      <c r="M25" s="634"/>
      <c r="N25" s="634"/>
      <c r="O25" s="634">
        <v>16</v>
      </c>
      <c r="P25" s="634">
        <v>12</v>
      </c>
      <c r="Q25" s="634">
        <f t="shared" si="2"/>
        <v>66</v>
      </c>
      <c r="R25" s="634">
        <v>876</v>
      </c>
      <c r="S25" s="634">
        <v>942</v>
      </c>
      <c r="T25" s="634">
        <v>58.875</v>
      </c>
      <c r="U25" s="634">
        <v>11</v>
      </c>
      <c r="V25" s="634">
        <v>11</v>
      </c>
      <c r="W25" s="634">
        <f t="shared" si="3"/>
        <v>403</v>
      </c>
      <c r="X25" s="634">
        <v>803</v>
      </c>
      <c r="Y25" s="634">
        <v>1206</v>
      </c>
      <c r="Z25" s="634">
        <v>109.63636363636364</v>
      </c>
      <c r="AA25" s="634">
        <v>1</v>
      </c>
      <c r="AB25" s="634">
        <v>1</v>
      </c>
      <c r="AC25" s="634">
        <f t="shared" si="4"/>
        <v>98</v>
      </c>
      <c r="AD25" s="634">
        <v>47</v>
      </c>
      <c r="AE25" s="634">
        <v>145</v>
      </c>
      <c r="AF25" s="634">
        <v>145</v>
      </c>
      <c r="AG25" s="634">
        <v>3</v>
      </c>
      <c r="AH25" s="634">
        <v>1</v>
      </c>
      <c r="AI25" s="634">
        <f t="shared" si="5"/>
        <v>42</v>
      </c>
      <c r="AJ25" s="634">
        <v>102</v>
      </c>
      <c r="AK25" s="634">
        <v>144</v>
      </c>
      <c r="AL25" s="634">
        <v>48</v>
      </c>
      <c r="AM25" s="634"/>
      <c r="AN25" s="634"/>
      <c r="AO25" s="634">
        <f t="shared" si="6"/>
        <v>0</v>
      </c>
      <c r="AP25" s="634"/>
      <c r="AQ25" s="634"/>
      <c r="AR25" s="634"/>
      <c r="AS25" s="634">
        <v>36</v>
      </c>
      <c r="AT25" s="634">
        <v>30</v>
      </c>
      <c r="AU25" s="634">
        <f t="shared" si="7"/>
        <v>1282</v>
      </c>
      <c r="AV25" s="634">
        <v>2398</v>
      </c>
      <c r="AW25" s="634">
        <v>3680</v>
      </c>
      <c r="AX25" s="634">
        <v>102.22222222222223</v>
      </c>
    </row>
    <row r="26" spans="1:50" s="14" customFormat="1" ht="18" customHeight="1" x14ac:dyDescent="0.35">
      <c r="A26" s="90">
        <v>21</v>
      </c>
      <c r="B26" s="558" t="s">
        <v>32</v>
      </c>
      <c r="C26" s="634">
        <v>3</v>
      </c>
      <c r="D26" s="634">
        <v>3</v>
      </c>
      <c r="E26" s="634">
        <f t="shared" si="0"/>
        <v>495</v>
      </c>
      <c r="F26" s="634">
        <v>305</v>
      </c>
      <c r="G26" s="634">
        <v>800</v>
      </c>
      <c r="H26" s="634">
        <v>266.66666666666669</v>
      </c>
      <c r="I26" s="634"/>
      <c r="J26" s="634"/>
      <c r="K26" s="634">
        <f t="shared" si="1"/>
        <v>0</v>
      </c>
      <c r="L26" s="634"/>
      <c r="M26" s="634"/>
      <c r="N26" s="634"/>
      <c r="O26" s="634">
        <v>9</v>
      </c>
      <c r="P26" s="634">
        <v>9</v>
      </c>
      <c r="Q26" s="634">
        <f t="shared" si="2"/>
        <v>50</v>
      </c>
      <c r="R26" s="634">
        <v>1055</v>
      </c>
      <c r="S26" s="634">
        <v>1105</v>
      </c>
      <c r="T26" s="634">
        <v>122.77777777777777</v>
      </c>
      <c r="U26" s="634">
        <v>9</v>
      </c>
      <c r="V26" s="634">
        <v>8</v>
      </c>
      <c r="W26" s="634">
        <f t="shared" si="3"/>
        <v>421</v>
      </c>
      <c r="X26" s="634">
        <v>874</v>
      </c>
      <c r="Y26" s="634">
        <v>1295</v>
      </c>
      <c r="Z26" s="634">
        <v>143.88888888888889</v>
      </c>
      <c r="AA26" s="634">
        <v>1</v>
      </c>
      <c r="AB26" s="634">
        <v>1</v>
      </c>
      <c r="AC26" s="634">
        <f t="shared" si="4"/>
        <v>249</v>
      </c>
      <c r="AD26" s="634">
        <v>340</v>
      </c>
      <c r="AE26" s="634">
        <v>589</v>
      </c>
      <c r="AF26" s="634">
        <v>589</v>
      </c>
      <c r="AG26" s="634"/>
      <c r="AH26" s="634"/>
      <c r="AI26" s="634">
        <f t="shared" si="5"/>
        <v>0</v>
      </c>
      <c r="AJ26" s="634"/>
      <c r="AK26" s="634"/>
      <c r="AL26" s="634"/>
      <c r="AM26" s="634">
        <v>1</v>
      </c>
      <c r="AN26" s="634">
        <v>1</v>
      </c>
      <c r="AO26" s="634">
        <f t="shared" si="6"/>
        <v>173</v>
      </c>
      <c r="AP26" s="634">
        <v>99</v>
      </c>
      <c r="AQ26" s="634">
        <v>272</v>
      </c>
      <c r="AR26" s="634">
        <v>272</v>
      </c>
      <c r="AS26" s="634">
        <v>23</v>
      </c>
      <c r="AT26" s="634">
        <v>22</v>
      </c>
      <c r="AU26" s="634">
        <f t="shared" si="7"/>
        <v>1388</v>
      </c>
      <c r="AV26" s="634">
        <v>2673</v>
      </c>
      <c r="AW26" s="634">
        <v>4061</v>
      </c>
      <c r="AX26" s="634">
        <v>176.56521739130434</v>
      </c>
    </row>
    <row r="27" spans="1:50" s="14" customFormat="1" ht="18" customHeight="1" x14ac:dyDescent="0.35">
      <c r="A27" s="90">
        <v>22</v>
      </c>
      <c r="B27" s="558" t="s">
        <v>33</v>
      </c>
      <c r="C27" s="634">
        <v>34</v>
      </c>
      <c r="D27" s="634">
        <v>34</v>
      </c>
      <c r="E27" s="634">
        <f t="shared" si="0"/>
        <v>3413</v>
      </c>
      <c r="F27" s="634">
        <v>3417</v>
      </c>
      <c r="G27" s="634">
        <v>6830</v>
      </c>
      <c r="H27" s="634">
        <v>200.88235294117646</v>
      </c>
      <c r="I27" s="634"/>
      <c r="J27" s="634"/>
      <c r="K27" s="634">
        <f t="shared" si="1"/>
        <v>0</v>
      </c>
      <c r="L27" s="634"/>
      <c r="M27" s="634"/>
      <c r="N27" s="634"/>
      <c r="O27" s="634">
        <v>9</v>
      </c>
      <c r="P27" s="634">
        <v>9</v>
      </c>
      <c r="Q27" s="634">
        <f t="shared" si="2"/>
        <v>70</v>
      </c>
      <c r="R27" s="634">
        <v>496</v>
      </c>
      <c r="S27" s="634">
        <v>566</v>
      </c>
      <c r="T27" s="634">
        <v>62.888888888888886</v>
      </c>
      <c r="U27" s="634">
        <v>9</v>
      </c>
      <c r="V27" s="634">
        <v>9</v>
      </c>
      <c r="W27" s="634">
        <f t="shared" si="3"/>
        <v>560</v>
      </c>
      <c r="X27" s="634">
        <v>862</v>
      </c>
      <c r="Y27" s="634">
        <v>1422</v>
      </c>
      <c r="Z27" s="634">
        <v>158</v>
      </c>
      <c r="AA27" s="634"/>
      <c r="AB27" s="634"/>
      <c r="AC27" s="634">
        <f t="shared" si="4"/>
        <v>0</v>
      </c>
      <c r="AD27" s="634"/>
      <c r="AE27" s="634"/>
      <c r="AF27" s="634"/>
      <c r="AG27" s="634">
        <v>7</v>
      </c>
      <c r="AH27" s="634">
        <v>7</v>
      </c>
      <c r="AI27" s="634">
        <f t="shared" si="5"/>
        <v>352</v>
      </c>
      <c r="AJ27" s="634">
        <v>836</v>
      </c>
      <c r="AK27" s="634">
        <v>1188</v>
      </c>
      <c r="AL27" s="634">
        <v>169.71428571428572</v>
      </c>
      <c r="AM27" s="634"/>
      <c r="AN27" s="634"/>
      <c r="AO27" s="634">
        <f t="shared" si="6"/>
        <v>0</v>
      </c>
      <c r="AP27" s="634"/>
      <c r="AQ27" s="634"/>
      <c r="AR27" s="634"/>
      <c r="AS27" s="634">
        <v>59</v>
      </c>
      <c r="AT27" s="634">
        <v>59</v>
      </c>
      <c r="AU27" s="634">
        <f t="shared" si="7"/>
        <v>4395</v>
      </c>
      <c r="AV27" s="634">
        <v>5611</v>
      </c>
      <c r="AW27" s="634">
        <v>10006</v>
      </c>
      <c r="AX27" s="634">
        <v>169.59322033898306</v>
      </c>
    </row>
    <row r="28" spans="1:50" s="14" customFormat="1" ht="18" customHeight="1" x14ac:dyDescent="0.35">
      <c r="A28" s="90">
        <v>23</v>
      </c>
      <c r="B28" s="558" t="s">
        <v>34</v>
      </c>
      <c r="C28" s="634">
        <v>9</v>
      </c>
      <c r="D28" s="634">
        <v>9</v>
      </c>
      <c r="E28" s="634">
        <f t="shared" si="0"/>
        <v>543</v>
      </c>
      <c r="F28" s="634">
        <v>228</v>
      </c>
      <c r="G28" s="634">
        <v>771</v>
      </c>
      <c r="H28" s="634">
        <v>85.666666666666671</v>
      </c>
      <c r="I28" s="634"/>
      <c r="J28" s="634"/>
      <c r="K28" s="634">
        <f t="shared" si="1"/>
        <v>0</v>
      </c>
      <c r="L28" s="634"/>
      <c r="M28" s="634"/>
      <c r="N28" s="634"/>
      <c r="O28" s="634">
        <v>4</v>
      </c>
      <c r="P28" s="634">
        <v>4</v>
      </c>
      <c r="Q28" s="634">
        <f t="shared" si="2"/>
        <v>23</v>
      </c>
      <c r="R28" s="634">
        <v>413</v>
      </c>
      <c r="S28" s="634">
        <v>436</v>
      </c>
      <c r="T28" s="634">
        <v>109</v>
      </c>
      <c r="U28" s="634">
        <v>9</v>
      </c>
      <c r="V28" s="634">
        <v>9</v>
      </c>
      <c r="W28" s="634">
        <f t="shared" si="3"/>
        <v>185</v>
      </c>
      <c r="X28" s="634">
        <v>621</v>
      </c>
      <c r="Y28" s="634">
        <v>806</v>
      </c>
      <c r="Z28" s="634">
        <v>89.555555555555557</v>
      </c>
      <c r="AA28" s="634"/>
      <c r="AB28" s="634"/>
      <c r="AC28" s="634">
        <f t="shared" si="4"/>
        <v>0</v>
      </c>
      <c r="AD28" s="634"/>
      <c r="AE28" s="634"/>
      <c r="AF28" s="634"/>
      <c r="AG28" s="634">
        <v>1</v>
      </c>
      <c r="AH28" s="634">
        <v>1</v>
      </c>
      <c r="AI28" s="634">
        <f t="shared" si="5"/>
        <v>12</v>
      </c>
      <c r="AJ28" s="634">
        <v>24</v>
      </c>
      <c r="AK28" s="634">
        <v>36</v>
      </c>
      <c r="AL28" s="634">
        <v>36</v>
      </c>
      <c r="AM28" s="634"/>
      <c r="AN28" s="634"/>
      <c r="AO28" s="634">
        <f t="shared" si="6"/>
        <v>0</v>
      </c>
      <c r="AP28" s="634"/>
      <c r="AQ28" s="634"/>
      <c r="AR28" s="634"/>
      <c r="AS28" s="634">
        <v>23</v>
      </c>
      <c r="AT28" s="634">
        <v>23</v>
      </c>
      <c r="AU28" s="634">
        <f t="shared" si="7"/>
        <v>763</v>
      </c>
      <c r="AV28" s="634">
        <v>1286</v>
      </c>
      <c r="AW28" s="634">
        <v>2049</v>
      </c>
      <c r="AX28" s="634">
        <v>89.086956521739125</v>
      </c>
    </row>
    <row r="29" spans="1:50" s="14" customFormat="1" ht="18" customHeight="1" x14ac:dyDescent="0.35">
      <c r="A29" s="90">
        <v>24</v>
      </c>
      <c r="B29" s="558" t="s">
        <v>35</v>
      </c>
      <c r="C29" s="634">
        <v>136</v>
      </c>
      <c r="D29" s="634">
        <v>136</v>
      </c>
      <c r="E29" s="634">
        <f t="shared" si="0"/>
        <v>88178</v>
      </c>
      <c r="F29" s="634">
        <v>18318</v>
      </c>
      <c r="G29" s="634">
        <v>106496</v>
      </c>
      <c r="H29" s="634">
        <v>783.05882352941171</v>
      </c>
      <c r="I29" s="634">
        <v>15</v>
      </c>
      <c r="J29" s="634">
        <v>15</v>
      </c>
      <c r="K29" s="634">
        <f t="shared" si="1"/>
        <v>1909</v>
      </c>
      <c r="L29" s="634">
        <v>1399</v>
      </c>
      <c r="M29" s="634">
        <v>3308</v>
      </c>
      <c r="N29" s="634">
        <v>220.53333333333333</v>
      </c>
      <c r="O29" s="634">
        <v>212</v>
      </c>
      <c r="P29" s="634">
        <v>212</v>
      </c>
      <c r="Q29" s="634">
        <f t="shared" si="2"/>
        <v>3235</v>
      </c>
      <c r="R29" s="634">
        <v>21251</v>
      </c>
      <c r="S29" s="634">
        <v>24486</v>
      </c>
      <c r="T29" s="634">
        <v>115.5</v>
      </c>
      <c r="U29" s="634">
        <v>68</v>
      </c>
      <c r="V29" s="634">
        <v>68</v>
      </c>
      <c r="W29" s="634">
        <f t="shared" si="3"/>
        <v>2883</v>
      </c>
      <c r="X29" s="634">
        <v>4281</v>
      </c>
      <c r="Y29" s="634">
        <v>7164</v>
      </c>
      <c r="Z29" s="634">
        <v>105.35294117647059</v>
      </c>
      <c r="AA29" s="634">
        <v>4</v>
      </c>
      <c r="AB29" s="634">
        <v>4</v>
      </c>
      <c r="AC29" s="634">
        <f t="shared" si="4"/>
        <v>99</v>
      </c>
      <c r="AD29" s="634">
        <v>95</v>
      </c>
      <c r="AE29" s="634">
        <v>194</v>
      </c>
      <c r="AF29" s="634">
        <v>48.5</v>
      </c>
      <c r="AG29" s="634">
        <v>87</v>
      </c>
      <c r="AH29" s="634">
        <v>87</v>
      </c>
      <c r="AI29" s="634">
        <f t="shared" si="5"/>
        <v>4267</v>
      </c>
      <c r="AJ29" s="634">
        <v>2759</v>
      </c>
      <c r="AK29" s="634">
        <v>7026</v>
      </c>
      <c r="AL29" s="634">
        <v>80.758620689655174</v>
      </c>
      <c r="AM29" s="634">
        <v>3</v>
      </c>
      <c r="AN29" s="634">
        <v>3</v>
      </c>
      <c r="AO29" s="634">
        <f t="shared" si="6"/>
        <v>645</v>
      </c>
      <c r="AP29" s="634">
        <v>231</v>
      </c>
      <c r="AQ29" s="634">
        <v>876</v>
      </c>
      <c r="AR29" s="634">
        <v>292</v>
      </c>
      <c r="AS29" s="634">
        <v>525</v>
      </c>
      <c r="AT29" s="634">
        <v>525</v>
      </c>
      <c r="AU29" s="634">
        <f t="shared" si="7"/>
        <v>101216</v>
      </c>
      <c r="AV29" s="634">
        <v>48334</v>
      </c>
      <c r="AW29" s="634">
        <v>149550</v>
      </c>
      <c r="AX29" s="634">
        <v>284.85714285714283</v>
      </c>
    </row>
    <row r="30" spans="1:50" s="14" customFormat="1" ht="18" customHeight="1" x14ac:dyDescent="0.35">
      <c r="A30" s="90">
        <v>25</v>
      </c>
      <c r="B30" s="558" t="s">
        <v>36</v>
      </c>
      <c r="C30" s="634">
        <v>8</v>
      </c>
      <c r="D30" s="634">
        <v>7</v>
      </c>
      <c r="E30" s="634">
        <f t="shared" si="0"/>
        <v>2446</v>
      </c>
      <c r="F30" s="634">
        <v>278</v>
      </c>
      <c r="G30" s="634">
        <v>2724</v>
      </c>
      <c r="H30" s="634">
        <v>340.5</v>
      </c>
      <c r="I30" s="634"/>
      <c r="J30" s="634"/>
      <c r="K30" s="634">
        <f t="shared" si="1"/>
        <v>0</v>
      </c>
      <c r="L30" s="634"/>
      <c r="M30" s="634"/>
      <c r="N30" s="634"/>
      <c r="O30" s="634">
        <v>1</v>
      </c>
      <c r="P30" s="634">
        <v>1</v>
      </c>
      <c r="Q30" s="634">
        <f t="shared" si="2"/>
        <v>0</v>
      </c>
      <c r="R30" s="634">
        <v>144</v>
      </c>
      <c r="S30" s="634">
        <v>144</v>
      </c>
      <c r="T30" s="634">
        <v>144</v>
      </c>
      <c r="U30" s="634">
        <v>2</v>
      </c>
      <c r="V30" s="634">
        <v>1</v>
      </c>
      <c r="W30" s="634">
        <f t="shared" si="3"/>
        <v>2</v>
      </c>
      <c r="X30" s="634">
        <v>114</v>
      </c>
      <c r="Y30" s="634">
        <v>116</v>
      </c>
      <c r="Z30" s="634">
        <v>58</v>
      </c>
      <c r="AA30" s="634"/>
      <c r="AB30" s="634"/>
      <c r="AC30" s="634">
        <f t="shared" si="4"/>
        <v>0</v>
      </c>
      <c r="AD30" s="634"/>
      <c r="AE30" s="634"/>
      <c r="AF30" s="634"/>
      <c r="AG30" s="634">
        <v>1</v>
      </c>
      <c r="AH30" s="634"/>
      <c r="AI30" s="634">
        <f t="shared" si="5"/>
        <v>0</v>
      </c>
      <c r="AJ30" s="634"/>
      <c r="AK30" s="634"/>
      <c r="AL30" s="634">
        <v>0</v>
      </c>
      <c r="AM30" s="634"/>
      <c r="AN30" s="634"/>
      <c r="AO30" s="634">
        <f t="shared" si="6"/>
        <v>0</v>
      </c>
      <c r="AP30" s="634"/>
      <c r="AQ30" s="634"/>
      <c r="AR30" s="634"/>
      <c r="AS30" s="634">
        <v>12</v>
      </c>
      <c r="AT30" s="634">
        <v>9</v>
      </c>
      <c r="AU30" s="634">
        <f t="shared" si="7"/>
        <v>2448</v>
      </c>
      <c r="AV30" s="634">
        <v>536</v>
      </c>
      <c r="AW30" s="634">
        <v>2984</v>
      </c>
      <c r="AX30" s="634">
        <v>248.66666666666666</v>
      </c>
    </row>
    <row r="31" spans="1:50" s="14" customFormat="1" ht="18" customHeight="1" x14ac:dyDescent="0.35">
      <c r="A31" s="90">
        <v>26</v>
      </c>
      <c r="B31" s="558" t="s">
        <v>37</v>
      </c>
      <c r="C31" s="634">
        <v>157</v>
      </c>
      <c r="D31" s="634">
        <v>156</v>
      </c>
      <c r="E31" s="634">
        <f t="shared" si="0"/>
        <v>28136</v>
      </c>
      <c r="F31" s="634">
        <v>6704</v>
      </c>
      <c r="G31" s="634">
        <v>34840</v>
      </c>
      <c r="H31" s="634">
        <v>221.91082802547771</v>
      </c>
      <c r="I31" s="634"/>
      <c r="J31" s="634"/>
      <c r="K31" s="634">
        <f t="shared" si="1"/>
        <v>0</v>
      </c>
      <c r="L31" s="634"/>
      <c r="M31" s="634"/>
      <c r="N31" s="634"/>
      <c r="O31" s="634">
        <v>127</v>
      </c>
      <c r="P31" s="634">
        <v>127</v>
      </c>
      <c r="Q31" s="634">
        <f t="shared" si="2"/>
        <v>5861</v>
      </c>
      <c r="R31" s="634">
        <v>17251</v>
      </c>
      <c r="S31" s="634">
        <v>23112</v>
      </c>
      <c r="T31" s="634">
        <v>181.98425196850394</v>
      </c>
      <c r="U31" s="634">
        <v>58</v>
      </c>
      <c r="V31" s="634">
        <v>58</v>
      </c>
      <c r="W31" s="634">
        <f t="shared" si="3"/>
        <v>1566</v>
      </c>
      <c r="X31" s="634">
        <v>3920</v>
      </c>
      <c r="Y31" s="634">
        <v>5486</v>
      </c>
      <c r="Z31" s="634">
        <v>94.58620689655173</v>
      </c>
      <c r="AA31" s="634">
        <v>2</v>
      </c>
      <c r="AB31" s="634">
        <v>2</v>
      </c>
      <c r="AC31" s="634">
        <f t="shared" si="4"/>
        <v>162</v>
      </c>
      <c r="AD31" s="634">
        <v>10</v>
      </c>
      <c r="AE31" s="634">
        <v>172</v>
      </c>
      <c r="AF31" s="634">
        <v>86</v>
      </c>
      <c r="AG31" s="634">
        <v>7</v>
      </c>
      <c r="AH31" s="634">
        <v>7</v>
      </c>
      <c r="AI31" s="634">
        <f t="shared" si="5"/>
        <v>251</v>
      </c>
      <c r="AJ31" s="634">
        <v>165</v>
      </c>
      <c r="AK31" s="634">
        <v>416</v>
      </c>
      <c r="AL31" s="634">
        <v>59.428571428571431</v>
      </c>
      <c r="AM31" s="634">
        <v>2</v>
      </c>
      <c r="AN31" s="634">
        <v>2</v>
      </c>
      <c r="AO31" s="634">
        <f t="shared" si="6"/>
        <v>434</v>
      </c>
      <c r="AP31" s="634">
        <v>94</v>
      </c>
      <c r="AQ31" s="634">
        <v>528</v>
      </c>
      <c r="AR31" s="634">
        <v>264</v>
      </c>
      <c r="AS31" s="634">
        <v>353</v>
      </c>
      <c r="AT31" s="634">
        <v>352</v>
      </c>
      <c r="AU31" s="634">
        <f t="shared" si="7"/>
        <v>36410</v>
      </c>
      <c r="AV31" s="634">
        <v>28144</v>
      </c>
      <c r="AW31" s="634">
        <v>64554</v>
      </c>
      <c r="AX31" s="634">
        <v>182.87252124645892</v>
      </c>
    </row>
    <row r="32" spans="1:50" s="14" customFormat="1" ht="18" customHeight="1" x14ac:dyDescent="0.35">
      <c r="A32" s="90">
        <v>27</v>
      </c>
      <c r="B32" s="558" t="s">
        <v>38</v>
      </c>
      <c r="C32" s="634">
        <v>124</v>
      </c>
      <c r="D32" s="634">
        <v>122</v>
      </c>
      <c r="E32" s="634">
        <f t="shared" si="0"/>
        <v>21084</v>
      </c>
      <c r="F32" s="634">
        <v>3458</v>
      </c>
      <c r="G32" s="634">
        <v>24542</v>
      </c>
      <c r="H32" s="634">
        <v>197.91935483870967</v>
      </c>
      <c r="I32" s="634">
        <v>5</v>
      </c>
      <c r="J32" s="634">
        <v>5</v>
      </c>
      <c r="K32" s="634">
        <f t="shared" si="1"/>
        <v>510</v>
      </c>
      <c r="L32" s="634">
        <v>402</v>
      </c>
      <c r="M32" s="634">
        <v>912</v>
      </c>
      <c r="N32" s="634">
        <v>182.4</v>
      </c>
      <c r="O32" s="634">
        <v>71</v>
      </c>
      <c r="P32" s="634">
        <v>65</v>
      </c>
      <c r="Q32" s="634">
        <f t="shared" si="2"/>
        <v>5391</v>
      </c>
      <c r="R32" s="634">
        <v>4364</v>
      </c>
      <c r="S32" s="634">
        <v>9755</v>
      </c>
      <c r="T32" s="634">
        <v>137.3943661971831</v>
      </c>
      <c r="U32" s="634">
        <v>316</v>
      </c>
      <c r="V32" s="634">
        <v>270</v>
      </c>
      <c r="W32" s="634">
        <f t="shared" si="3"/>
        <v>16072</v>
      </c>
      <c r="X32" s="634">
        <v>17124</v>
      </c>
      <c r="Y32" s="634">
        <v>33196</v>
      </c>
      <c r="Z32" s="634">
        <v>105.0506329113924</v>
      </c>
      <c r="AA32" s="634">
        <v>2</v>
      </c>
      <c r="AB32" s="634">
        <v>1</v>
      </c>
      <c r="AC32" s="634">
        <f t="shared" si="4"/>
        <v>245</v>
      </c>
      <c r="AD32" s="634">
        <v>52</v>
      </c>
      <c r="AE32" s="634">
        <v>297</v>
      </c>
      <c r="AF32" s="634">
        <v>148.5</v>
      </c>
      <c r="AG32" s="634">
        <v>72</v>
      </c>
      <c r="AH32" s="634">
        <v>60</v>
      </c>
      <c r="AI32" s="634">
        <f t="shared" si="5"/>
        <v>4514</v>
      </c>
      <c r="AJ32" s="634">
        <v>1796</v>
      </c>
      <c r="AK32" s="634">
        <v>6310</v>
      </c>
      <c r="AL32" s="634">
        <v>87.638888888888886</v>
      </c>
      <c r="AM32" s="634">
        <v>3</v>
      </c>
      <c r="AN32" s="634">
        <v>3</v>
      </c>
      <c r="AO32" s="634">
        <f t="shared" si="6"/>
        <v>622</v>
      </c>
      <c r="AP32" s="634">
        <v>186</v>
      </c>
      <c r="AQ32" s="634">
        <v>808</v>
      </c>
      <c r="AR32" s="634">
        <v>269.33333333333331</v>
      </c>
      <c r="AS32" s="634">
        <v>593</v>
      </c>
      <c r="AT32" s="634">
        <v>526</v>
      </c>
      <c r="AU32" s="634">
        <f t="shared" si="7"/>
        <v>48438</v>
      </c>
      <c r="AV32" s="634">
        <v>27382</v>
      </c>
      <c r="AW32" s="634">
        <v>75820</v>
      </c>
      <c r="AX32" s="634">
        <v>127.85834738617201</v>
      </c>
    </row>
    <row r="33" spans="1:50" s="14" customFormat="1" ht="18" customHeight="1" x14ac:dyDescent="0.35">
      <c r="A33" s="90">
        <v>28</v>
      </c>
      <c r="B33" s="558" t="s">
        <v>39</v>
      </c>
      <c r="C33" s="634">
        <v>2</v>
      </c>
      <c r="D33" s="634">
        <v>2</v>
      </c>
      <c r="E33" s="634">
        <f t="shared" si="0"/>
        <v>827</v>
      </c>
      <c r="F33" s="634">
        <v>401</v>
      </c>
      <c r="G33" s="634">
        <v>1228</v>
      </c>
      <c r="H33" s="634">
        <v>614</v>
      </c>
      <c r="I33" s="634"/>
      <c r="J33" s="634"/>
      <c r="K33" s="634">
        <f t="shared" si="1"/>
        <v>0</v>
      </c>
      <c r="L33" s="634"/>
      <c r="M33" s="634"/>
      <c r="N33" s="634"/>
      <c r="O33" s="634">
        <v>1</v>
      </c>
      <c r="P33" s="634">
        <v>1</v>
      </c>
      <c r="Q33" s="634">
        <f t="shared" si="2"/>
        <v>0</v>
      </c>
      <c r="R33" s="634"/>
      <c r="S33" s="634"/>
      <c r="T33" s="634">
        <v>0</v>
      </c>
      <c r="U33" s="634">
        <v>4</v>
      </c>
      <c r="V33" s="634">
        <v>4</v>
      </c>
      <c r="W33" s="634">
        <f t="shared" si="3"/>
        <v>85</v>
      </c>
      <c r="X33" s="634">
        <v>315</v>
      </c>
      <c r="Y33" s="634">
        <v>400</v>
      </c>
      <c r="Z33" s="634">
        <v>100</v>
      </c>
      <c r="AA33" s="634"/>
      <c r="AB33" s="634"/>
      <c r="AC33" s="634">
        <f t="shared" si="4"/>
        <v>0</v>
      </c>
      <c r="AD33" s="634"/>
      <c r="AE33" s="634"/>
      <c r="AF33" s="634"/>
      <c r="AG33" s="634"/>
      <c r="AH33" s="634"/>
      <c r="AI33" s="634">
        <f t="shared" si="5"/>
        <v>0</v>
      </c>
      <c r="AJ33" s="634"/>
      <c r="AK33" s="634"/>
      <c r="AL33" s="634"/>
      <c r="AM33" s="634">
        <v>1</v>
      </c>
      <c r="AN33" s="634"/>
      <c r="AO33" s="634">
        <f t="shared" si="6"/>
        <v>0</v>
      </c>
      <c r="AP33" s="634"/>
      <c r="AQ33" s="634"/>
      <c r="AR33" s="634">
        <v>0</v>
      </c>
      <c r="AS33" s="634">
        <v>8</v>
      </c>
      <c r="AT33" s="634">
        <v>7</v>
      </c>
      <c r="AU33" s="634">
        <f t="shared" si="7"/>
        <v>912</v>
      </c>
      <c r="AV33" s="634">
        <v>716</v>
      </c>
      <c r="AW33" s="634">
        <v>1628</v>
      </c>
      <c r="AX33" s="634">
        <v>203.5</v>
      </c>
    </row>
    <row r="34" spans="1:50" s="14" customFormat="1" ht="18" customHeight="1" x14ac:dyDescent="0.35">
      <c r="A34" s="90">
        <v>29</v>
      </c>
      <c r="B34" s="558" t="s">
        <v>40</v>
      </c>
      <c r="C34" s="634">
        <v>501</v>
      </c>
      <c r="D34" s="634">
        <v>483</v>
      </c>
      <c r="E34" s="634">
        <f t="shared" si="0"/>
        <v>183704</v>
      </c>
      <c r="F34" s="634">
        <v>19827</v>
      </c>
      <c r="G34" s="634">
        <v>203531</v>
      </c>
      <c r="H34" s="634">
        <v>406.24950099800401</v>
      </c>
      <c r="I34" s="634">
        <v>9</v>
      </c>
      <c r="J34" s="634">
        <v>7</v>
      </c>
      <c r="K34" s="634">
        <f t="shared" si="1"/>
        <v>882</v>
      </c>
      <c r="L34" s="634">
        <v>556</v>
      </c>
      <c r="M34" s="634">
        <v>1438</v>
      </c>
      <c r="N34" s="634">
        <v>159.77777777777777</v>
      </c>
      <c r="O34" s="634">
        <v>107</v>
      </c>
      <c r="P34" s="634">
        <v>103</v>
      </c>
      <c r="Q34" s="634">
        <f t="shared" si="2"/>
        <v>136</v>
      </c>
      <c r="R34" s="634">
        <v>7932</v>
      </c>
      <c r="S34" s="634">
        <v>8068</v>
      </c>
      <c r="T34" s="634">
        <v>75.401869158878512</v>
      </c>
      <c r="U34" s="634">
        <v>283</v>
      </c>
      <c r="V34" s="634">
        <v>139</v>
      </c>
      <c r="W34" s="634">
        <f t="shared" si="3"/>
        <v>114</v>
      </c>
      <c r="X34" s="634">
        <v>2535</v>
      </c>
      <c r="Y34" s="634">
        <v>2649</v>
      </c>
      <c r="Z34" s="634">
        <v>9.360424028268552</v>
      </c>
      <c r="AA34" s="634">
        <v>5</v>
      </c>
      <c r="AB34" s="634">
        <v>4</v>
      </c>
      <c r="AC34" s="634">
        <f t="shared" si="4"/>
        <v>702</v>
      </c>
      <c r="AD34" s="634">
        <v>188</v>
      </c>
      <c r="AE34" s="634">
        <v>890</v>
      </c>
      <c r="AF34" s="634">
        <v>178</v>
      </c>
      <c r="AG34" s="634">
        <v>3</v>
      </c>
      <c r="AH34" s="634">
        <v>2</v>
      </c>
      <c r="AI34" s="634">
        <f t="shared" si="5"/>
        <v>40</v>
      </c>
      <c r="AJ34" s="634">
        <v>25</v>
      </c>
      <c r="AK34" s="634">
        <v>65</v>
      </c>
      <c r="AL34" s="634">
        <v>21.666666666666668</v>
      </c>
      <c r="AM34" s="634">
        <v>2</v>
      </c>
      <c r="AN34" s="634">
        <v>2</v>
      </c>
      <c r="AO34" s="634">
        <f t="shared" si="6"/>
        <v>1180</v>
      </c>
      <c r="AP34" s="634">
        <v>215</v>
      </c>
      <c r="AQ34" s="634">
        <v>1395</v>
      </c>
      <c r="AR34" s="634">
        <v>697.5</v>
      </c>
      <c r="AS34" s="634">
        <v>910</v>
      </c>
      <c r="AT34" s="634">
        <v>740</v>
      </c>
      <c r="AU34" s="634">
        <f t="shared" si="7"/>
        <v>186758</v>
      </c>
      <c r="AV34" s="634">
        <v>31278</v>
      </c>
      <c r="AW34" s="634">
        <v>218036</v>
      </c>
      <c r="AX34" s="634">
        <v>239.6</v>
      </c>
    </row>
    <row r="35" spans="1:50" s="14" customFormat="1" ht="18" customHeight="1" x14ac:dyDescent="0.35">
      <c r="A35" s="90">
        <v>30</v>
      </c>
      <c r="B35" s="558" t="s">
        <v>41</v>
      </c>
      <c r="C35" s="634">
        <v>135</v>
      </c>
      <c r="D35" s="634">
        <v>107</v>
      </c>
      <c r="E35" s="634">
        <f t="shared" si="0"/>
        <v>33196</v>
      </c>
      <c r="F35" s="634">
        <v>18322</v>
      </c>
      <c r="G35" s="634">
        <v>51518</v>
      </c>
      <c r="H35" s="634">
        <v>381.61481481481479</v>
      </c>
      <c r="I35" s="634">
        <v>17</v>
      </c>
      <c r="J35" s="634">
        <v>11</v>
      </c>
      <c r="K35" s="634">
        <f t="shared" si="1"/>
        <v>1784</v>
      </c>
      <c r="L35" s="634">
        <v>1473</v>
      </c>
      <c r="M35" s="634">
        <v>3257</v>
      </c>
      <c r="N35" s="634">
        <v>191.58823529411765</v>
      </c>
      <c r="O35" s="634">
        <v>126</v>
      </c>
      <c r="P35" s="634">
        <v>98</v>
      </c>
      <c r="Q35" s="634">
        <f t="shared" si="2"/>
        <v>915</v>
      </c>
      <c r="R35" s="634">
        <v>11209</v>
      </c>
      <c r="S35" s="634">
        <v>12124</v>
      </c>
      <c r="T35" s="634">
        <v>96.222222222222229</v>
      </c>
      <c r="U35" s="634">
        <v>177</v>
      </c>
      <c r="V35" s="634">
        <v>66</v>
      </c>
      <c r="W35" s="634">
        <f t="shared" si="3"/>
        <v>768</v>
      </c>
      <c r="X35" s="634">
        <v>3418</v>
      </c>
      <c r="Y35" s="634">
        <v>4186</v>
      </c>
      <c r="Z35" s="634">
        <v>23.649717514124294</v>
      </c>
      <c r="AA35" s="634">
        <v>3</v>
      </c>
      <c r="AB35" s="634"/>
      <c r="AC35" s="634">
        <f t="shared" si="4"/>
        <v>0</v>
      </c>
      <c r="AD35" s="634"/>
      <c r="AE35" s="634"/>
      <c r="AF35" s="634">
        <v>0</v>
      </c>
      <c r="AG35" s="634"/>
      <c r="AH35" s="634"/>
      <c r="AI35" s="634">
        <f t="shared" si="5"/>
        <v>0</v>
      </c>
      <c r="AJ35" s="634"/>
      <c r="AK35" s="634"/>
      <c r="AL35" s="634"/>
      <c r="AM35" s="634">
        <v>1</v>
      </c>
      <c r="AN35" s="634">
        <v>1</v>
      </c>
      <c r="AO35" s="634">
        <f t="shared" si="6"/>
        <v>606</v>
      </c>
      <c r="AP35" s="634">
        <v>196</v>
      </c>
      <c r="AQ35" s="634">
        <v>802</v>
      </c>
      <c r="AR35" s="634">
        <v>802</v>
      </c>
      <c r="AS35" s="634">
        <v>459</v>
      </c>
      <c r="AT35" s="634">
        <v>283</v>
      </c>
      <c r="AU35" s="634">
        <f t="shared" si="7"/>
        <v>37269</v>
      </c>
      <c r="AV35" s="634">
        <v>34618</v>
      </c>
      <c r="AW35" s="634">
        <v>71887</v>
      </c>
      <c r="AX35" s="634">
        <v>156.6165577342048</v>
      </c>
    </row>
    <row r="36" spans="1:50" s="14" customFormat="1" ht="18" customHeight="1" x14ac:dyDescent="0.35">
      <c r="A36" s="90">
        <v>31</v>
      </c>
      <c r="B36" s="558" t="s">
        <v>60</v>
      </c>
      <c r="C36" s="634"/>
      <c r="D36" s="634"/>
      <c r="E36" s="634">
        <f t="shared" si="0"/>
        <v>0</v>
      </c>
      <c r="F36" s="634"/>
      <c r="G36" s="634"/>
      <c r="H36" s="634"/>
      <c r="I36" s="634">
        <v>1</v>
      </c>
      <c r="J36" s="634">
        <v>1</v>
      </c>
      <c r="K36" s="634">
        <f t="shared" si="1"/>
        <v>43</v>
      </c>
      <c r="L36" s="634">
        <v>18</v>
      </c>
      <c r="M36" s="634">
        <v>61</v>
      </c>
      <c r="N36" s="634">
        <v>61</v>
      </c>
      <c r="O36" s="634"/>
      <c r="P36" s="634"/>
      <c r="Q36" s="634">
        <f t="shared" si="2"/>
        <v>0</v>
      </c>
      <c r="R36" s="634"/>
      <c r="S36" s="634"/>
      <c r="T36" s="634"/>
      <c r="U36" s="634"/>
      <c r="V36" s="634"/>
      <c r="W36" s="634">
        <f t="shared" si="3"/>
        <v>0</v>
      </c>
      <c r="X36" s="634"/>
      <c r="Y36" s="634"/>
      <c r="Z36" s="634"/>
      <c r="AA36" s="634"/>
      <c r="AB36" s="634"/>
      <c r="AC36" s="634">
        <f t="shared" si="4"/>
        <v>0</v>
      </c>
      <c r="AD36" s="634"/>
      <c r="AE36" s="634"/>
      <c r="AF36" s="634"/>
      <c r="AG36" s="634"/>
      <c r="AH36" s="634"/>
      <c r="AI36" s="634">
        <f t="shared" si="5"/>
        <v>0</v>
      </c>
      <c r="AJ36" s="634"/>
      <c r="AK36" s="634"/>
      <c r="AL36" s="634"/>
      <c r="AM36" s="634">
        <v>1</v>
      </c>
      <c r="AN36" s="634">
        <v>1</v>
      </c>
      <c r="AO36" s="634">
        <f t="shared" si="6"/>
        <v>39</v>
      </c>
      <c r="AP36" s="634">
        <v>9</v>
      </c>
      <c r="AQ36" s="634">
        <v>48</v>
      </c>
      <c r="AR36" s="634">
        <v>48</v>
      </c>
      <c r="AS36" s="634">
        <v>2</v>
      </c>
      <c r="AT36" s="634">
        <v>2</v>
      </c>
      <c r="AU36" s="634">
        <f t="shared" si="7"/>
        <v>82</v>
      </c>
      <c r="AV36" s="634">
        <v>27</v>
      </c>
      <c r="AW36" s="634">
        <v>109</v>
      </c>
      <c r="AX36" s="634">
        <v>54.5</v>
      </c>
    </row>
    <row r="37" spans="1:50" s="14" customFormat="1" ht="18" customHeight="1" x14ac:dyDescent="0.35">
      <c r="A37" s="90">
        <v>32</v>
      </c>
      <c r="B37" s="559" t="s">
        <v>42</v>
      </c>
      <c r="C37" s="634"/>
      <c r="D37" s="634"/>
      <c r="E37" s="634">
        <f t="shared" si="0"/>
        <v>0</v>
      </c>
      <c r="F37" s="634"/>
      <c r="G37" s="634"/>
      <c r="H37" s="634"/>
      <c r="I37" s="634"/>
      <c r="J37" s="634"/>
      <c r="K37" s="634">
        <f t="shared" si="1"/>
        <v>0</v>
      </c>
      <c r="L37" s="634"/>
      <c r="M37" s="634"/>
      <c r="N37" s="634"/>
      <c r="O37" s="634">
        <v>9</v>
      </c>
      <c r="P37" s="634">
        <v>8</v>
      </c>
      <c r="Q37" s="634">
        <f t="shared" si="2"/>
        <v>260</v>
      </c>
      <c r="R37" s="634">
        <v>524</v>
      </c>
      <c r="S37" s="634">
        <v>784</v>
      </c>
      <c r="T37" s="634">
        <v>87.111111111111114</v>
      </c>
      <c r="U37" s="634">
        <v>4</v>
      </c>
      <c r="V37" s="634">
        <v>4</v>
      </c>
      <c r="W37" s="634">
        <f t="shared" si="3"/>
        <v>317</v>
      </c>
      <c r="X37" s="634">
        <v>627</v>
      </c>
      <c r="Y37" s="634">
        <v>944</v>
      </c>
      <c r="Z37" s="634">
        <v>236</v>
      </c>
      <c r="AA37" s="634">
        <v>2</v>
      </c>
      <c r="AB37" s="634">
        <v>2</v>
      </c>
      <c r="AC37" s="634">
        <f t="shared" si="4"/>
        <v>131</v>
      </c>
      <c r="AD37" s="634">
        <v>38</v>
      </c>
      <c r="AE37" s="634">
        <v>169</v>
      </c>
      <c r="AF37" s="634">
        <v>84.5</v>
      </c>
      <c r="AG37" s="634"/>
      <c r="AH37" s="634"/>
      <c r="AI37" s="634">
        <f t="shared" si="5"/>
        <v>0</v>
      </c>
      <c r="AJ37" s="634"/>
      <c r="AK37" s="634"/>
      <c r="AL37" s="634"/>
      <c r="AM37" s="634"/>
      <c r="AN37" s="634"/>
      <c r="AO37" s="634">
        <f t="shared" si="6"/>
        <v>0</v>
      </c>
      <c r="AP37" s="634"/>
      <c r="AQ37" s="634"/>
      <c r="AR37" s="634"/>
      <c r="AS37" s="634">
        <v>15</v>
      </c>
      <c r="AT37" s="634">
        <v>14</v>
      </c>
      <c r="AU37" s="634">
        <f t="shared" si="7"/>
        <v>708</v>
      </c>
      <c r="AV37" s="634">
        <v>1189</v>
      </c>
      <c r="AW37" s="634">
        <v>1897</v>
      </c>
      <c r="AX37" s="634">
        <v>126.46666666666667</v>
      </c>
    </row>
    <row r="38" spans="1:50" s="14" customFormat="1" ht="18" customHeight="1" x14ac:dyDescent="0.35">
      <c r="A38" s="90">
        <v>33</v>
      </c>
      <c r="B38" s="558" t="s">
        <v>43</v>
      </c>
      <c r="C38" s="634">
        <v>586</v>
      </c>
      <c r="D38" s="634">
        <v>486</v>
      </c>
      <c r="E38" s="634">
        <f t="shared" si="0"/>
        <v>133134</v>
      </c>
      <c r="F38" s="634">
        <v>22691</v>
      </c>
      <c r="G38" s="634">
        <v>155825</v>
      </c>
      <c r="H38" s="634">
        <v>265.91296928327642</v>
      </c>
      <c r="I38" s="634">
        <v>43</v>
      </c>
      <c r="J38" s="634">
        <v>29</v>
      </c>
      <c r="K38" s="634">
        <f t="shared" si="1"/>
        <v>7333</v>
      </c>
      <c r="L38" s="634">
        <v>3933</v>
      </c>
      <c r="M38" s="634">
        <v>11266</v>
      </c>
      <c r="N38" s="634">
        <v>262</v>
      </c>
      <c r="O38" s="634">
        <v>338</v>
      </c>
      <c r="P38" s="634">
        <v>313</v>
      </c>
      <c r="Q38" s="634">
        <f t="shared" si="2"/>
        <v>12366</v>
      </c>
      <c r="R38" s="634">
        <v>58711</v>
      </c>
      <c r="S38" s="634">
        <v>71077</v>
      </c>
      <c r="T38" s="634">
        <v>210.2869822485207</v>
      </c>
      <c r="U38" s="634">
        <v>235</v>
      </c>
      <c r="V38" s="634">
        <v>128</v>
      </c>
      <c r="W38" s="634">
        <f t="shared" si="3"/>
        <v>5813</v>
      </c>
      <c r="X38" s="634">
        <v>6483</v>
      </c>
      <c r="Y38" s="634">
        <v>12296</v>
      </c>
      <c r="Z38" s="634">
        <v>52.323404255319147</v>
      </c>
      <c r="AA38" s="634">
        <v>7</v>
      </c>
      <c r="AB38" s="634">
        <v>4</v>
      </c>
      <c r="AC38" s="634">
        <f t="shared" si="4"/>
        <v>793</v>
      </c>
      <c r="AD38" s="634">
        <v>58</v>
      </c>
      <c r="AE38" s="634">
        <v>851</v>
      </c>
      <c r="AF38" s="634">
        <v>121.57142857142857</v>
      </c>
      <c r="AG38" s="634">
        <v>120</v>
      </c>
      <c r="AH38" s="634">
        <v>61</v>
      </c>
      <c r="AI38" s="634">
        <f t="shared" si="5"/>
        <v>3387</v>
      </c>
      <c r="AJ38" s="634">
        <v>2319</v>
      </c>
      <c r="AK38" s="634">
        <v>5706</v>
      </c>
      <c r="AL38" s="634">
        <v>47.55</v>
      </c>
      <c r="AM38" s="634">
        <v>6</v>
      </c>
      <c r="AN38" s="634">
        <v>4</v>
      </c>
      <c r="AO38" s="634">
        <f t="shared" si="6"/>
        <v>1092</v>
      </c>
      <c r="AP38" s="634">
        <v>310</v>
      </c>
      <c r="AQ38" s="634">
        <v>1402</v>
      </c>
      <c r="AR38" s="634">
        <v>233.66666666666666</v>
      </c>
      <c r="AS38" s="634">
        <v>1335</v>
      </c>
      <c r="AT38" s="634">
        <v>1025</v>
      </c>
      <c r="AU38" s="634">
        <f t="shared" si="7"/>
        <v>163918</v>
      </c>
      <c r="AV38" s="634">
        <v>94505</v>
      </c>
      <c r="AW38" s="634">
        <v>258423</v>
      </c>
      <c r="AX38" s="634">
        <v>193.5752808988764</v>
      </c>
    </row>
    <row r="39" spans="1:50" s="14" customFormat="1" ht="18" customHeight="1" x14ac:dyDescent="0.35">
      <c r="A39" s="90">
        <v>34</v>
      </c>
      <c r="B39" s="558" t="s">
        <v>44</v>
      </c>
      <c r="C39" s="634">
        <v>115</v>
      </c>
      <c r="D39" s="634">
        <v>104</v>
      </c>
      <c r="E39" s="634">
        <f t="shared" si="0"/>
        <v>13919</v>
      </c>
      <c r="F39" s="634">
        <v>3390</v>
      </c>
      <c r="G39" s="634">
        <v>17309</v>
      </c>
      <c r="H39" s="634">
        <v>150.51304347826087</v>
      </c>
      <c r="I39" s="634">
        <v>2</v>
      </c>
      <c r="J39" s="634">
        <v>1</v>
      </c>
      <c r="K39" s="634">
        <f t="shared" si="1"/>
        <v>139</v>
      </c>
      <c r="L39" s="634">
        <v>95</v>
      </c>
      <c r="M39" s="634">
        <v>234</v>
      </c>
      <c r="N39" s="634">
        <v>117</v>
      </c>
      <c r="O39" s="634">
        <v>26</v>
      </c>
      <c r="P39" s="634">
        <v>19</v>
      </c>
      <c r="Q39" s="634">
        <f t="shared" si="2"/>
        <v>1043</v>
      </c>
      <c r="R39" s="634">
        <v>2197</v>
      </c>
      <c r="S39" s="634">
        <v>3240</v>
      </c>
      <c r="T39" s="634">
        <v>124.61538461538461</v>
      </c>
      <c r="U39" s="634">
        <v>11</v>
      </c>
      <c r="V39" s="634">
        <v>10</v>
      </c>
      <c r="W39" s="634">
        <f t="shared" si="3"/>
        <v>325</v>
      </c>
      <c r="X39" s="634">
        <v>174</v>
      </c>
      <c r="Y39" s="634">
        <v>499</v>
      </c>
      <c r="Z39" s="634">
        <v>45.363636363636367</v>
      </c>
      <c r="AA39" s="634">
        <v>2</v>
      </c>
      <c r="AB39" s="634">
        <v>2</v>
      </c>
      <c r="AC39" s="634">
        <f t="shared" si="4"/>
        <v>470</v>
      </c>
      <c r="AD39" s="634">
        <v>63</v>
      </c>
      <c r="AE39" s="634">
        <v>533</v>
      </c>
      <c r="AF39" s="634">
        <v>266.5</v>
      </c>
      <c r="AG39" s="634">
        <v>7</v>
      </c>
      <c r="AH39" s="634">
        <v>4</v>
      </c>
      <c r="AI39" s="634">
        <f t="shared" si="5"/>
        <v>38</v>
      </c>
      <c r="AJ39" s="634">
        <v>29</v>
      </c>
      <c r="AK39" s="634">
        <v>67</v>
      </c>
      <c r="AL39" s="634">
        <v>9.5714285714285712</v>
      </c>
      <c r="AM39" s="634">
        <v>1</v>
      </c>
      <c r="AN39" s="634">
        <v>1</v>
      </c>
      <c r="AO39" s="634">
        <f t="shared" si="6"/>
        <v>325</v>
      </c>
      <c r="AP39" s="634">
        <v>75</v>
      </c>
      <c r="AQ39" s="634">
        <v>400</v>
      </c>
      <c r="AR39" s="634">
        <v>400</v>
      </c>
      <c r="AS39" s="634">
        <v>164</v>
      </c>
      <c r="AT39" s="634">
        <v>141</v>
      </c>
      <c r="AU39" s="634">
        <f t="shared" si="7"/>
        <v>16259</v>
      </c>
      <c r="AV39" s="634">
        <v>6023</v>
      </c>
      <c r="AW39" s="634">
        <v>22282</v>
      </c>
      <c r="AX39" s="634">
        <v>135.86585365853659</v>
      </c>
    </row>
    <row r="40" spans="1:50" s="14" customFormat="1" ht="18" customHeight="1" x14ac:dyDescent="0.35">
      <c r="A40" s="90">
        <v>35</v>
      </c>
      <c r="B40" s="558" t="s">
        <v>45</v>
      </c>
      <c r="C40" s="634">
        <v>189</v>
      </c>
      <c r="D40" s="634">
        <v>189</v>
      </c>
      <c r="E40" s="634">
        <f t="shared" si="0"/>
        <v>73676</v>
      </c>
      <c r="F40" s="634">
        <v>12919</v>
      </c>
      <c r="G40" s="634">
        <v>86595</v>
      </c>
      <c r="H40" s="634">
        <v>458.17460317460319</v>
      </c>
      <c r="I40" s="634">
        <v>16</v>
      </c>
      <c r="J40" s="634">
        <v>13</v>
      </c>
      <c r="K40" s="634">
        <f t="shared" si="1"/>
        <v>2364</v>
      </c>
      <c r="L40" s="634">
        <v>1555</v>
      </c>
      <c r="M40" s="634">
        <v>3919</v>
      </c>
      <c r="N40" s="634">
        <v>244.9375</v>
      </c>
      <c r="O40" s="634">
        <v>137</v>
      </c>
      <c r="P40" s="634">
        <v>137</v>
      </c>
      <c r="Q40" s="634">
        <f t="shared" si="2"/>
        <v>1074</v>
      </c>
      <c r="R40" s="634">
        <v>21428</v>
      </c>
      <c r="S40" s="634">
        <v>22502</v>
      </c>
      <c r="T40" s="634">
        <v>164.24817518248176</v>
      </c>
      <c r="U40" s="634">
        <v>249</v>
      </c>
      <c r="V40" s="634">
        <v>249</v>
      </c>
      <c r="W40" s="634">
        <f t="shared" si="3"/>
        <v>18206</v>
      </c>
      <c r="X40" s="634">
        <v>22302</v>
      </c>
      <c r="Y40" s="634">
        <v>40508</v>
      </c>
      <c r="Z40" s="634">
        <v>162.68273092369478</v>
      </c>
      <c r="AA40" s="634">
        <v>14</v>
      </c>
      <c r="AB40" s="634">
        <v>14</v>
      </c>
      <c r="AC40" s="634">
        <f t="shared" si="4"/>
        <v>4751</v>
      </c>
      <c r="AD40" s="634">
        <v>1982</v>
      </c>
      <c r="AE40" s="634">
        <v>6733</v>
      </c>
      <c r="AF40" s="634">
        <v>480.92857142857144</v>
      </c>
      <c r="AG40" s="634">
        <v>22</v>
      </c>
      <c r="AH40" s="634">
        <v>22</v>
      </c>
      <c r="AI40" s="634">
        <f t="shared" si="5"/>
        <v>907</v>
      </c>
      <c r="AJ40" s="634">
        <v>602</v>
      </c>
      <c r="AK40" s="634">
        <v>1509</v>
      </c>
      <c r="AL40" s="634">
        <v>68.590909090909093</v>
      </c>
      <c r="AM40" s="634">
        <v>2</v>
      </c>
      <c r="AN40" s="634">
        <v>2</v>
      </c>
      <c r="AO40" s="634">
        <f t="shared" si="6"/>
        <v>207</v>
      </c>
      <c r="AP40" s="634">
        <v>87</v>
      </c>
      <c r="AQ40" s="634">
        <v>294</v>
      </c>
      <c r="AR40" s="634">
        <v>147</v>
      </c>
      <c r="AS40" s="634">
        <v>629</v>
      </c>
      <c r="AT40" s="634">
        <v>626</v>
      </c>
      <c r="AU40" s="634">
        <f t="shared" si="7"/>
        <v>101185</v>
      </c>
      <c r="AV40" s="634">
        <v>60875</v>
      </c>
      <c r="AW40" s="634">
        <v>162060</v>
      </c>
      <c r="AX40" s="634">
        <v>257.64705882352939</v>
      </c>
    </row>
    <row r="41" spans="1:50" s="548" customFormat="1" ht="18" customHeight="1" x14ac:dyDescent="0.35">
      <c r="A41" s="716" t="s">
        <v>46</v>
      </c>
      <c r="B41" s="716"/>
      <c r="C41" s="640">
        <v>3824</v>
      </c>
      <c r="D41" s="640">
        <v>3530</v>
      </c>
      <c r="E41" s="640">
        <f t="shared" si="0"/>
        <v>1098863</v>
      </c>
      <c r="F41" s="640">
        <v>285620</v>
      </c>
      <c r="G41" s="640">
        <v>1384483</v>
      </c>
      <c r="H41" s="640">
        <v>362.05099372384939</v>
      </c>
      <c r="I41" s="640">
        <v>326</v>
      </c>
      <c r="J41" s="640">
        <v>238</v>
      </c>
      <c r="K41" s="640">
        <f t="shared" si="1"/>
        <v>39051</v>
      </c>
      <c r="L41" s="640">
        <v>24508</v>
      </c>
      <c r="M41" s="640">
        <v>63559</v>
      </c>
      <c r="N41" s="640">
        <v>194.96625766871165</v>
      </c>
      <c r="O41" s="640">
        <v>3869</v>
      </c>
      <c r="P41" s="640">
        <v>3521</v>
      </c>
      <c r="Q41" s="640">
        <f t="shared" si="2"/>
        <v>93114</v>
      </c>
      <c r="R41" s="640">
        <v>377723</v>
      </c>
      <c r="S41" s="640">
        <v>470837</v>
      </c>
      <c r="T41" s="640">
        <v>121.69475316619281</v>
      </c>
      <c r="U41" s="640">
        <v>3450</v>
      </c>
      <c r="V41" s="640">
        <v>2491</v>
      </c>
      <c r="W41" s="640">
        <f t="shared" si="3"/>
        <v>90412</v>
      </c>
      <c r="X41" s="640">
        <v>145649</v>
      </c>
      <c r="Y41" s="640">
        <v>236061</v>
      </c>
      <c r="Z41" s="640">
        <v>68.423478260869558</v>
      </c>
      <c r="AA41" s="640">
        <v>115</v>
      </c>
      <c r="AB41" s="640">
        <v>101</v>
      </c>
      <c r="AC41" s="640">
        <f t="shared" si="4"/>
        <v>19761</v>
      </c>
      <c r="AD41" s="640">
        <v>11014</v>
      </c>
      <c r="AE41" s="640">
        <v>30775</v>
      </c>
      <c r="AF41" s="640">
        <v>267.60869565217394</v>
      </c>
      <c r="AG41" s="640">
        <v>886</v>
      </c>
      <c r="AH41" s="640">
        <v>511</v>
      </c>
      <c r="AI41" s="640">
        <f t="shared" si="5"/>
        <v>28823</v>
      </c>
      <c r="AJ41" s="640">
        <v>27031</v>
      </c>
      <c r="AK41" s="640">
        <v>55854</v>
      </c>
      <c r="AL41" s="640">
        <v>63.040632054176072</v>
      </c>
      <c r="AM41" s="640">
        <v>73</v>
      </c>
      <c r="AN41" s="640">
        <v>61</v>
      </c>
      <c r="AO41" s="640">
        <f t="shared" si="6"/>
        <v>14248</v>
      </c>
      <c r="AP41" s="640">
        <v>3794</v>
      </c>
      <c r="AQ41" s="640">
        <v>18042</v>
      </c>
      <c r="AR41" s="640">
        <v>247.15068493150685</v>
      </c>
      <c r="AS41" s="640">
        <v>12543</v>
      </c>
      <c r="AT41" s="640">
        <v>10453</v>
      </c>
      <c r="AU41" s="640">
        <f t="shared" si="7"/>
        <v>1384272</v>
      </c>
      <c r="AV41" s="640">
        <v>875339</v>
      </c>
      <c r="AW41" s="640">
        <v>2259611</v>
      </c>
      <c r="AX41" s="640">
        <v>180.14916686598102</v>
      </c>
    </row>
  </sheetData>
  <mergeCells count="39">
    <mergeCell ref="A41:B41"/>
    <mergeCell ref="AM3:AN3"/>
    <mergeCell ref="AO3:AQ3"/>
    <mergeCell ref="AR3:AR4"/>
    <mergeCell ref="AS3:AT3"/>
    <mergeCell ref="O3:P3"/>
    <mergeCell ref="Q3:S3"/>
    <mergeCell ref="T3:T4"/>
    <mergeCell ref="U3:V3"/>
    <mergeCell ref="W3:Y3"/>
    <mergeCell ref="Z3:Z4"/>
    <mergeCell ref="H3:H4"/>
    <mergeCell ref="I3:J3"/>
    <mergeCell ref="K3:M3"/>
    <mergeCell ref="N3:N4"/>
    <mergeCell ref="AX3:AX4"/>
    <mergeCell ref="AA3:AB3"/>
    <mergeCell ref="AC3:AE3"/>
    <mergeCell ref="AF3:AF4"/>
    <mergeCell ref="AG3:AH3"/>
    <mergeCell ref="AI3:AK3"/>
    <mergeCell ref="AL3:AL4"/>
    <mergeCell ref="AU3:AW3"/>
    <mergeCell ref="C1:N1"/>
    <mergeCell ref="O1:Z1"/>
    <mergeCell ref="AA1:AL1"/>
    <mergeCell ref="AM1:AX1"/>
    <mergeCell ref="A2:A4"/>
    <mergeCell ref="B2:B4"/>
    <mergeCell ref="C2:H2"/>
    <mergeCell ref="I2:N2"/>
    <mergeCell ref="O2:T2"/>
    <mergeCell ref="U2:Z2"/>
    <mergeCell ref="AA2:AF2"/>
    <mergeCell ref="AG2:AL2"/>
    <mergeCell ref="AM2:AR2"/>
    <mergeCell ref="AS2:AX2"/>
    <mergeCell ref="C3:D3"/>
    <mergeCell ref="E3:G3"/>
  </mergeCells>
  <pageMargins left="0.59055118110236227" right="0.35433070866141736" top="0.39370078740157483" bottom="0.39370078740157483" header="0.31496062992125984" footer="0.19685039370078741"/>
  <pageSetup paperSize="9" firstPageNumber="17" orientation="portrait" r:id="rId1"/>
  <headerFooter>
    <oddFooter>&amp;L&amp;"Arial,Italic"&amp;9AISHE 2022-23&amp;RT-9</oddFooter>
  </headerFooter>
  <colBreaks count="3" manualBreakCount="3">
    <brk id="8" max="40" man="1"/>
    <brk id="26" max="41" man="1"/>
    <brk id="38" max="41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0EAE-3600-4650-A496-999EF8ED8EEC}">
  <sheetPr codeName="Sheet15">
    <tabColor rgb="FF92D050"/>
  </sheetPr>
  <dimension ref="A1:AC41"/>
  <sheetViews>
    <sheetView view="pageBreakPreview" zoomScaleSheetLayoutView="100" workbookViewId="0">
      <pane xSplit="2" ySplit="4" topLeftCell="C5" activePane="bottomRight" state="frozen"/>
      <selection activeCell="S20" sqref="S20"/>
      <selection pane="topRight" activeCell="S20" sqref="S20"/>
      <selection pane="bottomLeft" activeCell="S20" sqref="S20"/>
      <selection pane="bottomRight" activeCell="C5" sqref="C5"/>
    </sheetView>
  </sheetViews>
  <sheetFormatPr defaultColWidth="6.1796875" defaultRowHeight="15.5" x14ac:dyDescent="0.35"/>
  <cols>
    <col min="1" max="1" width="6" style="25" bestFit="1" customWidth="1"/>
    <col min="2" max="2" width="19.453125" style="25" bestFit="1" customWidth="1"/>
    <col min="3" max="17" width="8.453125" style="646" customWidth="1"/>
    <col min="18" max="18" width="9.81640625" style="646" bestFit="1" customWidth="1"/>
    <col min="19" max="19" width="8.453125" style="646" customWidth="1"/>
    <col min="20" max="20" width="9.81640625" style="646" bestFit="1" customWidth="1"/>
    <col min="21" max="26" width="8.453125" style="646" customWidth="1"/>
    <col min="27" max="27" width="9.81640625" style="646" bestFit="1" customWidth="1"/>
    <col min="28" max="28" width="8.81640625" style="646" bestFit="1" customWidth="1"/>
    <col min="29" max="29" width="9.81640625" style="646" bestFit="1" customWidth="1"/>
    <col min="30" max="16384" width="6.1796875" style="25"/>
  </cols>
  <sheetData>
    <row r="1" spans="1:29" s="79" customFormat="1" ht="31.9" customHeight="1" x14ac:dyDescent="0.35">
      <c r="B1" s="26" t="s">
        <v>117</v>
      </c>
      <c r="C1" s="766" t="s">
        <v>1013</v>
      </c>
      <c r="D1" s="766"/>
      <c r="E1" s="766"/>
      <c r="F1" s="766"/>
      <c r="G1" s="766"/>
      <c r="H1" s="766"/>
      <c r="I1" s="766"/>
      <c r="J1" s="766"/>
      <c r="K1" s="766"/>
      <c r="L1" s="766" t="str">
        <f>C1</f>
        <v>State/UTs-wise Standalone Enrolment at various Level
(Based on Actual Response)</v>
      </c>
      <c r="M1" s="766"/>
      <c r="N1" s="766"/>
      <c r="O1" s="766"/>
      <c r="P1" s="766"/>
      <c r="Q1" s="766"/>
      <c r="R1" s="766"/>
      <c r="S1" s="766"/>
      <c r="T1" s="766"/>
      <c r="U1" s="766" t="str">
        <f>C1</f>
        <v>State/UTs-wise Standalone Enrolment at various Level
(Based on Actual Response)</v>
      </c>
      <c r="V1" s="766"/>
      <c r="W1" s="766"/>
      <c r="X1" s="766"/>
      <c r="Y1" s="766"/>
      <c r="Z1" s="766"/>
      <c r="AA1" s="766"/>
      <c r="AB1" s="766"/>
      <c r="AC1" s="766"/>
    </row>
    <row r="2" spans="1:29" s="27" customFormat="1" ht="15" x14ac:dyDescent="0.35">
      <c r="A2" s="770" t="s">
        <v>84</v>
      </c>
      <c r="B2" s="772" t="s">
        <v>1005</v>
      </c>
      <c r="C2" s="767" t="s">
        <v>85</v>
      </c>
      <c r="D2" s="768"/>
      <c r="E2" s="769"/>
      <c r="F2" s="767" t="s">
        <v>86</v>
      </c>
      <c r="G2" s="768"/>
      <c r="H2" s="769"/>
      <c r="I2" s="767" t="s">
        <v>87</v>
      </c>
      <c r="J2" s="768"/>
      <c r="K2" s="769"/>
      <c r="L2" s="767" t="s">
        <v>88</v>
      </c>
      <c r="M2" s="768"/>
      <c r="N2" s="769"/>
      <c r="O2" s="767" t="s">
        <v>89</v>
      </c>
      <c r="P2" s="768"/>
      <c r="Q2" s="769"/>
      <c r="R2" s="767" t="s">
        <v>90</v>
      </c>
      <c r="S2" s="768"/>
      <c r="T2" s="769"/>
      <c r="U2" s="767" t="s">
        <v>91</v>
      </c>
      <c r="V2" s="768"/>
      <c r="W2" s="769"/>
      <c r="X2" s="767" t="s">
        <v>92</v>
      </c>
      <c r="Y2" s="768"/>
      <c r="Z2" s="769"/>
      <c r="AA2" s="767" t="s">
        <v>12</v>
      </c>
      <c r="AB2" s="768"/>
      <c r="AC2" s="769"/>
    </row>
    <row r="3" spans="1:29" s="29" customFormat="1" x14ac:dyDescent="0.35">
      <c r="A3" s="771"/>
      <c r="B3" s="772"/>
      <c r="C3" s="642" t="s">
        <v>93</v>
      </c>
      <c r="D3" s="642" t="s">
        <v>94</v>
      </c>
      <c r="E3" s="642" t="s">
        <v>54</v>
      </c>
      <c r="F3" s="642" t="s">
        <v>93</v>
      </c>
      <c r="G3" s="642" t="s">
        <v>94</v>
      </c>
      <c r="H3" s="642" t="s">
        <v>54</v>
      </c>
      <c r="I3" s="642" t="s">
        <v>93</v>
      </c>
      <c r="J3" s="642" t="s">
        <v>94</v>
      </c>
      <c r="K3" s="642" t="s">
        <v>54</v>
      </c>
      <c r="L3" s="642" t="s">
        <v>93</v>
      </c>
      <c r="M3" s="642" t="s">
        <v>94</v>
      </c>
      <c r="N3" s="642" t="s">
        <v>54</v>
      </c>
      <c r="O3" s="642" t="s">
        <v>93</v>
      </c>
      <c r="P3" s="642" t="s">
        <v>94</v>
      </c>
      <c r="Q3" s="642" t="s">
        <v>54</v>
      </c>
      <c r="R3" s="642" t="s">
        <v>93</v>
      </c>
      <c r="S3" s="642" t="s">
        <v>94</v>
      </c>
      <c r="T3" s="642" t="s">
        <v>54</v>
      </c>
      <c r="U3" s="642" t="s">
        <v>93</v>
      </c>
      <c r="V3" s="642" t="s">
        <v>94</v>
      </c>
      <c r="W3" s="642" t="s">
        <v>54</v>
      </c>
      <c r="X3" s="642" t="s">
        <v>93</v>
      </c>
      <c r="Y3" s="642" t="s">
        <v>94</v>
      </c>
      <c r="Z3" s="642" t="s">
        <v>54</v>
      </c>
      <c r="AA3" s="642" t="s">
        <v>93</v>
      </c>
      <c r="AB3" s="642" t="s">
        <v>94</v>
      </c>
      <c r="AC3" s="642" t="s">
        <v>54</v>
      </c>
    </row>
    <row r="4" spans="1:29" s="29" customFormat="1" x14ac:dyDescent="0.35">
      <c r="A4" s="30">
        <v>1</v>
      </c>
      <c r="B4" s="30">
        <v>2</v>
      </c>
      <c r="C4" s="643">
        <v>3</v>
      </c>
      <c r="D4" s="643">
        <v>4</v>
      </c>
      <c r="E4" s="643">
        <v>5</v>
      </c>
      <c r="F4" s="643">
        <v>6</v>
      </c>
      <c r="G4" s="643">
        <v>7</v>
      </c>
      <c r="H4" s="643">
        <v>8</v>
      </c>
      <c r="I4" s="643">
        <v>9</v>
      </c>
      <c r="J4" s="643">
        <v>10</v>
      </c>
      <c r="K4" s="643">
        <v>11</v>
      </c>
      <c r="L4" s="643">
        <v>12</v>
      </c>
      <c r="M4" s="643">
        <v>13</v>
      </c>
      <c r="N4" s="643">
        <v>14</v>
      </c>
      <c r="O4" s="643">
        <v>15</v>
      </c>
      <c r="P4" s="643">
        <v>16</v>
      </c>
      <c r="Q4" s="643">
        <v>17</v>
      </c>
      <c r="R4" s="643">
        <v>18</v>
      </c>
      <c r="S4" s="643">
        <v>19</v>
      </c>
      <c r="T4" s="643">
        <v>20</v>
      </c>
      <c r="U4" s="643">
        <v>21</v>
      </c>
      <c r="V4" s="643">
        <v>22</v>
      </c>
      <c r="W4" s="643">
        <v>23</v>
      </c>
      <c r="X4" s="643">
        <v>24</v>
      </c>
      <c r="Y4" s="643">
        <v>25</v>
      </c>
      <c r="Z4" s="643">
        <v>26</v>
      </c>
      <c r="AA4" s="643">
        <v>27</v>
      </c>
      <c r="AB4" s="643">
        <v>28</v>
      </c>
      <c r="AC4" s="643">
        <v>29</v>
      </c>
    </row>
    <row r="5" spans="1:29" s="29" customFormat="1" ht="22.5" customHeight="1" x14ac:dyDescent="0.35">
      <c r="A5" s="32">
        <v>1</v>
      </c>
      <c r="B5" s="89" t="s">
        <v>58</v>
      </c>
      <c r="C5" s="644">
        <v>0</v>
      </c>
      <c r="D5" s="644">
        <v>0</v>
      </c>
      <c r="E5" s="644">
        <v>0</v>
      </c>
      <c r="F5" s="644"/>
      <c r="G5" s="645"/>
      <c r="H5" s="645"/>
      <c r="I5" s="644">
        <v>0</v>
      </c>
      <c r="J5" s="644">
        <v>0</v>
      </c>
      <c r="K5" s="644">
        <v>0</v>
      </c>
      <c r="L5" s="644">
        <v>0</v>
      </c>
      <c r="M5" s="644">
        <v>0</v>
      </c>
      <c r="N5" s="644">
        <v>0</v>
      </c>
      <c r="O5" s="644">
        <v>0</v>
      </c>
      <c r="P5" s="644">
        <v>0</v>
      </c>
      <c r="Q5" s="644">
        <v>0</v>
      </c>
      <c r="R5" s="644">
        <v>24</v>
      </c>
      <c r="S5" s="644">
        <v>103</v>
      </c>
      <c r="T5" s="644">
        <v>127</v>
      </c>
      <c r="U5" s="644">
        <v>0</v>
      </c>
      <c r="V5" s="644">
        <v>0</v>
      </c>
      <c r="W5" s="644">
        <v>0</v>
      </c>
      <c r="X5" s="644">
        <v>0</v>
      </c>
      <c r="Y5" s="644">
        <v>0</v>
      </c>
      <c r="Z5" s="644">
        <v>0</v>
      </c>
      <c r="AA5" s="644">
        <v>24</v>
      </c>
      <c r="AB5" s="644">
        <v>103</v>
      </c>
      <c r="AC5" s="644">
        <v>127</v>
      </c>
    </row>
    <row r="6" spans="1:29" s="29" customFormat="1" ht="22.5" customHeight="1" x14ac:dyDescent="0.35">
      <c r="A6" s="32">
        <v>2</v>
      </c>
      <c r="B6" s="91" t="s">
        <v>13</v>
      </c>
      <c r="C6" s="644">
        <v>0</v>
      </c>
      <c r="D6" s="644">
        <v>0</v>
      </c>
      <c r="E6" s="644">
        <v>0</v>
      </c>
      <c r="F6" s="644"/>
      <c r="G6" s="645"/>
      <c r="H6" s="645"/>
      <c r="I6" s="644">
        <v>92</v>
      </c>
      <c r="J6" s="644">
        <v>60</v>
      </c>
      <c r="K6" s="644">
        <v>152</v>
      </c>
      <c r="L6" s="644">
        <v>237</v>
      </c>
      <c r="M6" s="644">
        <v>582</v>
      </c>
      <c r="N6" s="644">
        <v>819</v>
      </c>
      <c r="O6" s="644">
        <v>79</v>
      </c>
      <c r="P6" s="644">
        <v>35</v>
      </c>
      <c r="Q6" s="644">
        <v>114</v>
      </c>
      <c r="R6" s="644">
        <v>54670</v>
      </c>
      <c r="S6" s="644">
        <v>46363</v>
      </c>
      <c r="T6" s="644">
        <v>101033</v>
      </c>
      <c r="U6" s="644">
        <v>186</v>
      </c>
      <c r="V6" s="644">
        <v>14</v>
      </c>
      <c r="W6" s="644">
        <v>200</v>
      </c>
      <c r="X6" s="644">
        <v>0</v>
      </c>
      <c r="Y6" s="644">
        <v>0</v>
      </c>
      <c r="Z6" s="644">
        <v>0</v>
      </c>
      <c r="AA6" s="644">
        <v>55264</v>
      </c>
      <c r="AB6" s="644">
        <v>47054</v>
      </c>
      <c r="AC6" s="644">
        <v>102318</v>
      </c>
    </row>
    <row r="7" spans="1:29" s="29" customFormat="1" ht="22.5" customHeight="1" x14ac:dyDescent="0.35">
      <c r="A7" s="32">
        <v>3</v>
      </c>
      <c r="B7" s="91" t="s">
        <v>14</v>
      </c>
      <c r="C7" s="644">
        <v>0</v>
      </c>
      <c r="D7" s="644">
        <v>0</v>
      </c>
      <c r="E7" s="644">
        <v>0</v>
      </c>
      <c r="F7" s="644"/>
      <c r="G7" s="645"/>
      <c r="H7" s="645"/>
      <c r="I7" s="644">
        <v>0</v>
      </c>
      <c r="J7" s="644">
        <v>0</v>
      </c>
      <c r="K7" s="644">
        <v>0</v>
      </c>
      <c r="L7" s="644">
        <v>0</v>
      </c>
      <c r="M7" s="644">
        <v>0</v>
      </c>
      <c r="N7" s="644">
        <v>0</v>
      </c>
      <c r="O7" s="644">
        <v>0</v>
      </c>
      <c r="P7" s="644">
        <v>0</v>
      </c>
      <c r="Q7" s="644">
        <v>0</v>
      </c>
      <c r="R7" s="644">
        <v>847</v>
      </c>
      <c r="S7" s="644">
        <v>903</v>
      </c>
      <c r="T7" s="644">
        <v>1750</v>
      </c>
      <c r="U7" s="644">
        <v>0</v>
      </c>
      <c r="V7" s="644">
        <v>0</v>
      </c>
      <c r="W7" s="644">
        <v>0</v>
      </c>
      <c r="X7" s="644">
        <v>0</v>
      </c>
      <c r="Y7" s="644">
        <v>0</v>
      </c>
      <c r="Z7" s="644">
        <v>0</v>
      </c>
      <c r="AA7" s="644">
        <v>847</v>
      </c>
      <c r="AB7" s="644">
        <v>903</v>
      </c>
      <c r="AC7" s="644">
        <v>1750</v>
      </c>
    </row>
    <row r="8" spans="1:29" s="29" customFormat="1" ht="22.5" customHeight="1" x14ac:dyDescent="0.35">
      <c r="A8" s="32">
        <v>4</v>
      </c>
      <c r="B8" s="91" t="s">
        <v>15</v>
      </c>
      <c r="C8" s="644">
        <v>0</v>
      </c>
      <c r="D8" s="644">
        <v>0</v>
      </c>
      <c r="E8" s="644">
        <v>0</v>
      </c>
      <c r="F8" s="644"/>
      <c r="G8" s="645"/>
      <c r="H8" s="645"/>
      <c r="I8" s="644">
        <v>48</v>
      </c>
      <c r="J8" s="644">
        <v>30</v>
      </c>
      <c r="K8" s="644">
        <v>78</v>
      </c>
      <c r="L8" s="644">
        <v>830</v>
      </c>
      <c r="M8" s="644">
        <v>925</v>
      </c>
      <c r="N8" s="644">
        <v>1755</v>
      </c>
      <c r="O8" s="644">
        <v>1</v>
      </c>
      <c r="P8" s="644">
        <v>5</v>
      </c>
      <c r="Q8" s="644">
        <v>6</v>
      </c>
      <c r="R8" s="644">
        <v>11511</v>
      </c>
      <c r="S8" s="644">
        <v>12311</v>
      </c>
      <c r="T8" s="644">
        <v>23822</v>
      </c>
      <c r="U8" s="644">
        <v>0</v>
      </c>
      <c r="V8" s="644">
        <v>45</v>
      </c>
      <c r="W8" s="644">
        <v>45</v>
      </c>
      <c r="X8" s="644">
        <v>0</v>
      </c>
      <c r="Y8" s="644">
        <v>0</v>
      </c>
      <c r="Z8" s="644">
        <v>0</v>
      </c>
      <c r="AA8" s="644">
        <v>12390</v>
      </c>
      <c r="AB8" s="644">
        <v>13316</v>
      </c>
      <c r="AC8" s="644">
        <v>25706</v>
      </c>
    </row>
    <row r="9" spans="1:29" s="29" customFormat="1" ht="22.5" customHeight="1" x14ac:dyDescent="0.35">
      <c r="A9" s="32">
        <v>5</v>
      </c>
      <c r="B9" s="91" t="s">
        <v>16</v>
      </c>
      <c r="C9" s="644">
        <v>1</v>
      </c>
      <c r="D9" s="644">
        <v>3</v>
      </c>
      <c r="E9" s="644">
        <v>4</v>
      </c>
      <c r="F9" s="644"/>
      <c r="G9" s="645"/>
      <c r="H9" s="645"/>
      <c r="I9" s="644">
        <v>64</v>
      </c>
      <c r="J9" s="644">
        <v>64</v>
      </c>
      <c r="K9" s="644">
        <v>128</v>
      </c>
      <c r="L9" s="644">
        <v>4690</v>
      </c>
      <c r="M9" s="644">
        <v>2697</v>
      </c>
      <c r="N9" s="644">
        <v>7387</v>
      </c>
      <c r="O9" s="644">
        <v>300</v>
      </c>
      <c r="P9" s="644">
        <v>153</v>
      </c>
      <c r="Q9" s="644">
        <v>453</v>
      </c>
      <c r="R9" s="644">
        <v>44321</v>
      </c>
      <c r="S9" s="644">
        <v>31699</v>
      </c>
      <c r="T9" s="644">
        <v>76020</v>
      </c>
      <c r="U9" s="644">
        <v>325</v>
      </c>
      <c r="V9" s="644">
        <v>331</v>
      </c>
      <c r="W9" s="644">
        <v>656</v>
      </c>
      <c r="X9" s="644">
        <v>0</v>
      </c>
      <c r="Y9" s="644">
        <v>0</v>
      </c>
      <c r="Z9" s="644">
        <v>0</v>
      </c>
      <c r="AA9" s="644">
        <v>49701</v>
      </c>
      <c r="AB9" s="644">
        <v>34947</v>
      </c>
      <c r="AC9" s="644">
        <v>84648</v>
      </c>
    </row>
    <row r="10" spans="1:29" s="29" customFormat="1" ht="22.5" customHeight="1" x14ac:dyDescent="0.35">
      <c r="A10" s="32">
        <v>6</v>
      </c>
      <c r="B10" s="91" t="s">
        <v>17</v>
      </c>
      <c r="C10" s="644">
        <v>0</v>
      </c>
      <c r="D10" s="644">
        <v>0</v>
      </c>
      <c r="E10" s="644">
        <v>0</v>
      </c>
      <c r="F10" s="644"/>
      <c r="G10" s="645"/>
      <c r="H10" s="645"/>
      <c r="I10" s="644">
        <v>19</v>
      </c>
      <c r="J10" s="644">
        <v>12</v>
      </c>
      <c r="K10" s="644">
        <v>31</v>
      </c>
      <c r="L10" s="644">
        <v>681</v>
      </c>
      <c r="M10" s="644">
        <v>332</v>
      </c>
      <c r="N10" s="644">
        <v>1013</v>
      </c>
      <c r="O10" s="644">
        <v>36</v>
      </c>
      <c r="P10" s="644">
        <v>29</v>
      </c>
      <c r="Q10" s="644">
        <v>65</v>
      </c>
      <c r="R10" s="644">
        <v>1775</v>
      </c>
      <c r="S10" s="644">
        <v>822</v>
      </c>
      <c r="T10" s="644">
        <v>2597</v>
      </c>
      <c r="U10" s="644">
        <v>0</v>
      </c>
      <c r="V10" s="644">
        <v>0</v>
      </c>
      <c r="W10" s="644">
        <v>0</v>
      </c>
      <c r="X10" s="644">
        <v>0</v>
      </c>
      <c r="Y10" s="644">
        <v>0</v>
      </c>
      <c r="Z10" s="644">
        <v>0</v>
      </c>
      <c r="AA10" s="644">
        <v>2511</v>
      </c>
      <c r="AB10" s="644">
        <v>1195</v>
      </c>
      <c r="AC10" s="644">
        <v>3706</v>
      </c>
    </row>
    <row r="11" spans="1:29" s="29" customFormat="1" ht="22.5" customHeight="1" x14ac:dyDescent="0.35">
      <c r="A11" s="32">
        <v>7</v>
      </c>
      <c r="B11" s="91" t="s">
        <v>18</v>
      </c>
      <c r="C11" s="632">
        <v>0</v>
      </c>
      <c r="D11" s="644">
        <v>0</v>
      </c>
      <c r="E11" s="644">
        <v>0</v>
      </c>
      <c r="F11" s="644"/>
      <c r="G11" s="645"/>
      <c r="H11" s="645"/>
      <c r="I11" s="644">
        <v>30</v>
      </c>
      <c r="J11" s="644">
        <v>84</v>
      </c>
      <c r="K11" s="644">
        <v>114</v>
      </c>
      <c r="L11" s="644">
        <v>109</v>
      </c>
      <c r="M11" s="644">
        <v>779</v>
      </c>
      <c r="N11" s="644">
        <v>888</v>
      </c>
      <c r="O11" s="644">
        <v>340</v>
      </c>
      <c r="P11" s="644">
        <v>164</v>
      </c>
      <c r="Q11" s="644">
        <v>504</v>
      </c>
      <c r="R11" s="644">
        <v>2346</v>
      </c>
      <c r="S11" s="644">
        <v>4847</v>
      </c>
      <c r="T11" s="644">
        <v>7193</v>
      </c>
      <c r="U11" s="644">
        <v>1</v>
      </c>
      <c r="V11" s="644">
        <v>1</v>
      </c>
      <c r="W11" s="644">
        <v>2</v>
      </c>
      <c r="X11" s="644">
        <v>0</v>
      </c>
      <c r="Y11" s="644">
        <v>0</v>
      </c>
      <c r="Z11" s="644">
        <v>0</v>
      </c>
      <c r="AA11" s="644">
        <v>2826</v>
      </c>
      <c r="AB11" s="644">
        <v>5875</v>
      </c>
      <c r="AC11" s="644">
        <v>8701</v>
      </c>
    </row>
    <row r="12" spans="1:29" s="29" customFormat="1" ht="22.5" customHeight="1" x14ac:dyDescent="0.35">
      <c r="A12" s="32">
        <v>8</v>
      </c>
      <c r="B12" s="91" t="s">
        <v>19</v>
      </c>
      <c r="C12" s="644">
        <v>23</v>
      </c>
      <c r="D12" s="644">
        <v>8</v>
      </c>
      <c r="E12" s="644">
        <v>31</v>
      </c>
      <c r="F12" s="644"/>
      <c r="G12" s="645"/>
      <c r="H12" s="645"/>
      <c r="I12" s="644">
        <v>366</v>
      </c>
      <c r="J12" s="644">
        <v>439</v>
      </c>
      <c r="K12" s="644">
        <v>805</v>
      </c>
      <c r="L12" s="644">
        <v>390</v>
      </c>
      <c r="M12" s="644">
        <v>436</v>
      </c>
      <c r="N12" s="644">
        <v>826</v>
      </c>
      <c r="O12" s="644">
        <v>2639</v>
      </c>
      <c r="P12" s="644">
        <v>1719</v>
      </c>
      <c r="Q12" s="644">
        <v>4358</v>
      </c>
      <c r="R12" s="644">
        <v>5300</v>
      </c>
      <c r="S12" s="644">
        <v>7433</v>
      </c>
      <c r="T12" s="644">
        <v>12733</v>
      </c>
      <c r="U12" s="644">
        <v>29</v>
      </c>
      <c r="V12" s="644">
        <v>75</v>
      </c>
      <c r="W12" s="644">
        <v>104</v>
      </c>
      <c r="X12" s="644">
        <v>0</v>
      </c>
      <c r="Y12" s="644">
        <v>0</v>
      </c>
      <c r="Z12" s="644">
        <v>0</v>
      </c>
      <c r="AA12" s="644">
        <v>8747</v>
      </c>
      <c r="AB12" s="644">
        <v>10110</v>
      </c>
      <c r="AC12" s="644">
        <v>18857</v>
      </c>
    </row>
    <row r="13" spans="1:29" s="29" customFormat="1" ht="22.5" customHeight="1" x14ac:dyDescent="0.35">
      <c r="A13" s="32">
        <v>9</v>
      </c>
      <c r="B13" s="91" t="s">
        <v>20</v>
      </c>
      <c r="C13" s="644">
        <v>6</v>
      </c>
      <c r="D13" s="644">
        <v>8</v>
      </c>
      <c r="E13" s="644">
        <v>14</v>
      </c>
      <c r="F13" s="644"/>
      <c r="G13" s="645"/>
      <c r="H13" s="645"/>
      <c r="I13" s="644">
        <v>666</v>
      </c>
      <c r="J13" s="644">
        <v>334</v>
      </c>
      <c r="K13" s="644">
        <v>1000</v>
      </c>
      <c r="L13" s="644">
        <v>942</v>
      </c>
      <c r="M13" s="644">
        <v>247</v>
      </c>
      <c r="N13" s="644">
        <v>1189</v>
      </c>
      <c r="O13" s="644">
        <v>104</v>
      </c>
      <c r="P13" s="644">
        <v>7</v>
      </c>
      <c r="Q13" s="644">
        <v>111</v>
      </c>
      <c r="R13" s="644">
        <v>5049</v>
      </c>
      <c r="S13" s="644">
        <v>939</v>
      </c>
      <c r="T13" s="644">
        <v>5988</v>
      </c>
      <c r="U13" s="644">
        <v>57</v>
      </c>
      <c r="V13" s="644">
        <v>13</v>
      </c>
      <c r="W13" s="644">
        <v>70</v>
      </c>
      <c r="X13" s="644">
        <v>0</v>
      </c>
      <c r="Y13" s="644">
        <v>0</v>
      </c>
      <c r="Z13" s="644">
        <v>0</v>
      </c>
      <c r="AA13" s="644">
        <v>6824</v>
      </c>
      <c r="AB13" s="644">
        <v>1548</v>
      </c>
      <c r="AC13" s="644">
        <v>8372</v>
      </c>
    </row>
    <row r="14" spans="1:29" s="29" customFormat="1" ht="22.5" customHeight="1" x14ac:dyDescent="0.35">
      <c r="A14" s="32">
        <v>10</v>
      </c>
      <c r="B14" s="91" t="s">
        <v>21</v>
      </c>
      <c r="C14" s="644">
        <v>69</v>
      </c>
      <c r="D14" s="644">
        <v>69</v>
      </c>
      <c r="E14" s="644">
        <v>138</v>
      </c>
      <c r="F14" s="644"/>
      <c r="G14" s="645"/>
      <c r="H14" s="645"/>
      <c r="I14" s="644">
        <v>654</v>
      </c>
      <c r="J14" s="644">
        <v>548</v>
      </c>
      <c r="K14" s="644">
        <v>1202</v>
      </c>
      <c r="L14" s="644">
        <v>1604</v>
      </c>
      <c r="M14" s="644">
        <v>2587</v>
      </c>
      <c r="N14" s="644">
        <v>4191</v>
      </c>
      <c r="O14" s="644">
        <v>741</v>
      </c>
      <c r="P14" s="644">
        <v>375</v>
      </c>
      <c r="Q14" s="644">
        <v>1116</v>
      </c>
      <c r="R14" s="644">
        <v>5944</v>
      </c>
      <c r="S14" s="644">
        <v>23173</v>
      </c>
      <c r="T14" s="644">
        <v>29117</v>
      </c>
      <c r="U14" s="644">
        <v>388</v>
      </c>
      <c r="V14" s="644">
        <v>990</v>
      </c>
      <c r="W14" s="644">
        <v>1378</v>
      </c>
      <c r="X14" s="644">
        <v>0</v>
      </c>
      <c r="Y14" s="644">
        <v>0</v>
      </c>
      <c r="Z14" s="644">
        <v>0</v>
      </c>
      <c r="AA14" s="644">
        <v>9400</v>
      </c>
      <c r="AB14" s="644">
        <v>27742</v>
      </c>
      <c r="AC14" s="644">
        <v>37142</v>
      </c>
    </row>
    <row r="15" spans="1:29" s="29" customFormat="1" ht="22.5" customHeight="1" x14ac:dyDescent="0.35">
      <c r="A15" s="32">
        <v>11</v>
      </c>
      <c r="B15" s="91" t="s">
        <v>22</v>
      </c>
      <c r="C15" s="644">
        <v>10</v>
      </c>
      <c r="D15" s="644">
        <v>16</v>
      </c>
      <c r="E15" s="644">
        <v>26</v>
      </c>
      <c r="F15" s="644"/>
      <c r="G15" s="645"/>
      <c r="H15" s="645"/>
      <c r="I15" s="644">
        <v>440</v>
      </c>
      <c r="J15" s="644">
        <v>334</v>
      </c>
      <c r="K15" s="644">
        <v>774</v>
      </c>
      <c r="L15" s="644">
        <v>1281</v>
      </c>
      <c r="M15" s="644">
        <v>1040</v>
      </c>
      <c r="N15" s="644">
        <v>2321</v>
      </c>
      <c r="O15" s="644">
        <v>579</v>
      </c>
      <c r="P15" s="644">
        <v>268</v>
      </c>
      <c r="Q15" s="644">
        <v>847</v>
      </c>
      <c r="R15" s="644">
        <v>48469</v>
      </c>
      <c r="S15" s="644">
        <v>18170</v>
      </c>
      <c r="T15" s="644">
        <v>66639</v>
      </c>
      <c r="U15" s="644">
        <v>288</v>
      </c>
      <c r="V15" s="644">
        <v>7</v>
      </c>
      <c r="W15" s="644">
        <v>295</v>
      </c>
      <c r="X15" s="644">
        <v>0</v>
      </c>
      <c r="Y15" s="644">
        <v>0</v>
      </c>
      <c r="Z15" s="644">
        <v>0</v>
      </c>
      <c r="AA15" s="644">
        <v>51067</v>
      </c>
      <c r="AB15" s="644">
        <v>19835</v>
      </c>
      <c r="AC15" s="644">
        <v>70902</v>
      </c>
    </row>
    <row r="16" spans="1:29" s="29" customFormat="1" ht="22.5" customHeight="1" x14ac:dyDescent="0.35">
      <c r="A16" s="32">
        <v>12</v>
      </c>
      <c r="B16" s="91" t="s">
        <v>23</v>
      </c>
      <c r="C16" s="644">
        <v>0</v>
      </c>
      <c r="D16" s="644">
        <v>0</v>
      </c>
      <c r="E16" s="644">
        <v>0</v>
      </c>
      <c r="F16" s="644"/>
      <c r="G16" s="645"/>
      <c r="H16" s="645"/>
      <c r="I16" s="644">
        <v>15</v>
      </c>
      <c r="J16" s="644">
        <v>8</v>
      </c>
      <c r="K16" s="644">
        <v>23</v>
      </c>
      <c r="L16" s="644">
        <v>984</v>
      </c>
      <c r="M16" s="644">
        <v>1455</v>
      </c>
      <c r="N16" s="644">
        <v>2439</v>
      </c>
      <c r="O16" s="644">
        <v>58</v>
      </c>
      <c r="P16" s="644">
        <v>43</v>
      </c>
      <c r="Q16" s="644">
        <v>101</v>
      </c>
      <c r="R16" s="644">
        <v>6385</v>
      </c>
      <c r="S16" s="644">
        <v>4799</v>
      </c>
      <c r="T16" s="644">
        <v>11184</v>
      </c>
      <c r="U16" s="644">
        <v>28</v>
      </c>
      <c r="V16" s="644">
        <v>9</v>
      </c>
      <c r="W16" s="644">
        <v>37</v>
      </c>
      <c r="X16" s="644">
        <v>0</v>
      </c>
      <c r="Y16" s="644">
        <v>0</v>
      </c>
      <c r="Z16" s="644">
        <v>0</v>
      </c>
      <c r="AA16" s="644">
        <v>7470</v>
      </c>
      <c r="AB16" s="644">
        <v>6314</v>
      </c>
      <c r="AC16" s="644">
        <v>13784</v>
      </c>
    </row>
    <row r="17" spans="1:29" s="29" customFormat="1" ht="22.5" customHeight="1" x14ac:dyDescent="0.35">
      <c r="A17" s="32">
        <v>13</v>
      </c>
      <c r="B17" s="91" t="s">
        <v>24</v>
      </c>
      <c r="C17" s="644">
        <v>0</v>
      </c>
      <c r="D17" s="644">
        <v>0</v>
      </c>
      <c r="E17" s="644">
        <v>0</v>
      </c>
      <c r="F17" s="644"/>
      <c r="G17" s="645"/>
      <c r="H17" s="645"/>
      <c r="I17" s="644">
        <v>4</v>
      </c>
      <c r="J17" s="644">
        <v>20</v>
      </c>
      <c r="K17" s="644">
        <v>24</v>
      </c>
      <c r="L17" s="644">
        <v>374</v>
      </c>
      <c r="M17" s="644">
        <v>803</v>
      </c>
      <c r="N17" s="644">
        <v>1177</v>
      </c>
      <c r="O17" s="644">
        <v>6</v>
      </c>
      <c r="P17" s="644">
        <v>22</v>
      </c>
      <c r="Q17" s="644">
        <v>28</v>
      </c>
      <c r="R17" s="644">
        <v>8606</v>
      </c>
      <c r="S17" s="644">
        <v>9703</v>
      </c>
      <c r="T17" s="644">
        <v>18309</v>
      </c>
      <c r="U17" s="644">
        <v>549</v>
      </c>
      <c r="V17" s="644">
        <v>594</v>
      </c>
      <c r="W17" s="644">
        <v>1143</v>
      </c>
      <c r="X17" s="644">
        <v>0</v>
      </c>
      <c r="Y17" s="644">
        <v>0</v>
      </c>
      <c r="Z17" s="644">
        <v>0</v>
      </c>
      <c r="AA17" s="644">
        <v>9539</v>
      </c>
      <c r="AB17" s="644">
        <v>11142</v>
      </c>
      <c r="AC17" s="644">
        <v>20681</v>
      </c>
    </row>
    <row r="18" spans="1:29" s="29" customFormat="1" ht="22.5" customHeight="1" x14ac:dyDescent="0.35">
      <c r="A18" s="32">
        <v>14</v>
      </c>
      <c r="B18" s="91" t="s">
        <v>25</v>
      </c>
      <c r="C18" s="644">
        <v>16</v>
      </c>
      <c r="D18" s="644">
        <v>8</v>
      </c>
      <c r="E18" s="644">
        <v>24</v>
      </c>
      <c r="F18" s="644"/>
      <c r="G18" s="645"/>
      <c r="H18" s="645"/>
      <c r="I18" s="644">
        <v>291</v>
      </c>
      <c r="J18" s="644">
        <v>315</v>
      </c>
      <c r="K18" s="644">
        <v>606</v>
      </c>
      <c r="L18" s="644">
        <v>710</v>
      </c>
      <c r="M18" s="644">
        <v>1683</v>
      </c>
      <c r="N18" s="644">
        <v>2393</v>
      </c>
      <c r="O18" s="644">
        <v>766</v>
      </c>
      <c r="P18" s="644">
        <v>500</v>
      </c>
      <c r="Q18" s="644">
        <v>1266</v>
      </c>
      <c r="R18" s="644">
        <v>10373</v>
      </c>
      <c r="S18" s="644">
        <v>14293</v>
      </c>
      <c r="T18" s="644">
        <v>24666</v>
      </c>
      <c r="U18" s="644">
        <v>754</v>
      </c>
      <c r="V18" s="644">
        <v>216</v>
      </c>
      <c r="W18" s="644">
        <v>970</v>
      </c>
      <c r="X18" s="644">
        <v>0</v>
      </c>
      <c r="Y18" s="644">
        <v>0</v>
      </c>
      <c r="Z18" s="644">
        <v>0</v>
      </c>
      <c r="AA18" s="644">
        <v>12910</v>
      </c>
      <c r="AB18" s="644">
        <v>17015</v>
      </c>
      <c r="AC18" s="644">
        <v>29925</v>
      </c>
    </row>
    <row r="19" spans="1:29" s="29" customFormat="1" ht="22.5" customHeight="1" x14ac:dyDescent="0.35">
      <c r="A19" s="32">
        <v>15</v>
      </c>
      <c r="B19" s="91" t="s">
        <v>26</v>
      </c>
      <c r="C19" s="644">
        <v>19</v>
      </c>
      <c r="D19" s="644">
        <v>8</v>
      </c>
      <c r="E19" s="644">
        <v>27</v>
      </c>
      <c r="F19" s="644"/>
      <c r="G19" s="645"/>
      <c r="H19" s="645"/>
      <c r="I19" s="644">
        <v>2058</v>
      </c>
      <c r="J19" s="644">
        <v>1395</v>
      </c>
      <c r="K19" s="644">
        <v>3453</v>
      </c>
      <c r="L19" s="644">
        <v>362</v>
      </c>
      <c r="M19" s="644">
        <v>996</v>
      </c>
      <c r="N19" s="644">
        <v>1358</v>
      </c>
      <c r="O19" s="644">
        <v>1292</v>
      </c>
      <c r="P19" s="644">
        <v>872</v>
      </c>
      <c r="Q19" s="644">
        <v>2164</v>
      </c>
      <c r="R19" s="644">
        <v>142144</v>
      </c>
      <c r="S19" s="644">
        <v>94381</v>
      </c>
      <c r="T19" s="644">
        <v>236525</v>
      </c>
      <c r="U19" s="644">
        <v>92</v>
      </c>
      <c r="V19" s="644">
        <v>117</v>
      </c>
      <c r="W19" s="644">
        <v>209</v>
      </c>
      <c r="X19" s="644">
        <v>0</v>
      </c>
      <c r="Y19" s="644">
        <v>0</v>
      </c>
      <c r="Z19" s="644">
        <v>0</v>
      </c>
      <c r="AA19" s="644">
        <v>145967</v>
      </c>
      <c r="AB19" s="644">
        <v>97769</v>
      </c>
      <c r="AC19" s="644">
        <v>243736</v>
      </c>
    </row>
    <row r="20" spans="1:29" s="29" customFormat="1" ht="22.5" customHeight="1" x14ac:dyDescent="0.35">
      <c r="A20" s="32">
        <v>16</v>
      </c>
      <c r="B20" s="91" t="s">
        <v>27</v>
      </c>
      <c r="C20" s="644">
        <v>1</v>
      </c>
      <c r="D20" s="644">
        <v>4</v>
      </c>
      <c r="E20" s="644">
        <v>5</v>
      </c>
      <c r="F20" s="644"/>
      <c r="G20" s="645"/>
      <c r="H20" s="645"/>
      <c r="I20" s="644">
        <v>191</v>
      </c>
      <c r="J20" s="644">
        <v>198</v>
      </c>
      <c r="K20" s="644">
        <v>389</v>
      </c>
      <c r="L20" s="644">
        <v>279</v>
      </c>
      <c r="M20" s="644">
        <v>458</v>
      </c>
      <c r="N20" s="644">
        <v>737</v>
      </c>
      <c r="O20" s="644">
        <v>425</v>
      </c>
      <c r="P20" s="644">
        <v>733</v>
      </c>
      <c r="Q20" s="644">
        <v>1158</v>
      </c>
      <c r="R20" s="644">
        <v>47384</v>
      </c>
      <c r="S20" s="644">
        <v>34054</v>
      </c>
      <c r="T20" s="644">
        <v>81438</v>
      </c>
      <c r="U20" s="644">
        <v>1431</v>
      </c>
      <c r="V20" s="644">
        <v>555</v>
      </c>
      <c r="W20" s="644">
        <v>1986</v>
      </c>
      <c r="X20" s="644">
        <v>0</v>
      </c>
      <c r="Y20" s="644">
        <v>0</v>
      </c>
      <c r="Z20" s="644">
        <v>0</v>
      </c>
      <c r="AA20" s="644">
        <v>49711</v>
      </c>
      <c r="AB20" s="644">
        <v>36002</v>
      </c>
      <c r="AC20" s="644">
        <v>85713</v>
      </c>
    </row>
    <row r="21" spans="1:29" s="29" customFormat="1" ht="22.5" customHeight="1" x14ac:dyDescent="0.35">
      <c r="A21" s="32">
        <v>17</v>
      </c>
      <c r="B21" s="74" t="s">
        <v>28</v>
      </c>
      <c r="C21" s="644">
        <v>0</v>
      </c>
      <c r="D21" s="644">
        <v>0</v>
      </c>
      <c r="E21" s="644">
        <v>0</v>
      </c>
      <c r="F21" s="644"/>
      <c r="G21" s="645"/>
      <c r="H21" s="645"/>
      <c r="I21" s="644">
        <v>0</v>
      </c>
      <c r="J21" s="644">
        <v>0</v>
      </c>
      <c r="K21" s="644">
        <v>0</v>
      </c>
      <c r="L21" s="644">
        <v>0</v>
      </c>
      <c r="M21" s="644">
        <v>0</v>
      </c>
      <c r="N21" s="644">
        <v>0</v>
      </c>
      <c r="O21" s="644">
        <v>0</v>
      </c>
      <c r="P21" s="644">
        <v>0</v>
      </c>
      <c r="Q21" s="644">
        <v>0</v>
      </c>
      <c r="R21" s="644">
        <v>247</v>
      </c>
      <c r="S21" s="644">
        <v>412</v>
      </c>
      <c r="T21" s="644">
        <v>659</v>
      </c>
      <c r="U21" s="644">
        <v>19</v>
      </c>
      <c r="V21" s="644">
        <v>131</v>
      </c>
      <c r="W21" s="644">
        <v>150</v>
      </c>
      <c r="X21" s="644">
        <v>0</v>
      </c>
      <c r="Y21" s="644">
        <v>0</v>
      </c>
      <c r="Z21" s="644">
        <v>0</v>
      </c>
      <c r="AA21" s="644">
        <v>266</v>
      </c>
      <c r="AB21" s="644">
        <v>543</v>
      </c>
      <c r="AC21" s="644">
        <v>809</v>
      </c>
    </row>
    <row r="22" spans="1:29" s="29" customFormat="1" ht="22.5" customHeight="1" x14ac:dyDescent="0.35">
      <c r="A22" s="32">
        <v>18</v>
      </c>
      <c r="B22" s="91" t="s">
        <v>72</v>
      </c>
      <c r="C22" s="644"/>
      <c r="D22" s="644"/>
      <c r="E22" s="644"/>
      <c r="F22" s="644"/>
      <c r="G22" s="645"/>
      <c r="H22" s="645"/>
      <c r="I22" s="644"/>
      <c r="J22" s="644"/>
      <c r="K22" s="644"/>
      <c r="L22" s="644"/>
      <c r="M22" s="644"/>
      <c r="N22" s="644"/>
      <c r="O22" s="644"/>
      <c r="P22" s="644"/>
      <c r="Q22" s="644"/>
      <c r="R22" s="644"/>
      <c r="S22" s="644"/>
      <c r="T22" s="644"/>
      <c r="U22" s="644"/>
      <c r="V22" s="644"/>
      <c r="W22" s="644"/>
      <c r="X22" s="644"/>
      <c r="Y22" s="644"/>
      <c r="Z22" s="644"/>
      <c r="AA22" s="644">
        <v>0</v>
      </c>
      <c r="AB22" s="644">
        <v>0</v>
      </c>
      <c r="AC22" s="644">
        <v>0</v>
      </c>
    </row>
    <row r="23" spans="1:29" s="29" customFormat="1" ht="22.5" customHeight="1" x14ac:dyDescent="0.35">
      <c r="A23" s="32">
        <v>19</v>
      </c>
      <c r="B23" s="91" t="s">
        <v>29</v>
      </c>
      <c r="C23" s="644">
        <v>18</v>
      </c>
      <c r="D23" s="644">
        <v>7</v>
      </c>
      <c r="E23" s="644">
        <v>25</v>
      </c>
      <c r="F23" s="644"/>
      <c r="G23" s="645"/>
      <c r="H23" s="645"/>
      <c r="I23" s="644">
        <v>1887</v>
      </c>
      <c r="J23" s="644">
        <v>1120</v>
      </c>
      <c r="K23" s="644">
        <v>3007</v>
      </c>
      <c r="L23" s="644">
        <v>3892</v>
      </c>
      <c r="M23" s="644">
        <v>5273</v>
      </c>
      <c r="N23" s="644">
        <v>9165</v>
      </c>
      <c r="O23" s="644">
        <v>3471</v>
      </c>
      <c r="P23" s="644">
        <v>1806</v>
      </c>
      <c r="Q23" s="644">
        <v>5277</v>
      </c>
      <c r="R23" s="644">
        <v>30050</v>
      </c>
      <c r="S23" s="644">
        <v>20075</v>
      </c>
      <c r="T23" s="644">
        <v>50125</v>
      </c>
      <c r="U23" s="644">
        <v>280</v>
      </c>
      <c r="V23" s="644">
        <v>377</v>
      </c>
      <c r="W23" s="644">
        <v>657</v>
      </c>
      <c r="X23" s="644">
        <v>96</v>
      </c>
      <c r="Y23" s="644">
        <v>138</v>
      </c>
      <c r="Z23" s="644">
        <v>234</v>
      </c>
      <c r="AA23" s="644">
        <v>39694</v>
      </c>
      <c r="AB23" s="644">
        <v>28796</v>
      </c>
      <c r="AC23" s="644">
        <v>68490</v>
      </c>
    </row>
    <row r="24" spans="1:29" s="29" customFormat="1" ht="22.5" customHeight="1" x14ac:dyDescent="0.35">
      <c r="A24" s="32">
        <v>20</v>
      </c>
      <c r="B24" s="91" t="s">
        <v>30</v>
      </c>
      <c r="C24" s="644">
        <v>0</v>
      </c>
      <c r="D24" s="644">
        <v>0</v>
      </c>
      <c r="E24" s="644">
        <v>0</v>
      </c>
      <c r="F24" s="644"/>
      <c r="G24" s="645"/>
      <c r="H24" s="645"/>
      <c r="I24" s="644">
        <v>1933</v>
      </c>
      <c r="J24" s="644">
        <v>1324</v>
      </c>
      <c r="K24" s="644">
        <v>3257</v>
      </c>
      <c r="L24" s="644">
        <v>12886</v>
      </c>
      <c r="M24" s="644">
        <v>10435</v>
      </c>
      <c r="N24" s="644">
        <v>23321</v>
      </c>
      <c r="O24" s="644">
        <v>6686</v>
      </c>
      <c r="P24" s="644">
        <v>3997</v>
      </c>
      <c r="Q24" s="644">
        <v>10683</v>
      </c>
      <c r="R24" s="644">
        <v>192640</v>
      </c>
      <c r="S24" s="644">
        <v>152623</v>
      </c>
      <c r="T24" s="644">
        <v>345263</v>
      </c>
      <c r="U24" s="644">
        <v>1538</v>
      </c>
      <c r="V24" s="644">
        <v>1156</v>
      </c>
      <c r="W24" s="644">
        <v>2694</v>
      </c>
      <c r="X24" s="644">
        <v>0</v>
      </c>
      <c r="Y24" s="644">
        <v>0</v>
      </c>
      <c r="Z24" s="644">
        <v>0</v>
      </c>
      <c r="AA24" s="644">
        <v>215683</v>
      </c>
      <c r="AB24" s="644">
        <v>169535</v>
      </c>
      <c r="AC24" s="644">
        <v>385218</v>
      </c>
    </row>
    <row r="25" spans="1:29" s="29" customFormat="1" ht="22.5" customHeight="1" x14ac:dyDescent="0.35">
      <c r="A25" s="32">
        <v>21</v>
      </c>
      <c r="B25" s="91" t="s">
        <v>31</v>
      </c>
      <c r="C25" s="644">
        <v>0</v>
      </c>
      <c r="D25" s="644">
        <v>0</v>
      </c>
      <c r="E25" s="644">
        <v>0</v>
      </c>
      <c r="F25" s="644"/>
      <c r="G25" s="645"/>
      <c r="H25" s="645"/>
      <c r="I25" s="644">
        <v>0</v>
      </c>
      <c r="J25" s="644">
        <v>0</v>
      </c>
      <c r="K25" s="644">
        <v>0</v>
      </c>
      <c r="L25" s="644">
        <v>16</v>
      </c>
      <c r="M25" s="644">
        <v>121</v>
      </c>
      <c r="N25" s="644">
        <v>137</v>
      </c>
      <c r="O25" s="644">
        <v>378</v>
      </c>
      <c r="P25" s="644">
        <v>348</v>
      </c>
      <c r="Q25" s="644">
        <v>726</v>
      </c>
      <c r="R25" s="644">
        <v>761</v>
      </c>
      <c r="S25" s="644">
        <v>1868</v>
      </c>
      <c r="T25" s="644">
        <v>2629</v>
      </c>
      <c r="U25" s="644">
        <v>127</v>
      </c>
      <c r="V25" s="644">
        <v>61</v>
      </c>
      <c r="W25" s="644">
        <v>188</v>
      </c>
      <c r="X25" s="644">
        <v>0</v>
      </c>
      <c r="Y25" s="644">
        <v>0</v>
      </c>
      <c r="Z25" s="644">
        <v>0</v>
      </c>
      <c r="AA25" s="644">
        <v>1282</v>
      </c>
      <c r="AB25" s="644">
        <v>2398</v>
      </c>
      <c r="AC25" s="644">
        <v>3680</v>
      </c>
    </row>
    <row r="26" spans="1:29" s="29" customFormat="1" ht="22.5" customHeight="1" x14ac:dyDescent="0.35">
      <c r="A26" s="32">
        <v>22</v>
      </c>
      <c r="B26" s="91" t="s">
        <v>32</v>
      </c>
      <c r="C26" s="644">
        <v>0</v>
      </c>
      <c r="D26" s="644">
        <v>0</v>
      </c>
      <c r="E26" s="644">
        <v>0</v>
      </c>
      <c r="F26" s="644"/>
      <c r="G26" s="645"/>
      <c r="H26" s="645"/>
      <c r="I26" s="644">
        <v>0</v>
      </c>
      <c r="J26" s="644">
        <v>0</v>
      </c>
      <c r="K26" s="644">
        <v>0</v>
      </c>
      <c r="L26" s="644">
        <v>425</v>
      </c>
      <c r="M26" s="644">
        <v>688</v>
      </c>
      <c r="N26" s="644">
        <v>1113</v>
      </c>
      <c r="O26" s="644">
        <v>0</v>
      </c>
      <c r="P26" s="644">
        <v>0</v>
      </c>
      <c r="Q26" s="644">
        <v>0</v>
      </c>
      <c r="R26" s="644">
        <v>963</v>
      </c>
      <c r="S26" s="644">
        <v>1985</v>
      </c>
      <c r="T26" s="644">
        <v>2948</v>
      </c>
      <c r="U26" s="644">
        <v>0</v>
      </c>
      <c r="V26" s="644">
        <v>0</v>
      </c>
      <c r="W26" s="644">
        <v>0</v>
      </c>
      <c r="X26" s="644">
        <v>0</v>
      </c>
      <c r="Y26" s="644">
        <v>0</v>
      </c>
      <c r="Z26" s="644">
        <v>0</v>
      </c>
      <c r="AA26" s="644">
        <v>1388</v>
      </c>
      <c r="AB26" s="644">
        <v>2673</v>
      </c>
      <c r="AC26" s="644">
        <v>4061</v>
      </c>
    </row>
    <row r="27" spans="1:29" s="29" customFormat="1" ht="22.5" customHeight="1" x14ac:dyDescent="0.35">
      <c r="A27" s="32">
        <v>23</v>
      </c>
      <c r="B27" s="91" t="s">
        <v>33</v>
      </c>
      <c r="C27" s="644">
        <v>0</v>
      </c>
      <c r="D27" s="644">
        <v>0</v>
      </c>
      <c r="E27" s="644">
        <v>0</v>
      </c>
      <c r="F27" s="644"/>
      <c r="G27" s="645"/>
      <c r="H27" s="645"/>
      <c r="I27" s="644">
        <v>0</v>
      </c>
      <c r="J27" s="644">
        <v>0</v>
      </c>
      <c r="K27" s="644">
        <v>0</v>
      </c>
      <c r="L27" s="644">
        <v>102</v>
      </c>
      <c r="M27" s="644">
        <v>140</v>
      </c>
      <c r="N27" s="644">
        <v>242</v>
      </c>
      <c r="O27" s="644">
        <v>0</v>
      </c>
      <c r="P27" s="644">
        <v>0</v>
      </c>
      <c r="Q27" s="644">
        <v>0</v>
      </c>
      <c r="R27" s="644">
        <v>4290</v>
      </c>
      <c r="S27" s="644">
        <v>5468</v>
      </c>
      <c r="T27" s="644">
        <v>9758</v>
      </c>
      <c r="U27" s="644">
        <v>3</v>
      </c>
      <c r="V27" s="644">
        <v>3</v>
      </c>
      <c r="W27" s="644">
        <v>6</v>
      </c>
      <c r="X27" s="644">
        <v>0</v>
      </c>
      <c r="Y27" s="644">
        <v>0</v>
      </c>
      <c r="Z27" s="644">
        <v>0</v>
      </c>
      <c r="AA27" s="644">
        <v>4395</v>
      </c>
      <c r="AB27" s="644">
        <v>5611</v>
      </c>
      <c r="AC27" s="644">
        <v>10006</v>
      </c>
    </row>
    <row r="28" spans="1:29" s="29" customFormat="1" ht="22.5" customHeight="1" x14ac:dyDescent="0.35">
      <c r="A28" s="32">
        <v>24</v>
      </c>
      <c r="B28" s="91" t="s">
        <v>34</v>
      </c>
      <c r="C28" s="644">
        <v>0</v>
      </c>
      <c r="D28" s="644">
        <v>0</v>
      </c>
      <c r="E28" s="644">
        <v>0</v>
      </c>
      <c r="F28" s="644"/>
      <c r="G28" s="645"/>
      <c r="H28" s="645"/>
      <c r="I28" s="644">
        <v>0</v>
      </c>
      <c r="J28" s="644">
        <v>0</v>
      </c>
      <c r="K28" s="644">
        <v>0</v>
      </c>
      <c r="L28" s="644">
        <v>0</v>
      </c>
      <c r="M28" s="644">
        <v>0</v>
      </c>
      <c r="N28" s="644">
        <v>0</v>
      </c>
      <c r="O28" s="644">
        <v>0</v>
      </c>
      <c r="P28" s="644">
        <v>0</v>
      </c>
      <c r="Q28" s="644">
        <v>0</v>
      </c>
      <c r="R28" s="644">
        <v>763</v>
      </c>
      <c r="S28" s="644">
        <v>1286</v>
      </c>
      <c r="T28" s="644">
        <v>2049</v>
      </c>
      <c r="U28" s="644">
        <v>0</v>
      </c>
      <c r="V28" s="644">
        <v>0</v>
      </c>
      <c r="W28" s="644">
        <v>0</v>
      </c>
      <c r="X28" s="644">
        <v>0</v>
      </c>
      <c r="Y28" s="644">
        <v>0</v>
      </c>
      <c r="Z28" s="644">
        <v>0</v>
      </c>
      <c r="AA28" s="644">
        <v>763</v>
      </c>
      <c r="AB28" s="644">
        <v>1286</v>
      </c>
      <c r="AC28" s="644">
        <v>2049</v>
      </c>
    </row>
    <row r="29" spans="1:29" s="29" customFormat="1" ht="22.5" customHeight="1" x14ac:dyDescent="0.35">
      <c r="A29" s="32">
        <v>25</v>
      </c>
      <c r="B29" s="91" t="s">
        <v>35</v>
      </c>
      <c r="C29" s="644">
        <v>2</v>
      </c>
      <c r="D29" s="644">
        <v>6</v>
      </c>
      <c r="E29" s="644">
        <v>8</v>
      </c>
      <c r="F29" s="644"/>
      <c r="G29" s="645"/>
      <c r="H29" s="645"/>
      <c r="I29" s="644">
        <v>1025</v>
      </c>
      <c r="J29" s="644">
        <v>925</v>
      </c>
      <c r="K29" s="644">
        <v>1950</v>
      </c>
      <c r="L29" s="644">
        <v>1805</v>
      </c>
      <c r="M29" s="644">
        <v>2291</v>
      </c>
      <c r="N29" s="644">
        <v>4096</v>
      </c>
      <c r="O29" s="644">
        <v>1186</v>
      </c>
      <c r="P29" s="644">
        <v>712</v>
      </c>
      <c r="Q29" s="644">
        <v>1898</v>
      </c>
      <c r="R29" s="644">
        <v>97033</v>
      </c>
      <c r="S29" s="644">
        <v>44058</v>
      </c>
      <c r="T29" s="644">
        <v>141091</v>
      </c>
      <c r="U29" s="644">
        <v>165</v>
      </c>
      <c r="V29" s="644">
        <v>342</v>
      </c>
      <c r="W29" s="644">
        <v>507</v>
      </c>
      <c r="X29" s="644">
        <v>0</v>
      </c>
      <c r="Y29" s="644">
        <v>0</v>
      </c>
      <c r="Z29" s="644">
        <v>0</v>
      </c>
      <c r="AA29" s="644">
        <v>101216</v>
      </c>
      <c r="AB29" s="644">
        <v>48334</v>
      </c>
      <c r="AC29" s="644">
        <v>149550</v>
      </c>
    </row>
    <row r="30" spans="1:29" s="29" customFormat="1" ht="22.5" customHeight="1" x14ac:dyDescent="0.35">
      <c r="A30" s="32">
        <v>26</v>
      </c>
      <c r="B30" s="91" t="s">
        <v>36</v>
      </c>
      <c r="C30" s="644">
        <v>0</v>
      </c>
      <c r="D30" s="644">
        <v>0</v>
      </c>
      <c r="E30" s="644">
        <v>0</v>
      </c>
      <c r="F30" s="644"/>
      <c r="G30" s="645"/>
      <c r="H30" s="645"/>
      <c r="I30" s="644">
        <v>0</v>
      </c>
      <c r="J30" s="644">
        <v>0</v>
      </c>
      <c r="K30" s="644">
        <v>0</v>
      </c>
      <c r="L30" s="644">
        <v>55</v>
      </c>
      <c r="M30" s="644">
        <v>15</v>
      </c>
      <c r="N30" s="644">
        <v>70</v>
      </c>
      <c r="O30" s="644">
        <v>0</v>
      </c>
      <c r="P30" s="644">
        <v>0</v>
      </c>
      <c r="Q30" s="644">
        <v>0</v>
      </c>
      <c r="R30" s="644">
        <v>2393</v>
      </c>
      <c r="S30" s="644">
        <v>521</v>
      </c>
      <c r="T30" s="644">
        <v>2914</v>
      </c>
      <c r="U30" s="644">
        <v>0</v>
      </c>
      <c r="V30" s="644">
        <v>0</v>
      </c>
      <c r="W30" s="644">
        <v>0</v>
      </c>
      <c r="X30" s="644">
        <v>0</v>
      </c>
      <c r="Y30" s="644">
        <v>0</v>
      </c>
      <c r="Z30" s="644">
        <v>0</v>
      </c>
      <c r="AA30" s="644">
        <v>2448</v>
      </c>
      <c r="AB30" s="644">
        <v>536</v>
      </c>
      <c r="AC30" s="644">
        <v>2984</v>
      </c>
    </row>
    <row r="31" spans="1:29" s="29" customFormat="1" ht="22.5" customHeight="1" x14ac:dyDescent="0.35">
      <c r="A31" s="32">
        <v>27</v>
      </c>
      <c r="B31" s="91" t="s">
        <v>37</v>
      </c>
      <c r="C31" s="644">
        <v>0</v>
      </c>
      <c r="D31" s="644">
        <v>0</v>
      </c>
      <c r="E31" s="644">
        <v>0</v>
      </c>
      <c r="F31" s="644"/>
      <c r="G31" s="645"/>
      <c r="H31" s="645"/>
      <c r="I31" s="644">
        <v>1</v>
      </c>
      <c r="J31" s="644">
        <v>22</v>
      </c>
      <c r="K31" s="644">
        <v>23</v>
      </c>
      <c r="L31" s="644">
        <v>1728</v>
      </c>
      <c r="M31" s="644">
        <v>1848</v>
      </c>
      <c r="N31" s="644">
        <v>3576</v>
      </c>
      <c r="O31" s="644">
        <v>33</v>
      </c>
      <c r="P31" s="644">
        <v>0</v>
      </c>
      <c r="Q31" s="644">
        <v>33</v>
      </c>
      <c r="R31" s="644">
        <v>34626</v>
      </c>
      <c r="S31" s="644">
        <v>26264</v>
      </c>
      <c r="T31" s="644">
        <v>60890</v>
      </c>
      <c r="U31" s="644">
        <v>22</v>
      </c>
      <c r="V31" s="644">
        <v>10</v>
      </c>
      <c r="W31" s="644">
        <v>32</v>
      </c>
      <c r="X31" s="644">
        <v>0</v>
      </c>
      <c r="Y31" s="644">
        <v>0</v>
      </c>
      <c r="Z31" s="644">
        <v>0</v>
      </c>
      <c r="AA31" s="644">
        <v>36410</v>
      </c>
      <c r="AB31" s="644">
        <v>28144</v>
      </c>
      <c r="AC31" s="644">
        <v>64554</v>
      </c>
    </row>
    <row r="32" spans="1:29" s="29" customFormat="1" ht="22.5" customHeight="1" x14ac:dyDescent="0.35">
      <c r="A32" s="32">
        <v>28</v>
      </c>
      <c r="B32" s="91" t="s">
        <v>38</v>
      </c>
      <c r="C32" s="644">
        <v>0</v>
      </c>
      <c r="D32" s="644">
        <v>0</v>
      </c>
      <c r="E32" s="644">
        <v>0</v>
      </c>
      <c r="F32" s="644"/>
      <c r="G32" s="645"/>
      <c r="H32" s="645"/>
      <c r="I32" s="644">
        <v>43</v>
      </c>
      <c r="J32" s="644">
        <v>26</v>
      </c>
      <c r="K32" s="644">
        <v>69</v>
      </c>
      <c r="L32" s="644">
        <v>1732</v>
      </c>
      <c r="M32" s="644">
        <v>1630</v>
      </c>
      <c r="N32" s="644">
        <v>3362</v>
      </c>
      <c r="O32" s="644">
        <v>551</v>
      </c>
      <c r="P32" s="644">
        <v>436</v>
      </c>
      <c r="Q32" s="644">
        <v>987</v>
      </c>
      <c r="R32" s="644">
        <v>45304</v>
      </c>
      <c r="S32" s="644">
        <v>24000</v>
      </c>
      <c r="T32" s="644">
        <v>69304</v>
      </c>
      <c r="U32" s="644">
        <v>474</v>
      </c>
      <c r="V32" s="644">
        <v>664</v>
      </c>
      <c r="W32" s="644">
        <v>1138</v>
      </c>
      <c r="X32" s="644">
        <v>334</v>
      </c>
      <c r="Y32" s="644">
        <v>626</v>
      </c>
      <c r="Z32" s="644">
        <v>960</v>
      </c>
      <c r="AA32" s="644">
        <v>48438</v>
      </c>
      <c r="AB32" s="644">
        <v>27382</v>
      </c>
      <c r="AC32" s="644">
        <v>75820</v>
      </c>
    </row>
    <row r="33" spans="1:29" s="29" customFormat="1" ht="22.5" customHeight="1" x14ac:dyDescent="0.35">
      <c r="A33" s="32">
        <v>29</v>
      </c>
      <c r="B33" s="91" t="s">
        <v>39</v>
      </c>
      <c r="C33" s="644">
        <v>0</v>
      </c>
      <c r="D33" s="644">
        <v>0</v>
      </c>
      <c r="E33" s="644">
        <v>0</v>
      </c>
      <c r="F33" s="644"/>
      <c r="G33" s="645"/>
      <c r="H33" s="645"/>
      <c r="I33" s="644">
        <v>0</v>
      </c>
      <c r="J33" s="644">
        <v>0</v>
      </c>
      <c r="K33" s="644">
        <v>0</v>
      </c>
      <c r="L33" s="644">
        <v>0</v>
      </c>
      <c r="M33" s="644">
        <v>0</v>
      </c>
      <c r="N33" s="644">
        <v>0</v>
      </c>
      <c r="O33" s="644">
        <v>0</v>
      </c>
      <c r="P33" s="644">
        <v>0</v>
      </c>
      <c r="Q33" s="644">
        <v>0</v>
      </c>
      <c r="R33" s="644">
        <v>912</v>
      </c>
      <c r="S33" s="644">
        <v>716</v>
      </c>
      <c r="T33" s="644">
        <v>1628</v>
      </c>
      <c r="U33" s="644">
        <v>0</v>
      </c>
      <c r="V33" s="644">
        <v>0</v>
      </c>
      <c r="W33" s="644">
        <v>0</v>
      </c>
      <c r="X33" s="644">
        <v>0</v>
      </c>
      <c r="Y33" s="644">
        <v>0</v>
      </c>
      <c r="Z33" s="644">
        <v>0</v>
      </c>
      <c r="AA33" s="644">
        <v>912</v>
      </c>
      <c r="AB33" s="644">
        <v>716</v>
      </c>
      <c r="AC33" s="644">
        <v>1628</v>
      </c>
    </row>
    <row r="34" spans="1:29" s="29" customFormat="1" ht="22.5" customHeight="1" x14ac:dyDescent="0.35">
      <c r="A34" s="32">
        <v>30</v>
      </c>
      <c r="B34" s="91" t="s">
        <v>40</v>
      </c>
      <c r="C34" s="644">
        <v>0</v>
      </c>
      <c r="D34" s="644">
        <v>0</v>
      </c>
      <c r="E34" s="644">
        <v>0</v>
      </c>
      <c r="F34" s="644"/>
      <c r="G34" s="645"/>
      <c r="H34" s="645"/>
      <c r="I34" s="644">
        <v>269</v>
      </c>
      <c r="J34" s="644">
        <v>138</v>
      </c>
      <c r="K34" s="644">
        <v>407</v>
      </c>
      <c r="L34" s="644">
        <v>936</v>
      </c>
      <c r="M34" s="644">
        <v>183</v>
      </c>
      <c r="N34" s="644">
        <v>1119</v>
      </c>
      <c r="O34" s="644">
        <v>620</v>
      </c>
      <c r="P34" s="644">
        <v>429</v>
      </c>
      <c r="Q34" s="644">
        <v>1049</v>
      </c>
      <c r="R34" s="644">
        <v>184643</v>
      </c>
      <c r="S34" s="644">
        <v>30498</v>
      </c>
      <c r="T34" s="644">
        <v>215141</v>
      </c>
      <c r="U34" s="644">
        <v>290</v>
      </c>
      <c r="V34" s="644">
        <v>30</v>
      </c>
      <c r="W34" s="644">
        <v>320</v>
      </c>
      <c r="X34" s="644">
        <v>0</v>
      </c>
      <c r="Y34" s="644">
        <v>0</v>
      </c>
      <c r="Z34" s="644">
        <v>0</v>
      </c>
      <c r="AA34" s="644">
        <v>186758</v>
      </c>
      <c r="AB34" s="644">
        <v>31278</v>
      </c>
      <c r="AC34" s="644">
        <v>218036</v>
      </c>
    </row>
    <row r="35" spans="1:29" s="29" customFormat="1" ht="22.5" customHeight="1" x14ac:dyDescent="0.35">
      <c r="A35" s="32">
        <v>31</v>
      </c>
      <c r="B35" s="91" t="s">
        <v>41</v>
      </c>
      <c r="C35" s="644">
        <v>1</v>
      </c>
      <c r="D35" s="644">
        <v>1</v>
      </c>
      <c r="E35" s="644">
        <v>2</v>
      </c>
      <c r="F35" s="644"/>
      <c r="G35" s="645"/>
      <c r="H35" s="645"/>
      <c r="I35" s="644">
        <v>160</v>
      </c>
      <c r="J35" s="644">
        <v>222</v>
      </c>
      <c r="K35" s="644">
        <v>382</v>
      </c>
      <c r="L35" s="644">
        <v>587</v>
      </c>
      <c r="M35" s="644">
        <v>269</v>
      </c>
      <c r="N35" s="644">
        <v>856</v>
      </c>
      <c r="O35" s="644">
        <v>1694</v>
      </c>
      <c r="P35" s="644">
        <v>1490</v>
      </c>
      <c r="Q35" s="644">
        <v>3184</v>
      </c>
      <c r="R35" s="644">
        <v>34779</v>
      </c>
      <c r="S35" s="644">
        <v>32634</v>
      </c>
      <c r="T35" s="644">
        <v>67413</v>
      </c>
      <c r="U35" s="644">
        <v>48</v>
      </c>
      <c r="V35" s="644">
        <v>2</v>
      </c>
      <c r="W35" s="644">
        <v>50</v>
      </c>
      <c r="X35" s="644">
        <v>0</v>
      </c>
      <c r="Y35" s="644">
        <v>0</v>
      </c>
      <c r="Z35" s="644">
        <v>0</v>
      </c>
      <c r="AA35" s="644">
        <v>37269</v>
      </c>
      <c r="AB35" s="644">
        <v>34618</v>
      </c>
      <c r="AC35" s="644">
        <v>71887</v>
      </c>
    </row>
    <row r="36" spans="1:29" s="29" customFormat="1" ht="22.5" customHeight="1" x14ac:dyDescent="0.35">
      <c r="A36" s="32">
        <v>32</v>
      </c>
      <c r="B36" s="89" t="s">
        <v>60</v>
      </c>
      <c r="C36" s="644">
        <v>0</v>
      </c>
      <c r="D36" s="644">
        <v>0</v>
      </c>
      <c r="E36" s="644">
        <v>0</v>
      </c>
      <c r="F36" s="644"/>
      <c r="G36" s="645"/>
      <c r="H36" s="645"/>
      <c r="I36" s="644">
        <v>0</v>
      </c>
      <c r="J36" s="644">
        <v>0</v>
      </c>
      <c r="K36" s="644">
        <v>0</v>
      </c>
      <c r="L36" s="644">
        <v>39</v>
      </c>
      <c r="M36" s="644">
        <v>9</v>
      </c>
      <c r="N36" s="644">
        <v>48</v>
      </c>
      <c r="O36" s="644">
        <v>41</v>
      </c>
      <c r="P36" s="644">
        <v>16</v>
      </c>
      <c r="Q36" s="644">
        <v>57</v>
      </c>
      <c r="R36" s="644">
        <v>2</v>
      </c>
      <c r="S36" s="644">
        <v>2</v>
      </c>
      <c r="T36" s="644">
        <v>4</v>
      </c>
      <c r="U36" s="644">
        <v>0</v>
      </c>
      <c r="V36" s="644">
        <v>0</v>
      </c>
      <c r="W36" s="644">
        <v>0</v>
      </c>
      <c r="X36" s="644">
        <v>0</v>
      </c>
      <c r="Y36" s="644">
        <v>0</v>
      </c>
      <c r="Z36" s="644">
        <v>0</v>
      </c>
      <c r="AA36" s="644">
        <v>82</v>
      </c>
      <c r="AB36" s="644">
        <v>27</v>
      </c>
      <c r="AC36" s="644">
        <v>109</v>
      </c>
    </row>
    <row r="37" spans="1:29" s="29" customFormat="1" ht="22.5" customHeight="1" x14ac:dyDescent="0.35">
      <c r="A37" s="32">
        <v>33</v>
      </c>
      <c r="B37" s="91" t="s">
        <v>42</v>
      </c>
      <c r="C37" s="644">
        <v>0</v>
      </c>
      <c r="D37" s="644">
        <v>0</v>
      </c>
      <c r="E37" s="644">
        <v>0</v>
      </c>
      <c r="F37" s="644"/>
      <c r="G37" s="645"/>
      <c r="H37" s="645"/>
      <c r="I37" s="644">
        <v>0</v>
      </c>
      <c r="J37" s="644">
        <v>0</v>
      </c>
      <c r="K37" s="644">
        <v>0</v>
      </c>
      <c r="L37" s="644">
        <v>31</v>
      </c>
      <c r="M37" s="644">
        <v>46</v>
      </c>
      <c r="N37" s="644">
        <v>77</v>
      </c>
      <c r="O37" s="644">
        <v>0</v>
      </c>
      <c r="P37" s="644">
        <v>0</v>
      </c>
      <c r="Q37" s="644">
        <v>0</v>
      </c>
      <c r="R37" s="644">
        <v>665</v>
      </c>
      <c r="S37" s="644">
        <v>1135</v>
      </c>
      <c r="T37" s="644">
        <v>1800</v>
      </c>
      <c r="U37" s="644">
        <v>12</v>
      </c>
      <c r="V37" s="644">
        <v>8</v>
      </c>
      <c r="W37" s="644">
        <v>20</v>
      </c>
      <c r="X37" s="644">
        <v>0</v>
      </c>
      <c r="Y37" s="644">
        <v>0</v>
      </c>
      <c r="Z37" s="644">
        <v>0</v>
      </c>
      <c r="AA37" s="644">
        <v>708</v>
      </c>
      <c r="AB37" s="644">
        <v>1189</v>
      </c>
      <c r="AC37" s="644">
        <v>1897</v>
      </c>
    </row>
    <row r="38" spans="1:29" s="29" customFormat="1" ht="22.5" customHeight="1" x14ac:dyDescent="0.35">
      <c r="A38" s="32">
        <v>34</v>
      </c>
      <c r="B38" s="91" t="s">
        <v>43</v>
      </c>
      <c r="C38" s="644">
        <v>6</v>
      </c>
      <c r="D38" s="644">
        <v>6</v>
      </c>
      <c r="E38" s="644">
        <v>12</v>
      </c>
      <c r="F38" s="644"/>
      <c r="G38" s="645"/>
      <c r="H38" s="645"/>
      <c r="I38" s="644">
        <v>2768</v>
      </c>
      <c r="J38" s="644">
        <v>1603</v>
      </c>
      <c r="K38" s="644">
        <v>4371</v>
      </c>
      <c r="L38" s="644">
        <v>10294</v>
      </c>
      <c r="M38" s="644">
        <v>12731</v>
      </c>
      <c r="N38" s="644">
        <v>23025</v>
      </c>
      <c r="O38" s="644">
        <v>5335</v>
      </c>
      <c r="P38" s="644">
        <v>2725</v>
      </c>
      <c r="Q38" s="644">
        <v>8060</v>
      </c>
      <c r="R38" s="644">
        <v>144982</v>
      </c>
      <c r="S38" s="644">
        <v>77227</v>
      </c>
      <c r="T38" s="644">
        <v>222209</v>
      </c>
      <c r="U38" s="644">
        <v>521</v>
      </c>
      <c r="V38" s="644">
        <v>170</v>
      </c>
      <c r="W38" s="644">
        <v>691</v>
      </c>
      <c r="X38" s="644">
        <v>12</v>
      </c>
      <c r="Y38" s="644">
        <v>43</v>
      </c>
      <c r="Z38" s="644">
        <v>55</v>
      </c>
      <c r="AA38" s="644">
        <v>163918</v>
      </c>
      <c r="AB38" s="644">
        <v>94505</v>
      </c>
      <c r="AC38" s="644">
        <v>258423</v>
      </c>
    </row>
    <row r="39" spans="1:29" s="29" customFormat="1" ht="22.5" customHeight="1" x14ac:dyDescent="0.35">
      <c r="A39" s="32">
        <v>35</v>
      </c>
      <c r="B39" s="91" t="s">
        <v>44</v>
      </c>
      <c r="C39" s="644">
        <v>0</v>
      </c>
      <c r="D39" s="644">
        <v>0</v>
      </c>
      <c r="E39" s="644">
        <v>0</v>
      </c>
      <c r="F39" s="644"/>
      <c r="G39" s="645"/>
      <c r="H39" s="645"/>
      <c r="I39" s="644">
        <v>141</v>
      </c>
      <c r="J39" s="644">
        <v>99</v>
      </c>
      <c r="K39" s="644">
        <v>240</v>
      </c>
      <c r="L39" s="644">
        <v>1181</v>
      </c>
      <c r="M39" s="644">
        <v>882</v>
      </c>
      <c r="N39" s="644">
        <v>2063</v>
      </c>
      <c r="O39" s="644">
        <v>0</v>
      </c>
      <c r="P39" s="644">
        <v>8</v>
      </c>
      <c r="Q39" s="644">
        <v>8</v>
      </c>
      <c r="R39" s="644">
        <v>14802</v>
      </c>
      <c r="S39" s="644">
        <v>5001</v>
      </c>
      <c r="T39" s="644">
        <v>19803</v>
      </c>
      <c r="U39" s="644">
        <v>135</v>
      </c>
      <c r="V39" s="644">
        <v>33</v>
      </c>
      <c r="W39" s="644">
        <v>168</v>
      </c>
      <c r="X39" s="644">
        <v>0</v>
      </c>
      <c r="Y39" s="644">
        <v>0</v>
      </c>
      <c r="Z39" s="644">
        <v>0</v>
      </c>
      <c r="AA39" s="644">
        <v>16259</v>
      </c>
      <c r="AB39" s="644">
        <v>6023</v>
      </c>
      <c r="AC39" s="644">
        <v>22282</v>
      </c>
    </row>
    <row r="40" spans="1:29" s="29" customFormat="1" ht="22.5" customHeight="1" x14ac:dyDescent="0.35">
      <c r="A40" s="32">
        <v>36</v>
      </c>
      <c r="B40" s="91" t="s">
        <v>45</v>
      </c>
      <c r="C40" s="644">
        <v>18</v>
      </c>
      <c r="D40" s="644">
        <v>12</v>
      </c>
      <c r="E40" s="644">
        <v>30</v>
      </c>
      <c r="F40" s="644"/>
      <c r="G40" s="645"/>
      <c r="H40" s="645"/>
      <c r="I40" s="644">
        <v>657</v>
      </c>
      <c r="J40" s="644">
        <v>578</v>
      </c>
      <c r="K40" s="644">
        <v>1235</v>
      </c>
      <c r="L40" s="644">
        <v>9691</v>
      </c>
      <c r="M40" s="644">
        <v>10010</v>
      </c>
      <c r="N40" s="644">
        <v>19701</v>
      </c>
      <c r="O40" s="644">
        <v>1015</v>
      </c>
      <c r="P40" s="644">
        <v>477</v>
      </c>
      <c r="Q40" s="644">
        <v>1492</v>
      </c>
      <c r="R40" s="644">
        <v>89668</v>
      </c>
      <c r="S40" s="644">
        <v>49432</v>
      </c>
      <c r="T40" s="644">
        <v>139100</v>
      </c>
      <c r="U40" s="644">
        <v>102</v>
      </c>
      <c r="V40" s="644">
        <v>342</v>
      </c>
      <c r="W40" s="644">
        <v>444</v>
      </c>
      <c r="X40" s="644">
        <v>34</v>
      </c>
      <c r="Y40" s="644">
        <v>24</v>
      </c>
      <c r="Z40" s="644">
        <v>58</v>
      </c>
      <c r="AA40" s="644">
        <v>101185</v>
      </c>
      <c r="AB40" s="644">
        <v>60875</v>
      </c>
      <c r="AC40" s="644">
        <v>162060</v>
      </c>
    </row>
    <row r="41" spans="1:29" s="36" customFormat="1" ht="22.5" customHeight="1" x14ac:dyDescent="0.35">
      <c r="A41" s="682" t="s">
        <v>46</v>
      </c>
      <c r="B41" s="682"/>
      <c r="C41" s="644">
        <v>190</v>
      </c>
      <c r="D41" s="644">
        <v>156</v>
      </c>
      <c r="E41" s="644">
        <v>346</v>
      </c>
      <c r="F41" s="644">
        <v>0</v>
      </c>
      <c r="G41" s="644">
        <v>0</v>
      </c>
      <c r="H41" s="644">
        <v>0</v>
      </c>
      <c r="I41" s="644">
        <v>13822</v>
      </c>
      <c r="J41" s="644">
        <v>9898</v>
      </c>
      <c r="K41" s="644">
        <v>23720</v>
      </c>
      <c r="L41" s="644">
        <v>58873</v>
      </c>
      <c r="M41" s="644">
        <v>61591</v>
      </c>
      <c r="N41" s="644">
        <v>120464</v>
      </c>
      <c r="O41" s="644">
        <v>28376</v>
      </c>
      <c r="P41" s="644">
        <v>17369</v>
      </c>
      <c r="Q41" s="644">
        <v>45745</v>
      </c>
      <c r="R41" s="644">
        <v>1274671</v>
      </c>
      <c r="S41" s="644">
        <v>779198</v>
      </c>
      <c r="T41" s="644">
        <v>2053869</v>
      </c>
      <c r="U41" s="644">
        <v>7864</v>
      </c>
      <c r="V41" s="644">
        <v>6296</v>
      </c>
      <c r="W41" s="644">
        <v>14160</v>
      </c>
      <c r="X41" s="644">
        <v>476</v>
      </c>
      <c r="Y41" s="644">
        <v>831</v>
      </c>
      <c r="Z41" s="644">
        <v>1307</v>
      </c>
      <c r="AA41" s="644">
        <v>1384272</v>
      </c>
      <c r="AB41" s="644">
        <v>875339</v>
      </c>
      <c r="AC41" s="644">
        <v>2259611</v>
      </c>
    </row>
  </sheetData>
  <mergeCells count="15">
    <mergeCell ref="A41:B41"/>
    <mergeCell ref="A2:A3"/>
    <mergeCell ref="B2:B3"/>
    <mergeCell ref="C2:E2"/>
    <mergeCell ref="F2:H2"/>
    <mergeCell ref="C1:K1"/>
    <mergeCell ref="L1:T1"/>
    <mergeCell ref="U1:AC1"/>
    <mergeCell ref="I2:K2"/>
    <mergeCell ref="L2:N2"/>
    <mergeCell ref="O2:Q2"/>
    <mergeCell ref="R2:T2"/>
    <mergeCell ref="U2:W2"/>
    <mergeCell ref="X2:Z2"/>
    <mergeCell ref="AA2:AC2"/>
  </mergeCells>
  <pageMargins left="0.59055118110236227" right="0.35433070866141736" top="0.39370078740157483" bottom="0.39370078740157483" header="0.31496062992125984" footer="0.19685039370078741"/>
  <pageSetup paperSize="9" scale="80" firstPageNumber="14" orientation="portrait" r:id="rId1"/>
  <headerFooter>
    <oddFooter>&amp;L&amp;"Arial,Italic"&amp;9AISHE 2022-23&amp;RT-9a</oddFooter>
  </headerFooter>
  <colBreaks count="2" manualBreakCount="2">
    <brk id="11" max="38" man="1"/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75A6-0E5D-4FD6-82B4-1D9320456023}">
  <sheetPr codeName="Sheet16">
    <tabColor rgb="FF92D050"/>
  </sheetPr>
  <dimension ref="A1:Q41"/>
  <sheetViews>
    <sheetView view="pageBreakPreview" topLeftCell="A37" zoomScaleSheetLayoutView="100" workbookViewId="0">
      <selection activeCell="A42" sqref="A42:XFD42"/>
    </sheetView>
  </sheetViews>
  <sheetFormatPr defaultColWidth="9.26953125" defaultRowHeight="15.5" x14ac:dyDescent="0.35"/>
  <cols>
    <col min="1" max="1" width="5.26953125" style="2" customWidth="1"/>
    <col min="2" max="2" width="24.7265625" style="2" customWidth="1"/>
    <col min="3" max="4" width="10.6328125" style="2" bestFit="1" customWidth="1"/>
    <col min="5" max="8" width="12.26953125" style="2" bestFit="1" customWidth="1"/>
    <col min="9" max="9" width="10.6328125" style="2" bestFit="1" customWidth="1"/>
    <col min="10" max="10" width="9.54296875" style="2" bestFit="1" customWidth="1"/>
    <col min="11" max="11" width="10.6328125" style="2" bestFit="1" customWidth="1"/>
    <col min="12" max="14" width="12.26953125" style="2" bestFit="1" customWidth="1"/>
    <col min="15" max="16384" width="9.26953125" style="2"/>
  </cols>
  <sheetData>
    <row r="1" spans="1:14" s="94" customFormat="1" ht="27" customHeight="1" x14ac:dyDescent="0.35">
      <c r="A1" s="93" t="s">
        <v>1014</v>
      </c>
      <c r="C1" s="93"/>
      <c r="F1" s="93"/>
    </row>
    <row r="2" spans="1:14" s="95" customFormat="1" ht="29.25" customHeight="1" x14ac:dyDescent="0.35">
      <c r="A2" s="776" t="s">
        <v>84</v>
      </c>
      <c r="B2" s="683" t="s">
        <v>1005</v>
      </c>
      <c r="C2" s="683" t="s">
        <v>118</v>
      </c>
      <c r="D2" s="683"/>
      <c r="E2" s="683"/>
      <c r="F2" s="683" t="s">
        <v>52</v>
      </c>
      <c r="G2" s="683"/>
      <c r="H2" s="683"/>
      <c r="I2" s="683" t="s">
        <v>119</v>
      </c>
      <c r="J2" s="683"/>
      <c r="K2" s="683"/>
      <c r="L2" s="773" t="s">
        <v>12</v>
      </c>
      <c r="M2" s="774"/>
      <c r="N2" s="775"/>
    </row>
    <row r="3" spans="1:14" s="96" customFormat="1" ht="24.75" customHeight="1" x14ac:dyDescent="0.35">
      <c r="A3" s="777"/>
      <c r="B3" s="683"/>
      <c r="C3" s="4" t="s">
        <v>93</v>
      </c>
      <c r="D3" s="4" t="s">
        <v>94</v>
      </c>
      <c r="E3" s="4" t="s">
        <v>54</v>
      </c>
      <c r="F3" s="4" t="s">
        <v>93</v>
      </c>
      <c r="G3" s="4" t="s">
        <v>94</v>
      </c>
      <c r="H3" s="4" t="s">
        <v>54</v>
      </c>
      <c r="I3" s="4" t="s">
        <v>93</v>
      </c>
      <c r="J3" s="4" t="s">
        <v>94</v>
      </c>
      <c r="K3" s="4" t="s">
        <v>54</v>
      </c>
      <c r="L3" s="4" t="s">
        <v>93</v>
      </c>
      <c r="M3" s="4" t="s">
        <v>94</v>
      </c>
      <c r="N3" s="4" t="s">
        <v>54</v>
      </c>
    </row>
    <row r="4" spans="1:14" s="96" customFormat="1" ht="18.649999999999999" customHeight="1" x14ac:dyDescent="0.35">
      <c r="A4" s="97">
        <v>1</v>
      </c>
      <c r="B4" s="97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</row>
    <row r="5" spans="1:14" s="96" customFormat="1" ht="30" customHeight="1" x14ac:dyDescent="0.35">
      <c r="A5" s="6">
        <v>1</v>
      </c>
      <c r="B5" s="7" t="s">
        <v>58</v>
      </c>
      <c r="C5" s="631">
        <v>2220</v>
      </c>
      <c r="D5" s="631">
        <v>2071</v>
      </c>
      <c r="E5" s="631">
        <v>4291</v>
      </c>
      <c r="F5" s="631">
        <v>1609</v>
      </c>
      <c r="G5" s="631">
        <v>1414</v>
      </c>
      <c r="H5" s="631">
        <v>3023</v>
      </c>
      <c r="I5" s="631">
        <v>24</v>
      </c>
      <c r="J5" s="631">
        <v>103</v>
      </c>
      <c r="K5" s="631">
        <v>127</v>
      </c>
      <c r="L5" s="631">
        <v>3853</v>
      </c>
      <c r="M5" s="631">
        <v>3588</v>
      </c>
      <c r="N5" s="631">
        <v>7441</v>
      </c>
    </row>
    <row r="6" spans="1:14" s="96" customFormat="1" ht="30" customHeight="1" x14ac:dyDescent="0.35">
      <c r="A6" s="6">
        <v>2</v>
      </c>
      <c r="B6" s="99" t="s">
        <v>13</v>
      </c>
      <c r="C6" s="631">
        <v>196974</v>
      </c>
      <c r="D6" s="631">
        <v>159782</v>
      </c>
      <c r="E6" s="631">
        <v>356756</v>
      </c>
      <c r="F6" s="631">
        <v>708926.89734113484</v>
      </c>
      <c r="G6" s="631">
        <v>672343.94385683339</v>
      </c>
      <c r="H6" s="631">
        <v>1381270.8411979682</v>
      </c>
      <c r="I6" s="631">
        <v>55264</v>
      </c>
      <c r="J6" s="631">
        <v>47054</v>
      </c>
      <c r="K6" s="631">
        <v>102318</v>
      </c>
      <c r="L6" s="631">
        <v>961164.89734113484</v>
      </c>
      <c r="M6" s="631">
        <v>879179.94385683339</v>
      </c>
      <c r="N6" s="631">
        <v>1840344.8411979682</v>
      </c>
    </row>
    <row r="7" spans="1:14" s="96" customFormat="1" ht="30" customHeight="1" x14ac:dyDescent="0.35">
      <c r="A7" s="6">
        <v>3</v>
      </c>
      <c r="B7" s="99" t="s">
        <v>14</v>
      </c>
      <c r="C7" s="631">
        <v>18789</v>
      </c>
      <c r="D7" s="631">
        <v>14605</v>
      </c>
      <c r="E7" s="631">
        <v>33394</v>
      </c>
      <c r="F7" s="631">
        <v>14074</v>
      </c>
      <c r="G7" s="631">
        <v>14294</v>
      </c>
      <c r="H7" s="631">
        <v>28368</v>
      </c>
      <c r="I7" s="631">
        <v>847</v>
      </c>
      <c r="J7" s="631">
        <v>903</v>
      </c>
      <c r="K7" s="631">
        <v>1750</v>
      </c>
      <c r="L7" s="631">
        <v>33710</v>
      </c>
      <c r="M7" s="631">
        <v>29802</v>
      </c>
      <c r="N7" s="631">
        <v>63512</v>
      </c>
    </row>
    <row r="8" spans="1:14" s="96" customFormat="1" ht="30" customHeight="1" x14ac:dyDescent="0.35">
      <c r="A8" s="6">
        <v>4</v>
      </c>
      <c r="B8" s="99" t="s">
        <v>15</v>
      </c>
      <c r="C8" s="631">
        <v>85651</v>
      </c>
      <c r="D8" s="631">
        <v>81891</v>
      </c>
      <c r="E8" s="631">
        <v>167542</v>
      </c>
      <c r="F8" s="631">
        <v>263091.57142857148</v>
      </c>
      <c r="G8" s="631">
        <v>294933.5</v>
      </c>
      <c r="H8" s="631">
        <v>558025.07142857148</v>
      </c>
      <c r="I8" s="631">
        <v>12390</v>
      </c>
      <c r="J8" s="631">
        <v>13316</v>
      </c>
      <c r="K8" s="631">
        <v>25706</v>
      </c>
      <c r="L8" s="631">
        <v>361132.57142857148</v>
      </c>
      <c r="M8" s="631">
        <v>390140.5</v>
      </c>
      <c r="N8" s="631">
        <v>751273.07142857148</v>
      </c>
    </row>
    <row r="9" spans="1:14" s="96" customFormat="1" ht="30" customHeight="1" x14ac:dyDescent="0.35">
      <c r="A9" s="6">
        <v>5</v>
      </c>
      <c r="B9" s="99" t="s">
        <v>16</v>
      </c>
      <c r="C9" s="631">
        <v>164656</v>
      </c>
      <c r="D9" s="631">
        <v>119277</v>
      </c>
      <c r="E9" s="631">
        <v>283933</v>
      </c>
      <c r="F9" s="631">
        <v>1143506.6162157829</v>
      </c>
      <c r="G9" s="631">
        <v>1115803.8057104724</v>
      </c>
      <c r="H9" s="631">
        <v>2259310.4219262553</v>
      </c>
      <c r="I9" s="631">
        <v>49701</v>
      </c>
      <c r="J9" s="631">
        <v>34947</v>
      </c>
      <c r="K9" s="631">
        <v>84648</v>
      </c>
      <c r="L9" s="631">
        <v>1357863.6162157829</v>
      </c>
      <c r="M9" s="631">
        <v>1270027.8057104724</v>
      </c>
      <c r="N9" s="631">
        <v>2627891.4219262553</v>
      </c>
    </row>
    <row r="10" spans="1:14" s="96" customFormat="1" ht="30" customHeight="1" x14ac:dyDescent="0.35">
      <c r="A10" s="6">
        <v>6</v>
      </c>
      <c r="B10" s="99" t="s">
        <v>17</v>
      </c>
      <c r="C10" s="631">
        <v>31187</v>
      </c>
      <c r="D10" s="631">
        <v>24243</v>
      </c>
      <c r="E10" s="631">
        <v>55430</v>
      </c>
      <c r="F10" s="631">
        <v>20373</v>
      </c>
      <c r="G10" s="631">
        <v>28586</v>
      </c>
      <c r="H10" s="631">
        <v>48959</v>
      </c>
      <c r="I10" s="631">
        <v>2511</v>
      </c>
      <c r="J10" s="631">
        <v>1195</v>
      </c>
      <c r="K10" s="631">
        <v>3706</v>
      </c>
      <c r="L10" s="631">
        <v>54071</v>
      </c>
      <c r="M10" s="631">
        <v>54024</v>
      </c>
      <c r="N10" s="631">
        <v>108095</v>
      </c>
    </row>
    <row r="11" spans="1:14" s="96" customFormat="1" ht="30" customHeight="1" x14ac:dyDescent="0.35">
      <c r="A11" s="6">
        <v>7</v>
      </c>
      <c r="B11" s="99" t="s">
        <v>18</v>
      </c>
      <c r="C11" s="632">
        <v>182064</v>
      </c>
      <c r="D11" s="631">
        <v>170075</v>
      </c>
      <c r="E11" s="631">
        <v>352139</v>
      </c>
      <c r="F11" s="631">
        <v>239674.4185865671</v>
      </c>
      <c r="G11" s="631">
        <v>327787.51744962536</v>
      </c>
      <c r="H11" s="631">
        <v>567461.93603619246</v>
      </c>
      <c r="I11" s="631">
        <v>2826</v>
      </c>
      <c r="J11" s="631">
        <v>5875</v>
      </c>
      <c r="K11" s="631">
        <v>8701</v>
      </c>
      <c r="L11" s="631">
        <v>424564.4185865671</v>
      </c>
      <c r="M11" s="631">
        <v>503737.51744962536</v>
      </c>
      <c r="N11" s="631">
        <v>928301.93603619246</v>
      </c>
    </row>
    <row r="12" spans="1:14" s="96" customFormat="1" ht="30" customHeight="1" x14ac:dyDescent="0.35">
      <c r="A12" s="6">
        <v>8</v>
      </c>
      <c r="B12" s="99" t="s">
        <v>19</v>
      </c>
      <c r="C12" s="631">
        <v>441431</v>
      </c>
      <c r="D12" s="631">
        <v>408874</v>
      </c>
      <c r="E12" s="631">
        <v>850305</v>
      </c>
      <c r="F12" s="631">
        <v>216766.70061022116</v>
      </c>
      <c r="G12" s="631">
        <v>215832.27418637174</v>
      </c>
      <c r="H12" s="631">
        <v>432598.9747965929</v>
      </c>
      <c r="I12" s="631">
        <v>8747</v>
      </c>
      <c r="J12" s="631">
        <v>10110</v>
      </c>
      <c r="K12" s="631">
        <v>18857</v>
      </c>
      <c r="L12" s="631">
        <v>666944.70061022113</v>
      </c>
      <c r="M12" s="631">
        <v>634816.27418637171</v>
      </c>
      <c r="N12" s="631">
        <v>1301760.974796593</v>
      </c>
    </row>
    <row r="13" spans="1:14" s="96" customFormat="1" ht="30" customHeight="1" x14ac:dyDescent="0.35">
      <c r="A13" s="6">
        <v>9</v>
      </c>
      <c r="B13" s="99" t="s">
        <v>20</v>
      </c>
      <c r="C13" s="631">
        <v>9714</v>
      </c>
      <c r="D13" s="631">
        <v>5668</v>
      </c>
      <c r="E13" s="631">
        <v>15382</v>
      </c>
      <c r="F13" s="631">
        <v>18083</v>
      </c>
      <c r="G13" s="631">
        <v>24188</v>
      </c>
      <c r="H13" s="631">
        <v>42271</v>
      </c>
      <c r="I13" s="631">
        <v>6824</v>
      </c>
      <c r="J13" s="631">
        <v>1548</v>
      </c>
      <c r="K13" s="631">
        <v>8372</v>
      </c>
      <c r="L13" s="631">
        <v>34621</v>
      </c>
      <c r="M13" s="631">
        <v>31404</v>
      </c>
      <c r="N13" s="631">
        <v>66025</v>
      </c>
    </row>
    <row r="14" spans="1:14" s="96" customFormat="1" ht="30" customHeight="1" x14ac:dyDescent="0.35">
      <c r="A14" s="6">
        <v>10</v>
      </c>
      <c r="B14" s="99" t="s">
        <v>21</v>
      </c>
      <c r="C14" s="631">
        <v>332406</v>
      </c>
      <c r="D14" s="631">
        <v>235807</v>
      </c>
      <c r="E14" s="631">
        <v>568213</v>
      </c>
      <c r="F14" s="631">
        <v>702972</v>
      </c>
      <c r="G14" s="631">
        <v>579214</v>
      </c>
      <c r="H14" s="631">
        <v>1282186</v>
      </c>
      <c r="I14" s="631">
        <v>9400</v>
      </c>
      <c r="J14" s="631">
        <v>27742</v>
      </c>
      <c r="K14" s="631">
        <v>37142</v>
      </c>
      <c r="L14" s="631">
        <v>1044778</v>
      </c>
      <c r="M14" s="631">
        <v>842763</v>
      </c>
      <c r="N14" s="631">
        <v>1887541</v>
      </c>
    </row>
    <row r="15" spans="1:14" s="96" customFormat="1" ht="30" customHeight="1" x14ac:dyDescent="0.35">
      <c r="A15" s="6">
        <v>11</v>
      </c>
      <c r="B15" s="99" t="s">
        <v>22</v>
      </c>
      <c r="C15" s="631">
        <v>197109</v>
      </c>
      <c r="D15" s="631">
        <v>180440</v>
      </c>
      <c r="E15" s="631">
        <v>377549</v>
      </c>
      <c r="F15" s="631">
        <v>306375</v>
      </c>
      <c r="G15" s="631">
        <v>390736</v>
      </c>
      <c r="H15" s="631">
        <v>697111</v>
      </c>
      <c r="I15" s="631">
        <v>51067</v>
      </c>
      <c r="J15" s="631">
        <v>19835</v>
      </c>
      <c r="K15" s="631">
        <v>70902</v>
      </c>
      <c r="L15" s="631">
        <v>554551</v>
      </c>
      <c r="M15" s="631">
        <v>591011</v>
      </c>
      <c r="N15" s="631">
        <v>1145562</v>
      </c>
    </row>
    <row r="16" spans="1:14" s="96" customFormat="1" ht="30" customHeight="1" x14ac:dyDescent="0.35">
      <c r="A16" s="6">
        <v>12</v>
      </c>
      <c r="B16" s="99" t="s">
        <v>23</v>
      </c>
      <c r="C16" s="631">
        <v>62323</v>
      </c>
      <c r="D16" s="631">
        <v>47146</v>
      </c>
      <c r="E16" s="631">
        <v>109469</v>
      </c>
      <c r="F16" s="631">
        <v>80384.905721966206</v>
      </c>
      <c r="G16" s="631">
        <v>120129.60841493856</v>
      </c>
      <c r="H16" s="631">
        <v>200514.51413690476</v>
      </c>
      <c r="I16" s="631">
        <v>7470</v>
      </c>
      <c r="J16" s="631">
        <v>6314</v>
      </c>
      <c r="K16" s="631">
        <v>13784</v>
      </c>
      <c r="L16" s="631">
        <v>150177.90572196621</v>
      </c>
      <c r="M16" s="631">
        <v>173589.60841493856</v>
      </c>
      <c r="N16" s="631">
        <v>323767.51413690473</v>
      </c>
    </row>
    <row r="17" spans="1:14" s="96" customFormat="1" ht="30" customHeight="1" x14ac:dyDescent="0.35">
      <c r="A17" s="6">
        <v>13</v>
      </c>
      <c r="B17" s="99" t="s">
        <v>24</v>
      </c>
      <c r="C17" s="631">
        <v>80186</v>
      </c>
      <c r="D17" s="631">
        <v>80258</v>
      </c>
      <c r="E17" s="631">
        <v>160444</v>
      </c>
      <c r="F17" s="631">
        <v>100600</v>
      </c>
      <c r="G17" s="631">
        <v>114586</v>
      </c>
      <c r="H17" s="631">
        <v>215186</v>
      </c>
      <c r="I17" s="631">
        <v>9539</v>
      </c>
      <c r="J17" s="631">
        <v>11142</v>
      </c>
      <c r="K17" s="631">
        <v>20681</v>
      </c>
      <c r="L17" s="631">
        <v>190325</v>
      </c>
      <c r="M17" s="631">
        <v>205986</v>
      </c>
      <c r="N17" s="631">
        <v>396311</v>
      </c>
    </row>
    <row r="18" spans="1:14" s="96" customFormat="1" ht="30" customHeight="1" x14ac:dyDescent="0.35">
      <c r="A18" s="6">
        <v>14</v>
      </c>
      <c r="B18" s="99" t="s">
        <v>25</v>
      </c>
      <c r="C18" s="631">
        <v>99721</v>
      </c>
      <c r="D18" s="631">
        <v>84559</v>
      </c>
      <c r="E18" s="631">
        <v>184280</v>
      </c>
      <c r="F18" s="631">
        <v>338195</v>
      </c>
      <c r="G18" s="631">
        <v>348380</v>
      </c>
      <c r="H18" s="631">
        <v>686575</v>
      </c>
      <c r="I18" s="631">
        <v>12910</v>
      </c>
      <c r="J18" s="631">
        <v>17015</v>
      </c>
      <c r="K18" s="631">
        <v>29925</v>
      </c>
      <c r="L18" s="631">
        <v>450826</v>
      </c>
      <c r="M18" s="631">
        <v>449954</v>
      </c>
      <c r="N18" s="631">
        <v>900780</v>
      </c>
    </row>
    <row r="19" spans="1:14" s="96" customFormat="1" ht="30" customHeight="1" x14ac:dyDescent="0.35">
      <c r="A19" s="6">
        <v>15</v>
      </c>
      <c r="B19" s="99" t="s">
        <v>26</v>
      </c>
      <c r="C19" s="631">
        <v>275485</v>
      </c>
      <c r="D19" s="631">
        <v>229536</v>
      </c>
      <c r="E19" s="631">
        <v>505021</v>
      </c>
      <c r="F19" s="631">
        <v>933357.49821218057</v>
      </c>
      <c r="G19" s="631">
        <v>956249.34302959195</v>
      </c>
      <c r="H19" s="631">
        <v>1889606.8412417725</v>
      </c>
      <c r="I19" s="631">
        <v>145967</v>
      </c>
      <c r="J19" s="631">
        <v>97769</v>
      </c>
      <c r="K19" s="631">
        <v>243736</v>
      </c>
      <c r="L19" s="631">
        <v>1354809.4982121806</v>
      </c>
      <c r="M19" s="631">
        <v>1283554.343029592</v>
      </c>
      <c r="N19" s="631">
        <v>2638363.8412417723</v>
      </c>
    </row>
    <row r="20" spans="1:14" s="96" customFormat="1" ht="30" customHeight="1" x14ac:dyDescent="0.35">
      <c r="A20" s="6">
        <v>16</v>
      </c>
      <c r="B20" s="99" t="s">
        <v>27</v>
      </c>
      <c r="C20" s="631">
        <v>119909</v>
      </c>
      <c r="D20" s="631">
        <v>156330</v>
      </c>
      <c r="E20" s="631">
        <v>276239</v>
      </c>
      <c r="F20" s="631">
        <v>343036.94894202409</v>
      </c>
      <c r="G20" s="631">
        <v>519310.52912446758</v>
      </c>
      <c r="H20" s="631">
        <v>862347.47806649166</v>
      </c>
      <c r="I20" s="631">
        <v>49711</v>
      </c>
      <c r="J20" s="631">
        <v>36002</v>
      </c>
      <c r="K20" s="631">
        <v>85713</v>
      </c>
      <c r="L20" s="631">
        <v>512656.94894202409</v>
      </c>
      <c r="M20" s="631">
        <v>711642.52912446763</v>
      </c>
      <c r="N20" s="631">
        <v>1224299.4780664917</v>
      </c>
    </row>
    <row r="21" spans="1:14" s="96" customFormat="1" ht="30" customHeight="1" x14ac:dyDescent="0.35">
      <c r="A21" s="6">
        <v>17</v>
      </c>
      <c r="B21" s="99" t="s">
        <v>28</v>
      </c>
      <c r="C21" s="631">
        <v>272</v>
      </c>
      <c r="D21" s="631">
        <v>487</v>
      </c>
      <c r="E21" s="631">
        <v>759</v>
      </c>
      <c r="F21" s="631">
        <v>1119</v>
      </c>
      <c r="G21" s="631">
        <v>1991</v>
      </c>
      <c r="H21" s="631">
        <v>3110</v>
      </c>
      <c r="I21" s="631">
        <v>266</v>
      </c>
      <c r="J21" s="631">
        <v>543</v>
      </c>
      <c r="K21" s="631">
        <v>809</v>
      </c>
      <c r="L21" s="631">
        <v>1657</v>
      </c>
      <c r="M21" s="631">
        <v>3021</v>
      </c>
      <c r="N21" s="631">
        <v>4678</v>
      </c>
    </row>
    <row r="22" spans="1:14" s="96" customFormat="1" ht="30" customHeight="1" x14ac:dyDescent="0.35">
      <c r="A22" s="6">
        <v>18</v>
      </c>
      <c r="B22" s="99" t="s">
        <v>72</v>
      </c>
      <c r="C22" s="631">
        <v>0</v>
      </c>
      <c r="D22" s="631"/>
      <c r="E22" s="631"/>
      <c r="F22" s="631">
        <v>192</v>
      </c>
      <c r="G22" s="631">
        <v>321</v>
      </c>
      <c r="H22" s="631">
        <v>513</v>
      </c>
      <c r="I22" s="631">
        <v>0</v>
      </c>
      <c r="J22" s="631"/>
      <c r="K22" s="631"/>
      <c r="L22" s="631">
        <v>192</v>
      </c>
      <c r="M22" s="631">
        <v>321</v>
      </c>
      <c r="N22" s="631">
        <v>513</v>
      </c>
    </row>
    <row r="23" spans="1:14" s="96" customFormat="1" ht="30" customHeight="1" x14ac:dyDescent="0.35">
      <c r="A23" s="6">
        <v>19</v>
      </c>
      <c r="B23" s="99" t="s">
        <v>29</v>
      </c>
      <c r="C23" s="631">
        <v>460440</v>
      </c>
      <c r="D23" s="631">
        <v>285157</v>
      </c>
      <c r="E23" s="631">
        <v>745597</v>
      </c>
      <c r="F23" s="631">
        <v>937317.56871095893</v>
      </c>
      <c r="G23" s="631">
        <v>983844.29468023928</v>
      </c>
      <c r="H23" s="631">
        <v>1921161.8633911982</v>
      </c>
      <c r="I23" s="631">
        <v>39694</v>
      </c>
      <c r="J23" s="631">
        <v>28796</v>
      </c>
      <c r="K23" s="631">
        <v>68490</v>
      </c>
      <c r="L23" s="631">
        <v>1437451.5687109591</v>
      </c>
      <c r="M23" s="631">
        <v>1297797.2946802392</v>
      </c>
      <c r="N23" s="631">
        <v>2735248.8633911982</v>
      </c>
    </row>
    <row r="24" spans="1:14" s="96" customFormat="1" ht="30" customHeight="1" x14ac:dyDescent="0.35">
      <c r="A24" s="6">
        <v>20</v>
      </c>
      <c r="B24" s="99" t="s">
        <v>30</v>
      </c>
      <c r="C24" s="631">
        <v>586150</v>
      </c>
      <c r="D24" s="631">
        <v>417833</v>
      </c>
      <c r="E24" s="631">
        <v>1003983</v>
      </c>
      <c r="F24" s="631">
        <v>1849707.4556586256</v>
      </c>
      <c r="G24" s="631">
        <v>1620221.0687756974</v>
      </c>
      <c r="H24" s="631">
        <v>3469928.524434323</v>
      </c>
      <c r="I24" s="631">
        <v>215683</v>
      </c>
      <c r="J24" s="631">
        <v>169535</v>
      </c>
      <c r="K24" s="631">
        <v>385218</v>
      </c>
      <c r="L24" s="631">
        <v>2651540.4556586258</v>
      </c>
      <c r="M24" s="631">
        <v>2207589.0687756976</v>
      </c>
      <c r="N24" s="631">
        <v>4859129.5244343225</v>
      </c>
    </row>
    <row r="25" spans="1:14" s="96" customFormat="1" ht="30" customHeight="1" x14ac:dyDescent="0.35">
      <c r="A25" s="6">
        <v>21</v>
      </c>
      <c r="B25" s="99" t="s">
        <v>31</v>
      </c>
      <c r="C25" s="631">
        <v>11159</v>
      </c>
      <c r="D25" s="631">
        <v>10091</v>
      </c>
      <c r="E25" s="631">
        <v>21250</v>
      </c>
      <c r="F25" s="631">
        <v>49333.737123557556</v>
      </c>
      <c r="G25" s="631">
        <v>48742.478187447225</v>
      </c>
      <c r="H25" s="631">
        <v>98076.21531100478</v>
      </c>
      <c r="I25" s="631">
        <v>1282</v>
      </c>
      <c r="J25" s="631">
        <v>2398</v>
      </c>
      <c r="K25" s="631">
        <v>3680</v>
      </c>
      <c r="L25" s="631">
        <v>61774.737123557556</v>
      </c>
      <c r="M25" s="631">
        <v>61231.478187447225</v>
      </c>
      <c r="N25" s="631">
        <v>123006.21531100478</v>
      </c>
    </row>
    <row r="26" spans="1:14" s="96" customFormat="1" ht="30" customHeight="1" x14ac:dyDescent="0.35">
      <c r="A26" s="6">
        <v>22</v>
      </c>
      <c r="B26" s="99" t="s">
        <v>32</v>
      </c>
      <c r="C26" s="631">
        <v>12666</v>
      </c>
      <c r="D26" s="631">
        <v>15237</v>
      </c>
      <c r="E26" s="631">
        <v>27903</v>
      </c>
      <c r="F26" s="631">
        <v>30963.484848484848</v>
      </c>
      <c r="G26" s="631">
        <v>39004.878787878784</v>
      </c>
      <c r="H26" s="631">
        <v>69968.363636363632</v>
      </c>
      <c r="I26" s="631">
        <v>1388</v>
      </c>
      <c r="J26" s="631">
        <v>2673</v>
      </c>
      <c r="K26" s="631">
        <v>4061</v>
      </c>
      <c r="L26" s="631">
        <v>45017.484848484848</v>
      </c>
      <c r="M26" s="631">
        <v>56914.878787878784</v>
      </c>
      <c r="N26" s="631">
        <v>101932.36363636363</v>
      </c>
    </row>
    <row r="27" spans="1:14" s="96" customFormat="1" ht="30" customHeight="1" x14ac:dyDescent="0.35">
      <c r="A27" s="6">
        <v>23</v>
      </c>
      <c r="B27" s="99" t="s">
        <v>33</v>
      </c>
      <c r="C27" s="631">
        <v>6058</v>
      </c>
      <c r="D27" s="631">
        <v>6156</v>
      </c>
      <c r="E27" s="631">
        <v>12214</v>
      </c>
      <c r="F27" s="631">
        <v>13728</v>
      </c>
      <c r="G27" s="631">
        <v>12663</v>
      </c>
      <c r="H27" s="631">
        <v>26391</v>
      </c>
      <c r="I27" s="631">
        <v>4395</v>
      </c>
      <c r="J27" s="631">
        <v>5611</v>
      </c>
      <c r="K27" s="631">
        <v>10006</v>
      </c>
      <c r="L27" s="631">
        <v>24181</v>
      </c>
      <c r="M27" s="631">
        <v>24430</v>
      </c>
      <c r="N27" s="631">
        <v>48611</v>
      </c>
    </row>
    <row r="28" spans="1:14" s="96" customFormat="1" ht="30" customHeight="1" x14ac:dyDescent="0.35">
      <c r="A28" s="6">
        <v>24</v>
      </c>
      <c r="B28" s="99" t="s">
        <v>34</v>
      </c>
      <c r="C28" s="631">
        <v>5514</v>
      </c>
      <c r="D28" s="631">
        <v>6796</v>
      </c>
      <c r="E28" s="631">
        <v>12310</v>
      </c>
      <c r="F28" s="631">
        <v>16662</v>
      </c>
      <c r="G28" s="631">
        <v>20285</v>
      </c>
      <c r="H28" s="631">
        <v>36947</v>
      </c>
      <c r="I28" s="631">
        <v>763</v>
      </c>
      <c r="J28" s="631">
        <v>1286</v>
      </c>
      <c r="K28" s="631">
        <v>2049</v>
      </c>
      <c r="L28" s="631">
        <v>22939</v>
      </c>
      <c r="M28" s="631">
        <v>28367</v>
      </c>
      <c r="N28" s="631">
        <v>51306</v>
      </c>
    </row>
    <row r="29" spans="1:14" s="96" customFormat="1" ht="30" customHeight="1" x14ac:dyDescent="0.35">
      <c r="A29" s="6">
        <v>25</v>
      </c>
      <c r="B29" s="99" t="s">
        <v>35</v>
      </c>
      <c r="C29" s="631">
        <v>100208</v>
      </c>
      <c r="D29" s="631">
        <v>89792</v>
      </c>
      <c r="E29" s="631">
        <v>190000</v>
      </c>
      <c r="F29" s="631">
        <v>381672</v>
      </c>
      <c r="G29" s="631">
        <v>380386</v>
      </c>
      <c r="H29" s="631">
        <v>762058</v>
      </c>
      <c r="I29" s="631">
        <v>101216</v>
      </c>
      <c r="J29" s="631">
        <v>48334</v>
      </c>
      <c r="K29" s="631">
        <v>149550</v>
      </c>
      <c r="L29" s="631">
        <v>583096</v>
      </c>
      <c r="M29" s="631">
        <v>518512</v>
      </c>
      <c r="N29" s="631">
        <v>1101608</v>
      </c>
    </row>
    <row r="30" spans="1:14" s="96" customFormat="1" ht="30" customHeight="1" x14ac:dyDescent="0.35">
      <c r="A30" s="6">
        <v>26</v>
      </c>
      <c r="B30" s="99" t="s">
        <v>36</v>
      </c>
      <c r="C30" s="631">
        <v>20573</v>
      </c>
      <c r="D30" s="631">
        <v>19142</v>
      </c>
      <c r="E30" s="631">
        <v>39715</v>
      </c>
      <c r="F30" s="631">
        <v>25037.569298245609</v>
      </c>
      <c r="G30" s="631">
        <v>32887.012280701747</v>
      </c>
      <c r="H30" s="631">
        <v>57924.581578947356</v>
      </c>
      <c r="I30" s="631">
        <v>2448</v>
      </c>
      <c r="J30" s="631">
        <v>536</v>
      </c>
      <c r="K30" s="631">
        <v>2984</v>
      </c>
      <c r="L30" s="631">
        <v>48058.569298245609</v>
      </c>
      <c r="M30" s="631">
        <v>52565.012280701747</v>
      </c>
      <c r="N30" s="631">
        <v>100623.58157894736</v>
      </c>
    </row>
    <row r="31" spans="1:14" s="96" customFormat="1" ht="30" customHeight="1" x14ac:dyDescent="0.35">
      <c r="A31" s="6">
        <v>27</v>
      </c>
      <c r="B31" s="99" t="s">
        <v>37</v>
      </c>
      <c r="C31" s="631">
        <v>184710</v>
      </c>
      <c r="D31" s="631">
        <v>131796</v>
      </c>
      <c r="E31" s="631">
        <v>316506</v>
      </c>
      <c r="F31" s="631">
        <v>245722.76086956525</v>
      </c>
      <c r="G31" s="631">
        <v>289163.02898550726</v>
      </c>
      <c r="H31" s="631">
        <v>534885.78985507251</v>
      </c>
      <c r="I31" s="631">
        <v>36410</v>
      </c>
      <c r="J31" s="631">
        <v>28144</v>
      </c>
      <c r="K31" s="631">
        <v>64554</v>
      </c>
      <c r="L31" s="631">
        <v>466842.76086956525</v>
      </c>
      <c r="M31" s="631">
        <v>449103.02898550726</v>
      </c>
      <c r="N31" s="631">
        <v>915945.78985507251</v>
      </c>
    </row>
    <row r="32" spans="1:14" s="96" customFormat="1" ht="30" customHeight="1" x14ac:dyDescent="0.35">
      <c r="A32" s="6">
        <v>28</v>
      </c>
      <c r="B32" s="99" t="s">
        <v>38</v>
      </c>
      <c r="C32" s="631">
        <v>407029</v>
      </c>
      <c r="D32" s="631">
        <v>282394</v>
      </c>
      <c r="E32" s="631">
        <v>689423</v>
      </c>
      <c r="F32" s="631">
        <v>903386.0212758343</v>
      </c>
      <c r="G32" s="631">
        <v>966788.41116138117</v>
      </c>
      <c r="H32" s="631">
        <v>1870174.4324372155</v>
      </c>
      <c r="I32" s="631">
        <v>48438</v>
      </c>
      <c r="J32" s="631">
        <v>27382</v>
      </c>
      <c r="K32" s="631">
        <v>75820</v>
      </c>
      <c r="L32" s="631">
        <v>1358853.0212758342</v>
      </c>
      <c r="M32" s="631">
        <v>1276564.4111613813</v>
      </c>
      <c r="N32" s="631">
        <v>2635417.4324372155</v>
      </c>
    </row>
    <row r="33" spans="1:17" s="96" customFormat="1" ht="30" customHeight="1" x14ac:dyDescent="0.35">
      <c r="A33" s="6">
        <v>29</v>
      </c>
      <c r="B33" s="99" t="s">
        <v>39</v>
      </c>
      <c r="C33" s="631">
        <v>7845</v>
      </c>
      <c r="D33" s="631">
        <v>8115</v>
      </c>
      <c r="E33" s="631">
        <v>15960</v>
      </c>
      <c r="F33" s="631">
        <v>7389.5555555555529</v>
      </c>
      <c r="G33" s="631">
        <v>8873.7777777777774</v>
      </c>
      <c r="H33" s="631">
        <v>16263.33333333333</v>
      </c>
      <c r="I33" s="631">
        <v>912</v>
      </c>
      <c r="J33" s="631">
        <v>716</v>
      </c>
      <c r="K33" s="631">
        <v>1628</v>
      </c>
      <c r="L33" s="631">
        <v>16146.555555555553</v>
      </c>
      <c r="M33" s="631">
        <v>17704.777777777777</v>
      </c>
      <c r="N33" s="631">
        <v>33851.333333333328</v>
      </c>
    </row>
    <row r="34" spans="1:17" s="96" customFormat="1" ht="30" customHeight="1" x14ac:dyDescent="0.35">
      <c r="A34" s="6">
        <v>30</v>
      </c>
      <c r="B34" s="99" t="s">
        <v>40</v>
      </c>
      <c r="C34" s="631">
        <v>445004</v>
      </c>
      <c r="D34" s="631">
        <v>328715</v>
      </c>
      <c r="E34" s="631">
        <v>773719</v>
      </c>
      <c r="F34" s="631">
        <v>1114117.7439248355</v>
      </c>
      <c r="G34" s="631">
        <v>1299116.0480774425</v>
      </c>
      <c r="H34" s="631">
        <v>2413233.7920022779</v>
      </c>
      <c r="I34" s="631">
        <v>186758</v>
      </c>
      <c r="J34" s="631">
        <v>31278</v>
      </c>
      <c r="K34" s="631">
        <v>218036</v>
      </c>
      <c r="L34" s="631">
        <v>1745879.7439248355</v>
      </c>
      <c r="M34" s="631">
        <v>1659109.0480774425</v>
      </c>
      <c r="N34" s="631">
        <v>3404988.7920022779</v>
      </c>
    </row>
    <row r="35" spans="1:17" s="96" customFormat="1" ht="30" customHeight="1" x14ac:dyDescent="0.35">
      <c r="A35" s="6">
        <v>31</v>
      </c>
      <c r="B35" s="99" t="s">
        <v>41</v>
      </c>
      <c r="C35" s="631">
        <v>147265</v>
      </c>
      <c r="D35" s="631">
        <v>131128</v>
      </c>
      <c r="E35" s="631">
        <v>278393</v>
      </c>
      <c r="F35" s="631">
        <v>634054.47943106527</v>
      </c>
      <c r="G35" s="631">
        <v>687227.73486957024</v>
      </c>
      <c r="H35" s="631">
        <v>1321282.2143006355</v>
      </c>
      <c r="I35" s="631">
        <v>37269</v>
      </c>
      <c r="J35" s="631">
        <v>34618</v>
      </c>
      <c r="K35" s="631">
        <v>71887</v>
      </c>
      <c r="L35" s="631">
        <v>818588.47943106527</v>
      </c>
      <c r="M35" s="631">
        <v>852973.73486957024</v>
      </c>
      <c r="N35" s="631">
        <v>1671562.2143006355</v>
      </c>
    </row>
    <row r="36" spans="1:17" s="96" customFormat="1" ht="30" customHeight="1" x14ac:dyDescent="0.35">
      <c r="A36" s="6">
        <v>32</v>
      </c>
      <c r="B36" s="72" t="s">
        <v>60</v>
      </c>
      <c r="C36" s="631">
        <v>280</v>
      </c>
      <c r="D36" s="631">
        <v>89</v>
      </c>
      <c r="E36" s="631">
        <v>369</v>
      </c>
      <c r="F36" s="631">
        <v>6245</v>
      </c>
      <c r="G36" s="631">
        <v>6286</v>
      </c>
      <c r="H36" s="631">
        <v>12531</v>
      </c>
      <c r="I36" s="631">
        <v>82</v>
      </c>
      <c r="J36" s="631">
        <v>27</v>
      </c>
      <c r="K36" s="631">
        <v>109</v>
      </c>
      <c r="L36" s="631">
        <v>6607</v>
      </c>
      <c r="M36" s="631">
        <v>6402</v>
      </c>
      <c r="N36" s="631">
        <v>13009</v>
      </c>
    </row>
    <row r="37" spans="1:17" s="96" customFormat="1" ht="30" customHeight="1" x14ac:dyDescent="0.35">
      <c r="A37" s="6">
        <v>33</v>
      </c>
      <c r="B37" s="99" t="s">
        <v>42</v>
      </c>
      <c r="C37" s="631">
        <v>12298</v>
      </c>
      <c r="D37" s="631">
        <v>9519</v>
      </c>
      <c r="E37" s="631">
        <v>21817</v>
      </c>
      <c r="F37" s="631">
        <v>39162</v>
      </c>
      <c r="G37" s="631">
        <v>39448</v>
      </c>
      <c r="H37" s="631">
        <v>78610</v>
      </c>
      <c r="I37" s="631">
        <v>708</v>
      </c>
      <c r="J37" s="631">
        <v>1189</v>
      </c>
      <c r="K37" s="631">
        <v>1897</v>
      </c>
      <c r="L37" s="631">
        <v>52168</v>
      </c>
      <c r="M37" s="631">
        <v>50156</v>
      </c>
      <c r="N37" s="631">
        <v>102324</v>
      </c>
    </row>
    <row r="38" spans="1:17" s="96" customFormat="1" ht="30" customHeight="1" x14ac:dyDescent="0.35">
      <c r="A38" s="6">
        <v>34</v>
      </c>
      <c r="B38" s="99" t="s">
        <v>43</v>
      </c>
      <c r="C38" s="631">
        <v>501415</v>
      </c>
      <c r="D38" s="631">
        <v>315002</v>
      </c>
      <c r="E38" s="631">
        <v>816417</v>
      </c>
      <c r="F38" s="631">
        <v>3063467.4693300598</v>
      </c>
      <c r="G38" s="631">
        <v>3106645.1513036094</v>
      </c>
      <c r="H38" s="631">
        <v>6170112.6206336692</v>
      </c>
      <c r="I38" s="631">
        <v>163918</v>
      </c>
      <c r="J38" s="631">
        <v>94505</v>
      </c>
      <c r="K38" s="631">
        <v>258423</v>
      </c>
      <c r="L38" s="631">
        <v>3728800.4693300598</v>
      </c>
      <c r="M38" s="631">
        <v>3516152.1513036094</v>
      </c>
      <c r="N38" s="631">
        <v>7244952.6206336692</v>
      </c>
    </row>
    <row r="39" spans="1:17" s="96" customFormat="1" ht="30" customHeight="1" x14ac:dyDescent="0.35">
      <c r="A39" s="6">
        <v>35</v>
      </c>
      <c r="B39" s="99" t="s">
        <v>44</v>
      </c>
      <c r="C39" s="631">
        <v>148443</v>
      </c>
      <c r="D39" s="631">
        <v>120426</v>
      </c>
      <c r="E39" s="631">
        <v>268869</v>
      </c>
      <c r="F39" s="631">
        <v>126025.55586492465</v>
      </c>
      <c r="G39" s="631">
        <v>162238.37506915038</v>
      </c>
      <c r="H39" s="631">
        <v>288263.93093407503</v>
      </c>
      <c r="I39" s="631">
        <v>16259</v>
      </c>
      <c r="J39" s="631">
        <v>6023</v>
      </c>
      <c r="K39" s="631">
        <v>22282</v>
      </c>
      <c r="L39" s="631">
        <v>290727.55586492468</v>
      </c>
      <c r="M39" s="631">
        <v>288687.37506915035</v>
      </c>
      <c r="N39" s="631">
        <v>579414.93093407503</v>
      </c>
    </row>
    <row r="40" spans="1:17" s="96" customFormat="1" ht="30" customHeight="1" x14ac:dyDescent="0.35">
      <c r="A40" s="6">
        <v>36</v>
      </c>
      <c r="B40" s="99" t="s">
        <v>45</v>
      </c>
      <c r="C40" s="631">
        <v>426621</v>
      </c>
      <c r="D40" s="631">
        <v>337819</v>
      </c>
      <c r="E40" s="631">
        <v>764440</v>
      </c>
      <c r="F40" s="631">
        <v>832994.66666666663</v>
      </c>
      <c r="G40" s="631">
        <v>933373.83333333337</v>
      </c>
      <c r="H40" s="631">
        <v>1766368.5</v>
      </c>
      <c r="I40" s="631">
        <v>101185</v>
      </c>
      <c r="J40" s="631">
        <v>60875</v>
      </c>
      <c r="K40" s="631">
        <v>162060</v>
      </c>
      <c r="L40" s="631">
        <v>1360800.6666666665</v>
      </c>
      <c r="M40" s="631">
        <v>1332067.8333333335</v>
      </c>
      <c r="N40" s="631">
        <v>2692868.5</v>
      </c>
    </row>
    <row r="41" spans="1:17" s="101" customFormat="1" ht="30" customHeight="1" x14ac:dyDescent="0.35">
      <c r="A41" s="670" t="s">
        <v>46</v>
      </c>
      <c r="B41" s="670"/>
      <c r="C41" s="633">
        <v>5783775</v>
      </c>
      <c r="D41" s="633">
        <v>4516256</v>
      </c>
      <c r="E41" s="633">
        <v>10300031</v>
      </c>
      <c r="F41" s="633">
        <v>15709324.625616824</v>
      </c>
      <c r="G41" s="633">
        <v>16363294.615062037</v>
      </c>
      <c r="H41" s="633">
        <v>32072619.240678865</v>
      </c>
      <c r="I41" s="633">
        <v>1384272</v>
      </c>
      <c r="J41" s="633">
        <v>875339</v>
      </c>
      <c r="K41" s="633">
        <v>2259611</v>
      </c>
      <c r="L41" s="633">
        <v>22877371.62561683</v>
      </c>
      <c r="M41" s="633">
        <v>21754889.615062036</v>
      </c>
      <c r="N41" s="633">
        <v>44632261.240678862</v>
      </c>
      <c r="O41" s="96"/>
      <c r="P41" s="96"/>
      <c r="Q41" s="96"/>
    </row>
  </sheetData>
  <mergeCells count="7">
    <mergeCell ref="I2:K2"/>
    <mergeCell ref="L2:N2"/>
    <mergeCell ref="A41:B41"/>
    <mergeCell ref="A2:A3"/>
    <mergeCell ref="B2:B3"/>
    <mergeCell ref="C2:E2"/>
    <mergeCell ref="F2:H2"/>
  </mergeCells>
  <pageMargins left="0.39370078740157483" right="0.35433070866141736" top="0.39370078740157483" bottom="0.39370078740157483" header="0.31496062992125984" footer="0.19685039370078741"/>
  <pageSetup paperSize="9" scale="60" firstPageNumber="20" fitToWidth="0" fitToHeight="0" orientation="portrait" r:id="rId1"/>
  <headerFooter>
    <oddFooter>&amp;L&amp;"Arial,Italic"&amp;9AISHE 2022-23&amp;RT-10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4356-9655-484F-8A9E-FC4090DC8A94}">
  <sheetPr codeName="Sheet17">
    <tabColor rgb="FF92D050"/>
  </sheetPr>
  <dimension ref="A1:AC240"/>
  <sheetViews>
    <sheetView view="pageBreakPreview" zoomScaleSheetLayoutView="100" workbookViewId="0">
      <pane ySplit="4" topLeftCell="A5" activePane="bottomLeft" state="frozen"/>
      <selection activeCell="S20" sqref="S20"/>
      <selection pane="bottomLeft" activeCell="B5" sqref="B5"/>
    </sheetView>
  </sheetViews>
  <sheetFormatPr defaultColWidth="9.26953125" defaultRowHeight="14" x14ac:dyDescent="0.35"/>
  <cols>
    <col min="1" max="1" width="7.453125" style="104" bestFit="1" customWidth="1"/>
    <col min="2" max="2" width="30.7265625" style="106" customWidth="1"/>
    <col min="3" max="11" width="12.453125" style="104" customWidth="1"/>
    <col min="12" max="20" width="11.7265625" style="104" customWidth="1"/>
    <col min="21" max="26" width="16.26953125" style="104" customWidth="1"/>
    <col min="27" max="16384" width="9.26953125" style="104"/>
  </cols>
  <sheetData>
    <row r="1" spans="1:29" s="288" customFormat="1" ht="40.5" customHeight="1" x14ac:dyDescent="0.35">
      <c r="A1" s="780" t="s">
        <v>926</v>
      </c>
      <c r="B1" s="780"/>
      <c r="C1" s="779" t="s">
        <v>1041</v>
      </c>
      <c r="D1" s="779"/>
      <c r="E1" s="779"/>
      <c r="F1" s="779"/>
      <c r="G1" s="779"/>
      <c r="H1" s="779"/>
      <c r="I1" s="779"/>
      <c r="J1" s="779"/>
      <c r="K1" s="779"/>
      <c r="L1" s="779" t="s">
        <v>1041</v>
      </c>
      <c r="M1" s="779"/>
      <c r="N1" s="779"/>
      <c r="O1" s="779"/>
      <c r="P1" s="779"/>
      <c r="Q1" s="779"/>
      <c r="R1" s="779"/>
      <c r="S1" s="779"/>
      <c r="T1" s="779"/>
      <c r="U1" s="779" t="s">
        <v>1035</v>
      </c>
      <c r="V1" s="779"/>
      <c r="W1" s="779"/>
      <c r="X1" s="779"/>
      <c r="Y1" s="779"/>
      <c r="Z1" s="779"/>
      <c r="AA1" s="564"/>
      <c r="AB1" s="564"/>
      <c r="AC1" s="564"/>
    </row>
    <row r="2" spans="1:29" s="322" customFormat="1" ht="31.5" customHeight="1" x14ac:dyDescent="0.35">
      <c r="A2" s="781" t="s">
        <v>49</v>
      </c>
      <c r="B2" s="783" t="s">
        <v>120</v>
      </c>
      <c r="C2" s="778" t="s">
        <v>927</v>
      </c>
      <c r="D2" s="778"/>
      <c r="E2" s="778"/>
      <c r="F2" s="778" t="s">
        <v>928</v>
      </c>
      <c r="G2" s="778"/>
      <c r="H2" s="778"/>
      <c r="I2" s="778" t="s">
        <v>929</v>
      </c>
      <c r="J2" s="778"/>
      <c r="K2" s="778"/>
      <c r="L2" s="778" t="s">
        <v>930</v>
      </c>
      <c r="M2" s="778"/>
      <c r="N2" s="778"/>
      <c r="O2" s="778" t="s">
        <v>121</v>
      </c>
      <c r="P2" s="778"/>
      <c r="Q2" s="778"/>
      <c r="R2" s="778" t="s">
        <v>122</v>
      </c>
      <c r="S2" s="778"/>
      <c r="T2" s="778"/>
      <c r="U2" s="778" t="s">
        <v>123</v>
      </c>
      <c r="V2" s="778"/>
      <c r="W2" s="778"/>
      <c r="X2" s="778" t="s">
        <v>124</v>
      </c>
      <c r="Y2" s="778"/>
      <c r="Z2" s="778"/>
    </row>
    <row r="3" spans="1:29" s="323" customFormat="1" ht="23.25" customHeight="1" x14ac:dyDescent="0.35">
      <c r="A3" s="782"/>
      <c r="B3" s="783"/>
      <c r="C3" s="289" t="s">
        <v>93</v>
      </c>
      <c r="D3" s="289" t="s">
        <v>94</v>
      </c>
      <c r="E3" s="289" t="s">
        <v>54</v>
      </c>
      <c r="F3" s="289" t="s">
        <v>93</v>
      </c>
      <c r="G3" s="289" t="s">
        <v>94</v>
      </c>
      <c r="H3" s="289" t="s">
        <v>54</v>
      </c>
      <c r="I3" s="289" t="s">
        <v>93</v>
      </c>
      <c r="J3" s="289" t="s">
        <v>94</v>
      </c>
      <c r="K3" s="289" t="s">
        <v>54</v>
      </c>
      <c r="L3" s="289" t="s">
        <v>93</v>
      </c>
      <c r="M3" s="289" t="s">
        <v>94</v>
      </c>
      <c r="N3" s="289" t="s">
        <v>54</v>
      </c>
      <c r="O3" s="289" t="s">
        <v>93</v>
      </c>
      <c r="P3" s="289" t="s">
        <v>94</v>
      </c>
      <c r="Q3" s="289" t="s">
        <v>54</v>
      </c>
      <c r="R3" s="289" t="s">
        <v>93</v>
      </c>
      <c r="S3" s="289" t="s">
        <v>94</v>
      </c>
      <c r="T3" s="289" t="s">
        <v>54</v>
      </c>
      <c r="U3" s="289" t="s">
        <v>93</v>
      </c>
      <c r="V3" s="289" t="s">
        <v>94</v>
      </c>
      <c r="W3" s="289" t="s">
        <v>54</v>
      </c>
      <c r="X3" s="289" t="s">
        <v>93</v>
      </c>
      <c r="Y3" s="289" t="s">
        <v>94</v>
      </c>
      <c r="Z3" s="289" t="s">
        <v>54</v>
      </c>
    </row>
    <row r="4" spans="1:29" s="324" customFormat="1" ht="11.5" x14ac:dyDescent="0.35">
      <c r="A4" s="102">
        <v>1</v>
      </c>
      <c r="B4" s="102">
        <v>2</v>
      </c>
      <c r="C4" s="102">
        <v>3</v>
      </c>
      <c r="D4" s="102">
        <v>4</v>
      </c>
      <c r="E4" s="102">
        <v>5</v>
      </c>
      <c r="F4" s="102">
        <v>6</v>
      </c>
      <c r="G4" s="102">
        <v>7</v>
      </c>
      <c r="H4" s="102">
        <v>8</v>
      </c>
      <c r="I4" s="102">
        <v>9</v>
      </c>
      <c r="J4" s="102">
        <v>10</v>
      </c>
      <c r="K4" s="102">
        <v>11</v>
      </c>
      <c r="L4" s="102">
        <v>12</v>
      </c>
      <c r="M4" s="102">
        <v>13</v>
      </c>
      <c r="N4" s="102">
        <v>14</v>
      </c>
      <c r="O4" s="102">
        <v>15</v>
      </c>
      <c r="P4" s="102">
        <v>16</v>
      </c>
      <c r="Q4" s="102">
        <v>17</v>
      </c>
      <c r="R4" s="102">
        <v>18</v>
      </c>
      <c r="S4" s="102">
        <v>19</v>
      </c>
      <c r="T4" s="102">
        <v>20</v>
      </c>
      <c r="U4" s="102">
        <v>21</v>
      </c>
      <c r="V4" s="102">
        <v>22</v>
      </c>
      <c r="W4" s="102">
        <v>23</v>
      </c>
      <c r="X4" s="102">
        <v>24</v>
      </c>
      <c r="Y4" s="102">
        <v>25</v>
      </c>
      <c r="Z4" s="102">
        <v>26</v>
      </c>
    </row>
    <row r="5" spans="1:29" x14ac:dyDescent="0.3">
      <c r="A5" s="286">
        <v>1</v>
      </c>
      <c r="B5" s="291" t="s">
        <v>210</v>
      </c>
      <c r="C5" s="647">
        <v>905563</v>
      </c>
      <c r="D5" s="634">
        <v>1427542</v>
      </c>
      <c r="E5" s="634">
        <v>2333105</v>
      </c>
      <c r="F5" s="647">
        <v>167105</v>
      </c>
      <c r="G5" s="634">
        <v>232189</v>
      </c>
      <c r="H5" s="634">
        <v>399294</v>
      </c>
      <c r="I5" s="647">
        <v>86504</v>
      </c>
      <c r="J5" s="634">
        <v>120703</v>
      </c>
      <c r="K5" s="634">
        <v>207207</v>
      </c>
      <c r="L5" s="647">
        <v>334621</v>
      </c>
      <c r="M5" s="634">
        <v>518347</v>
      </c>
      <c r="N5" s="634">
        <v>852968</v>
      </c>
      <c r="O5" s="647">
        <v>4531</v>
      </c>
      <c r="P5" s="634">
        <v>3140</v>
      </c>
      <c r="Q5" s="634">
        <v>7671</v>
      </c>
      <c r="R5" s="647">
        <v>36012</v>
      </c>
      <c r="S5" s="634">
        <v>62094</v>
      </c>
      <c r="T5" s="634">
        <v>98106</v>
      </c>
      <c r="U5" s="647">
        <v>12450</v>
      </c>
      <c r="V5" s="634">
        <v>26233</v>
      </c>
      <c r="W5" s="634">
        <v>38683</v>
      </c>
      <c r="X5" s="647">
        <v>18231</v>
      </c>
      <c r="Y5" s="634">
        <v>26780</v>
      </c>
      <c r="Z5" s="634">
        <v>45011</v>
      </c>
    </row>
    <row r="6" spans="1:29" ht="26" x14ac:dyDescent="0.3">
      <c r="A6" s="286">
        <v>2</v>
      </c>
      <c r="B6" s="291" t="s">
        <v>228</v>
      </c>
      <c r="C6" s="647">
        <v>2783</v>
      </c>
      <c r="D6" s="634">
        <v>2352</v>
      </c>
      <c r="E6" s="634">
        <v>5135</v>
      </c>
      <c r="F6" s="647">
        <v>390</v>
      </c>
      <c r="G6" s="634">
        <v>253</v>
      </c>
      <c r="H6" s="634">
        <v>643</v>
      </c>
      <c r="I6" s="647">
        <v>119</v>
      </c>
      <c r="J6" s="634">
        <v>88</v>
      </c>
      <c r="K6" s="634">
        <v>207</v>
      </c>
      <c r="L6" s="647">
        <v>811</v>
      </c>
      <c r="M6" s="634">
        <v>539</v>
      </c>
      <c r="N6" s="634">
        <v>1350</v>
      </c>
      <c r="O6" s="647">
        <v>3</v>
      </c>
      <c r="P6" s="634">
        <v>0</v>
      </c>
      <c r="Q6" s="634">
        <v>3</v>
      </c>
      <c r="R6" s="647">
        <v>142</v>
      </c>
      <c r="S6" s="634">
        <v>140</v>
      </c>
      <c r="T6" s="634">
        <v>282</v>
      </c>
      <c r="U6" s="647">
        <v>72</v>
      </c>
      <c r="V6" s="634">
        <v>77</v>
      </c>
      <c r="W6" s="634">
        <v>149</v>
      </c>
      <c r="X6" s="647">
        <v>77</v>
      </c>
      <c r="Y6" s="634">
        <v>68</v>
      </c>
      <c r="Z6" s="634">
        <v>145</v>
      </c>
    </row>
    <row r="7" spans="1:29" x14ac:dyDescent="0.3">
      <c r="A7" s="286">
        <v>3</v>
      </c>
      <c r="B7" s="291" t="s">
        <v>263</v>
      </c>
      <c r="C7" s="647">
        <v>116544</v>
      </c>
      <c r="D7" s="634">
        <v>97977</v>
      </c>
      <c r="E7" s="634">
        <v>214521</v>
      </c>
      <c r="F7" s="647">
        <v>14880</v>
      </c>
      <c r="G7" s="634">
        <v>12604</v>
      </c>
      <c r="H7" s="634">
        <v>27484</v>
      </c>
      <c r="I7" s="647">
        <v>7158</v>
      </c>
      <c r="J7" s="634">
        <v>7474</v>
      </c>
      <c r="K7" s="634">
        <v>14632</v>
      </c>
      <c r="L7" s="647">
        <v>32211</v>
      </c>
      <c r="M7" s="634">
        <v>28453</v>
      </c>
      <c r="N7" s="634">
        <v>60664</v>
      </c>
      <c r="O7" s="647">
        <v>307</v>
      </c>
      <c r="P7" s="634">
        <v>145</v>
      </c>
      <c r="Q7" s="634">
        <v>452</v>
      </c>
      <c r="R7" s="647">
        <v>2150</v>
      </c>
      <c r="S7" s="634">
        <v>1885</v>
      </c>
      <c r="T7" s="634">
        <v>4035</v>
      </c>
      <c r="U7" s="647">
        <v>2618</v>
      </c>
      <c r="V7" s="634">
        <v>2525</v>
      </c>
      <c r="W7" s="634">
        <v>5143</v>
      </c>
      <c r="X7" s="647">
        <v>2168</v>
      </c>
      <c r="Y7" s="634">
        <v>1442</v>
      </c>
      <c r="Z7" s="634">
        <v>3610</v>
      </c>
    </row>
    <row r="8" spans="1:29" x14ac:dyDescent="0.3">
      <c r="A8" s="286">
        <v>4</v>
      </c>
      <c r="B8" s="291" t="s">
        <v>889</v>
      </c>
      <c r="C8" s="647">
        <v>47</v>
      </c>
      <c r="D8" s="634">
        <v>77</v>
      </c>
      <c r="E8" s="634">
        <v>124</v>
      </c>
      <c r="F8" s="647">
        <v>5</v>
      </c>
      <c r="G8" s="634">
        <v>9</v>
      </c>
      <c r="H8" s="634">
        <v>14</v>
      </c>
      <c r="I8" s="647">
        <v>16</v>
      </c>
      <c r="J8" s="634">
        <v>16</v>
      </c>
      <c r="K8" s="634">
        <v>32</v>
      </c>
      <c r="L8" s="647">
        <v>7</v>
      </c>
      <c r="M8" s="634">
        <v>21</v>
      </c>
      <c r="N8" s="634">
        <v>28</v>
      </c>
      <c r="O8" s="647">
        <v>0</v>
      </c>
      <c r="P8" s="634">
        <v>0</v>
      </c>
      <c r="Q8" s="634">
        <v>0</v>
      </c>
      <c r="R8" s="647">
        <v>1</v>
      </c>
      <c r="S8" s="634">
        <v>1</v>
      </c>
      <c r="T8" s="634">
        <v>2</v>
      </c>
      <c r="U8" s="647">
        <v>2</v>
      </c>
      <c r="V8" s="634">
        <v>4</v>
      </c>
      <c r="W8" s="634">
        <v>6</v>
      </c>
      <c r="X8" s="647">
        <v>0</v>
      </c>
      <c r="Y8" s="634">
        <v>0</v>
      </c>
      <c r="Z8" s="634">
        <v>0</v>
      </c>
    </row>
    <row r="9" spans="1:29" x14ac:dyDescent="0.3">
      <c r="A9" s="286">
        <v>5</v>
      </c>
      <c r="B9" s="291" t="s">
        <v>264</v>
      </c>
      <c r="C9" s="647">
        <v>117313</v>
      </c>
      <c r="D9" s="634">
        <v>109818</v>
      </c>
      <c r="E9" s="634">
        <v>227131</v>
      </c>
      <c r="F9" s="647">
        <v>12393</v>
      </c>
      <c r="G9" s="634">
        <v>9153</v>
      </c>
      <c r="H9" s="634">
        <v>21546</v>
      </c>
      <c r="I9" s="647">
        <v>4743</v>
      </c>
      <c r="J9" s="634">
        <v>4169</v>
      </c>
      <c r="K9" s="634">
        <v>8912</v>
      </c>
      <c r="L9" s="647">
        <v>30259</v>
      </c>
      <c r="M9" s="634">
        <v>28247</v>
      </c>
      <c r="N9" s="634">
        <v>58506</v>
      </c>
      <c r="O9" s="647">
        <v>603</v>
      </c>
      <c r="P9" s="634">
        <v>225</v>
      </c>
      <c r="Q9" s="634">
        <v>828</v>
      </c>
      <c r="R9" s="647">
        <v>6487</v>
      </c>
      <c r="S9" s="634">
        <v>4535</v>
      </c>
      <c r="T9" s="634">
        <v>11022</v>
      </c>
      <c r="U9" s="647">
        <v>3379</v>
      </c>
      <c r="V9" s="634">
        <v>5791</v>
      </c>
      <c r="W9" s="634">
        <v>9170</v>
      </c>
      <c r="X9" s="647">
        <v>3414</v>
      </c>
      <c r="Y9" s="634">
        <v>2797</v>
      </c>
      <c r="Z9" s="634">
        <v>6211</v>
      </c>
    </row>
    <row r="10" spans="1:29" x14ac:dyDescent="0.3">
      <c r="A10" s="286">
        <v>6</v>
      </c>
      <c r="B10" s="291" t="s">
        <v>815</v>
      </c>
      <c r="C10" s="647">
        <v>1523</v>
      </c>
      <c r="D10" s="634">
        <v>101725</v>
      </c>
      <c r="E10" s="634">
        <v>103248</v>
      </c>
      <c r="F10" s="647">
        <v>542</v>
      </c>
      <c r="G10" s="634">
        <v>30280</v>
      </c>
      <c r="H10" s="634">
        <v>30822</v>
      </c>
      <c r="I10" s="647">
        <v>198</v>
      </c>
      <c r="J10" s="634">
        <v>16812</v>
      </c>
      <c r="K10" s="634">
        <v>17010</v>
      </c>
      <c r="L10" s="647">
        <v>304</v>
      </c>
      <c r="M10" s="634">
        <v>28408</v>
      </c>
      <c r="N10" s="634">
        <v>28712</v>
      </c>
      <c r="O10" s="647">
        <v>0</v>
      </c>
      <c r="P10" s="634">
        <v>298</v>
      </c>
      <c r="Q10" s="634">
        <v>298</v>
      </c>
      <c r="R10" s="647">
        <v>30</v>
      </c>
      <c r="S10" s="634">
        <v>1358</v>
      </c>
      <c r="T10" s="634">
        <v>1388</v>
      </c>
      <c r="U10" s="647">
        <v>0</v>
      </c>
      <c r="V10" s="634">
        <v>2022</v>
      </c>
      <c r="W10" s="634">
        <v>2022</v>
      </c>
      <c r="X10" s="647">
        <v>20</v>
      </c>
      <c r="Y10" s="634">
        <v>1436</v>
      </c>
      <c r="Z10" s="634">
        <v>1456</v>
      </c>
    </row>
    <row r="11" spans="1:29" ht="15.5" x14ac:dyDescent="0.3">
      <c r="A11" s="286">
        <v>7</v>
      </c>
      <c r="B11" s="291" t="s">
        <v>125</v>
      </c>
      <c r="C11" s="632">
        <v>12193</v>
      </c>
      <c r="D11" s="634">
        <v>5922</v>
      </c>
      <c r="E11" s="634">
        <v>18115</v>
      </c>
      <c r="F11" s="647">
        <v>549</v>
      </c>
      <c r="G11" s="634">
        <v>701</v>
      </c>
      <c r="H11" s="634">
        <v>1250</v>
      </c>
      <c r="I11" s="647">
        <v>216</v>
      </c>
      <c r="J11" s="634">
        <v>287</v>
      </c>
      <c r="K11" s="634">
        <v>503</v>
      </c>
      <c r="L11" s="647">
        <v>1715</v>
      </c>
      <c r="M11" s="634">
        <v>1937</v>
      </c>
      <c r="N11" s="634">
        <v>3652</v>
      </c>
      <c r="O11" s="647">
        <v>3</v>
      </c>
      <c r="P11" s="634">
        <v>1</v>
      </c>
      <c r="Q11" s="634">
        <v>4</v>
      </c>
      <c r="R11" s="647">
        <v>13</v>
      </c>
      <c r="S11" s="634">
        <v>11</v>
      </c>
      <c r="T11" s="634">
        <v>24</v>
      </c>
      <c r="U11" s="647">
        <v>70</v>
      </c>
      <c r="V11" s="634">
        <v>33</v>
      </c>
      <c r="W11" s="634">
        <v>103</v>
      </c>
      <c r="X11" s="647">
        <v>247</v>
      </c>
      <c r="Y11" s="634">
        <v>127</v>
      </c>
      <c r="Z11" s="634">
        <v>374</v>
      </c>
    </row>
    <row r="12" spans="1:29" x14ac:dyDescent="0.3">
      <c r="A12" s="286">
        <v>8</v>
      </c>
      <c r="B12" s="291" t="s">
        <v>816</v>
      </c>
      <c r="C12" s="647">
        <v>49</v>
      </c>
      <c r="D12" s="634">
        <v>13</v>
      </c>
      <c r="E12" s="634">
        <v>62</v>
      </c>
      <c r="F12" s="647">
        <v>1</v>
      </c>
      <c r="G12" s="634">
        <v>2</v>
      </c>
      <c r="H12" s="634">
        <v>3</v>
      </c>
      <c r="I12" s="647">
        <v>3</v>
      </c>
      <c r="J12" s="634">
        <v>1</v>
      </c>
      <c r="K12" s="634">
        <v>4</v>
      </c>
      <c r="L12" s="647">
        <v>3</v>
      </c>
      <c r="M12" s="634">
        <v>1</v>
      </c>
      <c r="N12" s="634">
        <v>4</v>
      </c>
      <c r="O12" s="647">
        <v>0</v>
      </c>
      <c r="P12" s="634">
        <v>0</v>
      </c>
      <c r="Q12" s="634">
        <v>0</v>
      </c>
      <c r="R12" s="647">
        <v>0</v>
      </c>
      <c r="S12" s="634">
        <v>0</v>
      </c>
      <c r="T12" s="634">
        <v>0</v>
      </c>
      <c r="U12" s="647">
        <v>17</v>
      </c>
      <c r="V12" s="634">
        <v>7</v>
      </c>
      <c r="W12" s="634">
        <v>24</v>
      </c>
      <c r="X12" s="647">
        <v>0</v>
      </c>
      <c r="Y12" s="634">
        <v>0</v>
      </c>
      <c r="Z12" s="634">
        <v>0</v>
      </c>
    </row>
    <row r="13" spans="1:29" x14ac:dyDescent="0.3">
      <c r="A13" s="286">
        <v>9</v>
      </c>
      <c r="B13" s="291" t="s">
        <v>817</v>
      </c>
      <c r="C13" s="647">
        <v>138</v>
      </c>
      <c r="D13" s="634">
        <v>117</v>
      </c>
      <c r="E13" s="634">
        <v>255</v>
      </c>
      <c r="F13" s="647">
        <v>47</v>
      </c>
      <c r="G13" s="634">
        <v>27</v>
      </c>
      <c r="H13" s="634">
        <v>74</v>
      </c>
      <c r="I13" s="647">
        <v>13</v>
      </c>
      <c r="J13" s="634">
        <v>12</v>
      </c>
      <c r="K13" s="634">
        <v>25</v>
      </c>
      <c r="L13" s="647">
        <v>31</v>
      </c>
      <c r="M13" s="634">
        <v>30</v>
      </c>
      <c r="N13" s="634">
        <v>61</v>
      </c>
      <c r="O13" s="647">
        <v>0</v>
      </c>
      <c r="P13" s="634">
        <v>0</v>
      </c>
      <c r="Q13" s="634">
        <v>0</v>
      </c>
      <c r="R13" s="647">
        <v>0</v>
      </c>
      <c r="S13" s="634">
        <v>1</v>
      </c>
      <c r="T13" s="634">
        <v>1</v>
      </c>
      <c r="U13" s="647">
        <v>0</v>
      </c>
      <c r="V13" s="634">
        <v>0</v>
      </c>
      <c r="W13" s="634">
        <v>0</v>
      </c>
      <c r="X13" s="647">
        <v>1</v>
      </c>
      <c r="Y13" s="634">
        <v>1</v>
      </c>
      <c r="Z13" s="634">
        <v>2</v>
      </c>
    </row>
    <row r="14" spans="1:29" x14ac:dyDescent="0.3">
      <c r="A14" s="286">
        <v>10</v>
      </c>
      <c r="B14" s="291" t="s">
        <v>818</v>
      </c>
      <c r="C14" s="647">
        <v>364</v>
      </c>
      <c r="D14" s="634">
        <v>466</v>
      </c>
      <c r="E14" s="634">
        <v>830</v>
      </c>
      <c r="F14" s="647">
        <v>42</v>
      </c>
      <c r="G14" s="634">
        <v>51</v>
      </c>
      <c r="H14" s="634">
        <v>93</v>
      </c>
      <c r="I14" s="647">
        <v>19</v>
      </c>
      <c r="J14" s="634">
        <v>18</v>
      </c>
      <c r="K14" s="634">
        <v>37</v>
      </c>
      <c r="L14" s="647">
        <v>90</v>
      </c>
      <c r="M14" s="634">
        <v>107</v>
      </c>
      <c r="N14" s="634">
        <v>197</v>
      </c>
      <c r="O14" s="647">
        <v>1</v>
      </c>
      <c r="P14" s="634">
        <v>0</v>
      </c>
      <c r="Q14" s="634">
        <v>1</v>
      </c>
      <c r="R14" s="647">
        <v>2</v>
      </c>
      <c r="S14" s="634">
        <v>3</v>
      </c>
      <c r="T14" s="634">
        <v>5</v>
      </c>
      <c r="U14" s="647">
        <v>2</v>
      </c>
      <c r="V14" s="634">
        <v>4</v>
      </c>
      <c r="W14" s="634">
        <v>6</v>
      </c>
      <c r="X14" s="647">
        <v>9</v>
      </c>
      <c r="Y14" s="634">
        <v>10</v>
      </c>
      <c r="Z14" s="634">
        <v>19</v>
      </c>
    </row>
    <row r="15" spans="1:29" x14ac:dyDescent="0.3">
      <c r="A15" s="286">
        <v>11</v>
      </c>
      <c r="B15" s="291" t="s">
        <v>126</v>
      </c>
      <c r="C15" s="647">
        <v>8155</v>
      </c>
      <c r="D15" s="634">
        <v>11450</v>
      </c>
      <c r="E15" s="634">
        <v>19605</v>
      </c>
      <c r="F15" s="647">
        <v>831</v>
      </c>
      <c r="G15" s="634">
        <v>1172</v>
      </c>
      <c r="H15" s="634">
        <v>2003</v>
      </c>
      <c r="I15" s="647">
        <v>373</v>
      </c>
      <c r="J15" s="634">
        <v>595</v>
      </c>
      <c r="K15" s="634">
        <v>968</v>
      </c>
      <c r="L15" s="647">
        <v>3285</v>
      </c>
      <c r="M15" s="634">
        <v>4513</v>
      </c>
      <c r="N15" s="634">
        <v>7798</v>
      </c>
      <c r="O15" s="647">
        <v>3</v>
      </c>
      <c r="P15" s="634">
        <v>0</v>
      </c>
      <c r="Q15" s="634">
        <v>3</v>
      </c>
      <c r="R15" s="647">
        <v>230</v>
      </c>
      <c r="S15" s="634">
        <v>297</v>
      </c>
      <c r="T15" s="634">
        <v>527</v>
      </c>
      <c r="U15" s="647">
        <v>69</v>
      </c>
      <c r="V15" s="634">
        <v>129</v>
      </c>
      <c r="W15" s="634">
        <v>198</v>
      </c>
      <c r="X15" s="647">
        <v>285</v>
      </c>
      <c r="Y15" s="634">
        <v>355</v>
      </c>
      <c r="Z15" s="634">
        <v>640</v>
      </c>
    </row>
    <row r="16" spans="1:29" ht="26" x14ac:dyDescent="0.3">
      <c r="A16" s="286">
        <v>12</v>
      </c>
      <c r="B16" s="291" t="s">
        <v>127</v>
      </c>
      <c r="C16" s="647">
        <v>40586</v>
      </c>
      <c r="D16" s="634">
        <v>53619</v>
      </c>
      <c r="E16" s="634">
        <v>94205</v>
      </c>
      <c r="F16" s="647">
        <v>8754</v>
      </c>
      <c r="G16" s="634">
        <v>9716</v>
      </c>
      <c r="H16" s="634">
        <v>18470</v>
      </c>
      <c r="I16" s="647">
        <v>5837</v>
      </c>
      <c r="J16" s="634">
        <v>6189</v>
      </c>
      <c r="K16" s="634">
        <v>12026</v>
      </c>
      <c r="L16" s="647">
        <v>16330</v>
      </c>
      <c r="M16" s="634">
        <v>21611</v>
      </c>
      <c r="N16" s="634">
        <v>37941</v>
      </c>
      <c r="O16" s="647">
        <v>104</v>
      </c>
      <c r="P16" s="634">
        <v>52</v>
      </c>
      <c r="Q16" s="634">
        <v>156</v>
      </c>
      <c r="R16" s="647">
        <v>498</v>
      </c>
      <c r="S16" s="634">
        <v>897</v>
      </c>
      <c r="T16" s="634">
        <v>1395</v>
      </c>
      <c r="U16" s="647">
        <v>400</v>
      </c>
      <c r="V16" s="634">
        <v>1357</v>
      </c>
      <c r="W16" s="634">
        <v>1757</v>
      </c>
      <c r="X16" s="647">
        <v>1214</v>
      </c>
      <c r="Y16" s="634">
        <v>1611</v>
      </c>
      <c r="Z16" s="634">
        <v>2825</v>
      </c>
    </row>
    <row r="17" spans="1:26" ht="26" x14ac:dyDescent="0.3">
      <c r="A17" s="286">
        <v>13</v>
      </c>
      <c r="B17" s="291" t="s">
        <v>128</v>
      </c>
      <c r="C17" s="647">
        <v>106257</v>
      </c>
      <c r="D17" s="634">
        <v>81990</v>
      </c>
      <c r="E17" s="634">
        <v>188247</v>
      </c>
      <c r="F17" s="647">
        <v>14622</v>
      </c>
      <c r="G17" s="634">
        <v>11652</v>
      </c>
      <c r="H17" s="634">
        <v>26274</v>
      </c>
      <c r="I17" s="647">
        <v>4003</v>
      </c>
      <c r="J17" s="634">
        <v>3462</v>
      </c>
      <c r="K17" s="634">
        <v>7465</v>
      </c>
      <c r="L17" s="647">
        <v>30700</v>
      </c>
      <c r="M17" s="634">
        <v>19776</v>
      </c>
      <c r="N17" s="634">
        <v>50476</v>
      </c>
      <c r="O17" s="647">
        <v>519</v>
      </c>
      <c r="P17" s="634">
        <v>242</v>
      </c>
      <c r="Q17" s="634">
        <v>761</v>
      </c>
      <c r="R17" s="647">
        <v>7133</v>
      </c>
      <c r="S17" s="634">
        <v>4893</v>
      </c>
      <c r="T17" s="634">
        <v>12026</v>
      </c>
      <c r="U17" s="647">
        <v>2220</v>
      </c>
      <c r="V17" s="634">
        <v>2581</v>
      </c>
      <c r="W17" s="634">
        <v>4801</v>
      </c>
      <c r="X17" s="647">
        <v>1612</v>
      </c>
      <c r="Y17" s="634">
        <v>1198</v>
      </c>
      <c r="Z17" s="634">
        <v>2810</v>
      </c>
    </row>
    <row r="18" spans="1:26" ht="26" x14ac:dyDescent="0.3">
      <c r="A18" s="286">
        <v>14</v>
      </c>
      <c r="B18" s="291" t="s">
        <v>129</v>
      </c>
      <c r="C18" s="647">
        <v>689</v>
      </c>
      <c r="D18" s="634">
        <v>905</v>
      </c>
      <c r="E18" s="634">
        <v>1594</v>
      </c>
      <c r="F18" s="647">
        <v>169</v>
      </c>
      <c r="G18" s="634">
        <v>127</v>
      </c>
      <c r="H18" s="634">
        <v>296</v>
      </c>
      <c r="I18" s="647">
        <v>7</v>
      </c>
      <c r="J18" s="634">
        <v>15</v>
      </c>
      <c r="K18" s="634">
        <v>22</v>
      </c>
      <c r="L18" s="647">
        <v>148</v>
      </c>
      <c r="M18" s="634">
        <v>151</v>
      </c>
      <c r="N18" s="634">
        <v>299</v>
      </c>
      <c r="O18" s="647">
        <v>1</v>
      </c>
      <c r="P18" s="634">
        <v>0</v>
      </c>
      <c r="Q18" s="634">
        <v>1</v>
      </c>
      <c r="R18" s="647">
        <v>7</v>
      </c>
      <c r="S18" s="634">
        <v>6</v>
      </c>
      <c r="T18" s="634">
        <v>13</v>
      </c>
      <c r="U18" s="647">
        <v>76</v>
      </c>
      <c r="V18" s="634">
        <v>107</v>
      </c>
      <c r="W18" s="634">
        <v>183</v>
      </c>
      <c r="X18" s="647">
        <v>38</v>
      </c>
      <c r="Y18" s="634">
        <v>70</v>
      </c>
      <c r="Z18" s="634">
        <v>108</v>
      </c>
    </row>
    <row r="19" spans="1:26" x14ac:dyDescent="0.3">
      <c r="A19" s="286">
        <v>15</v>
      </c>
      <c r="B19" s="291" t="s">
        <v>130</v>
      </c>
      <c r="C19" s="647">
        <v>868328</v>
      </c>
      <c r="D19" s="634">
        <v>1136850</v>
      </c>
      <c r="E19" s="634">
        <v>2005178</v>
      </c>
      <c r="F19" s="647">
        <v>129414</v>
      </c>
      <c r="G19" s="634">
        <v>152319</v>
      </c>
      <c r="H19" s="634">
        <v>281733</v>
      </c>
      <c r="I19" s="647">
        <v>94992</v>
      </c>
      <c r="J19" s="634">
        <v>114310</v>
      </c>
      <c r="K19" s="634">
        <v>209302</v>
      </c>
      <c r="L19" s="647">
        <v>352268</v>
      </c>
      <c r="M19" s="634">
        <v>427538</v>
      </c>
      <c r="N19" s="634">
        <v>779806</v>
      </c>
      <c r="O19" s="647">
        <v>1692</v>
      </c>
      <c r="P19" s="634">
        <v>1325</v>
      </c>
      <c r="Q19" s="634">
        <v>3017</v>
      </c>
      <c r="R19" s="647">
        <v>58349</v>
      </c>
      <c r="S19" s="634">
        <v>87966</v>
      </c>
      <c r="T19" s="634">
        <v>146315</v>
      </c>
      <c r="U19" s="647">
        <v>19202</v>
      </c>
      <c r="V19" s="634">
        <v>24293</v>
      </c>
      <c r="W19" s="634">
        <v>43495</v>
      </c>
      <c r="X19" s="647">
        <v>11665</v>
      </c>
      <c r="Y19" s="634">
        <v>14303</v>
      </c>
      <c r="Z19" s="634">
        <v>25968</v>
      </c>
    </row>
    <row r="20" spans="1:26" x14ac:dyDescent="0.3">
      <c r="A20" s="286">
        <v>16</v>
      </c>
      <c r="B20" s="291" t="s">
        <v>131</v>
      </c>
      <c r="C20" s="647">
        <v>5555527</v>
      </c>
      <c r="D20" s="634">
        <v>5990118</v>
      </c>
      <c r="E20" s="634">
        <v>11545645</v>
      </c>
      <c r="F20" s="647">
        <v>1127500</v>
      </c>
      <c r="G20" s="634">
        <v>1153717</v>
      </c>
      <c r="H20" s="634">
        <v>2281217</v>
      </c>
      <c r="I20" s="647">
        <v>485169</v>
      </c>
      <c r="J20" s="634">
        <v>501271</v>
      </c>
      <c r="K20" s="634">
        <v>986440</v>
      </c>
      <c r="L20" s="647">
        <v>2148764</v>
      </c>
      <c r="M20" s="634">
        <v>2362721</v>
      </c>
      <c r="N20" s="634">
        <v>4511485</v>
      </c>
      <c r="O20" s="647">
        <v>14002</v>
      </c>
      <c r="P20" s="634">
        <v>9346</v>
      </c>
      <c r="Q20" s="634">
        <v>23348</v>
      </c>
      <c r="R20" s="647">
        <v>268293</v>
      </c>
      <c r="S20" s="634">
        <v>370613</v>
      </c>
      <c r="T20" s="634">
        <v>638906</v>
      </c>
      <c r="U20" s="647">
        <v>80875</v>
      </c>
      <c r="V20" s="634">
        <v>101435</v>
      </c>
      <c r="W20" s="634">
        <v>182310</v>
      </c>
      <c r="X20" s="647">
        <v>61751</v>
      </c>
      <c r="Y20" s="634">
        <v>66880</v>
      </c>
      <c r="Z20" s="634">
        <v>128631</v>
      </c>
    </row>
    <row r="21" spans="1:26" x14ac:dyDescent="0.3">
      <c r="A21" s="286">
        <v>17</v>
      </c>
      <c r="B21" s="291" t="s">
        <v>132</v>
      </c>
      <c r="C21" s="647">
        <v>3360</v>
      </c>
      <c r="D21" s="634">
        <v>4730</v>
      </c>
      <c r="E21" s="634">
        <v>8090</v>
      </c>
      <c r="F21" s="647">
        <v>278</v>
      </c>
      <c r="G21" s="634">
        <v>405</v>
      </c>
      <c r="H21" s="634">
        <v>683</v>
      </c>
      <c r="I21" s="647">
        <v>108</v>
      </c>
      <c r="J21" s="634">
        <v>169</v>
      </c>
      <c r="K21" s="634">
        <v>277</v>
      </c>
      <c r="L21" s="647">
        <v>1412</v>
      </c>
      <c r="M21" s="634">
        <v>1813</v>
      </c>
      <c r="N21" s="634">
        <v>3225</v>
      </c>
      <c r="O21" s="647">
        <v>2</v>
      </c>
      <c r="P21" s="634">
        <v>0</v>
      </c>
      <c r="Q21" s="634">
        <v>2</v>
      </c>
      <c r="R21" s="647">
        <v>277</v>
      </c>
      <c r="S21" s="634">
        <v>249</v>
      </c>
      <c r="T21" s="634">
        <v>526</v>
      </c>
      <c r="U21" s="647">
        <v>32</v>
      </c>
      <c r="V21" s="634">
        <v>55</v>
      </c>
      <c r="W21" s="634">
        <v>87</v>
      </c>
      <c r="X21" s="647">
        <v>167</v>
      </c>
      <c r="Y21" s="634">
        <v>202</v>
      </c>
      <c r="Z21" s="634">
        <v>369</v>
      </c>
    </row>
    <row r="22" spans="1:26" ht="26" x14ac:dyDescent="0.3">
      <c r="A22" s="286">
        <v>18</v>
      </c>
      <c r="B22" s="291" t="s">
        <v>133</v>
      </c>
      <c r="C22" s="647">
        <v>35517</v>
      </c>
      <c r="D22" s="634">
        <v>63991</v>
      </c>
      <c r="E22" s="634">
        <v>99508</v>
      </c>
      <c r="F22" s="647">
        <v>3230</v>
      </c>
      <c r="G22" s="634">
        <v>4320</v>
      </c>
      <c r="H22" s="634">
        <v>7550</v>
      </c>
      <c r="I22" s="647">
        <v>1454</v>
      </c>
      <c r="J22" s="634">
        <v>2047</v>
      </c>
      <c r="K22" s="634">
        <v>3501</v>
      </c>
      <c r="L22" s="647">
        <v>13504</v>
      </c>
      <c r="M22" s="634">
        <v>16756</v>
      </c>
      <c r="N22" s="634">
        <v>30260</v>
      </c>
      <c r="O22" s="647">
        <v>27</v>
      </c>
      <c r="P22" s="634">
        <v>19</v>
      </c>
      <c r="Q22" s="634">
        <v>46</v>
      </c>
      <c r="R22" s="647">
        <v>1698</v>
      </c>
      <c r="S22" s="634">
        <v>1705</v>
      </c>
      <c r="T22" s="634">
        <v>3403</v>
      </c>
      <c r="U22" s="647">
        <v>674</v>
      </c>
      <c r="V22" s="634">
        <v>978</v>
      </c>
      <c r="W22" s="634">
        <v>1652</v>
      </c>
      <c r="X22" s="647">
        <v>1248</v>
      </c>
      <c r="Y22" s="634">
        <v>1617</v>
      </c>
      <c r="Z22" s="634">
        <v>2865</v>
      </c>
    </row>
    <row r="23" spans="1:26" ht="26" x14ac:dyDescent="0.3">
      <c r="A23" s="286">
        <v>19</v>
      </c>
      <c r="B23" s="291" t="s">
        <v>134</v>
      </c>
      <c r="C23" s="647">
        <v>1083</v>
      </c>
      <c r="D23" s="634">
        <v>2698</v>
      </c>
      <c r="E23" s="634">
        <v>3781</v>
      </c>
      <c r="F23" s="647">
        <v>101</v>
      </c>
      <c r="G23" s="634">
        <v>152</v>
      </c>
      <c r="H23" s="634">
        <v>253</v>
      </c>
      <c r="I23" s="647">
        <v>29</v>
      </c>
      <c r="J23" s="634">
        <v>61</v>
      </c>
      <c r="K23" s="634">
        <v>90</v>
      </c>
      <c r="L23" s="647">
        <v>456</v>
      </c>
      <c r="M23" s="634">
        <v>1375</v>
      </c>
      <c r="N23" s="634">
        <v>1831</v>
      </c>
      <c r="O23" s="647">
        <v>5</v>
      </c>
      <c r="P23" s="634">
        <v>13</v>
      </c>
      <c r="Q23" s="634">
        <v>18</v>
      </c>
      <c r="R23" s="647">
        <v>87</v>
      </c>
      <c r="S23" s="634">
        <v>428</v>
      </c>
      <c r="T23" s="634">
        <v>515</v>
      </c>
      <c r="U23" s="647">
        <v>73</v>
      </c>
      <c r="V23" s="634">
        <v>313</v>
      </c>
      <c r="W23" s="634">
        <v>386</v>
      </c>
      <c r="X23" s="647">
        <v>7</v>
      </c>
      <c r="Y23" s="634">
        <v>26</v>
      </c>
      <c r="Z23" s="634">
        <v>33</v>
      </c>
    </row>
    <row r="24" spans="1:26" x14ac:dyDescent="0.3">
      <c r="A24" s="286">
        <v>20</v>
      </c>
      <c r="B24" s="291" t="s">
        <v>135</v>
      </c>
      <c r="C24" s="647">
        <v>126832</v>
      </c>
      <c r="D24" s="634">
        <v>42441</v>
      </c>
      <c r="E24" s="634">
        <v>169273</v>
      </c>
      <c r="F24" s="647">
        <v>17079</v>
      </c>
      <c r="G24" s="634">
        <v>5935</v>
      </c>
      <c r="H24" s="634">
        <v>23014</v>
      </c>
      <c r="I24" s="647">
        <v>5460</v>
      </c>
      <c r="J24" s="634">
        <v>3102</v>
      </c>
      <c r="K24" s="634">
        <v>8562</v>
      </c>
      <c r="L24" s="647">
        <v>62010</v>
      </c>
      <c r="M24" s="634">
        <v>18423</v>
      </c>
      <c r="N24" s="634">
        <v>80433</v>
      </c>
      <c r="O24" s="647">
        <v>253</v>
      </c>
      <c r="P24" s="634">
        <v>131</v>
      </c>
      <c r="Q24" s="634">
        <v>384</v>
      </c>
      <c r="R24" s="647">
        <v>1800</v>
      </c>
      <c r="S24" s="634">
        <v>1062</v>
      </c>
      <c r="T24" s="634">
        <v>2862</v>
      </c>
      <c r="U24" s="647">
        <v>612</v>
      </c>
      <c r="V24" s="634">
        <v>694</v>
      </c>
      <c r="W24" s="634">
        <v>1306</v>
      </c>
      <c r="X24" s="647">
        <v>2988</v>
      </c>
      <c r="Y24" s="634">
        <v>1370</v>
      </c>
      <c r="Z24" s="634">
        <v>4358</v>
      </c>
    </row>
    <row r="25" spans="1:26" x14ac:dyDescent="0.3">
      <c r="A25" s="286">
        <v>21</v>
      </c>
      <c r="B25" s="291" t="s">
        <v>136</v>
      </c>
      <c r="C25" s="647">
        <v>33074</v>
      </c>
      <c r="D25" s="634">
        <v>37690</v>
      </c>
      <c r="E25" s="634">
        <v>70764</v>
      </c>
      <c r="F25" s="647">
        <v>2215</v>
      </c>
      <c r="G25" s="634">
        <v>2135</v>
      </c>
      <c r="H25" s="634">
        <v>4350</v>
      </c>
      <c r="I25" s="647">
        <v>724</v>
      </c>
      <c r="J25" s="634">
        <v>651</v>
      </c>
      <c r="K25" s="634">
        <v>1375</v>
      </c>
      <c r="L25" s="647">
        <v>11696</v>
      </c>
      <c r="M25" s="634">
        <v>11833</v>
      </c>
      <c r="N25" s="634">
        <v>23529</v>
      </c>
      <c r="O25" s="647">
        <v>64</v>
      </c>
      <c r="P25" s="634">
        <v>87</v>
      </c>
      <c r="Q25" s="634">
        <v>151</v>
      </c>
      <c r="R25" s="647">
        <v>2748</v>
      </c>
      <c r="S25" s="634">
        <v>2358</v>
      </c>
      <c r="T25" s="634">
        <v>5106</v>
      </c>
      <c r="U25" s="647">
        <v>1381</v>
      </c>
      <c r="V25" s="634">
        <v>1798</v>
      </c>
      <c r="W25" s="634">
        <v>3179</v>
      </c>
      <c r="X25" s="647">
        <v>1129</v>
      </c>
      <c r="Y25" s="634">
        <v>1128</v>
      </c>
      <c r="Z25" s="634">
        <v>2257</v>
      </c>
    </row>
    <row r="26" spans="1:26" ht="26" x14ac:dyDescent="0.3">
      <c r="A26" s="286">
        <v>22</v>
      </c>
      <c r="B26" s="291" t="s">
        <v>137</v>
      </c>
      <c r="C26" s="647">
        <v>495683</v>
      </c>
      <c r="D26" s="634">
        <v>305979</v>
      </c>
      <c r="E26" s="634">
        <v>801662</v>
      </c>
      <c r="F26" s="647">
        <v>44066</v>
      </c>
      <c r="G26" s="634">
        <v>30460</v>
      </c>
      <c r="H26" s="634">
        <v>74526</v>
      </c>
      <c r="I26" s="647">
        <v>10975</v>
      </c>
      <c r="J26" s="634">
        <v>7074</v>
      </c>
      <c r="K26" s="634">
        <v>18049</v>
      </c>
      <c r="L26" s="647">
        <v>166945</v>
      </c>
      <c r="M26" s="634">
        <v>106334</v>
      </c>
      <c r="N26" s="634">
        <v>273279</v>
      </c>
      <c r="O26" s="647">
        <v>589</v>
      </c>
      <c r="P26" s="634">
        <v>265</v>
      </c>
      <c r="Q26" s="634">
        <v>854</v>
      </c>
      <c r="R26" s="647">
        <v>37693</v>
      </c>
      <c r="S26" s="634">
        <v>19101</v>
      </c>
      <c r="T26" s="634">
        <v>56794</v>
      </c>
      <c r="U26" s="647">
        <v>18851</v>
      </c>
      <c r="V26" s="634">
        <v>13944</v>
      </c>
      <c r="W26" s="634">
        <v>32795</v>
      </c>
      <c r="X26" s="647">
        <v>6420</v>
      </c>
      <c r="Y26" s="634">
        <v>4631</v>
      </c>
      <c r="Z26" s="634">
        <v>11051</v>
      </c>
    </row>
    <row r="27" spans="1:26" x14ac:dyDescent="0.3">
      <c r="A27" s="286">
        <v>23</v>
      </c>
      <c r="B27" s="291" t="s">
        <v>819</v>
      </c>
      <c r="C27" s="647">
        <v>2287</v>
      </c>
      <c r="D27" s="634">
        <v>2127</v>
      </c>
      <c r="E27" s="634">
        <v>4414</v>
      </c>
      <c r="F27" s="647">
        <v>85</v>
      </c>
      <c r="G27" s="634">
        <v>82</v>
      </c>
      <c r="H27" s="634">
        <v>167</v>
      </c>
      <c r="I27" s="647">
        <v>30</v>
      </c>
      <c r="J27" s="634">
        <v>21</v>
      </c>
      <c r="K27" s="634">
        <v>51</v>
      </c>
      <c r="L27" s="647">
        <v>411</v>
      </c>
      <c r="M27" s="634">
        <v>368</v>
      </c>
      <c r="N27" s="634">
        <v>779</v>
      </c>
      <c r="O27" s="647">
        <v>1</v>
      </c>
      <c r="P27" s="634">
        <v>0</v>
      </c>
      <c r="Q27" s="634">
        <v>1</v>
      </c>
      <c r="R27" s="647">
        <v>42</v>
      </c>
      <c r="S27" s="634">
        <v>42</v>
      </c>
      <c r="T27" s="634">
        <v>84</v>
      </c>
      <c r="U27" s="647">
        <v>33</v>
      </c>
      <c r="V27" s="634">
        <v>47</v>
      </c>
      <c r="W27" s="634">
        <v>80</v>
      </c>
      <c r="X27" s="647">
        <v>107</v>
      </c>
      <c r="Y27" s="634">
        <v>101</v>
      </c>
      <c r="Z27" s="634">
        <v>208</v>
      </c>
    </row>
    <row r="28" spans="1:26" ht="39" x14ac:dyDescent="0.3">
      <c r="A28" s="286">
        <v>24</v>
      </c>
      <c r="B28" s="291" t="s">
        <v>138</v>
      </c>
      <c r="C28" s="647">
        <v>16426</v>
      </c>
      <c r="D28" s="634">
        <v>14578</v>
      </c>
      <c r="E28" s="634">
        <v>31004</v>
      </c>
      <c r="F28" s="647">
        <v>1010</v>
      </c>
      <c r="G28" s="634">
        <v>865</v>
      </c>
      <c r="H28" s="634">
        <v>1875</v>
      </c>
      <c r="I28" s="647">
        <v>382</v>
      </c>
      <c r="J28" s="634">
        <v>325</v>
      </c>
      <c r="K28" s="634">
        <v>707</v>
      </c>
      <c r="L28" s="647">
        <v>3008</v>
      </c>
      <c r="M28" s="634">
        <v>2753</v>
      </c>
      <c r="N28" s="634">
        <v>5761</v>
      </c>
      <c r="O28" s="647">
        <v>54</v>
      </c>
      <c r="P28" s="634">
        <v>34</v>
      </c>
      <c r="Q28" s="634">
        <v>88</v>
      </c>
      <c r="R28" s="647">
        <v>688</v>
      </c>
      <c r="S28" s="634">
        <v>525</v>
      </c>
      <c r="T28" s="634">
        <v>1213</v>
      </c>
      <c r="U28" s="647">
        <v>661</v>
      </c>
      <c r="V28" s="634">
        <v>724</v>
      </c>
      <c r="W28" s="634">
        <v>1385</v>
      </c>
      <c r="X28" s="647">
        <v>243</v>
      </c>
      <c r="Y28" s="634">
        <v>195</v>
      </c>
      <c r="Z28" s="634">
        <v>438</v>
      </c>
    </row>
    <row r="29" spans="1:26" ht="26" x14ac:dyDescent="0.3">
      <c r="A29" s="286">
        <v>25</v>
      </c>
      <c r="B29" s="291" t="s">
        <v>139</v>
      </c>
      <c r="C29" s="647">
        <v>12174</v>
      </c>
      <c r="D29" s="634">
        <v>7868</v>
      </c>
      <c r="E29" s="634">
        <v>20042</v>
      </c>
      <c r="F29" s="647">
        <v>857</v>
      </c>
      <c r="G29" s="634">
        <v>729</v>
      </c>
      <c r="H29" s="634">
        <v>1586</v>
      </c>
      <c r="I29" s="647">
        <v>294</v>
      </c>
      <c r="J29" s="634">
        <v>216</v>
      </c>
      <c r="K29" s="634">
        <v>510</v>
      </c>
      <c r="L29" s="647">
        <v>3395</v>
      </c>
      <c r="M29" s="634">
        <v>2622</v>
      </c>
      <c r="N29" s="634">
        <v>6017</v>
      </c>
      <c r="O29" s="647">
        <v>10</v>
      </c>
      <c r="P29" s="634">
        <v>4</v>
      </c>
      <c r="Q29" s="634">
        <v>14</v>
      </c>
      <c r="R29" s="647">
        <v>437</v>
      </c>
      <c r="S29" s="634">
        <v>408</v>
      </c>
      <c r="T29" s="634">
        <v>845</v>
      </c>
      <c r="U29" s="647">
        <v>336</v>
      </c>
      <c r="V29" s="634">
        <v>301</v>
      </c>
      <c r="W29" s="634">
        <v>637</v>
      </c>
      <c r="X29" s="647">
        <v>205</v>
      </c>
      <c r="Y29" s="634">
        <v>134</v>
      </c>
      <c r="Z29" s="634">
        <v>339</v>
      </c>
    </row>
    <row r="30" spans="1:26" x14ac:dyDescent="0.3">
      <c r="A30" s="286">
        <v>26</v>
      </c>
      <c r="B30" s="291" t="s">
        <v>140</v>
      </c>
      <c r="C30" s="647">
        <v>246</v>
      </c>
      <c r="D30" s="634">
        <v>61</v>
      </c>
      <c r="E30" s="634">
        <v>307</v>
      </c>
      <c r="F30" s="647">
        <v>40</v>
      </c>
      <c r="G30" s="634">
        <v>4</v>
      </c>
      <c r="H30" s="634">
        <v>44</v>
      </c>
      <c r="I30" s="647">
        <v>2</v>
      </c>
      <c r="J30" s="634">
        <v>0</v>
      </c>
      <c r="K30" s="634">
        <v>2</v>
      </c>
      <c r="L30" s="647">
        <v>58</v>
      </c>
      <c r="M30" s="634">
        <v>4</v>
      </c>
      <c r="N30" s="634">
        <v>62</v>
      </c>
      <c r="O30" s="647">
        <v>0</v>
      </c>
      <c r="P30" s="634">
        <v>0</v>
      </c>
      <c r="Q30" s="634">
        <v>0</v>
      </c>
      <c r="R30" s="647">
        <v>6</v>
      </c>
      <c r="S30" s="634">
        <v>0</v>
      </c>
      <c r="T30" s="634">
        <v>6</v>
      </c>
      <c r="U30" s="647">
        <v>0</v>
      </c>
      <c r="V30" s="634">
        <v>0</v>
      </c>
      <c r="W30" s="634">
        <v>0</v>
      </c>
      <c r="X30" s="647">
        <v>20</v>
      </c>
      <c r="Y30" s="634">
        <v>3</v>
      </c>
      <c r="Z30" s="634">
        <v>23</v>
      </c>
    </row>
    <row r="31" spans="1:26" ht="26" x14ac:dyDescent="0.3">
      <c r="A31" s="286">
        <v>27</v>
      </c>
      <c r="B31" s="291" t="s">
        <v>141</v>
      </c>
      <c r="C31" s="647">
        <v>504247</v>
      </c>
      <c r="D31" s="634">
        <v>280739</v>
      </c>
      <c r="E31" s="634">
        <v>784986</v>
      </c>
      <c r="F31" s="647">
        <v>53957</v>
      </c>
      <c r="G31" s="634">
        <v>34328</v>
      </c>
      <c r="H31" s="634">
        <v>88285</v>
      </c>
      <c r="I31" s="647">
        <v>12999</v>
      </c>
      <c r="J31" s="634">
        <v>7209</v>
      </c>
      <c r="K31" s="634">
        <v>20208</v>
      </c>
      <c r="L31" s="647">
        <v>191918</v>
      </c>
      <c r="M31" s="634">
        <v>116600</v>
      </c>
      <c r="N31" s="634">
        <v>308518</v>
      </c>
      <c r="O31" s="647">
        <v>922</v>
      </c>
      <c r="P31" s="634">
        <v>286</v>
      </c>
      <c r="Q31" s="634">
        <v>1208</v>
      </c>
      <c r="R31" s="647">
        <v>26888</v>
      </c>
      <c r="S31" s="634">
        <v>12565</v>
      </c>
      <c r="T31" s="634">
        <v>39453</v>
      </c>
      <c r="U31" s="647">
        <v>17197</v>
      </c>
      <c r="V31" s="634">
        <v>12482</v>
      </c>
      <c r="W31" s="634">
        <v>29679</v>
      </c>
      <c r="X31" s="647">
        <v>9399</v>
      </c>
      <c r="Y31" s="634">
        <v>6283</v>
      </c>
      <c r="Z31" s="634">
        <v>15682</v>
      </c>
    </row>
    <row r="32" spans="1:26" x14ac:dyDescent="0.3">
      <c r="A32" s="286">
        <v>28</v>
      </c>
      <c r="B32" s="291" t="s">
        <v>820</v>
      </c>
      <c r="C32" s="647">
        <v>589</v>
      </c>
      <c r="D32" s="634">
        <v>94</v>
      </c>
      <c r="E32" s="634">
        <v>683</v>
      </c>
      <c r="F32" s="647">
        <v>113</v>
      </c>
      <c r="G32" s="634">
        <v>24</v>
      </c>
      <c r="H32" s="634">
        <v>137</v>
      </c>
      <c r="I32" s="647">
        <v>24</v>
      </c>
      <c r="J32" s="634">
        <v>12</v>
      </c>
      <c r="K32" s="634">
        <v>36</v>
      </c>
      <c r="L32" s="647">
        <v>149</v>
      </c>
      <c r="M32" s="634">
        <v>14</v>
      </c>
      <c r="N32" s="634">
        <v>163</v>
      </c>
      <c r="O32" s="647">
        <v>8</v>
      </c>
      <c r="P32" s="634">
        <v>1</v>
      </c>
      <c r="Q32" s="634">
        <v>9</v>
      </c>
      <c r="R32" s="647">
        <v>37</v>
      </c>
      <c r="S32" s="634">
        <v>0</v>
      </c>
      <c r="T32" s="634">
        <v>37</v>
      </c>
      <c r="U32" s="647">
        <v>0</v>
      </c>
      <c r="V32" s="634">
        <v>0</v>
      </c>
      <c r="W32" s="634">
        <v>0</v>
      </c>
      <c r="X32" s="647">
        <v>0</v>
      </c>
      <c r="Y32" s="634">
        <v>0</v>
      </c>
      <c r="Z32" s="634">
        <v>0</v>
      </c>
    </row>
    <row r="33" spans="1:26" ht="26" x14ac:dyDescent="0.3">
      <c r="A33" s="286">
        <v>29</v>
      </c>
      <c r="B33" s="291" t="s">
        <v>142</v>
      </c>
      <c r="C33" s="647">
        <v>374</v>
      </c>
      <c r="D33" s="634">
        <v>177</v>
      </c>
      <c r="E33" s="634">
        <v>551</v>
      </c>
      <c r="F33" s="647">
        <v>45</v>
      </c>
      <c r="G33" s="634">
        <v>24</v>
      </c>
      <c r="H33" s="634">
        <v>69</v>
      </c>
      <c r="I33" s="647">
        <v>27</v>
      </c>
      <c r="J33" s="634">
        <v>13</v>
      </c>
      <c r="K33" s="634">
        <v>40</v>
      </c>
      <c r="L33" s="647">
        <v>99</v>
      </c>
      <c r="M33" s="634">
        <v>66</v>
      </c>
      <c r="N33" s="634">
        <v>165</v>
      </c>
      <c r="O33" s="647">
        <v>0</v>
      </c>
      <c r="P33" s="634">
        <v>0</v>
      </c>
      <c r="Q33" s="634">
        <v>0</v>
      </c>
      <c r="R33" s="647">
        <v>6</v>
      </c>
      <c r="S33" s="634">
        <v>0</v>
      </c>
      <c r="T33" s="634">
        <v>6</v>
      </c>
      <c r="U33" s="647">
        <v>0</v>
      </c>
      <c r="V33" s="634">
        <v>0</v>
      </c>
      <c r="W33" s="634">
        <v>0</v>
      </c>
      <c r="X33" s="647">
        <v>30</v>
      </c>
      <c r="Y33" s="634">
        <v>7</v>
      </c>
      <c r="Z33" s="634">
        <v>37</v>
      </c>
    </row>
    <row r="34" spans="1:26" ht="26" x14ac:dyDescent="0.3">
      <c r="A34" s="286">
        <v>30</v>
      </c>
      <c r="B34" s="291" t="s">
        <v>821</v>
      </c>
      <c r="C34" s="647">
        <v>799</v>
      </c>
      <c r="D34" s="634">
        <v>198</v>
      </c>
      <c r="E34" s="634">
        <v>997</v>
      </c>
      <c r="F34" s="647">
        <v>139</v>
      </c>
      <c r="G34" s="634">
        <v>31</v>
      </c>
      <c r="H34" s="634">
        <v>170</v>
      </c>
      <c r="I34" s="647">
        <v>47</v>
      </c>
      <c r="J34" s="634">
        <v>13</v>
      </c>
      <c r="K34" s="634">
        <v>60</v>
      </c>
      <c r="L34" s="647">
        <v>242</v>
      </c>
      <c r="M34" s="634">
        <v>62</v>
      </c>
      <c r="N34" s="634">
        <v>304</v>
      </c>
      <c r="O34" s="647">
        <v>7</v>
      </c>
      <c r="P34" s="634">
        <v>1</v>
      </c>
      <c r="Q34" s="634">
        <v>8</v>
      </c>
      <c r="R34" s="647">
        <v>34</v>
      </c>
      <c r="S34" s="634">
        <v>12</v>
      </c>
      <c r="T34" s="634">
        <v>46</v>
      </c>
      <c r="U34" s="647">
        <v>12</v>
      </c>
      <c r="V34" s="634">
        <v>6</v>
      </c>
      <c r="W34" s="634">
        <v>18</v>
      </c>
      <c r="X34" s="647">
        <v>16</v>
      </c>
      <c r="Y34" s="634">
        <v>2</v>
      </c>
      <c r="Z34" s="634">
        <v>18</v>
      </c>
    </row>
    <row r="35" spans="1:26" ht="26" x14ac:dyDescent="0.3">
      <c r="A35" s="286">
        <v>31</v>
      </c>
      <c r="B35" s="291" t="s">
        <v>822</v>
      </c>
      <c r="C35" s="647">
        <v>74</v>
      </c>
      <c r="D35" s="634">
        <v>92</v>
      </c>
      <c r="E35" s="634">
        <v>166</v>
      </c>
      <c r="F35" s="647">
        <v>0</v>
      </c>
      <c r="G35" s="634">
        <v>0</v>
      </c>
      <c r="H35" s="634">
        <v>0</v>
      </c>
      <c r="I35" s="647">
        <v>0</v>
      </c>
      <c r="J35" s="634">
        <v>0</v>
      </c>
      <c r="K35" s="634">
        <v>0</v>
      </c>
      <c r="L35" s="647">
        <v>3</v>
      </c>
      <c r="M35" s="634">
        <v>7</v>
      </c>
      <c r="N35" s="634">
        <v>10</v>
      </c>
      <c r="O35" s="647">
        <v>0</v>
      </c>
      <c r="P35" s="634">
        <v>0</v>
      </c>
      <c r="Q35" s="634">
        <v>0</v>
      </c>
      <c r="R35" s="647">
        <v>25</v>
      </c>
      <c r="S35" s="634">
        <v>38</v>
      </c>
      <c r="T35" s="634">
        <v>63</v>
      </c>
      <c r="U35" s="647">
        <v>0</v>
      </c>
      <c r="V35" s="634">
        <v>0</v>
      </c>
      <c r="W35" s="634">
        <v>0</v>
      </c>
      <c r="X35" s="647">
        <v>0</v>
      </c>
      <c r="Y35" s="634">
        <v>13</v>
      </c>
      <c r="Z35" s="634">
        <v>13</v>
      </c>
    </row>
    <row r="36" spans="1:26" ht="26" x14ac:dyDescent="0.3">
      <c r="A36" s="286">
        <v>32</v>
      </c>
      <c r="B36" s="291" t="s">
        <v>931</v>
      </c>
      <c r="C36" s="647">
        <v>101</v>
      </c>
      <c r="D36" s="634">
        <v>95</v>
      </c>
      <c r="E36" s="634">
        <v>196</v>
      </c>
      <c r="F36" s="647">
        <v>38</v>
      </c>
      <c r="G36" s="634">
        <v>51</v>
      </c>
      <c r="H36" s="634">
        <v>89</v>
      </c>
      <c r="I36" s="647">
        <v>7</v>
      </c>
      <c r="J36" s="634">
        <v>3</v>
      </c>
      <c r="K36" s="634">
        <v>10</v>
      </c>
      <c r="L36" s="647">
        <v>18</v>
      </c>
      <c r="M36" s="634">
        <v>26</v>
      </c>
      <c r="N36" s="634">
        <v>44</v>
      </c>
      <c r="O36" s="647">
        <v>0</v>
      </c>
      <c r="P36" s="634">
        <v>0</v>
      </c>
      <c r="Q36" s="634">
        <v>0</v>
      </c>
      <c r="R36" s="647">
        <v>0</v>
      </c>
      <c r="S36" s="634">
        <v>2</v>
      </c>
      <c r="T36" s="634">
        <v>2</v>
      </c>
      <c r="U36" s="647">
        <v>0</v>
      </c>
      <c r="V36" s="634">
        <v>0</v>
      </c>
      <c r="W36" s="634">
        <v>0</v>
      </c>
      <c r="X36" s="647">
        <v>9</v>
      </c>
      <c r="Y36" s="634">
        <v>3</v>
      </c>
      <c r="Z36" s="634">
        <v>12</v>
      </c>
    </row>
    <row r="37" spans="1:26" ht="26" x14ac:dyDescent="0.3">
      <c r="A37" s="286">
        <v>33</v>
      </c>
      <c r="B37" s="291" t="s">
        <v>143</v>
      </c>
      <c r="C37" s="647">
        <v>64347</v>
      </c>
      <c r="D37" s="634">
        <v>54371</v>
      </c>
      <c r="E37" s="634">
        <v>118718</v>
      </c>
      <c r="F37" s="647">
        <v>6069</v>
      </c>
      <c r="G37" s="634">
        <v>4721</v>
      </c>
      <c r="H37" s="634">
        <v>10790</v>
      </c>
      <c r="I37" s="647">
        <v>2769</v>
      </c>
      <c r="J37" s="634">
        <v>2178</v>
      </c>
      <c r="K37" s="634">
        <v>4947</v>
      </c>
      <c r="L37" s="647">
        <v>15393</v>
      </c>
      <c r="M37" s="634">
        <v>13066</v>
      </c>
      <c r="N37" s="634">
        <v>28459</v>
      </c>
      <c r="O37" s="647">
        <v>120</v>
      </c>
      <c r="P37" s="634">
        <v>36</v>
      </c>
      <c r="Q37" s="634">
        <v>156</v>
      </c>
      <c r="R37" s="647">
        <v>3356</v>
      </c>
      <c r="S37" s="634">
        <v>2137</v>
      </c>
      <c r="T37" s="634">
        <v>5493</v>
      </c>
      <c r="U37" s="647">
        <v>943</v>
      </c>
      <c r="V37" s="634">
        <v>1095</v>
      </c>
      <c r="W37" s="634">
        <v>2038</v>
      </c>
      <c r="X37" s="647">
        <v>1451</v>
      </c>
      <c r="Y37" s="634">
        <v>922</v>
      </c>
      <c r="Z37" s="634">
        <v>2373</v>
      </c>
    </row>
    <row r="38" spans="1:26" x14ac:dyDescent="0.3">
      <c r="A38" s="286">
        <v>34</v>
      </c>
      <c r="B38" s="291" t="s">
        <v>144</v>
      </c>
      <c r="C38" s="647">
        <v>2201334</v>
      </c>
      <c r="D38" s="634">
        <v>1994183</v>
      </c>
      <c r="E38" s="634">
        <v>4195517</v>
      </c>
      <c r="F38" s="647">
        <v>273720</v>
      </c>
      <c r="G38" s="634">
        <v>251436</v>
      </c>
      <c r="H38" s="634">
        <v>525156</v>
      </c>
      <c r="I38" s="647">
        <v>88036</v>
      </c>
      <c r="J38" s="634">
        <v>73326</v>
      </c>
      <c r="K38" s="634">
        <v>161362</v>
      </c>
      <c r="L38" s="647">
        <v>876494</v>
      </c>
      <c r="M38" s="634">
        <v>835069</v>
      </c>
      <c r="N38" s="634">
        <v>1711563</v>
      </c>
      <c r="O38" s="647">
        <v>5299</v>
      </c>
      <c r="P38" s="634">
        <v>3170</v>
      </c>
      <c r="Q38" s="634">
        <v>8469</v>
      </c>
      <c r="R38" s="647">
        <v>133057</v>
      </c>
      <c r="S38" s="634">
        <v>109648</v>
      </c>
      <c r="T38" s="634">
        <v>242705</v>
      </c>
      <c r="U38" s="647">
        <v>70101</v>
      </c>
      <c r="V38" s="634">
        <v>76354</v>
      </c>
      <c r="W38" s="634">
        <v>146455</v>
      </c>
      <c r="X38" s="647">
        <v>33055</v>
      </c>
      <c r="Y38" s="634">
        <v>32428</v>
      </c>
      <c r="Z38" s="634">
        <v>65483</v>
      </c>
    </row>
    <row r="39" spans="1:26" ht="26" x14ac:dyDescent="0.3">
      <c r="A39" s="286">
        <v>35</v>
      </c>
      <c r="B39" s="291" t="s">
        <v>145</v>
      </c>
      <c r="C39" s="647">
        <v>7044</v>
      </c>
      <c r="D39" s="634">
        <v>6962</v>
      </c>
      <c r="E39" s="634">
        <v>14006</v>
      </c>
      <c r="F39" s="647">
        <v>730</v>
      </c>
      <c r="G39" s="634">
        <v>663</v>
      </c>
      <c r="H39" s="634">
        <v>1393</v>
      </c>
      <c r="I39" s="647">
        <v>120</v>
      </c>
      <c r="J39" s="634">
        <v>118</v>
      </c>
      <c r="K39" s="634">
        <v>238</v>
      </c>
      <c r="L39" s="647">
        <v>1874</v>
      </c>
      <c r="M39" s="634">
        <v>1693</v>
      </c>
      <c r="N39" s="634">
        <v>3567</v>
      </c>
      <c r="O39" s="647">
        <v>7</v>
      </c>
      <c r="P39" s="634">
        <v>9</v>
      </c>
      <c r="Q39" s="634">
        <v>16</v>
      </c>
      <c r="R39" s="647">
        <v>231</v>
      </c>
      <c r="S39" s="634">
        <v>265</v>
      </c>
      <c r="T39" s="634">
        <v>496</v>
      </c>
      <c r="U39" s="647">
        <v>381</v>
      </c>
      <c r="V39" s="634">
        <v>543</v>
      </c>
      <c r="W39" s="634">
        <v>924</v>
      </c>
      <c r="X39" s="647">
        <v>127</v>
      </c>
      <c r="Y39" s="634">
        <v>117</v>
      </c>
      <c r="Z39" s="634">
        <v>244</v>
      </c>
    </row>
    <row r="40" spans="1:26" x14ac:dyDescent="0.3">
      <c r="A40" s="286">
        <v>36</v>
      </c>
      <c r="B40" s="291" t="s">
        <v>146</v>
      </c>
      <c r="C40" s="647">
        <v>26374</v>
      </c>
      <c r="D40" s="634">
        <v>73048</v>
      </c>
      <c r="E40" s="634">
        <v>99422</v>
      </c>
      <c r="F40" s="647">
        <v>3259</v>
      </c>
      <c r="G40" s="634">
        <v>8170</v>
      </c>
      <c r="H40" s="634">
        <v>11429</v>
      </c>
      <c r="I40" s="647">
        <v>956</v>
      </c>
      <c r="J40" s="634">
        <v>2137</v>
      </c>
      <c r="K40" s="634">
        <v>3093</v>
      </c>
      <c r="L40" s="647">
        <v>9349</v>
      </c>
      <c r="M40" s="634">
        <v>27297</v>
      </c>
      <c r="N40" s="634">
        <v>36646</v>
      </c>
      <c r="O40" s="647">
        <v>23</v>
      </c>
      <c r="P40" s="634">
        <v>14</v>
      </c>
      <c r="Q40" s="634">
        <v>37</v>
      </c>
      <c r="R40" s="647">
        <v>1584</v>
      </c>
      <c r="S40" s="634">
        <v>3876</v>
      </c>
      <c r="T40" s="634">
        <v>5460</v>
      </c>
      <c r="U40" s="647">
        <v>868</v>
      </c>
      <c r="V40" s="634">
        <v>2565</v>
      </c>
      <c r="W40" s="634">
        <v>3433</v>
      </c>
      <c r="X40" s="647">
        <v>529</v>
      </c>
      <c r="Y40" s="634">
        <v>1417</v>
      </c>
      <c r="Z40" s="634">
        <v>1946</v>
      </c>
    </row>
    <row r="41" spans="1:26" x14ac:dyDescent="0.3">
      <c r="A41" s="286">
        <v>37</v>
      </c>
      <c r="B41" s="291" t="s">
        <v>823</v>
      </c>
      <c r="C41" s="647">
        <v>2</v>
      </c>
      <c r="D41" s="634">
        <v>27</v>
      </c>
      <c r="E41" s="634">
        <v>29</v>
      </c>
      <c r="F41" s="647">
        <v>0</v>
      </c>
      <c r="G41" s="634">
        <v>2</v>
      </c>
      <c r="H41" s="634">
        <v>2</v>
      </c>
      <c r="I41" s="647">
        <v>0</v>
      </c>
      <c r="J41" s="634">
        <v>1</v>
      </c>
      <c r="K41" s="634">
        <v>1</v>
      </c>
      <c r="L41" s="647">
        <v>1</v>
      </c>
      <c r="M41" s="634">
        <v>16</v>
      </c>
      <c r="N41" s="634">
        <v>17</v>
      </c>
      <c r="O41" s="647">
        <v>0</v>
      </c>
      <c r="P41" s="634">
        <v>0</v>
      </c>
      <c r="Q41" s="634">
        <v>0</v>
      </c>
      <c r="R41" s="647">
        <v>0</v>
      </c>
      <c r="S41" s="634">
        <v>0</v>
      </c>
      <c r="T41" s="634">
        <v>0</v>
      </c>
      <c r="U41" s="647">
        <v>0</v>
      </c>
      <c r="V41" s="634">
        <v>0</v>
      </c>
      <c r="W41" s="634">
        <v>0</v>
      </c>
      <c r="X41" s="647">
        <v>0</v>
      </c>
      <c r="Y41" s="634">
        <v>0</v>
      </c>
      <c r="Z41" s="634">
        <v>0</v>
      </c>
    </row>
    <row r="42" spans="1:26" x14ac:dyDescent="0.3">
      <c r="A42" s="286">
        <v>38</v>
      </c>
      <c r="B42" s="291" t="s">
        <v>932</v>
      </c>
      <c r="C42" s="647">
        <v>4</v>
      </c>
      <c r="D42" s="634">
        <v>23</v>
      </c>
      <c r="E42" s="634">
        <v>27</v>
      </c>
      <c r="F42" s="647">
        <v>0</v>
      </c>
      <c r="G42" s="634">
        <v>0</v>
      </c>
      <c r="H42" s="634">
        <v>0</v>
      </c>
      <c r="I42" s="647">
        <v>0</v>
      </c>
      <c r="J42" s="634">
        <v>0</v>
      </c>
      <c r="K42" s="634">
        <v>0</v>
      </c>
      <c r="L42" s="647">
        <v>0</v>
      </c>
      <c r="M42" s="634">
        <v>3</v>
      </c>
      <c r="N42" s="634">
        <v>3</v>
      </c>
      <c r="O42" s="647">
        <v>0</v>
      </c>
      <c r="P42" s="634">
        <v>0</v>
      </c>
      <c r="Q42" s="634">
        <v>0</v>
      </c>
      <c r="R42" s="647">
        <v>0</v>
      </c>
      <c r="S42" s="634">
        <v>0</v>
      </c>
      <c r="T42" s="634">
        <v>0</v>
      </c>
      <c r="U42" s="647">
        <v>0</v>
      </c>
      <c r="V42" s="634">
        <v>1</v>
      </c>
      <c r="W42" s="634">
        <v>1</v>
      </c>
      <c r="X42" s="647">
        <v>0</v>
      </c>
      <c r="Y42" s="634">
        <v>0</v>
      </c>
      <c r="Z42" s="634">
        <v>0</v>
      </c>
    </row>
    <row r="43" spans="1:26" x14ac:dyDescent="0.3">
      <c r="A43" s="286">
        <v>39</v>
      </c>
      <c r="B43" s="291" t="s">
        <v>147</v>
      </c>
      <c r="C43" s="647">
        <v>15268</v>
      </c>
      <c r="D43" s="634">
        <v>36192</v>
      </c>
      <c r="E43" s="634">
        <v>51460</v>
      </c>
      <c r="F43" s="647">
        <v>1367</v>
      </c>
      <c r="G43" s="634">
        <v>4695</v>
      </c>
      <c r="H43" s="634">
        <v>6062</v>
      </c>
      <c r="I43" s="647">
        <v>428</v>
      </c>
      <c r="J43" s="634">
        <v>1459</v>
      </c>
      <c r="K43" s="634">
        <v>1887</v>
      </c>
      <c r="L43" s="647">
        <v>2933</v>
      </c>
      <c r="M43" s="634">
        <v>5712</v>
      </c>
      <c r="N43" s="634">
        <v>8645</v>
      </c>
      <c r="O43" s="647">
        <v>36</v>
      </c>
      <c r="P43" s="634">
        <v>69</v>
      </c>
      <c r="Q43" s="634">
        <v>105</v>
      </c>
      <c r="R43" s="647">
        <v>394</v>
      </c>
      <c r="S43" s="634">
        <v>599</v>
      </c>
      <c r="T43" s="634">
        <v>993</v>
      </c>
      <c r="U43" s="647">
        <v>461</v>
      </c>
      <c r="V43" s="634">
        <v>1002</v>
      </c>
      <c r="W43" s="634">
        <v>1463</v>
      </c>
      <c r="X43" s="647">
        <v>303</v>
      </c>
      <c r="Y43" s="634">
        <v>971</v>
      </c>
      <c r="Z43" s="634">
        <v>1274</v>
      </c>
    </row>
    <row r="44" spans="1:26" x14ac:dyDescent="0.3">
      <c r="A44" s="286">
        <v>40</v>
      </c>
      <c r="B44" s="291" t="s">
        <v>148</v>
      </c>
      <c r="C44" s="647">
        <v>921575</v>
      </c>
      <c r="D44" s="634">
        <v>390769</v>
      </c>
      <c r="E44" s="634">
        <v>1312344</v>
      </c>
      <c r="F44" s="647">
        <v>105244</v>
      </c>
      <c r="G44" s="634">
        <v>50436</v>
      </c>
      <c r="H44" s="634">
        <v>155680</v>
      </c>
      <c r="I44" s="647">
        <v>21820</v>
      </c>
      <c r="J44" s="634">
        <v>10075</v>
      </c>
      <c r="K44" s="634">
        <v>31895</v>
      </c>
      <c r="L44" s="647">
        <v>450079</v>
      </c>
      <c r="M44" s="634">
        <v>204955</v>
      </c>
      <c r="N44" s="634">
        <v>655034</v>
      </c>
      <c r="O44" s="647">
        <v>672</v>
      </c>
      <c r="P44" s="634">
        <v>755</v>
      </c>
      <c r="Q44" s="634">
        <v>1427</v>
      </c>
      <c r="R44" s="647">
        <v>45791</v>
      </c>
      <c r="S44" s="634">
        <v>11106</v>
      </c>
      <c r="T44" s="634">
        <v>56897</v>
      </c>
      <c r="U44" s="647">
        <v>35075</v>
      </c>
      <c r="V44" s="634">
        <v>15117</v>
      </c>
      <c r="W44" s="634">
        <v>50192</v>
      </c>
      <c r="X44" s="647">
        <v>24303</v>
      </c>
      <c r="Y44" s="634">
        <v>9594</v>
      </c>
      <c r="Z44" s="634">
        <v>33897</v>
      </c>
    </row>
    <row r="45" spans="1:26" ht="26" x14ac:dyDescent="0.3">
      <c r="A45" s="286">
        <v>41</v>
      </c>
      <c r="B45" s="291" t="s">
        <v>824</v>
      </c>
      <c r="C45" s="647">
        <v>1748</v>
      </c>
      <c r="D45" s="634">
        <v>1819</v>
      </c>
      <c r="E45" s="634">
        <v>3567</v>
      </c>
      <c r="F45" s="647">
        <v>302</v>
      </c>
      <c r="G45" s="634">
        <v>247</v>
      </c>
      <c r="H45" s="634">
        <v>549</v>
      </c>
      <c r="I45" s="647">
        <v>207</v>
      </c>
      <c r="J45" s="634">
        <v>129</v>
      </c>
      <c r="K45" s="634">
        <v>336</v>
      </c>
      <c r="L45" s="647">
        <v>637</v>
      </c>
      <c r="M45" s="634">
        <v>532</v>
      </c>
      <c r="N45" s="634">
        <v>1169</v>
      </c>
      <c r="O45" s="647">
        <v>3</v>
      </c>
      <c r="P45" s="634">
        <v>2</v>
      </c>
      <c r="Q45" s="634">
        <v>5</v>
      </c>
      <c r="R45" s="647">
        <v>48</v>
      </c>
      <c r="S45" s="634">
        <v>91</v>
      </c>
      <c r="T45" s="634">
        <v>139</v>
      </c>
      <c r="U45" s="647">
        <v>11</v>
      </c>
      <c r="V45" s="634">
        <v>42</v>
      </c>
      <c r="W45" s="634">
        <v>53</v>
      </c>
      <c r="X45" s="647">
        <v>65</v>
      </c>
      <c r="Y45" s="634">
        <v>88</v>
      </c>
      <c r="Z45" s="634">
        <v>153</v>
      </c>
    </row>
    <row r="46" spans="1:26" x14ac:dyDescent="0.3">
      <c r="A46" s="286">
        <v>42</v>
      </c>
      <c r="B46" s="291" t="s">
        <v>149</v>
      </c>
      <c r="C46" s="647">
        <v>586527</v>
      </c>
      <c r="D46" s="634">
        <v>1039347</v>
      </c>
      <c r="E46" s="634">
        <v>1625874</v>
      </c>
      <c r="F46" s="647">
        <v>115861</v>
      </c>
      <c r="G46" s="634">
        <v>172925</v>
      </c>
      <c r="H46" s="634">
        <v>288786</v>
      </c>
      <c r="I46" s="647">
        <v>49187</v>
      </c>
      <c r="J46" s="634">
        <v>71455</v>
      </c>
      <c r="K46" s="634">
        <v>120642</v>
      </c>
      <c r="L46" s="647">
        <v>216464</v>
      </c>
      <c r="M46" s="634">
        <v>380568</v>
      </c>
      <c r="N46" s="634">
        <v>597032</v>
      </c>
      <c r="O46" s="647">
        <v>1704</v>
      </c>
      <c r="P46" s="634">
        <v>2196</v>
      </c>
      <c r="Q46" s="634">
        <v>3900</v>
      </c>
      <c r="R46" s="647">
        <v>22485</v>
      </c>
      <c r="S46" s="634">
        <v>43254</v>
      </c>
      <c r="T46" s="634">
        <v>65739</v>
      </c>
      <c r="U46" s="647">
        <v>6511</v>
      </c>
      <c r="V46" s="634">
        <v>22756</v>
      </c>
      <c r="W46" s="634">
        <v>29267</v>
      </c>
      <c r="X46" s="647">
        <v>14357</v>
      </c>
      <c r="Y46" s="634">
        <v>22932</v>
      </c>
      <c r="Z46" s="634">
        <v>37289</v>
      </c>
    </row>
    <row r="47" spans="1:26" ht="26" x14ac:dyDescent="0.3">
      <c r="A47" s="286">
        <v>43</v>
      </c>
      <c r="B47" s="291" t="s">
        <v>150</v>
      </c>
      <c r="C47" s="647">
        <v>3142</v>
      </c>
      <c r="D47" s="634">
        <v>6261</v>
      </c>
      <c r="E47" s="634">
        <v>9403</v>
      </c>
      <c r="F47" s="647">
        <v>667</v>
      </c>
      <c r="G47" s="634">
        <v>1153</v>
      </c>
      <c r="H47" s="634">
        <v>1820</v>
      </c>
      <c r="I47" s="647">
        <v>19</v>
      </c>
      <c r="J47" s="634">
        <v>79</v>
      </c>
      <c r="K47" s="634">
        <v>98</v>
      </c>
      <c r="L47" s="647">
        <v>1397</v>
      </c>
      <c r="M47" s="634">
        <v>2460</v>
      </c>
      <c r="N47" s="634">
        <v>3857</v>
      </c>
      <c r="O47" s="647">
        <v>0</v>
      </c>
      <c r="P47" s="634">
        <v>27</v>
      </c>
      <c r="Q47" s="634">
        <v>27</v>
      </c>
      <c r="R47" s="647">
        <v>87</v>
      </c>
      <c r="S47" s="634">
        <v>224</v>
      </c>
      <c r="T47" s="634">
        <v>311</v>
      </c>
      <c r="U47" s="647">
        <v>4</v>
      </c>
      <c r="V47" s="634">
        <v>13</v>
      </c>
      <c r="W47" s="634">
        <v>17</v>
      </c>
      <c r="X47" s="647">
        <v>8</v>
      </c>
      <c r="Y47" s="634">
        <v>153</v>
      </c>
      <c r="Z47" s="634">
        <v>161</v>
      </c>
    </row>
    <row r="48" spans="1:26" x14ac:dyDescent="0.3">
      <c r="A48" s="286">
        <v>44</v>
      </c>
      <c r="B48" s="291" t="s">
        <v>151</v>
      </c>
      <c r="C48" s="647">
        <v>14278</v>
      </c>
      <c r="D48" s="634">
        <v>16025</v>
      </c>
      <c r="E48" s="634">
        <v>30303</v>
      </c>
      <c r="F48" s="647">
        <v>2607</v>
      </c>
      <c r="G48" s="634">
        <v>1883</v>
      </c>
      <c r="H48" s="634">
        <v>4490</v>
      </c>
      <c r="I48" s="647">
        <v>977</v>
      </c>
      <c r="J48" s="634">
        <v>563</v>
      </c>
      <c r="K48" s="634">
        <v>1540</v>
      </c>
      <c r="L48" s="647">
        <v>5147</v>
      </c>
      <c r="M48" s="634">
        <v>5000</v>
      </c>
      <c r="N48" s="634">
        <v>10147</v>
      </c>
      <c r="O48" s="647">
        <v>142</v>
      </c>
      <c r="P48" s="634">
        <v>74</v>
      </c>
      <c r="Q48" s="634">
        <v>216</v>
      </c>
      <c r="R48" s="647">
        <v>304</v>
      </c>
      <c r="S48" s="634">
        <v>395</v>
      </c>
      <c r="T48" s="634">
        <v>699</v>
      </c>
      <c r="U48" s="647">
        <v>274</v>
      </c>
      <c r="V48" s="634">
        <v>433</v>
      </c>
      <c r="W48" s="634">
        <v>707</v>
      </c>
      <c r="X48" s="647">
        <v>379</v>
      </c>
      <c r="Y48" s="634">
        <v>534</v>
      </c>
      <c r="Z48" s="634">
        <v>913</v>
      </c>
    </row>
    <row r="49" spans="1:26" x14ac:dyDescent="0.3">
      <c r="A49" s="286">
        <v>45</v>
      </c>
      <c r="B49" s="291" t="s">
        <v>825</v>
      </c>
      <c r="C49" s="647">
        <v>2670</v>
      </c>
      <c r="D49" s="634">
        <v>2525</v>
      </c>
      <c r="E49" s="634">
        <v>5195</v>
      </c>
      <c r="F49" s="647">
        <v>389</v>
      </c>
      <c r="G49" s="634">
        <v>362</v>
      </c>
      <c r="H49" s="634">
        <v>751</v>
      </c>
      <c r="I49" s="647">
        <v>194</v>
      </c>
      <c r="J49" s="634">
        <v>214</v>
      </c>
      <c r="K49" s="634">
        <v>408</v>
      </c>
      <c r="L49" s="647">
        <v>1180</v>
      </c>
      <c r="M49" s="634">
        <v>1148</v>
      </c>
      <c r="N49" s="634">
        <v>2328</v>
      </c>
      <c r="O49" s="647">
        <v>7</v>
      </c>
      <c r="P49" s="634">
        <v>7</v>
      </c>
      <c r="Q49" s="634">
        <v>14</v>
      </c>
      <c r="R49" s="647">
        <v>99</v>
      </c>
      <c r="S49" s="634">
        <v>147</v>
      </c>
      <c r="T49" s="634">
        <v>246</v>
      </c>
      <c r="U49" s="647">
        <v>143</v>
      </c>
      <c r="V49" s="634">
        <v>242</v>
      </c>
      <c r="W49" s="634">
        <v>385</v>
      </c>
      <c r="X49" s="647">
        <v>67</v>
      </c>
      <c r="Y49" s="634">
        <v>62</v>
      </c>
      <c r="Z49" s="634">
        <v>129</v>
      </c>
    </row>
    <row r="50" spans="1:26" ht="26" x14ac:dyDescent="0.3">
      <c r="A50" s="286">
        <v>46</v>
      </c>
      <c r="B50" s="291" t="s">
        <v>826</v>
      </c>
      <c r="C50" s="647">
        <v>520</v>
      </c>
      <c r="D50" s="634">
        <v>2270</v>
      </c>
      <c r="E50" s="634">
        <v>2790</v>
      </c>
      <c r="F50" s="647">
        <v>64</v>
      </c>
      <c r="G50" s="634">
        <v>282</v>
      </c>
      <c r="H50" s="634">
        <v>346</v>
      </c>
      <c r="I50" s="647">
        <v>15</v>
      </c>
      <c r="J50" s="634">
        <v>164</v>
      </c>
      <c r="K50" s="634">
        <v>179</v>
      </c>
      <c r="L50" s="647">
        <v>146</v>
      </c>
      <c r="M50" s="634">
        <v>640</v>
      </c>
      <c r="N50" s="634">
        <v>786</v>
      </c>
      <c r="O50" s="647">
        <v>0</v>
      </c>
      <c r="P50" s="634">
        <v>0</v>
      </c>
      <c r="Q50" s="634">
        <v>0</v>
      </c>
      <c r="R50" s="647">
        <v>14</v>
      </c>
      <c r="S50" s="634">
        <v>39</v>
      </c>
      <c r="T50" s="634">
        <v>53</v>
      </c>
      <c r="U50" s="647">
        <v>21</v>
      </c>
      <c r="V50" s="634">
        <v>114</v>
      </c>
      <c r="W50" s="634">
        <v>135</v>
      </c>
      <c r="X50" s="647">
        <v>19</v>
      </c>
      <c r="Y50" s="634">
        <v>50</v>
      </c>
      <c r="Z50" s="634">
        <v>69</v>
      </c>
    </row>
    <row r="51" spans="1:26" x14ac:dyDescent="0.3">
      <c r="A51" s="286">
        <v>47</v>
      </c>
      <c r="B51" s="291" t="s">
        <v>827</v>
      </c>
      <c r="C51" s="647">
        <v>1342</v>
      </c>
      <c r="D51" s="634">
        <v>1251</v>
      </c>
      <c r="E51" s="634">
        <v>2593</v>
      </c>
      <c r="F51" s="647">
        <v>154</v>
      </c>
      <c r="G51" s="634">
        <v>137</v>
      </c>
      <c r="H51" s="634">
        <v>291</v>
      </c>
      <c r="I51" s="647">
        <v>40</v>
      </c>
      <c r="J51" s="634">
        <v>24</v>
      </c>
      <c r="K51" s="634">
        <v>64</v>
      </c>
      <c r="L51" s="647">
        <v>222</v>
      </c>
      <c r="M51" s="634">
        <v>204</v>
      </c>
      <c r="N51" s="634">
        <v>426</v>
      </c>
      <c r="O51" s="647">
        <v>0</v>
      </c>
      <c r="P51" s="634">
        <v>0</v>
      </c>
      <c r="Q51" s="634">
        <v>0</v>
      </c>
      <c r="R51" s="647">
        <v>63</v>
      </c>
      <c r="S51" s="634">
        <v>47</v>
      </c>
      <c r="T51" s="634">
        <v>110</v>
      </c>
      <c r="U51" s="647">
        <v>40</v>
      </c>
      <c r="V51" s="634">
        <v>43</v>
      </c>
      <c r="W51" s="634">
        <v>83</v>
      </c>
      <c r="X51" s="647">
        <v>83</v>
      </c>
      <c r="Y51" s="634">
        <v>55</v>
      </c>
      <c r="Z51" s="634">
        <v>138</v>
      </c>
    </row>
    <row r="52" spans="1:26" ht="26" x14ac:dyDescent="0.3">
      <c r="A52" s="286">
        <v>48</v>
      </c>
      <c r="B52" s="291" t="s">
        <v>152</v>
      </c>
      <c r="C52" s="647">
        <v>3091</v>
      </c>
      <c r="D52" s="634">
        <v>3407</v>
      </c>
      <c r="E52" s="634">
        <v>6498</v>
      </c>
      <c r="F52" s="647">
        <v>317</v>
      </c>
      <c r="G52" s="634">
        <v>355</v>
      </c>
      <c r="H52" s="634">
        <v>672</v>
      </c>
      <c r="I52" s="647">
        <v>168</v>
      </c>
      <c r="J52" s="634">
        <v>89</v>
      </c>
      <c r="K52" s="634">
        <v>257</v>
      </c>
      <c r="L52" s="647">
        <v>587</v>
      </c>
      <c r="M52" s="634">
        <v>569</v>
      </c>
      <c r="N52" s="634">
        <v>1156</v>
      </c>
      <c r="O52" s="647">
        <v>0</v>
      </c>
      <c r="P52" s="634">
        <v>1</v>
      </c>
      <c r="Q52" s="634">
        <v>1</v>
      </c>
      <c r="R52" s="647">
        <v>142</v>
      </c>
      <c r="S52" s="634">
        <v>105</v>
      </c>
      <c r="T52" s="634">
        <v>247</v>
      </c>
      <c r="U52" s="647">
        <v>22</v>
      </c>
      <c r="V52" s="634">
        <v>29</v>
      </c>
      <c r="W52" s="634">
        <v>51</v>
      </c>
      <c r="X52" s="647">
        <v>53</v>
      </c>
      <c r="Y52" s="634">
        <v>41</v>
      </c>
      <c r="Z52" s="634">
        <v>94</v>
      </c>
    </row>
    <row r="53" spans="1:26" x14ac:dyDescent="0.3">
      <c r="A53" s="286">
        <v>49</v>
      </c>
      <c r="B53" s="291" t="s">
        <v>153</v>
      </c>
      <c r="C53" s="647">
        <v>39329</v>
      </c>
      <c r="D53" s="634">
        <v>12363</v>
      </c>
      <c r="E53" s="634">
        <v>51692</v>
      </c>
      <c r="F53" s="647">
        <v>5916</v>
      </c>
      <c r="G53" s="634">
        <v>2205</v>
      </c>
      <c r="H53" s="634">
        <v>8121</v>
      </c>
      <c r="I53" s="647">
        <v>2423</v>
      </c>
      <c r="J53" s="634">
        <v>1352</v>
      </c>
      <c r="K53" s="634">
        <v>3775</v>
      </c>
      <c r="L53" s="647">
        <v>8265</v>
      </c>
      <c r="M53" s="634">
        <v>1719</v>
      </c>
      <c r="N53" s="634">
        <v>9984</v>
      </c>
      <c r="O53" s="647">
        <v>195</v>
      </c>
      <c r="P53" s="634">
        <v>9</v>
      </c>
      <c r="Q53" s="634">
        <v>204</v>
      </c>
      <c r="R53" s="647">
        <v>733</v>
      </c>
      <c r="S53" s="634">
        <v>119</v>
      </c>
      <c r="T53" s="634">
        <v>852</v>
      </c>
      <c r="U53" s="647">
        <v>635</v>
      </c>
      <c r="V53" s="634">
        <v>175</v>
      </c>
      <c r="W53" s="634">
        <v>810</v>
      </c>
      <c r="X53" s="647">
        <v>1177</v>
      </c>
      <c r="Y53" s="634">
        <v>307</v>
      </c>
      <c r="Z53" s="634">
        <v>1484</v>
      </c>
    </row>
    <row r="54" spans="1:26" ht="26" x14ac:dyDescent="0.3">
      <c r="A54" s="286">
        <v>50</v>
      </c>
      <c r="B54" s="291" t="s">
        <v>154</v>
      </c>
      <c r="C54" s="647">
        <v>16910</v>
      </c>
      <c r="D54" s="634">
        <v>4294</v>
      </c>
      <c r="E54" s="634">
        <v>21204</v>
      </c>
      <c r="F54" s="647">
        <v>2563</v>
      </c>
      <c r="G54" s="634">
        <v>917</v>
      </c>
      <c r="H54" s="634">
        <v>3480</v>
      </c>
      <c r="I54" s="647">
        <v>337</v>
      </c>
      <c r="J54" s="634">
        <v>87</v>
      </c>
      <c r="K54" s="634">
        <v>424</v>
      </c>
      <c r="L54" s="647">
        <v>4199</v>
      </c>
      <c r="M54" s="634">
        <v>776</v>
      </c>
      <c r="N54" s="634">
        <v>4975</v>
      </c>
      <c r="O54" s="647">
        <v>7</v>
      </c>
      <c r="P54" s="634">
        <v>1</v>
      </c>
      <c r="Q54" s="634">
        <v>8</v>
      </c>
      <c r="R54" s="647">
        <v>540</v>
      </c>
      <c r="S54" s="634">
        <v>42</v>
      </c>
      <c r="T54" s="634">
        <v>582</v>
      </c>
      <c r="U54" s="647">
        <v>505</v>
      </c>
      <c r="V54" s="634">
        <v>171</v>
      </c>
      <c r="W54" s="634">
        <v>676</v>
      </c>
      <c r="X54" s="647">
        <v>349</v>
      </c>
      <c r="Y54" s="634">
        <v>72</v>
      </c>
      <c r="Z54" s="634">
        <v>421</v>
      </c>
    </row>
    <row r="55" spans="1:26" ht="26" x14ac:dyDescent="0.3">
      <c r="A55" s="286">
        <v>51</v>
      </c>
      <c r="B55" s="291" t="s">
        <v>155</v>
      </c>
      <c r="C55" s="647">
        <v>25585</v>
      </c>
      <c r="D55" s="634">
        <v>40188</v>
      </c>
      <c r="E55" s="634">
        <v>65773</v>
      </c>
      <c r="F55" s="647">
        <v>2547</v>
      </c>
      <c r="G55" s="634">
        <v>4187</v>
      </c>
      <c r="H55" s="634">
        <v>6734</v>
      </c>
      <c r="I55" s="647">
        <v>1122</v>
      </c>
      <c r="J55" s="634">
        <v>1448</v>
      </c>
      <c r="K55" s="634">
        <v>2570</v>
      </c>
      <c r="L55" s="647">
        <v>10528</v>
      </c>
      <c r="M55" s="634">
        <v>16016</v>
      </c>
      <c r="N55" s="634">
        <v>26544</v>
      </c>
      <c r="O55" s="647">
        <v>18</v>
      </c>
      <c r="P55" s="634">
        <v>71</v>
      </c>
      <c r="Q55" s="634">
        <v>89</v>
      </c>
      <c r="R55" s="647">
        <v>1317</v>
      </c>
      <c r="S55" s="634">
        <v>2699</v>
      </c>
      <c r="T55" s="634">
        <v>4016</v>
      </c>
      <c r="U55" s="647">
        <v>491</v>
      </c>
      <c r="V55" s="634">
        <v>1117</v>
      </c>
      <c r="W55" s="634">
        <v>1608</v>
      </c>
      <c r="X55" s="647">
        <v>941</v>
      </c>
      <c r="Y55" s="634">
        <v>2010</v>
      </c>
      <c r="Z55" s="634">
        <v>2951</v>
      </c>
    </row>
    <row r="56" spans="1:26" ht="26" x14ac:dyDescent="0.3">
      <c r="A56" s="286">
        <v>52</v>
      </c>
      <c r="B56" s="291" t="s">
        <v>156</v>
      </c>
      <c r="C56" s="647">
        <v>9601</v>
      </c>
      <c r="D56" s="634">
        <v>4482</v>
      </c>
      <c r="E56" s="634">
        <v>14083</v>
      </c>
      <c r="F56" s="647">
        <v>658</v>
      </c>
      <c r="G56" s="634">
        <v>562</v>
      </c>
      <c r="H56" s="634">
        <v>1220</v>
      </c>
      <c r="I56" s="647">
        <v>962</v>
      </c>
      <c r="J56" s="634">
        <v>720</v>
      </c>
      <c r="K56" s="634">
        <v>1682</v>
      </c>
      <c r="L56" s="647">
        <v>1426</v>
      </c>
      <c r="M56" s="634">
        <v>615</v>
      </c>
      <c r="N56" s="634">
        <v>2041</v>
      </c>
      <c r="O56" s="647">
        <v>29</v>
      </c>
      <c r="P56" s="634">
        <v>11</v>
      </c>
      <c r="Q56" s="634">
        <v>40</v>
      </c>
      <c r="R56" s="647">
        <v>349</v>
      </c>
      <c r="S56" s="634">
        <v>113</v>
      </c>
      <c r="T56" s="634">
        <v>462</v>
      </c>
      <c r="U56" s="647">
        <v>217</v>
      </c>
      <c r="V56" s="634">
        <v>100</v>
      </c>
      <c r="W56" s="634">
        <v>317</v>
      </c>
      <c r="X56" s="647">
        <v>165</v>
      </c>
      <c r="Y56" s="634">
        <v>81</v>
      </c>
      <c r="Z56" s="634">
        <v>246</v>
      </c>
    </row>
    <row r="57" spans="1:26" ht="26" x14ac:dyDescent="0.3">
      <c r="A57" s="286">
        <v>53</v>
      </c>
      <c r="B57" s="291" t="s">
        <v>828</v>
      </c>
      <c r="C57" s="647">
        <v>495</v>
      </c>
      <c r="D57" s="634">
        <v>543</v>
      </c>
      <c r="E57" s="634">
        <v>1038</v>
      </c>
      <c r="F57" s="647">
        <v>66</v>
      </c>
      <c r="G57" s="634">
        <v>90</v>
      </c>
      <c r="H57" s="634">
        <v>156</v>
      </c>
      <c r="I57" s="647">
        <v>4</v>
      </c>
      <c r="J57" s="634">
        <v>3</v>
      </c>
      <c r="K57" s="634">
        <v>7</v>
      </c>
      <c r="L57" s="647">
        <v>125</v>
      </c>
      <c r="M57" s="634">
        <v>106</v>
      </c>
      <c r="N57" s="634">
        <v>231</v>
      </c>
      <c r="O57" s="647">
        <v>0</v>
      </c>
      <c r="P57" s="634">
        <v>0</v>
      </c>
      <c r="Q57" s="634">
        <v>0</v>
      </c>
      <c r="R57" s="647">
        <v>23</v>
      </c>
      <c r="S57" s="634">
        <v>13</v>
      </c>
      <c r="T57" s="634">
        <v>36</v>
      </c>
      <c r="U57" s="647">
        <v>0</v>
      </c>
      <c r="V57" s="634">
        <v>5</v>
      </c>
      <c r="W57" s="634">
        <v>5</v>
      </c>
      <c r="X57" s="647">
        <v>3</v>
      </c>
      <c r="Y57" s="634">
        <v>1</v>
      </c>
      <c r="Z57" s="634">
        <v>4</v>
      </c>
    </row>
    <row r="58" spans="1:26" ht="26" x14ac:dyDescent="0.3">
      <c r="A58" s="286">
        <v>54</v>
      </c>
      <c r="B58" s="291" t="s">
        <v>157</v>
      </c>
      <c r="C58" s="647">
        <v>1703</v>
      </c>
      <c r="D58" s="634">
        <v>952</v>
      </c>
      <c r="E58" s="634">
        <v>2655</v>
      </c>
      <c r="F58" s="647">
        <v>393</v>
      </c>
      <c r="G58" s="634">
        <v>214</v>
      </c>
      <c r="H58" s="634">
        <v>607</v>
      </c>
      <c r="I58" s="647">
        <v>234</v>
      </c>
      <c r="J58" s="634">
        <v>214</v>
      </c>
      <c r="K58" s="634">
        <v>448</v>
      </c>
      <c r="L58" s="647">
        <v>243</v>
      </c>
      <c r="M58" s="634">
        <v>95</v>
      </c>
      <c r="N58" s="634">
        <v>338</v>
      </c>
      <c r="O58" s="647">
        <v>0</v>
      </c>
      <c r="P58" s="634">
        <v>0</v>
      </c>
      <c r="Q58" s="634">
        <v>0</v>
      </c>
      <c r="R58" s="647">
        <v>48</v>
      </c>
      <c r="S58" s="634">
        <v>5</v>
      </c>
      <c r="T58" s="634">
        <v>53</v>
      </c>
      <c r="U58" s="647">
        <v>36</v>
      </c>
      <c r="V58" s="634">
        <v>14</v>
      </c>
      <c r="W58" s="634">
        <v>50</v>
      </c>
      <c r="X58" s="647">
        <v>7</v>
      </c>
      <c r="Y58" s="634">
        <v>3</v>
      </c>
      <c r="Z58" s="634">
        <v>10</v>
      </c>
    </row>
    <row r="59" spans="1:26" ht="26" x14ac:dyDescent="0.3">
      <c r="A59" s="286">
        <v>55</v>
      </c>
      <c r="B59" s="291" t="s">
        <v>829</v>
      </c>
      <c r="C59" s="647">
        <v>1173</v>
      </c>
      <c r="D59" s="634">
        <v>118</v>
      </c>
      <c r="E59" s="634">
        <v>1291</v>
      </c>
      <c r="F59" s="647">
        <v>9</v>
      </c>
      <c r="G59" s="634">
        <v>5</v>
      </c>
      <c r="H59" s="634">
        <v>14</v>
      </c>
      <c r="I59" s="647">
        <v>3</v>
      </c>
      <c r="J59" s="634">
        <v>3</v>
      </c>
      <c r="K59" s="634">
        <v>6</v>
      </c>
      <c r="L59" s="647">
        <v>54</v>
      </c>
      <c r="M59" s="634">
        <v>26</v>
      </c>
      <c r="N59" s="634">
        <v>80</v>
      </c>
      <c r="O59" s="647">
        <v>0</v>
      </c>
      <c r="P59" s="634">
        <v>0</v>
      </c>
      <c r="Q59" s="634">
        <v>0</v>
      </c>
      <c r="R59" s="647">
        <v>3</v>
      </c>
      <c r="S59" s="634">
        <v>2</v>
      </c>
      <c r="T59" s="634">
        <v>5</v>
      </c>
      <c r="U59" s="647">
        <v>0</v>
      </c>
      <c r="V59" s="634">
        <v>0</v>
      </c>
      <c r="W59" s="634">
        <v>0</v>
      </c>
      <c r="X59" s="647">
        <v>11</v>
      </c>
      <c r="Y59" s="634">
        <v>4</v>
      </c>
      <c r="Z59" s="634">
        <v>15</v>
      </c>
    </row>
    <row r="60" spans="1:26" x14ac:dyDescent="0.3">
      <c r="A60" s="286">
        <v>56</v>
      </c>
      <c r="B60" s="291" t="s">
        <v>830</v>
      </c>
      <c r="C60" s="647">
        <v>394</v>
      </c>
      <c r="D60" s="634">
        <v>510</v>
      </c>
      <c r="E60" s="634">
        <v>904</v>
      </c>
      <c r="F60" s="647">
        <v>35</v>
      </c>
      <c r="G60" s="634">
        <v>45</v>
      </c>
      <c r="H60" s="634">
        <v>80</v>
      </c>
      <c r="I60" s="647">
        <v>4</v>
      </c>
      <c r="J60" s="634">
        <v>2</v>
      </c>
      <c r="K60" s="634">
        <v>6</v>
      </c>
      <c r="L60" s="647">
        <v>203</v>
      </c>
      <c r="M60" s="634">
        <v>276</v>
      </c>
      <c r="N60" s="634">
        <v>479</v>
      </c>
      <c r="O60" s="647">
        <v>0</v>
      </c>
      <c r="P60" s="634">
        <v>0</v>
      </c>
      <c r="Q60" s="634">
        <v>0</v>
      </c>
      <c r="R60" s="647">
        <v>24</v>
      </c>
      <c r="S60" s="634">
        <v>28</v>
      </c>
      <c r="T60" s="634">
        <v>52</v>
      </c>
      <c r="U60" s="647">
        <v>40</v>
      </c>
      <c r="V60" s="634">
        <v>60</v>
      </c>
      <c r="W60" s="634">
        <v>100</v>
      </c>
      <c r="X60" s="647">
        <v>10</v>
      </c>
      <c r="Y60" s="634">
        <v>8</v>
      </c>
      <c r="Z60" s="634">
        <v>18</v>
      </c>
    </row>
    <row r="61" spans="1:26" x14ac:dyDescent="0.3">
      <c r="A61" s="286">
        <v>57</v>
      </c>
      <c r="B61" s="291" t="s">
        <v>158</v>
      </c>
      <c r="C61" s="647">
        <v>1658</v>
      </c>
      <c r="D61" s="634">
        <v>1088</v>
      </c>
      <c r="E61" s="634">
        <v>2746</v>
      </c>
      <c r="F61" s="647">
        <v>238</v>
      </c>
      <c r="G61" s="634">
        <v>95</v>
      </c>
      <c r="H61" s="634">
        <v>333</v>
      </c>
      <c r="I61" s="647">
        <v>98</v>
      </c>
      <c r="J61" s="634">
        <v>44</v>
      </c>
      <c r="K61" s="634">
        <v>142</v>
      </c>
      <c r="L61" s="647">
        <v>409</v>
      </c>
      <c r="M61" s="634">
        <v>188</v>
      </c>
      <c r="N61" s="634">
        <v>597</v>
      </c>
      <c r="O61" s="647">
        <v>1</v>
      </c>
      <c r="P61" s="634">
        <v>0</v>
      </c>
      <c r="Q61" s="634">
        <v>1</v>
      </c>
      <c r="R61" s="647">
        <v>27</v>
      </c>
      <c r="S61" s="634">
        <v>6</v>
      </c>
      <c r="T61" s="634">
        <v>33</v>
      </c>
      <c r="U61" s="647">
        <v>17</v>
      </c>
      <c r="V61" s="634">
        <v>16</v>
      </c>
      <c r="W61" s="634">
        <v>33</v>
      </c>
      <c r="X61" s="647">
        <v>73</v>
      </c>
      <c r="Y61" s="634">
        <v>34</v>
      </c>
      <c r="Z61" s="634">
        <v>107</v>
      </c>
    </row>
    <row r="62" spans="1:26" ht="26" x14ac:dyDescent="0.3">
      <c r="A62" s="286">
        <v>58</v>
      </c>
      <c r="B62" s="291" t="s">
        <v>159</v>
      </c>
      <c r="C62" s="647">
        <v>10223</v>
      </c>
      <c r="D62" s="634">
        <v>10836</v>
      </c>
      <c r="E62" s="634">
        <v>21059</v>
      </c>
      <c r="F62" s="647">
        <v>1458</v>
      </c>
      <c r="G62" s="634">
        <v>1145</v>
      </c>
      <c r="H62" s="634">
        <v>2603</v>
      </c>
      <c r="I62" s="647">
        <v>427</v>
      </c>
      <c r="J62" s="634">
        <v>247</v>
      </c>
      <c r="K62" s="634">
        <v>674</v>
      </c>
      <c r="L62" s="647">
        <v>1728</v>
      </c>
      <c r="M62" s="634">
        <v>1489</v>
      </c>
      <c r="N62" s="634">
        <v>3217</v>
      </c>
      <c r="O62" s="647">
        <v>19</v>
      </c>
      <c r="P62" s="634">
        <v>6</v>
      </c>
      <c r="Q62" s="634">
        <v>25</v>
      </c>
      <c r="R62" s="647">
        <v>366</v>
      </c>
      <c r="S62" s="634">
        <v>301</v>
      </c>
      <c r="T62" s="634">
        <v>667</v>
      </c>
      <c r="U62" s="647">
        <v>473</v>
      </c>
      <c r="V62" s="634">
        <v>454</v>
      </c>
      <c r="W62" s="634">
        <v>927</v>
      </c>
      <c r="X62" s="647">
        <v>143</v>
      </c>
      <c r="Y62" s="634">
        <v>128</v>
      </c>
      <c r="Z62" s="634">
        <v>271</v>
      </c>
    </row>
    <row r="63" spans="1:26" x14ac:dyDescent="0.3">
      <c r="A63" s="286">
        <v>59</v>
      </c>
      <c r="B63" s="291" t="s">
        <v>160</v>
      </c>
      <c r="C63" s="647">
        <v>49055</v>
      </c>
      <c r="D63" s="634">
        <v>31534</v>
      </c>
      <c r="E63" s="634">
        <v>80589</v>
      </c>
      <c r="F63" s="647">
        <v>7210</v>
      </c>
      <c r="G63" s="634">
        <v>4551</v>
      </c>
      <c r="H63" s="634">
        <v>11761</v>
      </c>
      <c r="I63" s="647">
        <v>1024</v>
      </c>
      <c r="J63" s="634">
        <v>866</v>
      </c>
      <c r="K63" s="634">
        <v>1890</v>
      </c>
      <c r="L63" s="647">
        <v>15889</v>
      </c>
      <c r="M63" s="634">
        <v>9283</v>
      </c>
      <c r="N63" s="634">
        <v>25172</v>
      </c>
      <c r="O63" s="647">
        <v>186</v>
      </c>
      <c r="P63" s="634">
        <v>149</v>
      </c>
      <c r="Q63" s="634">
        <v>335</v>
      </c>
      <c r="R63" s="647">
        <v>2834</v>
      </c>
      <c r="S63" s="634">
        <v>2001</v>
      </c>
      <c r="T63" s="634">
        <v>4835</v>
      </c>
      <c r="U63" s="647">
        <v>940</v>
      </c>
      <c r="V63" s="634">
        <v>1031</v>
      </c>
      <c r="W63" s="634">
        <v>1971</v>
      </c>
      <c r="X63" s="647">
        <v>768</v>
      </c>
      <c r="Y63" s="634">
        <v>489</v>
      </c>
      <c r="Z63" s="634">
        <v>1257</v>
      </c>
    </row>
    <row r="64" spans="1:26" ht="26" x14ac:dyDescent="0.3">
      <c r="A64" s="286">
        <v>60</v>
      </c>
      <c r="B64" s="291" t="s">
        <v>831</v>
      </c>
      <c r="C64" s="647">
        <v>12893</v>
      </c>
      <c r="D64" s="634">
        <v>11784</v>
      </c>
      <c r="E64" s="634">
        <v>24677</v>
      </c>
      <c r="F64" s="647">
        <v>1788</v>
      </c>
      <c r="G64" s="634">
        <v>1633</v>
      </c>
      <c r="H64" s="634">
        <v>3421</v>
      </c>
      <c r="I64" s="647">
        <v>594</v>
      </c>
      <c r="J64" s="634">
        <v>466</v>
      </c>
      <c r="K64" s="634">
        <v>1060</v>
      </c>
      <c r="L64" s="647">
        <v>5748</v>
      </c>
      <c r="M64" s="634">
        <v>4790</v>
      </c>
      <c r="N64" s="634">
        <v>10538</v>
      </c>
      <c r="O64" s="647">
        <v>70</v>
      </c>
      <c r="P64" s="634">
        <v>24</v>
      </c>
      <c r="Q64" s="634">
        <v>94</v>
      </c>
      <c r="R64" s="647">
        <v>614</v>
      </c>
      <c r="S64" s="634">
        <v>504</v>
      </c>
      <c r="T64" s="634">
        <v>1118</v>
      </c>
      <c r="U64" s="647">
        <v>404</v>
      </c>
      <c r="V64" s="634">
        <v>510</v>
      </c>
      <c r="W64" s="634">
        <v>914</v>
      </c>
      <c r="X64" s="647">
        <v>266</v>
      </c>
      <c r="Y64" s="634">
        <v>381</v>
      </c>
      <c r="Z64" s="634">
        <v>647</v>
      </c>
    </row>
    <row r="65" spans="1:26" x14ac:dyDescent="0.3">
      <c r="A65" s="286">
        <v>61</v>
      </c>
      <c r="B65" s="291" t="s">
        <v>161</v>
      </c>
      <c r="C65" s="647">
        <v>17839</v>
      </c>
      <c r="D65" s="634">
        <v>16846</v>
      </c>
      <c r="E65" s="634">
        <v>34685</v>
      </c>
      <c r="F65" s="647">
        <v>3134</v>
      </c>
      <c r="G65" s="634">
        <v>2689</v>
      </c>
      <c r="H65" s="634">
        <v>5823</v>
      </c>
      <c r="I65" s="647">
        <v>1540</v>
      </c>
      <c r="J65" s="634">
        <v>1289</v>
      </c>
      <c r="K65" s="634">
        <v>2829</v>
      </c>
      <c r="L65" s="647">
        <v>6979</v>
      </c>
      <c r="M65" s="634">
        <v>6038</v>
      </c>
      <c r="N65" s="634">
        <v>13017</v>
      </c>
      <c r="O65" s="647">
        <v>107</v>
      </c>
      <c r="P65" s="634">
        <v>48</v>
      </c>
      <c r="Q65" s="634">
        <v>155</v>
      </c>
      <c r="R65" s="647">
        <v>301</v>
      </c>
      <c r="S65" s="634">
        <v>232</v>
      </c>
      <c r="T65" s="634">
        <v>533</v>
      </c>
      <c r="U65" s="647">
        <v>75</v>
      </c>
      <c r="V65" s="634">
        <v>140</v>
      </c>
      <c r="W65" s="634">
        <v>215</v>
      </c>
      <c r="X65" s="647">
        <v>355</v>
      </c>
      <c r="Y65" s="634">
        <v>255</v>
      </c>
      <c r="Z65" s="634">
        <v>610</v>
      </c>
    </row>
    <row r="66" spans="1:26" x14ac:dyDescent="0.3">
      <c r="A66" s="286">
        <v>62</v>
      </c>
      <c r="B66" s="291" t="s">
        <v>832</v>
      </c>
      <c r="C66" s="647">
        <v>3153</v>
      </c>
      <c r="D66" s="634">
        <v>6773</v>
      </c>
      <c r="E66" s="634">
        <v>9926</v>
      </c>
      <c r="F66" s="647">
        <v>706</v>
      </c>
      <c r="G66" s="634">
        <v>1308</v>
      </c>
      <c r="H66" s="634">
        <v>2014</v>
      </c>
      <c r="I66" s="647">
        <v>101</v>
      </c>
      <c r="J66" s="634">
        <v>149</v>
      </c>
      <c r="K66" s="634">
        <v>250</v>
      </c>
      <c r="L66" s="647">
        <v>1960</v>
      </c>
      <c r="M66" s="634">
        <v>4624</v>
      </c>
      <c r="N66" s="634">
        <v>6584</v>
      </c>
      <c r="O66" s="647">
        <v>43</v>
      </c>
      <c r="P66" s="634">
        <v>18</v>
      </c>
      <c r="Q66" s="634">
        <v>61</v>
      </c>
      <c r="R66" s="647">
        <v>217</v>
      </c>
      <c r="S66" s="634">
        <v>975</v>
      </c>
      <c r="T66" s="634">
        <v>1192</v>
      </c>
      <c r="U66" s="647">
        <v>94</v>
      </c>
      <c r="V66" s="634">
        <v>319</v>
      </c>
      <c r="W66" s="634">
        <v>413</v>
      </c>
      <c r="X66" s="647">
        <v>6</v>
      </c>
      <c r="Y66" s="634">
        <v>7</v>
      </c>
      <c r="Z66" s="634">
        <v>13</v>
      </c>
    </row>
    <row r="67" spans="1:26" ht="26" x14ac:dyDescent="0.3">
      <c r="A67" s="286">
        <v>63</v>
      </c>
      <c r="B67" s="291" t="s">
        <v>162</v>
      </c>
      <c r="C67" s="647">
        <v>9733</v>
      </c>
      <c r="D67" s="634">
        <v>7554</v>
      </c>
      <c r="E67" s="634">
        <v>17287</v>
      </c>
      <c r="F67" s="647">
        <v>1339</v>
      </c>
      <c r="G67" s="634">
        <v>1158</v>
      </c>
      <c r="H67" s="634">
        <v>2497</v>
      </c>
      <c r="I67" s="647">
        <v>759</v>
      </c>
      <c r="J67" s="634">
        <v>651</v>
      </c>
      <c r="K67" s="634">
        <v>1410</v>
      </c>
      <c r="L67" s="647">
        <v>3760</v>
      </c>
      <c r="M67" s="634">
        <v>3141</v>
      </c>
      <c r="N67" s="634">
        <v>6901</v>
      </c>
      <c r="O67" s="647">
        <v>28</v>
      </c>
      <c r="P67" s="634">
        <v>20</v>
      </c>
      <c r="Q67" s="634">
        <v>48</v>
      </c>
      <c r="R67" s="647">
        <v>874</v>
      </c>
      <c r="S67" s="634">
        <v>502</v>
      </c>
      <c r="T67" s="634">
        <v>1376</v>
      </c>
      <c r="U67" s="647">
        <v>164</v>
      </c>
      <c r="V67" s="634">
        <v>212</v>
      </c>
      <c r="W67" s="634">
        <v>376</v>
      </c>
      <c r="X67" s="647">
        <v>51</v>
      </c>
      <c r="Y67" s="634">
        <v>52</v>
      </c>
      <c r="Z67" s="634">
        <v>103</v>
      </c>
    </row>
    <row r="68" spans="1:26" x14ac:dyDescent="0.3">
      <c r="A68" s="286">
        <v>64</v>
      </c>
      <c r="B68" s="291" t="s">
        <v>163</v>
      </c>
      <c r="C68" s="647">
        <v>1815</v>
      </c>
      <c r="D68" s="634">
        <v>1638</v>
      </c>
      <c r="E68" s="634">
        <v>3453</v>
      </c>
      <c r="F68" s="647">
        <v>271</v>
      </c>
      <c r="G68" s="634">
        <v>183</v>
      </c>
      <c r="H68" s="634">
        <v>454</v>
      </c>
      <c r="I68" s="647">
        <v>25</v>
      </c>
      <c r="J68" s="634">
        <v>9</v>
      </c>
      <c r="K68" s="634">
        <v>34</v>
      </c>
      <c r="L68" s="647">
        <v>468</v>
      </c>
      <c r="M68" s="634">
        <v>338</v>
      </c>
      <c r="N68" s="634">
        <v>806</v>
      </c>
      <c r="O68" s="647">
        <v>5</v>
      </c>
      <c r="P68" s="634">
        <v>3</v>
      </c>
      <c r="Q68" s="634">
        <v>8</v>
      </c>
      <c r="R68" s="647">
        <v>198</v>
      </c>
      <c r="S68" s="634">
        <v>236</v>
      </c>
      <c r="T68" s="634">
        <v>434</v>
      </c>
      <c r="U68" s="647">
        <v>259</v>
      </c>
      <c r="V68" s="634">
        <v>314</v>
      </c>
      <c r="W68" s="634">
        <v>573</v>
      </c>
      <c r="X68" s="647">
        <v>9</v>
      </c>
      <c r="Y68" s="634">
        <v>8</v>
      </c>
      <c r="Z68" s="634">
        <v>17</v>
      </c>
    </row>
    <row r="69" spans="1:26" x14ac:dyDescent="0.3">
      <c r="A69" s="286">
        <v>65</v>
      </c>
      <c r="B69" s="291" t="s">
        <v>164</v>
      </c>
      <c r="C69" s="647">
        <v>36669</v>
      </c>
      <c r="D69" s="634">
        <v>28719</v>
      </c>
      <c r="E69" s="634">
        <v>65388</v>
      </c>
      <c r="F69" s="647">
        <v>2244</v>
      </c>
      <c r="G69" s="634">
        <v>2216</v>
      </c>
      <c r="H69" s="634">
        <v>4460</v>
      </c>
      <c r="I69" s="647">
        <v>425</v>
      </c>
      <c r="J69" s="634">
        <v>290</v>
      </c>
      <c r="K69" s="634">
        <v>715</v>
      </c>
      <c r="L69" s="647">
        <v>4529</v>
      </c>
      <c r="M69" s="634">
        <v>3709</v>
      </c>
      <c r="N69" s="634">
        <v>8238</v>
      </c>
      <c r="O69" s="647">
        <v>146</v>
      </c>
      <c r="P69" s="634">
        <v>88</v>
      </c>
      <c r="Q69" s="634">
        <v>234</v>
      </c>
      <c r="R69" s="647">
        <v>4169</v>
      </c>
      <c r="S69" s="634">
        <v>2544</v>
      </c>
      <c r="T69" s="634">
        <v>6713</v>
      </c>
      <c r="U69" s="647">
        <v>4754</v>
      </c>
      <c r="V69" s="634">
        <v>3911</v>
      </c>
      <c r="W69" s="634">
        <v>8665</v>
      </c>
      <c r="X69" s="647">
        <v>463</v>
      </c>
      <c r="Y69" s="634">
        <v>389</v>
      </c>
      <c r="Z69" s="634">
        <v>852</v>
      </c>
    </row>
    <row r="70" spans="1:26" x14ac:dyDescent="0.3">
      <c r="A70" s="286">
        <v>66</v>
      </c>
      <c r="B70" s="291" t="s">
        <v>165</v>
      </c>
      <c r="C70" s="647">
        <v>1078</v>
      </c>
      <c r="D70" s="634">
        <v>1225</v>
      </c>
      <c r="E70" s="634">
        <v>2303</v>
      </c>
      <c r="F70" s="647">
        <v>85</v>
      </c>
      <c r="G70" s="634">
        <v>158</v>
      </c>
      <c r="H70" s="634">
        <v>243</v>
      </c>
      <c r="I70" s="647">
        <v>334</v>
      </c>
      <c r="J70" s="634">
        <v>194</v>
      </c>
      <c r="K70" s="634">
        <v>528</v>
      </c>
      <c r="L70" s="647">
        <v>145</v>
      </c>
      <c r="M70" s="634">
        <v>233</v>
      </c>
      <c r="N70" s="634">
        <v>378</v>
      </c>
      <c r="O70" s="647">
        <v>2</v>
      </c>
      <c r="P70" s="634">
        <v>5</v>
      </c>
      <c r="Q70" s="634">
        <v>7</v>
      </c>
      <c r="R70" s="647">
        <v>6</v>
      </c>
      <c r="S70" s="634">
        <v>0</v>
      </c>
      <c r="T70" s="634">
        <v>6</v>
      </c>
      <c r="U70" s="647">
        <v>174</v>
      </c>
      <c r="V70" s="634">
        <v>146</v>
      </c>
      <c r="W70" s="634">
        <v>320</v>
      </c>
      <c r="X70" s="647">
        <v>11</v>
      </c>
      <c r="Y70" s="634">
        <v>42</v>
      </c>
      <c r="Z70" s="634">
        <v>53</v>
      </c>
    </row>
    <row r="71" spans="1:26" ht="26" x14ac:dyDescent="0.3">
      <c r="A71" s="286">
        <v>67</v>
      </c>
      <c r="B71" s="291" t="s">
        <v>166</v>
      </c>
      <c r="C71" s="647">
        <v>3556</v>
      </c>
      <c r="D71" s="634">
        <v>6034</v>
      </c>
      <c r="E71" s="634">
        <v>9590</v>
      </c>
      <c r="F71" s="647">
        <v>554</v>
      </c>
      <c r="G71" s="634">
        <v>1112</v>
      </c>
      <c r="H71" s="634">
        <v>1666</v>
      </c>
      <c r="I71" s="647">
        <v>131</v>
      </c>
      <c r="J71" s="634">
        <v>143</v>
      </c>
      <c r="K71" s="634">
        <v>274</v>
      </c>
      <c r="L71" s="647">
        <v>1620</v>
      </c>
      <c r="M71" s="634">
        <v>3293</v>
      </c>
      <c r="N71" s="634">
        <v>4913</v>
      </c>
      <c r="O71" s="647">
        <v>8</v>
      </c>
      <c r="P71" s="634">
        <v>0</v>
      </c>
      <c r="Q71" s="634">
        <v>8</v>
      </c>
      <c r="R71" s="647">
        <v>140</v>
      </c>
      <c r="S71" s="634">
        <v>106</v>
      </c>
      <c r="T71" s="634">
        <v>246</v>
      </c>
      <c r="U71" s="647">
        <v>4</v>
      </c>
      <c r="V71" s="634">
        <v>33</v>
      </c>
      <c r="W71" s="634">
        <v>37</v>
      </c>
      <c r="X71" s="647">
        <v>41</v>
      </c>
      <c r="Y71" s="634">
        <v>34</v>
      </c>
      <c r="Z71" s="634">
        <v>75</v>
      </c>
    </row>
    <row r="72" spans="1:26" ht="26" x14ac:dyDescent="0.3">
      <c r="A72" s="286">
        <v>68</v>
      </c>
      <c r="B72" s="291" t="s">
        <v>167</v>
      </c>
      <c r="C72" s="647">
        <v>577</v>
      </c>
      <c r="D72" s="634">
        <v>968</v>
      </c>
      <c r="E72" s="634">
        <v>1545</v>
      </c>
      <c r="F72" s="647">
        <v>53</v>
      </c>
      <c r="G72" s="634">
        <v>92</v>
      </c>
      <c r="H72" s="634">
        <v>145</v>
      </c>
      <c r="I72" s="647">
        <v>22</v>
      </c>
      <c r="J72" s="634">
        <v>28</v>
      </c>
      <c r="K72" s="634">
        <v>50</v>
      </c>
      <c r="L72" s="647">
        <v>268</v>
      </c>
      <c r="M72" s="634">
        <v>375</v>
      </c>
      <c r="N72" s="634">
        <v>643</v>
      </c>
      <c r="O72" s="647">
        <v>1</v>
      </c>
      <c r="P72" s="634">
        <v>0</v>
      </c>
      <c r="Q72" s="634">
        <v>1</v>
      </c>
      <c r="R72" s="647">
        <v>21</v>
      </c>
      <c r="S72" s="634">
        <v>37</v>
      </c>
      <c r="T72" s="634">
        <v>58</v>
      </c>
      <c r="U72" s="647">
        <v>0</v>
      </c>
      <c r="V72" s="634">
        <v>1</v>
      </c>
      <c r="W72" s="634">
        <v>1</v>
      </c>
      <c r="X72" s="647">
        <v>2</v>
      </c>
      <c r="Y72" s="634">
        <v>5</v>
      </c>
      <c r="Z72" s="634">
        <v>7</v>
      </c>
    </row>
    <row r="73" spans="1:26" x14ac:dyDescent="0.3">
      <c r="A73" s="286">
        <v>69</v>
      </c>
      <c r="B73" s="291" t="s">
        <v>833</v>
      </c>
      <c r="C73" s="647">
        <v>585</v>
      </c>
      <c r="D73" s="634">
        <v>794</v>
      </c>
      <c r="E73" s="634">
        <v>1379</v>
      </c>
      <c r="F73" s="647">
        <v>66</v>
      </c>
      <c r="G73" s="634">
        <v>205</v>
      </c>
      <c r="H73" s="634">
        <v>271</v>
      </c>
      <c r="I73" s="647">
        <v>41</v>
      </c>
      <c r="J73" s="634">
        <v>77</v>
      </c>
      <c r="K73" s="634">
        <v>118</v>
      </c>
      <c r="L73" s="647">
        <v>166</v>
      </c>
      <c r="M73" s="634">
        <v>286</v>
      </c>
      <c r="N73" s="634">
        <v>452</v>
      </c>
      <c r="O73" s="647">
        <v>0</v>
      </c>
      <c r="P73" s="634">
        <v>0</v>
      </c>
      <c r="Q73" s="634">
        <v>0</v>
      </c>
      <c r="R73" s="647">
        <v>68</v>
      </c>
      <c r="S73" s="634">
        <v>51</v>
      </c>
      <c r="T73" s="634">
        <v>119</v>
      </c>
      <c r="U73" s="647">
        <v>1</v>
      </c>
      <c r="V73" s="634">
        <v>1</v>
      </c>
      <c r="W73" s="634">
        <v>2</v>
      </c>
      <c r="X73" s="647">
        <v>18</v>
      </c>
      <c r="Y73" s="634">
        <v>22</v>
      </c>
      <c r="Z73" s="634">
        <v>40</v>
      </c>
    </row>
    <row r="74" spans="1:26" ht="26" x14ac:dyDescent="0.3">
      <c r="A74" s="286">
        <v>70</v>
      </c>
      <c r="B74" s="291" t="s">
        <v>168</v>
      </c>
      <c r="C74" s="647">
        <v>2050</v>
      </c>
      <c r="D74" s="634">
        <v>3181</v>
      </c>
      <c r="E74" s="634">
        <v>5231</v>
      </c>
      <c r="F74" s="647">
        <v>242</v>
      </c>
      <c r="G74" s="634">
        <v>355</v>
      </c>
      <c r="H74" s="634">
        <v>597</v>
      </c>
      <c r="I74" s="647">
        <v>112</v>
      </c>
      <c r="J74" s="634">
        <v>94</v>
      </c>
      <c r="K74" s="634">
        <v>206</v>
      </c>
      <c r="L74" s="647">
        <v>695</v>
      </c>
      <c r="M74" s="634">
        <v>1127</v>
      </c>
      <c r="N74" s="634">
        <v>1822</v>
      </c>
      <c r="O74" s="647">
        <v>33</v>
      </c>
      <c r="P74" s="634">
        <v>16</v>
      </c>
      <c r="Q74" s="634">
        <v>49</v>
      </c>
      <c r="R74" s="647">
        <v>186</v>
      </c>
      <c r="S74" s="634">
        <v>213</v>
      </c>
      <c r="T74" s="634">
        <v>399</v>
      </c>
      <c r="U74" s="647">
        <v>93</v>
      </c>
      <c r="V74" s="634">
        <v>209</v>
      </c>
      <c r="W74" s="634">
        <v>302</v>
      </c>
      <c r="X74" s="647">
        <v>95</v>
      </c>
      <c r="Y74" s="634">
        <v>132</v>
      </c>
      <c r="Z74" s="634">
        <v>227</v>
      </c>
    </row>
    <row r="75" spans="1:26" ht="26" x14ac:dyDescent="0.3">
      <c r="A75" s="286">
        <v>71</v>
      </c>
      <c r="B75" s="291" t="s">
        <v>169</v>
      </c>
      <c r="C75" s="647">
        <v>3599</v>
      </c>
      <c r="D75" s="634">
        <v>5203</v>
      </c>
      <c r="E75" s="634">
        <v>8802</v>
      </c>
      <c r="F75" s="647">
        <v>271</v>
      </c>
      <c r="G75" s="634">
        <v>402</v>
      </c>
      <c r="H75" s="634">
        <v>673</v>
      </c>
      <c r="I75" s="647">
        <v>103</v>
      </c>
      <c r="J75" s="634">
        <v>215</v>
      </c>
      <c r="K75" s="634">
        <v>318</v>
      </c>
      <c r="L75" s="647">
        <v>978</v>
      </c>
      <c r="M75" s="634">
        <v>1856</v>
      </c>
      <c r="N75" s="634">
        <v>2834</v>
      </c>
      <c r="O75" s="647">
        <v>14</v>
      </c>
      <c r="P75" s="634">
        <v>26</v>
      </c>
      <c r="Q75" s="634">
        <v>40</v>
      </c>
      <c r="R75" s="647">
        <v>398</v>
      </c>
      <c r="S75" s="634">
        <v>606</v>
      </c>
      <c r="T75" s="634">
        <v>1004</v>
      </c>
      <c r="U75" s="647">
        <v>51</v>
      </c>
      <c r="V75" s="634">
        <v>153</v>
      </c>
      <c r="W75" s="634">
        <v>204</v>
      </c>
      <c r="X75" s="647">
        <v>27</v>
      </c>
      <c r="Y75" s="634">
        <v>54</v>
      </c>
      <c r="Z75" s="634">
        <v>81</v>
      </c>
    </row>
    <row r="76" spans="1:26" x14ac:dyDescent="0.3">
      <c r="A76" s="286">
        <v>72</v>
      </c>
      <c r="B76" s="291" t="s">
        <v>170</v>
      </c>
      <c r="C76" s="647">
        <v>3384</v>
      </c>
      <c r="D76" s="634">
        <v>3150</v>
      </c>
      <c r="E76" s="634">
        <v>6534</v>
      </c>
      <c r="F76" s="647">
        <v>443</v>
      </c>
      <c r="G76" s="634">
        <v>325</v>
      </c>
      <c r="H76" s="634">
        <v>768</v>
      </c>
      <c r="I76" s="647">
        <v>156</v>
      </c>
      <c r="J76" s="634">
        <v>161</v>
      </c>
      <c r="K76" s="634">
        <v>317</v>
      </c>
      <c r="L76" s="647">
        <v>1042</v>
      </c>
      <c r="M76" s="634">
        <v>808</v>
      </c>
      <c r="N76" s="634">
        <v>1850</v>
      </c>
      <c r="O76" s="647">
        <v>44</v>
      </c>
      <c r="P76" s="634">
        <v>25</v>
      </c>
      <c r="Q76" s="634">
        <v>69</v>
      </c>
      <c r="R76" s="647">
        <v>10</v>
      </c>
      <c r="S76" s="634">
        <v>10</v>
      </c>
      <c r="T76" s="634">
        <v>20</v>
      </c>
      <c r="U76" s="647">
        <v>42</v>
      </c>
      <c r="V76" s="634">
        <v>28</v>
      </c>
      <c r="W76" s="634">
        <v>70</v>
      </c>
      <c r="X76" s="647">
        <v>33</v>
      </c>
      <c r="Y76" s="634">
        <v>36</v>
      </c>
      <c r="Z76" s="634">
        <v>69</v>
      </c>
    </row>
    <row r="77" spans="1:26" x14ac:dyDescent="0.3">
      <c r="A77" s="286">
        <v>73</v>
      </c>
      <c r="B77" s="291" t="s">
        <v>171</v>
      </c>
      <c r="C77" s="647">
        <v>18218</v>
      </c>
      <c r="D77" s="634">
        <v>6447</v>
      </c>
      <c r="E77" s="634">
        <v>24665</v>
      </c>
      <c r="F77" s="647">
        <v>2701</v>
      </c>
      <c r="G77" s="634">
        <v>957</v>
      </c>
      <c r="H77" s="634">
        <v>3658</v>
      </c>
      <c r="I77" s="647">
        <v>1196</v>
      </c>
      <c r="J77" s="634">
        <v>428</v>
      </c>
      <c r="K77" s="634">
        <v>1624</v>
      </c>
      <c r="L77" s="647">
        <v>5536</v>
      </c>
      <c r="M77" s="634">
        <v>1944</v>
      </c>
      <c r="N77" s="634">
        <v>7480</v>
      </c>
      <c r="O77" s="647">
        <v>2</v>
      </c>
      <c r="P77" s="634">
        <v>3</v>
      </c>
      <c r="Q77" s="634">
        <v>5</v>
      </c>
      <c r="R77" s="647">
        <v>432</v>
      </c>
      <c r="S77" s="634">
        <v>115</v>
      </c>
      <c r="T77" s="634">
        <v>547</v>
      </c>
      <c r="U77" s="647">
        <v>377</v>
      </c>
      <c r="V77" s="634">
        <v>147</v>
      </c>
      <c r="W77" s="634">
        <v>524</v>
      </c>
      <c r="X77" s="647">
        <v>107</v>
      </c>
      <c r="Y77" s="634">
        <v>46</v>
      </c>
      <c r="Z77" s="634">
        <v>153</v>
      </c>
    </row>
    <row r="78" spans="1:26" x14ac:dyDescent="0.3">
      <c r="A78" s="286">
        <v>74</v>
      </c>
      <c r="B78" s="291" t="s">
        <v>172</v>
      </c>
      <c r="C78" s="647">
        <v>34406</v>
      </c>
      <c r="D78" s="634">
        <v>16005</v>
      </c>
      <c r="E78" s="634">
        <v>50411</v>
      </c>
      <c r="F78" s="647">
        <v>5768</v>
      </c>
      <c r="G78" s="634">
        <v>2806</v>
      </c>
      <c r="H78" s="634">
        <v>8574</v>
      </c>
      <c r="I78" s="647">
        <v>2520</v>
      </c>
      <c r="J78" s="634">
        <v>1302</v>
      </c>
      <c r="K78" s="634">
        <v>3822</v>
      </c>
      <c r="L78" s="647">
        <v>10784</v>
      </c>
      <c r="M78" s="634">
        <v>5323</v>
      </c>
      <c r="N78" s="634">
        <v>16107</v>
      </c>
      <c r="O78" s="647">
        <v>73</v>
      </c>
      <c r="P78" s="634">
        <v>35</v>
      </c>
      <c r="Q78" s="634">
        <v>108</v>
      </c>
      <c r="R78" s="647">
        <v>586</v>
      </c>
      <c r="S78" s="634">
        <v>194</v>
      </c>
      <c r="T78" s="634">
        <v>780</v>
      </c>
      <c r="U78" s="647">
        <v>450</v>
      </c>
      <c r="V78" s="634">
        <v>284</v>
      </c>
      <c r="W78" s="634">
        <v>734</v>
      </c>
      <c r="X78" s="647">
        <v>662</v>
      </c>
      <c r="Y78" s="634">
        <v>404</v>
      </c>
      <c r="Z78" s="634">
        <v>1066</v>
      </c>
    </row>
    <row r="79" spans="1:26" ht="26" x14ac:dyDescent="0.3">
      <c r="A79" s="286">
        <v>75</v>
      </c>
      <c r="B79" s="291" t="s">
        <v>173</v>
      </c>
      <c r="C79" s="647">
        <v>139</v>
      </c>
      <c r="D79" s="634">
        <v>167</v>
      </c>
      <c r="E79" s="634">
        <v>306</v>
      </c>
      <c r="F79" s="647">
        <v>28</v>
      </c>
      <c r="G79" s="634">
        <v>24</v>
      </c>
      <c r="H79" s="634">
        <v>52</v>
      </c>
      <c r="I79" s="647">
        <v>2</v>
      </c>
      <c r="J79" s="634">
        <v>1</v>
      </c>
      <c r="K79" s="634">
        <v>3</v>
      </c>
      <c r="L79" s="647">
        <v>35</v>
      </c>
      <c r="M79" s="634">
        <v>44</v>
      </c>
      <c r="N79" s="634">
        <v>79</v>
      </c>
      <c r="O79" s="647">
        <v>0</v>
      </c>
      <c r="P79" s="634">
        <v>0</v>
      </c>
      <c r="Q79" s="634">
        <v>0</v>
      </c>
      <c r="R79" s="647">
        <v>13</v>
      </c>
      <c r="S79" s="634">
        <v>12</v>
      </c>
      <c r="T79" s="634">
        <v>25</v>
      </c>
      <c r="U79" s="647">
        <v>6</v>
      </c>
      <c r="V79" s="634">
        <v>14</v>
      </c>
      <c r="W79" s="634">
        <v>20</v>
      </c>
      <c r="X79" s="647">
        <v>4</v>
      </c>
      <c r="Y79" s="634">
        <v>7</v>
      </c>
      <c r="Z79" s="634">
        <v>11</v>
      </c>
    </row>
    <row r="80" spans="1:26" x14ac:dyDescent="0.3">
      <c r="A80" s="286">
        <v>76</v>
      </c>
      <c r="B80" s="291" t="s">
        <v>834</v>
      </c>
      <c r="C80" s="647">
        <v>265</v>
      </c>
      <c r="D80" s="634">
        <v>296</v>
      </c>
      <c r="E80" s="634">
        <v>561</v>
      </c>
      <c r="F80" s="647">
        <v>10</v>
      </c>
      <c r="G80" s="634">
        <v>14</v>
      </c>
      <c r="H80" s="634">
        <v>24</v>
      </c>
      <c r="I80" s="647">
        <v>45</v>
      </c>
      <c r="J80" s="634">
        <v>45</v>
      </c>
      <c r="K80" s="634">
        <v>90</v>
      </c>
      <c r="L80" s="647">
        <v>66</v>
      </c>
      <c r="M80" s="634">
        <v>74</v>
      </c>
      <c r="N80" s="634">
        <v>140</v>
      </c>
      <c r="O80" s="647">
        <v>0</v>
      </c>
      <c r="P80" s="634">
        <v>0</v>
      </c>
      <c r="Q80" s="634">
        <v>0</v>
      </c>
      <c r="R80" s="647">
        <v>18</v>
      </c>
      <c r="S80" s="634">
        <v>13</v>
      </c>
      <c r="T80" s="634">
        <v>31</v>
      </c>
      <c r="U80" s="647">
        <v>31</v>
      </c>
      <c r="V80" s="634">
        <v>24</v>
      </c>
      <c r="W80" s="634">
        <v>55</v>
      </c>
      <c r="X80" s="647">
        <v>0</v>
      </c>
      <c r="Y80" s="634">
        <v>0</v>
      </c>
      <c r="Z80" s="634">
        <v>0</v>
      </c>
    </row>
    <row r="81" spans="1:26" x14ac:dyDescent="0.3">
      <c r="A81" s="286">
        <v>77</v>
      </c>
      <c r="B81" s="291" t="s">
        <v>174</v>
      </c>
      <c r="C81" s="647">
        <v>38719</v>
      </c>
      <c r="D81" s="634">
        <v>65578</v>
      </c>
      <c r="E81" s="634">
        <v>104297</v>
      </c>
      <c r="F81" s="647">
        <v>4738</v>
      </c>
      <c r="G81" s="634">
        <v>7532</v>
      </c>
      <c r="H81" s="634">
        <v>12270</v>
      </c>
      <c r="I81" s="647">
        <v>1794</v>
      </c>
      <c r="J81" s="634">
        <v>2417</v>
      </c>
      <c r="K81" s="634">
        <v>4211</v>
      </c>
      <c r="L81" s="647">
        <v>13493</v>
      </c>
      <c r="M81" s="634">
        <v>21656</v>
      </c>
      <c r="N81" s="634">
        <v>35149</v>
      </c>
      <c r="O81" s="647">
        <v>75</v>
      </c>
      <c r="P81" s="634">
        <v>73</v>
      </c>
      <c r="Q81" s="634">
        <v>148</v>
      </c>
      <c r="R81" s="647">
        <v>3110</v>
      </c>
      <c r="S81" s="634">
        <v>4012</v>
      </c>
      <c r="T81" s="634">
        <v>7122</v>
      </c>
      <c r="U81" s="647">
        <v>1746</v>
      </c>
      <c r="V81" s="634">
        <v>2849</v>
      </c>
      <c r="W81" s="634">
        <v>4595</v>
      </c>
      <c r="X81" s="647">
        <v>728</v>
      </c>
      <c r="Y81" s="634">
        <v>2101</v>
      </c>
      <c r="Z81" s="634">
        <v>2829</v>
      </c>
    </row>
    <row r="82" spans="1:26" ht="26" x14ac:dyDescent="0.3">
      <c r="A82" s="286">
        <v>78</v>
      </c>
      <c r="B82" s="291" t="s">
        <v>835</v>
      </c>
      <c r="C82" s="647">
        <v>677</v>
      </c>
      <c r="D82" s="634">
        <v>519</v>
      </c>
      <c r="E82" s="634">
        <v>1196</v>
      </c>
      <c r="F82" s="647">
        <v>108</v>
      </c>
      <c r="G82" s="634">
        <v>90</v>
      </c>
      <c r="H82" s="634">
        <v>198</v>
      </c>
      <c r="I82" s="647">
        <v>36</v>
      </c>
      <c r="J82" s="634">
        <v>32</v>
      </c>
      <c r="K82" s="634">
        <v>68</v>
      </c>
      <c r="L82" s="647">
        <v>291</v>
      </c>
      <c r="M82" s="634">
        <v>191</v>
      </c>
      <c r="N82" s="634">
        <v>482</v>
      </c>
      <c r="O82" s="647">
        <v>2</v>
      </c>
      <c r="P82" s="634">
        <v>2</v>
      </c>
      <c r="Q82" s="634">
        <v>4</v>
      </c>
      <c r="R82" s="647">
        <v>6</v>
      </c>
      <c r="S82" s="634">
        <v>2</v>
      </c>
      <c r="T82" s="634">
        <v>8</v>
      </c>
      <c r="U82" s="647">
        <v>5</v>
      </c>
      <c r="V82" s="634">
        <v>0</v>
      </c>
      <c r="W82" s="634">
        <v>5</v>
      </c>
      <c r="X82" s="647">
        <v>67</v>
      </c>
      <c r="Y82" s="634">
        <v>30</v>
      </c>
      <c r="Z82" s="634">
        <v>97</v>
      </c>
    </row>
    <row r="83" spans="1:26" x14ac:dyDescent="0.3">
      <c r="A83" s="286">
        <v>79</v>
      </c>
      <c r="B83" s="291" t="s">
        <v>175</v>
      </c>
      <c r="C83" s="647">
        <v>322477</v>
      </c>
      <c r="D83" s="634">
        <v>206794</v>
      </c>
      <c r="E83" s="634">
        <v>529271</v>
      </c>
      <c r="F83" s="647">
        <v>34749</v>
      </c>
      <c r="G83" s="634">
        <v>25664</v>
      </c>
      <c r="H83" s="634">
        <v>60413</v>
      </c>
      <c r="I83" s="647">
        <v>9321</v>
      </c>
      <c r="J83" s="634">
        <v>7457</v>
      </c>
      <c r="K83" s="634">
        <v>16778</v>
      </c>
      <c r="L83" s="647">
        <v>135259</v>
      </c>
      <c r="M83" s="634">
        <v>90054</v>
      </c>
      <c r="N83" s="634">
        <v>225313</v>
      </c>
      <c r="O83" s="647">
        <v>553</v>
      </c>
      <c r="P83" s="634">
        <v>354</v>
      </c>
      <c r="Q83" s="634">
        <v>907</v>
      </c>
      <c r="R83" s="647">
        <v>24150</v>
      </c>
      <c r="S83" s="634">
        <v>12112</v>
      </c>
      <c r="T83" s="634">
        <v>36262</v>
      </c>
      <c r="U83" s="647">
        <v>4852</v>
      </c>
      <c r="V83" s="634">
        <v>5099</v>
      </c>
      <c r="W83" s="634">
        <v>9951</v>
      </c>
      <c r="X83" s="647">
        <v>7951</v>
      </c>
      <c r="Y83" s="634">
        <v>6657</v>
      </c>
      <c r="Z83" s="634">
        <v>14608</v>
      </c>
    </row>
    <row r="84" spans="1:26" x14ac:dyDescent="0.3">
      <c r="A84" s="286">
        <v>80</v>
      </c>
      <c r="B84" s="291" t="s">
        <v>836</v>
      </c>
      <c r="C84" s="647">
        <v>762</v>
      </c>
      <c r="D84" s="634">
        <v>615</v>
      </c>
      <c r="E84" s="634">
        <v>1377</v>
      </c>
      <c r="F84" s="647">
        <v>102</v>
      </c>
      <c r="G84" s="634">
        <v>64</v>
      </c>
      <c r="H84" s="634">
        <v>166</v>
      </c>
      <c r="I84" s="647">
        <v>54</v>
      </c>
      <c r="J84" s="634">
        <v>30</v>
      </c>
      <c r="K84" s="634">
        <v>84</v>
      </c>
      <c r="L84" s="647">
        <v>242</v>
      </c>
      <c r="M84" s="634">
        <v>225</v>
      </c>
      <c r="N84" s="634">
        <v>467</v>
      </c>
      <c r="O84" s="647">
        <v>2</v>
      </c>
      <c r="P84" s="634">
        <v>1</v>
      </c>
      <c r="Q84" s="634">
        <v>3</v>
      </c>
      <c r="R84" s="647">
        <v>20</v>
      </c>
      <c r="S84" s="634">
        <v>5</v>
      </c>
      <c r="T84" s="634">
        <v>25</v>
      </c>
      <c r="U84" s="647">
        <v>28</v>
      </c>
      <c r="V84" s="634">
        <v>13</v>
      </c>
      <c r="W84" s="634">
        <v>41</v>
      </c>
      <c r="X84" s="647">
        <v>38</v>
      </c>
      <c r="Y84" s="634">
        <v>24</v>
      </c>
      <c r="Z84" s="634">
        <v>62</v>
      </c>
    </row>
    <row r="85" spans="1:26" x14ac:dyDescent="0.3">
      <c r="A85" s="286">
        <v>81</v>
      </c>
      <c r="B85" s="291" t="s">
        <v>837</v>
      </c>
      <c r="C85" s="647">
        <v>183</v>
      </c>
      <c r="D85" s="634">
        <v>125</v>
      </c>
      <c r="E85" s="634">
        <v>308</v>
      </c>
      <c r="F85" s="647">
        <v>42</v>
      </c>
      <c r="G85" s="634">
        <v>40</v>
      </c>
      <c r="H85" s="634">
        <v>82</v>
      </c>
      <c r="I85" s="647">
        <v>59</v>
      </c>
      <c r="J85" s="634">
        <v>53</v>
      </c>
      <c r="K85" s="634">
        <v>112</v>
      </c>
      <c r="L85" s="647">
        <v>69</v>
      </c>
      <c r="M85" s="634">
        <v>24</v>
      </c>
      <c r="N85" s="634">
        <v>93</v>
      </c>
      <c r="O85" s="647">
        <v>0</v>
      </c>
      <c r="P85" s="634">
        <v>0</v>
      </c>
      <c r="Q85" s="634">
        <v>0</v>
      </c>
      <c r="R85" s="647">
        <v>0</v>
      </c>
      <c r="S85" s="634">
        <v>0</v>
      </c>
      <c r="T85" s="634">
        <v>0</v>
      </c>
      <c r="U85" s="647">
        <v>0</v>
      </c>
      <c r="V85" s="634">
        <v>0</v>
      </c>
      <c r="W85" s="634">
        <v>0</v>
      </c>
      <c r="X85" s="647">
        <v>10</v>
      </c>
      <c r="Y85" s="634">
        <v>8</v>
      </c>
      <c r="Z85" s="634">
        <v>18</v>
      </c>
    </row>
    <row r="86" spans="1:26" ht="26" x14ac:dyDescent="0.3">
      <c r="A86" s="286">
        <v>82</v>
      </c>
      <c r="B86" s="291" t="s">
        <v>176</v>
      </c>
      <c r="C86" s="647">
        <v>7344</v>
      </c>
      <c r="D86" s="634">
        <v>6003</v>
      </c>
      <c r="E86" s="634">
        <v>13347</v>
      </c>
      <c r="F86" s="647">
        <v>838</v>
      </c>
      <c r="G86" s="634">
        <v>731</v>
      </c>
      <c r="H86" s="634">
        <v>1569</v>
      </c>
      <c r="I86" s="647">
        <v>333</v>
      </c>
      <c r="J86" s="634">
        <v>295</v>
      </c>
      <c r="K86" s="634">
        <v>628</v>
      </c>
      <c r="L86" s="647">
        <v>2349</v>
      </c>
      <c r="M86" s="634">
        <v>1942</v>
      </c>
      <c r="N86" s="634">
        <v>4291</v>
      </c>
      <c r="O86" s="647">
        <v>42</v>
      </c>
      <c r="P86" s="634">
        <v>31</v>
      </c>
      <c r="Q86" s="634">
        <v>73</v>
      </c>
      <c r="R86" s="647">
        <v>419</v>
      </c>
      <c r="S86" s="634">
        <v>444</v>
      </c>
      <c r="T86" s="634">
        <v>863</v>
      </c>
      <c r="U86" s="647">
        <v>255</v>
      </c>
      <c r="V86" s="634">
        <v>299</v>
      </c>
      <c r="W86" s="634">
        <v>554</v>
      </c>
      <c r="X86" s="647">
        <v>401</v>
      </c>
      <c r="Y86" s="634">
        <v>286</v>
      </c>
      <c r="Z86" s="634">
        <v>687</v>
      </c>
    </row>
    <row r="87" spans="1:26" ht="39" x14ac:dyDescent="0.3">
      <c r="A87" s="286">
        <v>83</v>
      </c>
      <c r="B87" s="291" t="s">
        <v>838</v>
      </c>
      <c r="C87" s="647">
        <v>1461</v>
      </c>
      <c r="D87" s="634">
        <v>2459</v>
      </c>
      <c r="E87" s="634">
        <v>3920</v>
      </c>
      <c r="F87" s="647">
        <v>173</v>
      </c>
      <c r="G87" s="634">
        <v>305</v>
      </c>
      <c r="H87" s="634">
        <v>478</v>
      </c>
      <c r="I87" s="647">
        <v>48</v>
      </c>
      <c r="J87" s="634">
        <v>34</v>
      </c>
      <c r="K87" s="634">
        <v>82</v>
      </c>
      <c r="L87" s="647">
        <v>552</v>
      </c>
      <c r="M87" s="634">
        <v>1521</v>
      </c>
      <c r="N87" s="634">
        <v>2073</v>
      </c>
      <c r="O87" s="647">
        <v>0</v>
      </c>
      <c r="P87" s="634">
        <v>2</v>
      </c>
      <c r="Q87" s="634">
        <v>2</v>
      </c>
      <c r="R87" s="647">
        <v>176</v>
      </c>
      <c r="S87" s="634">
        <v>286</v>
      </c>
      <c r="T87" s="634">
        <v>462</v>
      </c>
      <c r="U87" s="647">
        <v>10</v>
      </c>
      <c r="V87" s="634">
        <v>22</v>
      </c>
      <c r="W87" s="634">
        <v>32</v>
      </c>
      <c r="X87" s="647">
        <v>35</v>
      </c>
      <c r="Y87" s="634">
        <v>34</v>
      </c>
      <c r="Z87" s="634">
        <v>69</v>
      </c>
    </row>
    <row r="88" spans="1:26" ht="26" x14ac:dyDescent="0.3">
      <c r="A88" s="286">
        <v>84</v>
      </c>
      <c r="B88" s="291" t="s">
        <v>177</v>
      </c>
      <c r="C88" s="647">
        <v>613</v>
      </c>
      <c r="D88" s="634">
        <v>2229</v>
      </c>
      <c r="E88" s="634">
        <v>2842</v>
      </c>
      <c r="F88" s="647">
        <v>118</v>
      </c>
      <c r="G88" s="634">
        <v>398</v>
      </c>
      <c r="H88" s="634">
        <v>516</v>
      </c>
      <c r="I88" s="647">
        <v>11</v>
      </c>
      <c r="J88" s="634">
        <v>38</v>
      </c>
      <c r="K88" s="634">
        <v>49</v>
      </c>
      <c r="L88" s="647">
        <v>434</v>
      </c>
      <c r="M88" s="634">
        <v>1650</v>
      </c>
      <c r="N88" s="634">
        <v>2084</v>
      </c>
      <c r="O88" s="647">
        <v>0</v>
      </c>
      <c r="P88" s="634">
        <v>3</v>
      </c>
      <c r="Q88" s="634">
        <v>3</v>
      </c>
      <c r="R88" s="647">
        <v>7</v>
      </c>
      <c r="S88" s="634">
        <v>56</v>
      </c>
      <c r="T88" s="634">
        <v>63</v>
      </c>
      <c r="U88" s="647">
        <v>6</v>
      </c>
      <c r="V88" s="634">
        <v>41</v>
      </c>
      <c r="W88" s="634">
        <v>47</v>
      </c>
      <c r="X88" s="647">
        <v>1</v>
      </c>
      <c r="Y88" s="634">
        <v>1</v>
      </c>
      <c r="Z88" s="634">
        <v>2</v>
      </c>
    </row>
    <row r="89" spans="1:26" x14ac:dyDescent="0.3">
      <c r="A89" s="286">
        <v>85</v>
      </c>
      <c r="B89" s="291" t="s">
        <v>839</v>
      </c>
      <c r="C89" s="647">
        <v>1131</v>
      </c>
      <c r="D89" s="634">
        <v>1086</v>
      </c>
      <c r="E89" s="634">
        <v>2217</v>
      </c>
      <c r="F89" s="647">
        <v>129</v>
      </c>
      <c r="G89" s="634">
        <v>173</v>
      </c>
      <c r="H89" s="634">
        <v>302</v>
      </c>
      <c r="I89" s="647">
        <v>122</v>
      </c>
      <c r="J89" s="634">
        <v>102</v>
      </c>
      <c r="K89" s="634">
        <v>224</v>
      </c>
      <c r="L89" s="647">
        <v>463</v>
      </c>
      <c r="M89" s="634">
        <v>375</v>
      </c>
      <c r="N89" s="634">
        <v>838</v>
      </c>
      <c r="O89" s="647">
        <v>2</v>
      </c>
      <c r="P89" s="634">
        <v>0</v>
      </c>
      <c r="Q89" s="634">
        <v>2</v>
      </c>
      <c r="R89" s="647">
        <v>58</v>
      </c>
      <c r="S89" s="634">
        <v>102</v>
      </c>
      <c r="T89" s="634">
        <v>160</v>
      </c>
      <c r="U89" s="647">
        <v>43</v>
      </c>
      <c r="V89" s="634">
        <v>31</v>
      </c>
      <c r="W89" s="634">
        <v>74</v>
      </c>
      <c r="X89" s="647">
        <v>59</v>
      </c>
      <c r="Y89" s="634">
        <v>62</v>
      </c>
      <c r="Z89" s="634">
        <v>121</v>
      </c>
    </row>
    <row r="90" spans="1:26" x14ac:dyDescent="0.3">
      <c r="A90" s="286">
        <v>86</v>
      </c>
      <c r="B90" s="291" t="s">
        <v>178</v>
      </c>
      <c r="C90" s="647">
        <v>22207</v>
      </c>
      <c r="D90" s="634">
        <v>18737</v>
      </c>
      <c r="E90" s="634">
        <v>40944</v>
      </c>
      <c r="F90" s="647">
        <v>3808</v>
      </c>
      <c r="G90" s="634">
        <v>2984</v>
      </c>
      <c r="H90" s="634">
        <v>6792</v>
      </c>
      <c r="I90" s="647">
        <v>3685</v>
      </c>
      <c r="J90" s="634">
        <v>3379</v>
      </c>
      <c r="K90" s="634">
        <v>7064</v>
      </c>
      <c r="L90" s="647">
        <v>7849</v>
      </c>
      <c r="M90" s="634">
        <v>6763</v>
      </c>
      <c r="N90" s="634">
        <v>14612</v>
      </c>
      <c r="O90" s="647">
        <v>39</v>
      </c>
      <c r="P90" s="634">
        <v>19</v>
      </c>
      <c r="Q90" s="634">
        <v>58</v>
      </c>
      <c r="R90" s="647">
        <v>513</v>
      </c>
      <c r="S90" s="634">
        <v>524</v>
      </c>
      <c r="T90" s="634">
        <v>1037</v>
      </c>
      <c r="U90" s="647">
        <v>1173</v>
      </c>
      <c r="V90" s="634">
        <v>1391</v>
      </c>
      <c r="W90" s="634">
        <v>2564</v>
      </c>
      <c r="X90" s="647">
        <v>196</v>
      </c>
      <c r="Y90" s="634">
        <v>185</v>
      </c>
      <c r="Z90" s="634">
        <v>381</v>
      </c>
    </row>
    <row r="91" spans="1:26" x14ac:dyDescent="0.3">
      <c r="A91" s="286">
        <v>87</v>
      </c>
      <c r="B91" s="291" t="s">
        <v>933</v>
      </c>
      <c r="C91" s="647">
        <v>4</v>
      </c>
      <c r="D91" s="634">
        <v>2</v>
      </c>
      <c r="E91" s="634">
        <v>6</v>
      </c>
      <c r="F91" s="647">
        <v>0</v>
      </c>
      <c r="G91" s="634">
        <v>0</v>
      </c>
      <c r="H91" s="634">
        <v>0</v>
      </c>
      <c r="I91" s="647">
        <v>0</v>
      </c>
      <c r="J91" s="634">
        <v>0</v>
      </c>
      <c r="K91" s="634">
        <v>0</v>
      </c>
      <c r="L91" s="647">
        <v>0</v>
      </c>
      <c r="M91" s="634">
        <v>0</v>
      </c>
      <c r="N91" s="634">
        <v>0</v>
      </c>
      <c r="O91" s="647">
        <v>0</v>
      </c>
      <c r="P91" s="634">
        <v>0</v>
      </c>
      <c r="Q91" s="634">
        <v>0</v>
      </c>
      <c r="R91" s="647">
        <v>0</v>
      </c>
      <c r="S91" s="634">
        <v>0</v>
      </c>
      <c r="T91" s="634">
        <v>0</v>
      </c>
      <c r="U91" s="647">
        <v>0</v>
      </c>
      <c r="V91" s="634">
        <v>0</v>
      </c>
      <c r="W91" s="634">
        <v>0</v>
      </c>
      <c r="X91" s="647">
        <v>0</v>
      </c>
      <c r="Y91" s="634">
        <v>0</v>
      </c>
      <c r="Z91" s="634">
        <v>0</v>
      </c>
    </row>
    <row r="92" spans="1:26" x14ac:dyDescent="0.3">
      <c r="A92" s="286">
        <v>88</v>
      </c>
      <c r="B92" s="291" t="s">
        <v>934</v>
      </c>
      <c r="C92" s="647">
        <v>3</v>
      </c>
      <c r="D92" s="634">
        <v>7</v>
      </c>
      <c r="E92" s="634">
        <v>10</v>
      </c>
      <c r="F92" s="647">
        <v>0</v>
      </c>
      <c r="G92" s="634">
        <v>0</v>
      </c>
      <c r="H92" s="634">
        <v>0</v>
      </c>
      <c r="I92" s="647">
        <v>0</v>
      </c>
      <c r="J92" s="634">
        <v>0</v>
      </c>
      <c r="K92" s="634">
        <v>0</v>
      </c>
      <c r="L92" s="647">
        <v>0</v>
      </c>
      <c r="M92" s="634">
        <v>0</v>
      </c>
      <c r="N92" s="634">
        <v>0</v>
      </c>
      <c r="O92" s="647">
        <v>0</v>
      </c>
      <c r="P92" s="634">
        <v>0</v>
      </c>
      <c r="Q92" s="634">
        <v>0</v>
      </c>
      <c r="R92" s="647">
        <v>0</v>
      </c>
      <c r="S92" s="634">
        <v>0</v>
      </c>
      <c r="T92" s="634">
        <v>0</v>
      </c>
      <c r="U92" s="647">
        <v>0</v>
      </c>
      <c r="V92" s="634">
        <v>0</v>
      </c>
      <c r="W92" s="634">
        <v>0</v>
      </c>
      <c r="X92" s="647">
        <v>0</v>
      </c>
      <c r="Y92" s="634">
        <v>0</v>
      </c>
      <c r="Z92" s="634">
        <v>0</v>
      </c>
    </row>
    <row r="93" spans="1:26" x14ac:dyDescent="0.3">
      <c r="A93" s="286">
        <v>89</v>
      </c>
      <c r="B93" s="291" t="s">
        <v>840</v>
      </c>
      <c r="C93" s="647">
        <v>2201</v>
      </c>
      <c r="D93" s="634">
        <v>1459</v>
      </c>
      <c r="E93" s="634">
        <v>3660</v>
      </c>
      <c r="F93" s="647">
        <v>176</v>
      </c>
      <c r="G93" s="634">
        <v>103</v>
      </c>
      <c r="H93" s="634">
        <v>279</v>
      </c>
      <c r="I93" s="647">
        <v>40</v>
      </c>
      <c r="J93" s="634">
        <v>45</v>
      </c>
      <c r="K93" s="634">
        <v>85</v>
      </c>
      <c r="L93" s="647">
        <v>734</v>
      </c>
      <c r="M93" s="634">
        <v>437</v>
      </c>
      <c r="N93" s="634">
        <v>1171</v>
      </c>
      <c r="O93" s="647">
        <v>4</v>
      </c>
      <c r="P93" s="634">
        <v>0</v>
      </c>
      <c r="Q93" s="634">
        <v>4</v>
      </c>
      <c r="R93" s="647">
        <v>10</v>
      </c>
      <c r="S93" s="634">
        <v>8</v>
      </c>
      <c r="T93" s="634">
        <v>18</v>
      </c>
      <c r="U93" s="647">
        <v>7</v>
      </c>
      <c r="V93" s="634">
        <v>15</v>
      </c>
      <c r="W93" s="634">
        <v>22</v>
      </c>
      <c r="X93" s="647">
        <v>176</v>
      </c>
      <c r="Y93" s="634">
        <v>172</v>
      </c>
      <c r="Z93" s="634">
        <v>348</v>
      </c>
    </row>
    <row r="94" spans="1:26" ht="26" x14ac:dyDescent="0.3">
      <c r="A94" s="286">
        <v>90</v>
      </c>
      <c r="B94" s="291" t="s">
        <v>179</v>
      </c>
      <c r="C94" s="647">
        <v>35923</v>
      </c>
      <c r="D94" s="634">
        <v>40306</v>
      </c>
      <c r="E94" s="634">
        <v>76229</v>
      </c>
      <c r="F94" s="647">
        <v>6934</v>
      </c>
      <c r="G94" s="634">
        <v>7014</v>
      </c>
      <c r="H94" s="634">
        <v>13948</v>
      </c>
      <c r="I94" s="647">
        <v>6345</v>
      </c>
      <c r="J94" s="634">
        <v>5494</v>
      </c>
      <c r="K94" s="634">
        <v>11839</v>
      </c>
      <c r="L94" s="647">
        <v>14485</v>
      </c>
      <c r="M94" s="634">
        <v>16571</v>
      </c>
      <c r="N94" s="634">
        <v>31056</v>
      </c>
      <c r="O94" s="647">
        <v>55</v>
      </c>
      <c r="P94" s="634">
        <v>52</v>
      </c>
      <c r="Q94" s="634">
        <v>107</v>
      </c>
      <c r="R94" s="647">
        <v>370</v>
      </c>
      <c r="S94" s="634">
        <v>555</v>
      </c>
      <c r="T94" s="634">
        <v>925</v>
      </c>
      <c r="U94" s="647">
        <v>166</v>
      </c>
      <c r="V94" s="634">
        <v>583</v>
      </c>
      <c r="W94" s="634">
        <v>749</v>
      </c>
      <c r="X94" s="647">
        <v>1290</v>
      </c>
      <c r="Y94" s="634">
        <v>1450</v>
      </c>
      <c r="Z94" s="634">
        <v>2740</v>
      </c>
    </row>
    <row r="95" spans="1:26" ht="26" x14ac:dyDescent="0.3">
      <c r="A95" s="286">
        <v>91</v>
      </c>
      <c r="B95" s="291" t="s">
        <v>841</v>
      </c>
      <c r="C95" s="647">
        <v>203</v>
      </c>
      <c r="D95" s="634">
        <v>158</v>
      </c>
      <c r="E95" s="634">
        <v>361</v>
      </c>
      <c r="F95" s="647">
        <v>15</v>
      </c>
      <c r="G95" s="634">
        <v>20</v>
      </c>
      <c r="H95" s="634">
        <v>35</v>
      </c>
      <c r="I95" s="647">
        <v>16</v>
      </c>
      <c r="J95" s="634">
        <v>13</v>
      </c>
      <c r="K95" s="634">
        <v>29</v>
      </c>
      <c r="L95" s="647">
        <v>34</v>
      </c>
      <c r="M95" s="634">
        <v>31</v>
      </c>
      <c r="N95" s="634">
        <v>65</v>
      </c>
      <c r="O95" s="647">
        <v>3</v>
      </c>
      <c r="P95" s="634">
        <v>0</v>
      </c>
      <c r="Q95" s="634">
        <v>3</v>
      </c>
      <c r="R95" s="647">
        <v>7</v>
      </c>
      <c r="S95" s="634">
        <v>3</v>
      </c>
      <c r="T95" s="634">
        <v>10</v>
      </c>
      <c r="U95" s="647">
        <v>2</v>
      </c>
      <c r="V95" s="634">
        <v>2</v>
      </c>
      <c r="W95" s="634">
        <v>4</v>
      </c>
      <c r="X95" s="647">
        <v>20</v>
      </c>
      <c r="Y95" s="634">
        <v>4</v>
      </c>
      <c r="Z95" s="634">
        <v>24</v>
      </c>
    </row>
    <row r="96" spans="1:26" ht="26" x14ac:dyDescent="0.3">
      <c r="A96" s="286">
        <v>92</v>
      </c>
      <c r="B96" s="291" t="s">
        <v>935</v>
      </c>
      <c r="C96" s="647">
        <v>2</v>
      </c>
      <c r="D96" s="634">
        <v>3</v>
      </c>
      <c r="E96" s="634">
        <v>5</v>
      </c>
      <c r="F96" s="647">
        <v>2</v>
      </c>
      <c r="G96" s="634">
        <v>3</v>
      </c>
      <c r="H96" s="634">
        <v>5</v>
      </c>
      <c r="I96" s="647">
        <v>0</v>
      </c>
      <c r="J96" s="634">
        <v>0</v>
      </c>
      <c r="K96" s="634">
        <v>0</v>
      </c>
      <c r="L96" s="647">
        <v>0</v>
      </c>
      <c r="M96" s="634">
        <v>0</v>
      </c>
      <c r="N96" s="634">
        <v>0</v>
      </c>
      <c r="O96" s="647">
        <v>0</v>
      </c>
      <c r="P96" s="634">
        <v>0</v>
      </c>
      <c r="Q96" s="634">
        <v>0</v>
      </c>
      <c r="R96" s="647">
        <v>0</v>
      </c>
      <c r="S96" s="634">
        <v>0</v>
      </c>
      <c r="T96" s="634">
        <v>0</v>
      </c>
      <c r="U96" s="647">
        <v>0</v>
      </c>
      <c r="V96" s="634">
        <v>0</v>
      </c>
      <c r="W96" s="634">
        <v>0</v>
      </c>
      <c r="X96" s="647">
        <v>0</v>
      </c>
      <c r="Y96" s="634">
        <v>0</v>
      </c>
      <c r="Z96" s="634">
        <v>0</v>
      </c>
    </row>
    <row r="97" spans="1:26" ht="26" x14ac:dyDescent="0.3">
      <c r="A97" s="286">
        <v>93</v>
      </c>
      <c r="B97" s="291" t="s">
        <v>180</v>
      </c>
      <c r="C97" s="647">
        <v>320467</v>
      </c>
      <c r="D97" s="634">
        <v>279283</v>
      </c>
      <c r="E97" s="634">
        <v>599750</v>
      </c>
      <c r="F97" s="647">
        <v>44327</v>
      </c>
      <c r="G97" s="634">
        <v>32591</v>
      </c>
      <c r="H97" s="634">
        <v>76918</v>
      </c>
      <c r="I97" s="647">
        <v>20411</v>
      </c>
      <c r="J97" s="634">
        <v>18117</v>
      </c>
      <c r="K97" s="634">
        <v>38528</v>
      </c>
      <c r="L97" s="647">
        <v>138071</v>
      </c>
      <c r="M97" s="634">
        <v>107452</v>
      </c>
      <c r="N97" s="634">
        <v>245523</v>
      </c>
      <c r="O97" s="647">
        <v>423</v>
      </c>
      <c r="P97" s="634">
        <v>196</v>
      </c>
      <c r="Q97" s="634">
        <v>619</v>
      </c>
      <c r="R97" s="647">
        <v>17816</v>
      </c>
      <c r="S97" s="634">
        <v>14938</v>
      </c>
      <c r="T97" s="634">
        <v>32754</v>
      </c>
      <c r="U97" s="647">
        <v>5130</v>
      </c>
      <c r="V97" s="634">
        <v>5945</v>
      </c>
      <c r="W97" s="634">
        <v>11075</v>
      </c>
      <c r="X97" s="647">
        <v>6117</v>
      </c>
      <c r="Y97" s="634">
        <v>5960</v>
      </c>
      <c r="Z97" s="634">
        <v>12077</v>
      </c>
    </row>
    <row r="98" spans="1:26" ht="26" x14ac:dyDescent="0.3">
      <c r="A98" s="286">
        <v>94</v>
      </c>
      <c r="B98" s="291" t="s">
        <v>181</v>
      </c>
      <c r="C98" s="647">
        <v>128089</v>
      </c>
      <c r="D98" s="634">
        <v>360220</v>
      </c>
      <c r="E98" s="634">
        <v>488309</v>
      </c>
      <c r="F98" s="647">
        <v>20825</v>
      </c>
      <c r="G98" s="634">
        <v>64605</v>
      </c>
      <c r="H98" s="634">
        <v>85430</v>
      </c>
      <c r="I98" s="647">
        <v>9626</v>
      </c>
      <c r="J98" s="634">
        <v>33823</v>
      </c>
      <c r="K98" s="634">
        <v>43449</v>
      </c>
      <c r="L98" s="647">
        <v>48876</v>
      </c>
      <c r="M98" s="634">
        <v>119821</v>
      </c>
      <c r="N98" s="634">
        <v>168697</v>
      </c>
      <c r="O98" s="647">
        <v>122</v>
      </c>
      <c r="P98" s="634">
        <v>401</v>
      </c>
      <c r="Q98" s="634">
        <v>523</v>
      </c>
      <c r="R98" s="647">
        <v>7906</v>
      </c>
      <c r="S98" s="634">
        <v>11280</v>
      </c>
      <c r="T98" s="634">
        <v>19186</v>
      </c>
      <c r="U98" s="647">
        <v>3891</v>
      </c>
      <c r="V98" s="634">
        <v>25179</v>
      </c>
      <c r="W98" s="634">
        <v>29070</v>
      </c>
      <c r="X98" s="647">
        <v>2590</v>
      </c>
      <c r="Y98" s="634">
        <v>5379</v>
      </c>
      <c r="Z98" s="634">
        <v>7969</v>
      </c>
    </row>
    <row r="99" spans="1:26" x14ac:dyDescent="0.3">
      <c r="A99" s="286">
        <v>95</v>
      </c>
      <c r="B99" s="291" t="s">
        <v>182</v>
      </c>
      <c r="C99" s="647">
        <v>10452</v>
      </c>
      <c r="D99" s="634">
        <v>42939</v>
      </c>
      <c r="E99" s="634">
        <v>53391</v>
      </c>
      <c r="F99" s="647">
        <v>1989</v>
      </c>
      <c r="G99" s="634">
        <v>7972</v>
      </c>
      <c r="H99" s="634">
        <v>9961</v>
      </c>
      <c r="I99" s="647">
        <v>1009</v>
      </c>
      <c r="J99" s="634">
        <v>5045</v>
      </c>
      <c r="K99" s="634">
        <v>6054</v>
      </c>
      <c r="L99" s="647">
        <v>3037</v>
      </c>
      <c r="M99" s="634">
        <v>10590</v>
      </c>
      <c r="N99" s="634">
        <v>13627</v>
      </c>
      <c r="O99" s="647">
        <v>23</v>
      </c>
      <c r="P99" s="634">
        <v>55</v>
      </c>
      <c r="Q99" s="634">
        <v>78</v>
      </c>
      <c r="R99" s="647">
        <v>342</v>
      </c>
      <c r="S99" s="634">
        <v>983</v>
      </c>
      <c r="T99" s="634">
        <v>1325</v>
      </c>
      <c r="U99" s="647">
        <v>258</v>
      </c>
      <c r="V99" s="634">
        <v>1695</v>
      </c>
      <c r="W99" s="634">
        <v>1953</v>
      </c>
      <c r="X99" s="647">
        <v>214</v>
      </c>
      <c r="Y99" s="634">
        <v>450</v>
      </c>
      <c r="Z99" s="634">
        <v>664</v>
      </c>
    </row>
    <row r="100" spans="1:26" ht="26" x14ac:dyDescent="0.3">
      <c r="A100" s="286">
        <v>96</v>
      </c>
      <c r="B100" s="291" t="s">
        <v>842</v>
      </c>
      <c r="C100" s="647">
        <v>46</v>
      </c>
      <c r="D100" s="634">
        <v>33</v>
      </c>
      <c r="E100" s="634">
        <v>79</v>
      </c>
      <c r="F100" s="647">
        <v>11</v>
      </c>
      <c r="G100" s="634">
        <v>5</v>
      </c>
      <c r="H100" s="634">
        <v>16</v>
      </c>
      <c r="I100" s="647">
        <v>0</v>
      </c>
      <c r="J100" s="634">
        <v>1</v>
      </c>
      <c r="K100" s="634">
        <v>1</v>
      </c>
      <c r="L100" s="647">
        <v>1</v>
      </c>
      <c r="M100" s="634">
        <v>5</v>
      </c>
      <c r="N100" s="634">
        <v>6</v>
      </c>
      <c r="O100" s="647">
        <v>0</v>
      </c>
      <c r="P100" s="634">
        <v>0</v>
      </c>
      <c r="Q100" s="634">
        <v>0</v>
      </c>
      <c r="R100" s="647">
        <v>0</v>
      </c>
      <c r="S100" s="634">
        <v>0</v>
      </c>
      <c r="T100" s="634">
        <v>0</v>
      </c>
      <c r="U100" s="647">
        <v>0</v>
      </c>
      <c r="V100" s="634">
        <v>0</v>
      </c>
      <c r="W100" s="634">
        <v>0</v>
      </c>
      <c r="X100" s="647">
        <v>0</v>
      </c>
      <c r="Y100" s="634">
        <v>0</v>
      </c>
      <c r="Z100" s="634">
        <v>0</v>
      </c>
    </row>
    <row r="101" spans="1:26" ht="26" x14ac:dyDescent="0.3">
      <c r="A101" s="286">
        <v>97</v>
      </c>
      <c r="B101" s="291" t="s">
        <v>843</v>
      </c>
      <c r="C101" s="647">
        <v>1297</v>
      </c>
      <c r="D101" s="634">
        <v>340</v>
      </c>
      <c r="E101" s="634">
        <v>1637</v>
      </c>
      <c r="F101" s="647">
        <v>128</v>
      </c>
      <c r="G101" s="634">
        <v>37</v>
      </c>
      <c r="H101" s="634">
        <v>165</v>
      </c>
      <c r="I101" s="647">
        <v>28</v>
      </c>
      <c r="J101" s="634">
        <v>12</v>
      </c>
      <c r="K101" s="634">
        <v>40</v>
      </c>
      <c r="L101" s="647">
        <v>726</v>
      </c>
      <c r="M101" s="634">
        <v>127</v>
      </c>
      <c r="N101" s="634">
        <v>853</v>
      </c>
      <c r="O101" s="647">
        <v>0</v>
      </c>
      <c r="P101" s="634">
        <v>0</v>
      </c>
      <c r="Q101" s="634">
        <v>0</v>
      </c>
      <c r="R101" s="647">
        <v>31</v>
      </c>
      <c r="S101" s="634">
        <v>60</v>
      </c>
      <c r="T101" s="634">
        <v>91</v>
      </c>
      <c r="U101" s="647">
        <v>11</v>
      </c>
      <c r="V101" s="634">
        <v>6</v>
      </c>
      <c r="W101" s="634">
        <v>17</v>
      </c>
      <c r="X101" s="647">
        <v>33</v>
      </c>
      <c r="Y101" s="634">
        <v>9</v>
      </c>
      <c r="Z101" s="634">
        <v>42</v>
      </c>
    </row>
    <row r="102" spans="1:26" x14ac:dyDescent="0.3">
      <c r="A102" s="286">
        <v>98</v>
      </c>
      <c r="B102" s="291" t="s">
        <v>183</v>
      </c>
      <c r="C102" s="647">
        <v>2335195</v>
      </c>
      <c r="D102" s="634">
        <v>2542377</v>
      </c>
      <c r="E102" s="634">
        <v>4877572</v>
      </c>
      <c r="F102" s="647">
        <v>372390</v>
      </c>
      <c r="G102" s="634">
        <v>387289</v>
      </c>
      <c r="H102" s="634">
        <v>759679</v>
      </c>
      <c r="I102" s="647">
        <v>132495</v>
      </c>
      <c r="J102" s="634">
        <v>153242</v>
      </c>
      <c r="K102" s="634">
        <v>285737</v>
      </c>
      <c r="L102" s="647">
        <v>1047977</v>
      </c>
      <c r="M102" s="634">
        <v>1199461</v>
      </c>
      <c r="N102" s="634">
        <v>2247438</v>
      </c>
      <c r="O102" s="647">
        <v>3175</v>
      </c>
      <c r="P102" s="634">
        <v>2490</v>
      </c>
      <c r="Q102" s="634">
        <v>5665</v>
      </c>
      <c r="R102" s="647">
        <v>97079</v>
      </c>
      <c r="S102" s="634">
        <v>132328</v>
      </c>
      <c r="T102" s="634">
        <v>229407</v>
      </c>
      <c r="U102" s="647">
        <v>39072</v>
      </c>
      <c r="V102" s="634">
        <v>56573</v>
      </c>
      <c r="W102" s="634">
        <v>95645</v>
      </c>
      <c r="X102" s="647">
        <v>37581</v>
      </c>
      <c r="Y102" s="634">
        <v>38998</v>
      </c>
      <c r="Z102" s="634">
        <v>76579</v>
      </c>
    </row>
    <row r="103" spans="1:26" x14ac:dyDescent="0.3">
      <c r="A103" s="286">
        <v>99</v>
      </c>
      <c r="B103" s="291" t="s">
        <v>184</v>
      </c>
      <c r="C103" s="647">
        <v>749</v>
      </c>
      <c r="D103" s="634">
        <v>742</v>
      </c>
      <c r="E103" s="634">
        <v>1491</v>
      </c>
      <c r="F103" s="647">
        <v>98</v>
      </c>
      <c r="G103" s="634">
        <v>66</v>
      </c>
      <c r="H103" s="634">
        <v>164</v>
      </c>
      <c r="I103" s="647">
        <v>30</v>
      </c>
      <c r="J103" s="634">
        <v>15</v>
      </c>
      <c r="K103" s="634">
        <v>45</v>
      </c>
      <c r="L103" s="647">
        <v>384</v>
      </c>
      <c r="M103" s="634">
        <v>392</v>
      </c>
      <c r="N103" s="634">
        <v>776</v>
      </c>
      <c r="O103" s="647">
        <v>0</v>
      </c>
      <c r="P103" s="634">
        <v>1</v>
      </c>
      <c r="Q103" s="634">
        <v>1</v>
      </c>
      <c r="R103" s="647">
        <v>26</v>
      </c>
      <c r="S103" s="634">
        <v>26</v>
      </c>
      <c r="T103" s="634">
        <v>52</v>
      </c>
      <c r="U103" s="647">
        <v>2</v>
      </c>
      <c r="V103" s="634">
        <v>47</v>
      </c>
      <c r="W103" s="634">
        <v>49</v>
      </c>
      <c r="X103" s="647">
        <v>7</v>
      </c>
      <c r="Y103" s="634">
        <v>7</v>
      </c>
      <c r="Z103" s="634">
        <v>14</v>
      </c>
    </row>
    <row r="104" spans="1:26" x14ac:dyDescent="0.3">
      <c r="A104" s="286">
        <v>100</v>
      </c>
      <c r="B104" s="291" t="s">
        <v>185</v>
      </c>
      <c r="C104" s="647">
        <v>1896391</v>
      </c>
      <c r="D104" s="634">
        <v>800385</v>
      </c>
      <c r="E104" s="634">
        <v>2696776</v>
      </c>
      <c r="F104" s="647">
        <v>197570</v>
      </c>
      <c r="G104" s="634">
        <v>85798</v>
      </c>
      <c r="H104" s="634">
        <v>283368</v>
      </c>
      <c r="I104" s="647">
        <v>67066</v>
      </c>
      <c r="J104" s="634">
        <v>27129</v>
      </c>
      <c r="K104" s="634">
        <v>94195</v>
      </c>
      <c r="L104" s="647">
        <v>674202</v>
      </c>
      <c r="M104" s="634">
        <v>305021</v>
      </c>
      <c r="N104" s="634">
        <v>979223</v>
      </c>
      <c r="O104" s="647">
        <v>4262</v>
      </c>
      <c r="P104" s="634">
        <v>1396</v>
      </c>
      <c r="Q104" s="634">
        <v>5658</v>
      </c>
      <c r="R104" s="647">
        <v>80008</v>
      </c>
      <c r="S104" s="634">
        <v>25872</v>
      </c>
      <c r="T104" s="634">
        <v>105880</v>
      </c>
      <c r="U104" s="647">
        <v>45954</v>
      </c>
      <c r="V104" s="634">
        <v>20379</v>
      </c>
      <c r="W104" s="634">
        <v>66333</v>
      </c>
      <c r="X104" s="647">
        <v>66905</v>
      </c>
      <c r="Y104" s="634">
        <v>31059</v>
      </c>
      <c r="Z104" s="634">
        <v>97964</v>
      </c>
    </row>
    <row r="105" spans="1:26" ht="26" x14ac:dyDescent="0.3">
      <c r="A105" s="286">
        <v>101</v>
      </c>
      <c r="B105" s="291" t="s">
        <v>186</v>
      </c>
      <c r="C105" s="647">
        <v>17101</v>
      </c>
      <c r="D105" s="634">
        <v>6483</v>
      </c>
      <c r="E105" s="634">
        <v>23584</v>
      </c>
      <c r="F105" s="647">
        <v>1786</v>
      </c>
      <c r="G105" s="634">
        <v>598</v>
      </c>
      <c r="H105" s="634">
        <v>2384</v>
      </c>
      <c r="I105" s="647">
        <v>839</v>
      </c>
      <c r="J105" s="634">
        <v>301</v>
      </c>
      <c r="K105" s="634">
        <v>1140</v>
      </c>
      <c r="L105" s="647">
        <v>5420</v>
      </c>
      <c r="M105" s="634">
        <v>2058</v>
      </c>
      <c r="N105" s="634">
        <v>7478</v>
      </c>
      <c r="O105" s="647">
        <v>126</v>
      </c>
      <c r="P105" s="634">
        <v>19</v>
      </c>
      <c r="Q105" s="634">
        <v>145</v>
      </c>
      <c r="R105" s="647">
        <v>357</v>
      </c>
      <c r="S105" s="634">
        <v>72</v>
      </c>
      <c r="T105" s="634">
        <v>429</v>
      </c>
      <c r="U105" s="647">
        <v>295</v>
      </c>
      <c r="V105" s="634">
        <v>108</v>
      </c>
      <c r="W105" s="634">
        <v>403</v>
      </c>
      <c r="X105" s="647">
        <v>902</v>
      </c>
      <c r="Y105" s="634">
        <v>419</v>
      </c>
      <c r="Z105" s="634">
        <v>1321</v>
      </c>
    </row>
    <row r="106" spans="1:26" ht="26" x14ac:dyDescent="0.3">
      <c r="A106" s="286">
        <v>102</v>
      </c>
      <c r="B106" s="291" t="s">
        <v>187</v>
      </c>
      <c r="C106" s="647">
        <v>3617</v>
      </c>
      <c r="D106" s="634">
        <v>4635</v>
      </c>
      <c r="E106" s="634">
        <v>8252</v>
      </c>
      <c r="F106" s="647">
        <v>83</v>
      </c>
      <c r="G106" s="634">
        <v>75</v>
      </c>
      <c r="H106" s="634">
        <v>158</v>
      </c>
      <c r="I106" s="647">
        <v>21</v>
      </c>
      <c r="J106" s="634">
        <v>24</v>
      </c>
      <c r="K106" s="634">
        <v>45</v>
      </c>
      <c r="L106" s="647">
        <v>1525</v>
      </c>
      <c r="M106" s="634">
        <v>1753</v>
      </c>
      <c r="N106" s="634">
        <v>3278</v>
      </c>
      <c r="O106" s="647">
        <v>1</v>
      </c>
      <c r="P106" s="634">
        <v>1</v>
      </c>
      <c r="Q106" s="634">
        <v>2</v>
      </c>
      <c r="R106" s="647">
        <v>1854</v>
      </c>
      <c r="S106" s="634">
        <v>2147</v>
      </c>
      <c r="T106" s="634">
        <v>4001</v>
      </c>
      <c r="U106" s="647">
        <v>1</v>
      </c>
      <c r="V106" s="634">
        <v>3</v>
      </c>
      <c r="W106" s="634">
        <v>4</v>
      </c>
      <c r="X106" s="647">
        <v>140</v>
      </c>
      <c r="Y106" s="634">
        <v>142</v>
      </c>
      <c r="Z106" s="634">
        <v>282</v>
      </c>
    </row>
    <row r="107" spans="1:26" x14ac:dyDescent="0.3">
      <c r="A107" s="286">
        <v>103</v>
      </c>
      <c r="B107" s="291" t="s">
        <v>188</v>
      </c>
      <c r="C107" s="647">
        <v>1353</v>
      </c>
      <c r="D107" s="634">
        <v>1513</v>
      </c>
      <c r="E107" s="634">
        <v>2866</v>
      </c>
      <c r="F107" s="647">
        <v>132</v>
      </c>
      <c r="G107" s="634">
        <v>55</v>
      </c>
      <c r="H107" s="634">
        <v>187</v>
      </c>
      <c r="I107" s="647">
        <v>36</v>
      </c>
      <c r="J107" s="634">
        <v>21</v>
      </c>
      <c r="K107" s="634">
        <v>57</v>
      </c>
      <c r="L107" s="647">
        <v>348</v>
      </c>
      <c r="M107" s="634">
        <v>288</v>
      </c>
      <c r="N107" s="634">
        <v>636</v>
      </c>
      <c r="O107" s="647">
        <v>0</v>
      </c>
      <c r="P107" s="634">
        <v>3</v>
      </c>
      <c r="Q107" s="634">
        <v>3</v>
      </c>
      <c r="R107" s="647">
        <v>8</v>
      </c>
      <c r="S107" s="634">
        <v>11</v>
      </c>
      <c r="T107" s="634">
        <v>19</v>
      </c>
      <c r="U107" s="647">
        <v>24</v>
      </c>
      <c r="V107" s="634">
        <v>49</v>
      </c>
      <c r="W107" s="634">
        <v>73</v>
      </c>
      <c r="X107" s="647">
        <v>20</v>
      </c>
      <c r="Y107" s="634">
        <v>20</v>
      </c>
      <c r="Z107" s="634">
        <v>40</v>
      </c>
    </row>
    <row r="108" spans="1:26" ht="26" x14ac:dyDescent="0.3">
      <c r="A108" s="286">
        <v>104</v>
      </c>
      <c r="B108" s="291" t="s">
        <v>189</v>
      </c>
      <c r="C108" s="647">
        <v>12131</v>
      </c>
      <c r="D108" s="634">
        <v>8618</v>
      </c>
      <c r="E108" s="634">
        <v>20749</v>
      </c>
      <c r="F108" s="647">
        <v>1605</v>
      </c>
      <c r="G108" s="634">
        <v>1034</v>
      </c>
      <c r="H108" s="634">
        <v>2639</v>
      </c>
      <c r="I108" s="647">
        <v>937</v>
      </c>
      <c r="J108" s="634">
        <v>925</v>
      </c>
      <c r="K108" s="634">
        <v>1862</v>
      </c>
      <c r="L108" s="647">
        <v>5038</v>
      </c>
      <c r="M108" s="634">
        <v>3613</v>
      </c>
      <c r="N108" s="634">
        <v>8651</v>
      </c>
      <c r="O108" s="647">
        <v>39</v>
      </c>
      <c r="P108" s="634">
        <v>11</v>
      </c>
      <c r="Q108" s="634">
        <v>50</v>
      </c>
      <c r="R108" s="647">
        <v>304</v>
      </c>
      <c r="S108" s="634">
        <v>232</v>
      </c>
      <c r="T108" s="634">
        <v>536</v>
      </c>
      <c r="U108" s="647">
        <v>205</v>
      </c>
      <c r="V108" s="634">
        <v>222</v>
      </c>
      <c r="W108" s="634">
        <v>427</v>
      </c>
      <c r="X108" s="647">
        <v>527</v>
      </c>
      <c r="Y108" s="634">
        <v>291</v>
      </c>
      <c r="Z108" s="634">
        <v>818</v>
      </c>
    </row>
    <row r="109" spans="1:26" x14ac:dyDescent="0.3">
      <c r="A109" s="286">
        <v>105</v>
      </c>
      <c r="B109" s="291" t="s">
        <v>190</v>
      </c>
      <c r="C109" s="647">
        <v>3317</v>
      </c>
      <c r="D109" s="634">
        <v>1911</v>
      </c>
      <c r="E109" s="634">
        <v>5228</v>
      </c>
      <c r="F109" s="647">
        <v>377</v>
      </c>
      <c r="G109" s="634">
        <v>295</v>
      </c>
      <c r="H109" s="634">
        <v>672</v>
      </c>
      <c r="I109" s="647">
        <v>239</v>
      </c>
      <c r="J109" s="634">
        <v>213</v>
      </c>
      <c r="K109" s="634">
        <v>452</v>
      </c>
      <c r="L109" s="647">
        <v>1017</v>
      </c>
      <c r="M109" s="634">
        <v>551</v>
      </c>
      <c r="N109" s="634">
        <v>1568</v>
      </c>
      <c r="O109" s="647">
        <v>15</v>
      </c>
      <c r="P109" s="634">
        <v>6</v>
      </c>
      <c r="Q109" s="634">
        <v>21</v>
      </c>
      <c r="R109" s="647">
        <v>298</v>
      </c>
      <c r="S109" s="634">
        <v>162</v>
      </c>
      <c r="T109" s="634">
        <v>460</v>
      </c>
      <c r="U109" s="647">
        <v>168</v>
      </c>
      <c r="V109" s="634">
        <v>116</v>
      </c>
      <c r="W109" s="634">
        <v>284</v>
      </c>
      <c r="X109" s="647">
        <v>75</v>
      </c>
      <c r="Y109" s="634">
        <v>29</v>
      </c>
      <c r="Z109" s="634">
        <v>104</v>
      </c>
    </row>
    <row r="110" spans="1:26" x14ac:dyDescent="0.3">
      <c r="A110" s="286">
        <v>106</v>
      </c>
      <c r="B110" s="291" t="s">
        <v>191</v>
      </c>
      <c r="C110" s="647">
        <v>39373</v>
      </c>
      <c r="D110" s="634">
        <v>30706</v>
      </c>
      <c r="E110" s="634">
        <v>70079</v>
      </c>
      <c r="F110" s="647">
        <v>5381</v>
      </c>
      <c r="G110" s="634">
        <v>4120</v>
      </c>
      <c r="H110" s="634">
        <v>9501</v>
      </c>
      <c r="I110" s="647">
        <v>1303</v>
      </c>
      <c r="J110" s="634">
        <v>899</v>
      </c>
      <c r="K110" s="634">
        <v>2202</v>
      </c>
      <c r="L110" s="647">
        <v>12716</v>
      </c>
      <c r="M110" s="634">
        <v>10180</v>
      </c>
      <c r="N110" s="634">
        <v>22896</v>
      </c>
      <c r="O110" s="647">
        <v>51</v>
      </c>
      <c r="P110" s="634">
        <v>27</v>
      </c>
      <c r="Q110" s="634">
        <v>78</v>
      </c>
      <c r="R110" s="647">
        <v>3635</v>
      </c>
      <c r="S110" s="634">
        <v>2534</v>
      </c>
      <c r="T110" s="634">
        <v>6169</v>
      </c>
      <c r="U110" s="647">
        <v>2475</v>
      </c>
      <c r="V110" s="634">
        <v>2074</v>
      </c>
      <c r="W110" s="634">
        <v>4549</v>
      </c>
      <c r="X110" s="647">
        <v>1096</v>
      </c>
      <c r="Y110" s="634">
        <v>926</v>
      </c>
      <c r="Z110" s="634">
        <v>2022</v>
      </c>
    </row>
    <row r="111" spans="1:26" ht="26" x14ac:dyDescent="0.3">
      <c r="A111" s="286">
        <v>107</v>
      </c>
      <c r="B111" s="291" t="s">
        <v>192</v>
      </c>
      <c r="C111" s="647">
        <v>1040</v>
      </c>
      <c r="D111" s="634">
        <v>583</v>
      </c>
      <c r="E111" s="634">
        <v>1623</v>
      </c>
      <c r="F111" s="647">
        <v>169</v>
      </c>
      <c r="G111" s="634">
        <v>81</v>
      </c>
      <c r="H111" s="634">
        <v>250</v>
      </c>
      <c r="I111" s="647">
        <v>78</v>
      </c>
      <c r="J111" s="634">
        <v>41</v>
      </c>
      <c r="K111" s="634">
        <v>119</v>
      </c>
      <c r="L111" s="647">
        <v>462</v>
      </c>
      <c r="M111" s="634">
        <v>251</v>
      </c>
      <c r="N111" s="634">
        <v>713</v>
      </c>
      <c r="O111" s="647">
        <v>24</v>
      </c>
      <c r="P111" s="634">
        <v>12</v>
      </c>
      <c r="Q111" s="634">
        <v>36</v>
      </c>
      <c r="R111" s="647">
        <v>120</v>
      </c>
      <c r="S111" s="634">
        <v>73</v>
      </c>
      <c r="T111" s="634">
        <v>193</v>
      </c>
      <c r="U111" s="647">
        <v>24</v>
      </c>
      <c r="V111" s="634">
        <v>13</v>
      </c>
      <c r="W111" s="634">
        <v>37</v>
      </c>
      <c r="X111" s="647">
        <v>22</v>
      </c>
      <c r="Y111" s="634">
        <v>15</v>
      </c>
      <c r="Z111" s="634">
        <v>37</v>
      </c>
    </row>
    <row r="112" spans="1:26" ht="26" x14ac:dyDescent="0.3">
      <c r="A112" s="286">
        <v>108</v>
      </c>
      <c r="B112" s="291" t="s">
        <v>844</v>
      </c>
      <c r="C112" s="647">
        <v>11</v>
      </c>
      <c r="D112" s="634">
        <v>344</v>
      </c>
      <c r="E112" s="634">
        <v>355</v>
      </c>
      <c r="F112" s="647">
        <v>1</v>
      </c>
      <c r="G112" s="634">
        <v>112</v>
      </c>
      <c r="H112" s="634">
        <v>113</v>
      </c>
      <c r="I112" s="647">
        <v>3</v>
      </c>
      <c r="J112" s="634">
        <v>47</v>
      </c>
      <c r="K112" s="634">
        <v>50</v>
      </c>
      <c r="L112" s="647">
        <v>0</v>
      </c>
      <c r="M112" s="634">
        <v>85</v>
      </c>
      <c r="N112" s="634">
        <v>85</v>
      </c>
      <c r="O112" s="647">
        <v>0</v>
      </c>
      <c r="P112" s="634">
        <v>0</v>
      </c>
      <c r="Q112" s="634">
        <v>0</v>
      </c>
      <c r="R112" s="647">
        <v>0</v>
      </c>
      <c r="S112" s="634">
        <v>0</v>
      </c>
      <c r="T112" s="634">
        <v>0</v>
      </c>
      <c r="U112" s="647">
        <v>3</v>
      </c>
      <c r="V112" s="634">
        <v>13</v>
      </c>
      <c r="W112" s="634">
        <v>16</v>
      </c>
      <c r="X112" s="647">
        <v>0</v>
      </c>
      <c r="Y112" s="634">
        <v>0</v>
      </c>
      <c r="Z112" s="634">
        <v>0</v>
      </c>
    </row>
    <row r="113" spans="1:26" ht="39" x14ac:dyDescent="0.3">
      <c r="A113" s="286">
        <v>109</v>
      </c>
      <c r="B113" s="291" t="s">
        <v>845</v>
      </c>
      <c r="C113" s="647">
        <v>186</v>
      </c>
      <c r="D113" s="634">
        <v>121</v>
      </c>
      <c r="E113" s="634">
        <v>307</v>
      </c>
      <c r="F113" s="647">
        <v>14</v>
      </c>
      <c r="G113" s="634">
        <v>7</v>
      </c>
      <c r="H113" s="634">
        <v>21</v>
      </c>
      <c r="I113" s="647">
        <v>8</v>
      </c>
      <c r="J113" s="634">
        <v>6</v>
      </c>
      <c r="K113" s="634">
        <v>14</v>
      </c>
      <c r="L113" s="647">
        <v>49</v>
      </c>
      <c r="M113" s="634">
        <v>30</v>
      </c>
      <c r="N113" s="634">
        <v>79</v>
      </c>
      <c r="O113" s="647">
        <v>0</v>
      </c>
      <c r="P113" s="634">
        <v>0</v>
      </c>
      <c r="Q113" s="634">
        <v>0</v>
      </c>
      <c r="R113" s="647">
        <v>11</v>
      </c>
      <c r="S113" s="634">
        <v>11</v>
      </c>
      <c r="T113" s="634">
        <v>22</v>
      </c>
      <c r="U113" s="647">
        <v>0</v>
      </c>
      <c r="V113" s="634">
        <v>0</v>
      </c>
      <c r="W113" s="634">
        <v>0</v>
      </c>
      <c r="X113" s="647">
        <v>6</v>
      </c>
      <c r="Y113" s="634">
        <v>6</v>
      </c>
      <c r="Z113" s="634">
        <v>12</v>
      </c>
    </row>
    <row r="114" spans="1:26" x14ac:dyDescent="0.3">
      <c r="A114" s="286">
        <v>110</v>
      </c>
      <c r="B114" s="291" t="s">
        <v>846</v>
      </c>
      <c r="C114" s="647">
        <v>304</v>
      </c>
      <c r="D114" s="634">
        <v>66</v>
      </c>
      <c r="E114" s="634">
        <v>370</v>
      </c>
      <c r="F114" s="647">
        <v>70</v>
      </c>
      <c r="G114" s="634">
        <v>17</v>
      </c>
      <c r="H114" s="634">
        <v>87</v>
      </c>
      <c r="I114" s="647">
        <v>4</v>
      </c>
      <c r="J114" s="634">
        <v>0</v>
      </c>
      <c r="K114" s="634">
        <v>4</v>
      </c>
      <c r="L114" s="647">
        <v>23</v>
      </c>
      <c r="M114" s="634">
        <v>5</v>
      </c>
      <c r="N114" s="634">
        <v>28</v>
      </c>
      <c r="O114" s="647">
        <v>4</v>
      </c>
      <c r="P114" s="634">
        <v>0</v>
      </c>
      <c r="Q114" s="634">
        <v>4</v>
      </c>
      <c r="R114" s="647">
        <v>3</v>
      </c>
      <c r="S114" s="634">
        <v>0</v>
      </c>
      <c r="T114" s="634">
        <v>3</v>
      </c>
      <c r="U114" s="647">
        <v>3</v>
      </c>
      <c r="V114" s="634">
        <v>0</v>
      </c>
      <c r="W114" s="634">
        <v>3</v>
      </c>
      <c r="X114" s="647">
        <v>5</v>
      </c>
      <c r="Y114" s="634">
        <v>0</v>
      </c>
      <c r="Z114" s="634">
        <v>5</v>
      </c>
    </row>
    <row r="115" spans="1:26" x14ac:dyDescent="0.3">
      <c r="A115" s="286">
        <v>111</v>
      </c>
      <c r="B115" s="291" t="s">
        <v>193</v>
      </c>
      <c r="C115" s="647">
        <v>76410</v>
      </c>
      <c r="D115" s="634">
        <v>73826</v>
      </c>
      <c r="E115" s="634">
        <v>150236</v>
      </c>
      <c r="F115" s="647">
        <v>9312</v>
      </c>
      <c r="G115" s="634">
        <v>8407</v>
      </c>
      <c r="H115" s="634">
        <v>17719</v>
      </c>
      <c r="I115" s="647">
        <v>5974</v>
      </c>
      <c r="J115" s="634">
        <v>7089</v>
      </c>
      <c r="K115" s="634">
        <v>13063</v>
      </c>
      <c r="L115" s="647">
        <v>22858</v>
      </c>
      <c r="M115" s="634">
        <v>23702</v>
      </c>
      <c r="N115" s="634">
        <v>46560</v>
      </c>
      <c r="O115" s="647">
        <v>336</v>
      </c>
      <c r="P115" s="634">
        <v>221</v>
      </c>
      <c r="Q115" s="634">
        <v>557</v>
      </c>
      <c r="R115" s="647">
        <v>3685</v>
      </c>
      <c r="S115" s="634">
        <v>4590</v>
      </c>
      <c r="T115" s="634">
        <v>8275</v>
      </c>
      <c r="U115" s="647">
        <v>1206</v>
      </c>
      <c r="V115" s="634">
        <v>1636</v>
      </c>
      <c r="W115" s="634">
        <v>2842</v>
      </c>
      <c r="X115" s="647">
        <v>2905</v>
      </c>
      <c r="Y115" s="634">
        <v>1256</v>
      </c>
      <c r="Z115" s="634">
        <v>4161</v>
      </c>
    </row>
    <row r="116" spans="1:26" x14ac:dyDescent="0.3">
      <c r="A116" s="286">
        <v>112</v>
      </c>
      <c r="B116" s="291" t="s">
        <v>194</v>
      </c>
      <c r="C116" s="647">
        <v>92128</v>
      </c>
      <c r="D116" s="634">
        <v>128866</v>
      </c>
      <c r="E116" s="634">
        <v>220994</v>
      </c>
      <c r="F116" s="647">
        <v>14522</v>
      </c>
      <c r="G116" s="634">
        <v>20209</v>
      </c>
      <c r="H116" s="634">
        <v>34731</v>
      </c>
      <c r="I116" s="647">
        <v>9014</v>
      </c>
      <c r="J116" s="634">
        <v>11403</v>
      </c>
      <c r="K116" s="634">
        <v>20417</v>
      </c>
      <c r="L116" s="647">
        <v>29985</v>
      </c>
      <c r="M116" s="634">
        <v>42841</v>
      </c>
      <c r="N116" s="634">
        <v>72826</v>
      </c>
      <c r="O116" s="647">
        <v>598</v>
      </c>
      <c r="P116" s="634">
        <v>589</v>
      </c>
      <c r="Q116" s="634">
        <v>1187</v>
      </c>
      <c r="R116" s="647">
        <v>5828</v>
      </c>
      <c r="S116" s="634">
        <v>8810</v>
      </c>
      <c r="T116" s="634">
        <v>14638</v>
      </c>
      <c r="U116" s="647">
        <v>1585</v>
      </c>
      <c r="V116" s="634">
        <v>3143</v>
      </c>
      <c r="W116" s="634">
        <v>4728</v>
      </c>
      <c r="X116" s="647">
        <v>2041</v>
      </c>
      <c r="Y116" s="634">
        <v>2858</v>
      </c>
      <c r="Z116" s="634">
        <v>4899</v>
      </c>
    </row>
    <row r="117" spans="1:26" ht="26" x14ac:dyDescent="0.3">
      <c r="A117" s="286">
        <v>113</v>
      </c>
      <c r="B117" s="291" t="s">
        <v>847</v>
      </c>
      <c r="C117" s="647">
        <v>55432</v>
      </c>
      <c r="D117" s="634">
        <v>84128</v>
      </c>
      <c r="E117" s="634">
        <v>139560</v>
      </c>
      <c r="F117" s="647">
        <v>10456</v>
      </c>
      <c r="G117" s="634">
        <v>14025</v>
      </c>
      <c r="H117" s="634">
        <v>24481</v>
      </c>
      <c r="I117" s="647">
        <v>5014</v>
      </c>
      <c r="J117" s="634">
        <v>8769</v>
      </c>
      <c r="K117" s="634">
        <v>13783</v>
      </c>
      <c r="L117" s="647">
        <v>21740</v>
      </c>
      <c r="M117" s="634">
        <v>33850</v>
      </c>
      <c r="N117" s="634">
        <v>55590</v>
      </c>
      <c r="O117" s="647">
        <v>363</v>
      </c>
      <c r="P117" s="634">
        <v>239</v>
      </c>
      <c r="Q117" s="634">
        <v>602</v>
      </c>
      <c r="R117" s="647">
        <v>3355</v>
      </c>
      <c r="S117" s="634">
        <v>5603</v>
      </c>
      <c r="T117" s="634">
        <v>8958</v>
      </c>
      <c r="U117" s="647">
        <v>675</v>
      </c>
      <c r="V117" s="634">
        <v>2016</v>
      </c>
      <c r="W117" s="634">
        <v>2691</v>
      </c>
      <c r="X117" s="647">
        <v>1459</v>
      </c>
      <c r="Y117" s="634">
        <v>1861</v>
      </c>
      <c r="Z117" s="634">
        <v>3320</v>
      </c>
    </row>
    <row r="118" spans="1:26" x14ac:dyDescent="0.3">
      <c r="A118" s="286">
        <v>114</v>
      </c>
      <c r="B118" s="291" t="s">
        <v>848</v>
      </c>
      <c r="C118" s="647">
        <v>24</v>
      </c>
      <c r="D118" s="634">
        <v>15</v>
      </c>
      <c r="E118" s="634">
        <v>39</v>
      </c>
      <c r="F118" s="647">
        <v>0</v>
      </c>
      <c r="G118" s="634">
        <v>0</v>
      </c>
      <c r="H118" s="634">
        <v>0</v>
      </c>
      <c r="I118" s="647">
        <v>0</v>
      </c>
      <c r="J118" s="634">
        <v>0</v>
      </c>
      <c r="K118" s="634">
        <v>0</v>
      </c>
      <c r="L118" s="647">
        <v>2</v>
      </c>
      <c r="M118" s="634">
        <v>1</v>
      </c>
      <c r="N118" s="634">
        <v>3</v>
      </c>
      <c r="O118" s="647">
        <v>0</v>
      </c>
      <c r="P118" s="634">
        <v>0</v>
      </c>
      <c r="Q118" s="634">
        <v>0</v>
      </c>
      <c r="R118" s="647">
        <v>0</v>
      </c>
      <c r="S118" s="634">
        <v>0</v>
      </c>
      <c r="T118" s="634">
        <v>0</v>
      </c>
      <c r="U118" s="647">
        <v>0</v>
      </c>
      <c r="V118" s="634">
        <v>0</v>
      </c>
      <c r="W118" s="634">
        <v>0</v>
      </c>
      <c r="X118" s="647">
        <v>0</v>
      </c>
      <c r="Y118" s="634">
        <v>0</v>
      </c>
      <c r="Z118" s="634">
        <v>0</v>
      </c>
    </row>
    <row r="119" spans="1:26" x14ac:dyDescent="0.3">
      <c r="A119" s="286">
        <v>115</v>
      </c>
      <c r="B119" s="291" t="s">
        <v>195</v>
      </c>
      <c r="C119" s="647">
        <v>976</v>
      </c>
      <c r="D119" s="634">
        <v>552</v>
      </c>
      <c r="E119" s="634">
        <v>1528</v>
      </c>
      <c r="F119" s="647">
        <v>10</v>
      </c>
      <c r="G119" s="634">
        <v>20</v>
      </c>
      <c r="H119" s="634">
        <v>30</v>
      </c>
      <c r="I119" s="647">
        <v>4</v>
      </c>
      <c r="J119" s="634">
        <v>6</v>
      </c>
      <c r="K119" s="634">
        <v>10</v>
      </c>
      <c r="L119" s="647">
        <v>51</v>
      </c>
      <c r="M119" s="634">
        <v>58</v>
      </c>
      <c r="N119" s="634">
        <v>109</v>
      </c>
      <c r="O119" s="647">
        <v>0</v>
      </c>
      <c r="P119" s="634">
        <v>2</v>
      </c>
      <c r="Q119" s="634">
        <v>2</v>
      </c>
      <c r="R119" s="647">
        <v>18</v>
      </c>
      <c r="S119" s="634">
        <v>5</v>
      </c>
      <c r="T119" s="634">
        <v>23</v>
      </c>
      <c r="U119" s="647">
        <v>13</v>
      </c>
      <c r="V119" s="634">
        <v>6</v>
      </c>
      <c r="W119" s="634">
        <v>19</v>
      </c>
      <c r="X119" s="647">
        <v>4</v>
      </c>
      <c r="Y119" s="634">
        <v>3</v>
      </c>
      <c r="Z119" s="634">
        <v>7</v>
      </c>
    </row>
    <row r="120" spans="1:26" ht="26" x14ac:dyDescent="0.3">
      <c r="A120" s="286">
        <v>116</v>
      </c>
      <c r="B120" s="291" t="s">
        <v>849</v>
      </c>
      <c r="C120" s="647">
        <v>6298</v>
      </c>
      <c r="D120" s="634">
        <v>5589</v>
      </c>
      <c r="E120" s="634">
        <v>11887</v>
      </c>
      <c r="F120" s="647">
        <v>1038</v>
      </c>
      <c r="G120" s="634">
        <v>992</v>
      </c>
      <c r="H120" s="634">
        <v>2030</v>
      </c>
      <c r="I120" s="647">
        <v>628</v>
      </c>
      <c r="J120" s="634">
        <v>706</v>
      </c>
      <c r="K120" s="634">
        <v>1334</v>
      </c>
      <c r="L120" s="647">
        <v>2408</v>
      </c>
      <c r="M120" s="634">
        <v>2255</v>
      </c>
      <c r="N120" s="634">
        <v>4663</v>
      </c>
      <c r="O120" s="647">
        <v>82</v>
      </c>
      <c r="P120" s="634">
        <v>57</v>
      </c>
      <c r="Q120" s="634">
        <v>139</v>
      </c>
      <c r="R120" s="647">
        <v>372</v>
      </c>
      <c r="S120" s="634">
        <v>289</v>
      </c>
      <c r="T120" s="634">
        <v>661</v>
      </c>
      <c r="U120" s="647">
        <v>154</v>
      </c>
      <c r="V120" s="634">
        <v>170</v>
      </c>
      <c r="W120" s="634">
        <v>324</v>
      </c>
      <c r="X120" s="647">
        <v>140</v>
      </c>
      <c r="Y120" s="634">
        <v>140</v>
      </c>
      <c r="Z120" s="634">
        <v>280</v>
      </c>
    </row>
    <row r="121" spans="1:26" x14ac:dyDescent="0.3">
      <c r="A121" s="286">
        <v>117</v>
      </c>
      <c r="B121" s="291" t="s">
        <v>850</v>
      </c>
      <c r="C121" s="647">
        <v>10</v>
      </c>
      <c r="D121" s="634">
        <v>18</v>
      </c>
      <c r="E121" s="634">
        <v>28</v>
      </c>
      <c r="F121" s="647">
        <v>2</v>
      </c>
      <c r="G121" s="634">
        <v>5</v>
      </c>
      <c r="H121" s="634">
        <v>7</v>
      </c>
      <c r="I121" s="647">
        <v>1</v>
      </c>
      <c r="J121" s="634">
        <v>1</v>
      </c>
      <c r="K121" s="634">
        <v>2</v>
      </c>
      <c r="L121" s="647">
        <v>5</v>
      </c>
      <c r="M121" s="634">
        <v>4</v>
      </c>
      <c r="N121" s="634">
        <v>9</v>
      </c>
      <c r="O121" s="647">
        <v>0</v>
      </c>
      <c r="P121" s="634">
        <v>0</v>
      </c>
      <c r="Q121" s="634">
        <v>0</v>
      </c>
      <c r="R121" s="647">
        <v>0</v>
      </c>
      <c r="S121" s="634">
        <v>0</v>
      </c>
      <c r="T121" s="634">
        <v>0</v>
      </c>
      <c r="U121" s="647">
        <v>0</v>
      </c>
      <c r="V121" s="634">
        <v>0</v>
      </c>
      <c r="W121" s="634">
        <v>0</v>
      </c>
      <c r="X121" s="647">
        <v>0</v>
      </c>
      <c r="Y121" s="634">
        <v>0</v>
      </c>
      <c r="Z121" s="634">
        <v>0</v>
      </c>
    </row>
    <row r="122" spans="1:26" x14ac:dyDescent="0.3">
      <c r="A122" s="286">
        <v>118</v>
      </c>
      <c r="B122" s="291" t="s">
        <v>936</v>
      </c>
      <c r="C122" s="647">
        <v>3</v>
      </c>
      <c r="D122" s="634">
        <v>2</v>
      </c>
      <c r="E122" s="634">
        <v>5</v>
      </c>
      <c r="F122" s="647">
        <v>0</v>
      </c>
      <c r="G122" s="634">
        <v>0</v>
      </c>
      <c r="H122" s="634">
        <v>0</v>
      </c>
      <c r="I122" s="647">
        <v>0</v>
      </c>
      <c r="J122" s="634">
        <v>0</v>
      </c>
      <c r="K122" s="634">
        <v>0</v>
      </c>
      <c r="L122" s="647">
        <v>0</v>
      </c>
      <c r="M122" s="634">
        <v>0</v>
      </c>
      <c r="N122" s="634">
        <v>0</v>
      </c>
      <c r="O122" s="647">
        <v>0</v>
      </c>
      <c r="P122" s="634">
        <v>0</v>
      </c>
      <c r="Q122" s="634">
        <v>0</v>
      </c>
      <c r="R122" s="647">
        <v>0</v>
      </c>
      <c r="S122" s="634">
        <v>0</v>
      </c>
      <c r="T122" s="634">
        <v>0</v>
      </c>
      <c r="U122" s="647">
        <v>0</v>
      </c>
      <c r="V122" s="634">
        <v>0</v>
      </c>
      <c r="W122" s="634">
        <v>0</v>
      </c>
      <c r="X122" s="647">
        <v>0</v>
      </c>
      <c r="Y122" s="634">
        <v>0</v>
      </c>
      <c r="Z122" s="634">
        <v>0</v>
      </c>
    </row>
    <row r="123" spans="1:26" ht="26" x14ac:dyDescent="0.3">
      <c r="A123" s="286">
        <v>119</v>
      </c>
      <c r="B123" s="291" t="s">
        <v>196</v>
      </c>
      <c r="C123" s="647">
        <v>1127</v>
      </c>
      <c r="D123" s="634">
        <v>906</v>
      </c>
      <c r="E123" s="634">
        <v>2033</v>
      </c>
      <c r="F123" s="647">
        <v>185</v>
      </c>
      <c r="G123" s="634">
        <v>172</v>
      </c>
      <c r="H123" s="634">
        <v>357</v>
      </c>
      <c r="I123" s="647">
        <v>108</v>
      </c>
      <c r="J123" s="634">
        <v>83</v>
      </c>
      <c r="K123" s="634">
        <v>191</v>
      </c>
      <c r="L123" s="647">
        <v>513</v>
      </c>
      <c r="M123" s="634">
        <v>387</v>
      </c>
      <c r="N123" s="634">
        <v>900</v>
      </c>
      <c r="O123" s="647">
        <v>8</v>
      </c>
      <c r="P123" s="634">
        <v>4</v>
      </c>
      <c r="Q123" s="634">
        <v>12</v>
      </c>
      <c r="R123" s="647">
        <v>115</v>
      </c>
      <c r="S123" s="634">
        <v>103</v>
      </c>
      <c r="T123" s="634">
        <v>218</v>
      </c>
      <c r="U123" s="647">
        <v>77</v>
      </c>
      <c r="V123" s="634">
        <v>59</v>
      </c>
      <c r="W123" s="634">
        <v>136</v>
      </c>
      <c r="X123" s="647">
        <v>30</v>
      </c>
      <c r="Y123" s="634">
        <v>21</v>
      </c>
      <c r="Z123" s="634">
        <v>51</v>
      </c>
    </row>
    <row r="124" spans="1:26" ht="22.5" customHeight="1" x14ac:dyDescent="0.3">
      <c r="A124" s="286">
        <v>120</v>
      </c>
      <c r="B124" s="291" t="s">
        <v>197</v>
      </c>
      <c r="C124" s="647">
        <v>153328</v>
      </c>
      <c r="D124" s="634">
        <v>66985</v>
      </c>
      <c r="E124" s="634">
        <v>220313</v>
      </c>
      <c r="F124" s="647">
        <v>16625</v>
      </c>
      <c r="G124" s="634">
        <v>7511</v>
      </c>
      <c r="H124" s="634">
        <v>24136</v>
      </c>
      <c r="I124" s="647">
        <v>4193</v>
      </c>
      <c r="J124" s="634">
        <v>2424</v>
      </c>
      <c r="K124" s="634">
        <v>6617</v>
      </c>
      <c r="L124" s="647">
        <v>62607</v>
      </c>
      <c r="M124" s="634">
        <v>27764</v>
      </c>
      <c r="N124" s="634">
        <v>90371</v>
      </c>
      <c r="O124" s="647">
        <v>196</v>
      </c>
      <c r="P124" s="634">
        <v>86</v>
      </c>
      <c r="Q124" s="634">
        <v>282</v>
      </c>
      <c r="R124" s="647">
        <v>13280</v>
      </c>
      <c r="S124" s="634">
        <v>4537</v>
      </c>
      <c r="T124" s="634">
        <v>17817</v>
      </c>
      <c r="U124" s="647">
        <v>2307</v>
      </c>
      <c r="V124" s="634">
        <v>1602</v>
      </c>
      <c r="W124" s="634">
        <v>3909</v>
      </c>
      <c r="X124" s="647">
        <v>4827</v>
      </c>
      <c r="Y124" s="634">
        <v>2265</v>
      </c>
      <c r="Z124" s="634">
        <v>7092</v>
      </c>
    </row>
    <row r="125" spans="1:26" x14ac:dyDescent="0.3">
      <c r="A125" s="286">
        <v>121</v>
      </c>
      <c r="B125" s="291" t="s">
        <v>198</v>
      </c>
      <c r="C125" s="647">
        <v>802</v>
      </c>
      <c r="D125" s="634">
        <v>724</v>
      </c>
      <c r="E125" s="634">
        <v>1526</v>
      </c>
      <c r="F125" s="647">
        <v>112</v>
      </c>
      <c r="G125" s="634">
        <v>68</v>
      </c>
      <c r="H125" s="634">
        <v>180</v>
      </c>
      <c r="I125" s="647">
        <v>17</v>
      </c>
      <c r="J125" s="634">
        <v>11</v>
      </c>
      <c r="K125" s="634">
        <v>28</v>
      </c>
      <c r="L125" s="647">
        <v>259</v>
      </c>
      <c r="M125" s="634">
        <v>148</v>
      </c>
      <c r="N125" s="634">
        <v>407</v>
      </c>
      <c r="O125" s="647">
        <v>13</v>
      </c>
      <c r="P125" s="634">
        <v>4</v>
      </c>
      <c r="Q125" s="634">
        <v>17</v>
      </c>
      <c r="R125" s="647">
        <v>14</v>
      </c>
      <c r="S125" s="634">
        <v>26</v>
      </c>
      <c r="T125" s="634">
        <v>40</v>
      </c>
      <c r="U125" s="647">
        <v>2</v>
      </c>
      <c r="V125" s="634">
        <v>2</v>
      </c>
      <c r="W125" s="634">
        <v>4</v>
      </c>
      <c r="X125" s="647">
        <v>43</v>
      </c>
      <c r="Y125" s="634">
        <v>28</v>
      </c>
      <c r="Z125" s="634">
        <v>71</v>
      </c>
    </row>
    <row r="126" spans="1:26" x14ac:dyDescent="0.3">
      <c r="A126" s="286">
        <v>122</v>
      </c>
      <c r="B126" s="291" t="s">
        <v>199</v>
      </c>
      <c r="C126" s="647">
        <v>439</v>
      </c>
      <c r="D126" s="634">
        <v>426</v>
      </c>
      <c r="E126" s="634">
        <v>865</v>
      </c>
      <c r="F126" s="647">
        <v>17</v>
      </c>
      <c r="G126" s="634">
        <v>10</v>
      </c>
      <c r="H126" s="634">
        <v>27</v>
      </c>
      <c r="I126" s="647">
        <v>2</v>
      </c>
      <c r="J126" s="634">
        <v>0</v>
      </c>
      <c r="K126" s="634">
        <v>2</v>
      </c>
      <c r="L126" s="647">
        <v>40</v>
      </c>
      <c r="M126" s="634">
        <v>32</v>
      </c>
      <c r="N126" s="634">
        <v>72</v>
      </c>
      <c r="O126" s="647">
        <v>1</v>
      </c>
      <c r="P126" s="634">
        <v>0</v>
      </c>
      <c r="Q126" s="634">
        <v>1</v>
      </c>
      <c r="R126" s="647">
        <v>27</v>
      </c>
      <c r="S126" s="634">
        <v>30</v>
      </c>
      <c r="T126" s="634">
        <v>57</v>
      </c>
      <c r="U126" s="647">
        <v>0</v>
      </c>
      <c r="V126" s="634">
        <v>5</v>
      </c>
      <c r="W126" s="634">
        <v>5</v>
      </c>
      <c r="X126" s="647">
        <v>1</v>
      </c>
      <c r="Y126" s="634">
        <v>5</v>
      </c>
      <c r="Z126" s="634">
        <v>6</v>
      </c>
    </row>
    <row r="127" spans="1:26" ht="26" x14ac:dyDescent="0.3">
      <c r="A127" s="286">
        <v>123</v>
      </c>
      <c r="B127" s="291" t="s">
        <v>851</v>
      </c>
      <c r="C127" s="647">
        <v>3228</v>
      </c>
      <c r="D127" s="634">
        <v>2784</v>
      </c>
      <c r="E127" s="634">
        <v>6012</v>
      </c>
      <c r="F127" s="647">
        <v>717</v>
      </c>
      <c r="G127" s="634">
        <v>664</v>
      </c>
      <c r="H127" s="634">
        <v>1381</v>
      </c>
      <c r="I127" s="647">
        <v>660</v>
      </c>
      <c r="J127" s="634">
        <v>618</v>
      </c>
      <c r="K127" s="634">
        <v>1278</v>
      </c>
      <c r="L127" s="647">
        <v>841</v>
      </c>
      <c r="M127" s="634">
        <v>771</v>
      </c>
      <c r="N127" s="634">
        <v>1612</v>
      </c>
      <c r="O127" s="647">
        <v>0</v>
      </c>
      <c r="P127" s="634">
        <v>3</v>
      </c>
      <c r="Q127" s="634">
        <v>3</v>
      </c>
      <c r="R127" s="647">
        <v>67</v>
      </c>
      <c r="S127" s="634">
        <v>32</v>
      </c>
      <c r="T127" s="634">
        <v>99</v>
      </c>
      <c r="U127" s="647">
        <v>6</v>
      </c>
      <c r="V127" s="634">
        <v>72</v>
      </c>
      <c r="W127" s="634">
        <v>78</v>
      </c>
      <c r="X127" s="647">
        <v>38</v>
      </c>
      <c r="Y127" s="634">
        <v>28</v>
      </c>
      <c r="Z127" s="634">
        <v>66</v>
      </c>
    </row>
    <row r="128" spans="1:26" x14ac:dyDescent="0.3">
      <c r="A128" s="286">
        <v>124</v>
      </c>
      <c r="B128" s="291" t="s">
        <v>852</v>
      </c>
      <c r="C128" s="647">
        <v>1540</v>
      </c>
      <c r="D128" s="634">
        <v>960</v>
      </c>
      <c r="E128" s="634">
        <v>2500</v>
      </c>
      <c r="F128" s="647">
        <v>240</v>
      </c>
      <c r="G128" s="634">
        <v>154</v>
      </c>
      <c r="H128" s="634">
        <v>394</v>
      </c>
      <c r="I128" s="647">
        <v>138</v>
      </c>
      <c r="J128" s="634">
        <v>95</v>
      </c>
      <c r="K128" s="634">
        <v>233</v>
      </c>
      <c r="L128" s="647">
        <v>549</v>
      </c>
      <c r="M128" s="634">
        <v>425</v>
      </c>
      <c r="N128" s="634">
        <v>974</v>
      </c>
      <c r="O128" s="647">
        <v>16</v>
      </c>
      <c r="P128" s="634">
        <v>8</v>
      </c>
      <c r="Q128" s="634">
        <v>24</v>
      </c>
      <c r="R128" s="647">
        <v>95</v>
      </c>
      <c r="S128" s="634">
        <v>129</v>
      </c>
      <c r="T128" s="634">
        <v>224</v>
      </c>
      <c r="U128" s="647">
        <v>58</v>
      </c>
      <c r="V128" s="634">
        <v>16</v>
      </c>
      <c r="W128" s="634">
        <v>74</v>
      </c>
      <c r="X128" s="647">
        <v>33</v>
      </c>
      <c r="Y128" s="634">
        <v>27</v>
      </c>
      <c r="Z128" s="634">
        <v>60</v>
      </c>
    </row>
    <row r="129" spans="1:26" x14ac:dyDescent="0.3">
      <c r="A129" s="286">
        <v>125</v>
      </c>
      <c r="B129" s="291" t="s">
        <v>937</v>
      </c>
      <c r="C129" s="647">
        <v>2</v>
      </c>
      <c r="D129" s="634">
        <v>0</v>
      </c>
      <c r="E129" s="634">
        <v>2</v>
      </c>
      <c r="F129" s="647">
        <v>1</v>
      </c>
      <c r="G129" s="634">
        <v>0</v>
      </c>
      <c r="H129" s="634">
        <v>1</v>
      </c>
      <c r="I129" s="647">
        <v>0</v>
      </c>
      <c r="J129" s="634">
        <v>0</v>
      </c>
      <c r="K129" s="634">
        <v>0</v>
      </c>
      <c r="L129" s="647">
        <v>0</v>
      </c>
      <c r="M129" s="634">
        <v>0</v>
      </c>
      <c r="N129" s="634">
        <v>0</v>
      </c>
      <c r="O129" s="647">
        <v>0</v>
      </c>
      <c r="P129" s="634">
        <v>0</v>
      </c>
      <c r="Q129" s="634">
        <v>0</v>
      </c>
      <c r="R129" s="647">
        <v>0</v>
      </c>
      <c r="S129" s="634">
        <v>0</v>
      </c>
      <c r="T129" s="634">
        <v>0</v>
      </c>
      <c r="U129" s="647">
        <v>0</v>
      </c>
      <c r="V129" s="634">
        <v>0</v>
      </c>
      <c r="W129" s="634">
        <v>0</v>
      </c>
      <c r="X129" s="647">
        <v>0</v>
      </c>
      <c r="Y129" s="634">
        <v>0</v>
      </c>
      <c r="Z129" s="634">
        <v>0</v>
      </c>
    </row>
    <row r="130" spans="1:26" x14ac:dyDescent="0.3">
      <c r="A130" s="286">
        <v>126</v>
      </c>
      <c r="B130" s="291" t="s">
        <v>200</v>
      </c>
      <c r="C130" s="647">
        <v>1503996</v>
      </c>
      <c r="D130" s="634">
        <v>474718</v>
      </c>
      <c r="E130" s="634">
        <v>1978714</v>
      </c>
      <c r="F130" s="647">
        <v>270928</v>
      </c>
      <c r="G130" s="634">
        <v>87763</v>
      </c>
      <c r="H130" s="634">
        <v>358691</v>
      </c>
      <c r="I130" s="647">
        <v>91723</v>
      </c>
      <c r="J130" s="634">
        <v>41037</v>
      </c>
      <c r="K130" s="634">
        <v>132760</v>
      </c>
      <c r="L130" s="647">
        <v>585231</v>
      </c>
      <c r="M130" s="634">
        <v>170299</v>
      </c>
      <c r="N130" s="634">
        <v>755530</v>
      </c>
      <c r="O130" s="647">
        <v>3080</v>
      </c>
      <c r="P130" s="634">
        <v>1405</v>
      </c>
      <c r="Q130" s="634">
        <v>4485</v>
      </c>
      <c r="R130" s="647">
        <v>70561</v>
      </c>
      <c r="S130" s="634">
        <v>17797</v>
      </c>
      <c r="T130" s="634">
        <v>88358</v>
      </c>
      <c r="U130" s="647">
        <v>27247</v>
      </c>
      <c r="V130" s="634">
        <v>11203</v>
      </c>
      <c r="W130" s="634">
        <v>38450</v>
      </c>
      <c r="X130" s="647">
        <v>32744</v>
      </c>
      <c r="Y130" s="634">
        <v>11554</v>
      </c>
      <c r="Z130" s="634">
        <v>44298</v>
      </c>
    </row>
    <row r="131" spans="1:26" x14ac:dyDescent="0.3">
      <c r="A131" s="286">
        <v>127</v>
      </c>
      <c r="B131" s="291" t="s">
        <v>853</v>
      </c>
      <c r="C131" s="647">
        <v>2501</v>
      </c>
      <c r="D131" s="634">
        <v>843</v>
      </c>
      <c r="E131" s="634">
        <v>3344</v>
      </c>
      <c r="F131" s="647">
        <v>77</v>
      </c>
      <c r="G131" s="634">
        <v>16</v>
      </c>
      <c r="H131" s="634">
        <v>93</v>
      </c>
      <c r="I131" s="647">
        <v>7</v>
      </c>
      <c r="J131" s="634">
        <v>2</v>
      </c>
      <c r="K131" s="634">
        <v>9</v>
      </c>
      <c r="L131" s="647">
        <v>175</v>
      </c>
      <c r="M131" s="634">
        <v>62</v>
      </c>
      <c r="N131" s="634">
        <v>237</v>
      </c>
      <c r="O131" s="647">
        <v>3</v>
      </c>
      <c r="P131" s="634">
        <v>0</v>
      </c>
      <c r="Q131" s="634">
        <v>3</v>
      </c>
      <c r="R131" s="647">
        <v>17</v>
      </c>
      <c r="S131" s="634">
        <v>1</v>
      </c>
      <c r="T131" s="634">
        <v>18</v>
      </c>
      <c r="U131" s="647">
        <v>23</v>
      </c>
      <c r="V131" s="634">
        <v>6</v>
      </c>
      <c r="W131" s="634">
        <v>29</v>
      </c>
      <c r="X131" s="647">
        <v>13</v>
      </c>
      <c r="Y131" s="634">
        <v>1</v>
      </c>
      <c r="Z131" s="634">
        <v>14</v>
      </c>
    </row>
    <row r="132" spans="1:26" x14ac:dyDescent="0.3">
      <c r="A132" s="286">
        <v>128</v>
      </c>
      <c r="B132" s="291" t="s">
        <v>854</v>
      </c>
      <c r="C132" s="647">
        <v>165</v>
      </c>
      <c r="D132" s="634">
        <v>35</v>
      </c>
      <c r="E132" s="634">
        <v>200</v>
      </c>
      <c r="F132" s="647">
        <v>3</v>
      </c>
      <c r="G132" s="634">
        <v>1</v>
      </c>
      <c r="H132" s="634">
        <v>4</v>
      </c>
      <c r="I132" s="647">
        <v>0</v>
      </c>
      <c r="J132" s="634">
        <v>0</v>
      </c>
      <c r="K132" s="634">
        <v>0</v>
      </c>
      <c r="L132" s="647">
        <v>16</v>
      </c>
      <c r="M132" s="634">
        <v>3</v>
      </c>
      <c r="N132" s="634">
        <v>19</v>
      </c>
      <c r="O132" s="647">
        <v>0</v>
      </c>
      <c r="P132" s="634">
        <v>0</v>
      </c>
      <c r="Q132" s="634">
        <v>0</v>
      </c>
      <c r="R132" s="647">
        <v>0</v>
      </c>
      <c r="S132" s="634">
        <v>2</v>
      </c>
      <c r="T132" s="634">
        <v>2</v>
      </c>
      <c r="U132" s="647">
        <v>1</v>
      </c>
      <c r="V132" s="634">
        <v>0</v>
      </c>
      <c r="W132" s="634">
        <v>1</v>
      </c>
      <c r="X132" s="647">
        <v>2</v>
      </c>
      <c r="Y132" s="634">
        <v>0</v>
      </c>
      <c r="Z132" s="634">
        <v>2</v>
      </c>
    </row>
    <row r="133" spans="1:26" x14ac:dyDescent="0.3">
      <c r="A133" s="286">
        <v>129</v>
      </c>
      <c r="B133" s="291" t="s">
        <v>855</v>
      </c>
      <c r="C133" s="647">
        <v>25</v>
      </c>
      <c r="D133" s="634">
        <v>175</v>
      </c>
      <c r="E133" s="634">
        <v>200</v>
      </c>
      <c r="F133" s="647">
        <v>1</v>
      </c>
      <c r="G133" s="634">
        <v>13</v>
      </c>
      <c r="H133" s="634">
        <v>14</v>
      </c>
      <c r="I133" s="647">
        <v>0</v>
      </c>
      <c r="J133" s="634">
        <v>1</v>
      </c>
      <c r="K133" s="634">
        <v>1</v>
      </c>
      <c r="L133" s="647">
        <v>1</v>
      </c>
      <c r="M133" s="634">
        <v>19</v>
      </c>
      <c r="N133" s="634">
        <v>20</v>
      </c>
      <c r="O133" s="647">
        <v>0</v>
      </c>
      <c r="P133" s="634">
        <v>0</v>
      </c>
      <c r="Q133" s="634">
        <v>0</v>
      </c>
      <c r="R133" s="647">
        <v>0</v>
      </c>
      <c r="S133" s="634">
        <v>1</v>
      </c>
      <c r="T133" s="634">
        <v>1</v>
      </c>
      <c r="U133" s="647">
        <v>1</v>
      </c>
      <c r="V133" s="634">
        <v>9</v>
      </c>
      <c r="W133" s="634">
        <v>10</v>
      </c>
      <c r="X133" s="647">
        <v>0</v>
      </c>
      <c r="Y133" s="634">
        <v>4</v>
      </c>
      <c r="Z133" s="634">
        <v>4</v>
      </c>
    </row>
    <row r="134" spans="1:26" x14ac:dyDescent="0.3">
      <c r="A134" s="286">
        <v>130</v>
      </c>
      <c r="B134" s="291" t="s">
        <v>201</v>
      </c>
      <c r="C134" s="647">
        <v>1</v>
      </c>
      <c r="D134" s="634">
        <v>13</v>
      </c>
      <c r="E134" s="634">
        <v>14</v>
      </c>
      <c r="F134" s="647">
        <v>0</v>
      </c>
      <c r="G134" s="634">
        <v>2</v>
      </c>
      <c r="H134" s="634">
        <v>2</v>
      </c>
      <c r="I134" s="647">
        <v>0</v>
      </c>
      <c r="J134" s="634">
        <v>0</v>
      </c>
      <c r="K134" s="634">
        <v>0</v>
      </c>
      <c r="L134" s="647">
        <v>0</v>
      </c>
      <c r="M134" s="634">
        <v>2</v>
      </c>
      <c r="N134" s="634">
        <v>2</v>
      </c>
      <c r="O134" s="647">
        <v>0</v>
      </c>
      <c r="P134" s="634">
        <v>0</v>
      </c>
      <c r="Q134" s="634">
        <v>0</v>
      </c>
      <c r="R134" s="647">
        <v>0</v>
      </c>
      <c r="S134" s="634">
        <v>0</v>
      </c>
      <c r="T134" s="634">
        <v>0</v>
      </c>
      <c r="U134" s="647">
        <v>0</v>
      </c>
      <c r="V134" s="634">
        <v>0</v>
      </c>
      <c r="W134" s="634">
        <v>0</v>
      </c>
      <c r="X134" s="647">
        <v>0</v>
      </c>
      <c r="Y134" s="634">
        <v>0</v>
      </c>
      <c r="Z134" s="634">
        <v>0</v>
      </c>
    </row>
    <row r="135" spans="1:26" x14ac:dyDescent="0.3">
      <c r="A135" s="286">
        <v>131</v>
      </c>
      <c r="B135" s="291" t="s">
        <v>202</v>
      </c>
      <c r="C135" s="647">
        <v>91274</v>
      </c>
      <c r="D135" s="634">
        <v>325460</v>
      </c>
      <c r="E135" s="634">
        <v>416734</v>
      </c>
      <c r="F135" s="647">
        <v>18344</v>
      </c>
      <c r="G135" s="634">
        <v>79790</v>
      </c>
      <c r="H135" s="634">
        <v>98134</v>
      </c>
      <c r="I135" s="647">
        <v>9307</v>
      </c>
      <c r="J135" s="634">
        <v>46194</v>
      </c>
      <c r="K135" s="634">
        <v>55501</v>
      </c>
      <c r="L135" s="647">
        <v>24135</v>
      </c>
      <c r="M135" s="634">
        <v>89208</v>
      </c>
      <c r="N135" s="634">
        <v>113343</v>
      </c>
      <c r="O135" s="647">
        <v>269</v>
      </c>
      <c r="P135" s="634">
        <v>589</v>
      </c>
      <c r="Q135" s="634">
        <v>858</v>
      </c>
      <c r="R135" s="647">
        <v>3514</v>
      </c>
      <c r="S135" s="634">
        <v>7903</v>
      </c>
      <c r="T135" s="634">
        <v>11417</v>
      </c>
      <c r="U135" s="647">
        <v>2537</v>
      </c>
      <c r="V135" s="634">
        <v>12410</v>
      </c>
      <c r="W135" s="634">
        <v>14947</v>
      </c>
      <c r="X135" s="647">
        <v>1585</v>
      </c>
      <c r="Y135" s="634">
        <v>4315</v>
      </c>
      <c r="Z135" s="634">
        <v>5900</v>
      </c>
    </row>
    <row r="136" spans="1:26" x14ac:dyDescent="0.3">
      <c r="A136" s="286">
        <v>132</v>
      </c>
      <c r="B136" s="291" t="s">
        <v>856</v>
      </c>
      <c r="C136" s="647">
        <v>1959</v>
      </c>
      <c r="D136" s="634">
        <v>1195</v>
      </c>
      <c r="E136" s="634">
        <v>3154</v>
      </c>
      <c r="F136" s="647">
        <v>230</v>
      </c>
      <c r="G136" s="634">
        <v>45</v>
      </c>
      <c r="H136" s="634">
        <v>275</v>
      </c>
      <c r="I136" s="647">
        <v>25</v>
      </c>
      <c r="J136" s="634">
        <v>1</v>
      </c>
      <c r="K136" s="634">
        <v>26</v>
      </c>
      <c r="L136" s="647">
        <v>1099</v>
      </c>
      <c r="M136" s="634">
        <v>920</v>
      </c>
      <c r="N136" s="634">
        <v>2019</v>
      </c>
      <c r="O136" s="647">
        <v>14</v>
      </c>
      <c r="P136" s="634">
        <v>3</v>
      </c>
      <c r="Q136" s="634">
        <v>17</v>
      </c>
      <c r="R136" s="647">
        <v>58</v>
      </c>
      <c r="S136" s="634">
        <v>22</v>
      </c>
      <c r="T136" s="634">
        <v>80</v>
      </c>
      <c r="U136" s="647">
        <v>2</v>
      </c>
      <c r="V136" s="634">
        <v>0</v>
      </c>
      <c r="W136" s="634">
        <v>2</v>
      </c>
      <c r="X136" s="647">
        <v>0</v>
      </c>
      <c r="Y136" s="634">
        <v>0</v>
      </c>
      <c r="Z136" s="634">
        <v>0</v>
      </c>
    </row>
    <row r="137" spans="1:26" ht="26" x14ac:dyDescent="0.3">
      <c r="A137" s="286">
        <v>133</v>
      </c>
      <c r="B137" s="291" t="s">
        <v>938</v>
      </c>
      <c r="C137" s="647">
        <v>12</v>
      </c>
      <c r="D137" s="634">
        <v>9</v>
      </c>
      <c r="E137" s="634">
        <v>21</v>
      </c>
      <c r="F137" s="647">
        <v>0</v>
      </c>
      <c r="G137" s="634">
        <v>0</v>
      </c>
      <c r="H137" s="634">
        <v>0</v>
      </c>
      <c r="I137" s="647">
        <v>0</v>
      </c>
      <c r="J137" s="634">
        <v>0</v>
      </c>
      <c r="K137" s="634">
        <v>0</v>
      </c>
      <c r="L137" s="647">
        <v>0</v>
      </c>
      <c r="M137" s="634">
        <v>0</v>
      </c>
      <c r="N137" s="634">
        <v>0</v>
      </c>
      <c r="O137" s="647">
        <v>0</v>
      </c>
      <c r="P137" s="634">
        <v>0</v>
      </c>
      <c r="Q137" s="634">
        <v>0</v>
      </c>
      <c r="R137" s="647">
        <v>0</v>
      </c>
      <c r="S137" s="634">
        <v>0</v>
      </c>
      <c r="T137" s="634">
        <v>0</v>
      </c>
      <c r="U137" s="647">
        <v>0</v>
      </c>
      <c r="V137" s="634">
        <v>0</v>
      </c>
      <c r="W137" s="634">
        <v>0</v>
      </c>
      <c r="X137" s="647">
        <v>0</v>
      </c>
      <c r="Y137" s="634">
        <v>0</v>
      </c>
      <c r="Z137" s="634">
        <v>0</v>
      </c>
    </row>
    <row r="138" spans="1:26" ht="26" x14ac:dyDescent="0.3">
      <c r="A138" s="286">
        <v>134</v>
      </c>
      <c r="B138" s="291" t="s">
        <v>203</v>
      </c>
      <c r="C138" s="647">
        <v>3373</v>
      </c>
      <c r="D138" s="634">
        <v>4756</v>
      </c>
      <c r="E138" s="634">
        <v>8129</v>
      </c>
      <c r="F138" s="647">
        <v>507</v>
      </c>
      <c r="G138" s="634">
        <v>650</v>
      </c>
      <c r="H138" s="634">
        <v>1157</v>
      </c>
      <c r="I138" s="647">
        <v>288</v>
      </c>
      <c r="J138" s="634">
        <v>269</v>
      </c>
      <c r="K138" s="634">
        <v>557</v>
      </c>
      <c r="L138" s="647">
        <v>987</v>
      </c>
      <c r="M138" s="634">
        <v>1222</v>
      </c>
      <c r="N138" s="634">
        <v>2209</v>
      </c>
      <c r="O138" s="647">
        <v>35</v>
      </c>
      <c r="P138" s="634">
        <v>18</v>
      </c>
      <c r="Q138" s="634">
        <v>53</v>
      </c>
      <c r="R138" s="647">
        <v>462</v>
      </c>
      <c r="S138" s="634">
        <v>577</v>
      </c>
      <c r="T138" s="634">
        <v>1039</v>
      </c>
      <c r="U138" s="647">
        <v>210</v>
      </c>
      <c r="V138" s="634">
        <v>378</v>
      </c>
      <c r="W138" s="634">
        <v>588</v>
      </c>
      <c r="X138" s="647">
        <v>92</v>
      </c>
      <c r="Y138" s="634">
        <v>110</v>
      </c>
      <c r="Z138" s="634">
        <v>202</v>
      </c>
    </row>
    <row r="139" spans="1:26" ht="26" x14ac:dyDescent="0.3">
      <c r="A139" s="286">
        <v>135</v>
      </c>
      <c r="B139" s="291" t="s">
        <v>204</v>
      </c>
      <c r="C139" s="647">
        <v>17090</v>
      </c>
      <c r="D139" s="634">
        <v>11729</v>
      </c>
      <c r="E139" s="634">
        <v>28819</v>
      </c>
      <c r="F139" s="647">
        <v>1372</v>
      </c>
      <c r="G139" s="634">
        <v>959</v>
      </c>
      <c r="H139" s="634">
        <v>2331</v>
      </c>
      <c r="I139" s="647">
        <v>520</v>
      </c>
      <c r="J139" s="634">
        <v>367</v>
      </c>
      <c r="K139" s="634">
        <v>887</v>
      </c>
      <c r="L139" s="647">
        <v>3501</v>
      </c>
      <c r="M139" s="634">
        <v>2173</v>
      </c>
      <c r="N139" s="634">
        <v>5674</v>
      </c>
      <c r="O139" s="647">
        <v>44</v>
      </c>
      <c r="P139" s="634">
        <v>11</v>
      </c>
      <c r="Q139" s="634">
        <v>55</v>
      </c>
      <c r="R139" s="647">
        <v>436</v>
      </c>
      <c r="S139" s="634">
        <v>202</v>
      </c>
      <c r="T139" s="634">
        <v>638</v>
      </c>
      <c r="U139" s="647">
        <v>342</v>
      </c>
      <c r="V139" s="634">
        <v>286</v>
      </c>
      <c r="W139" s="634">
        <v>628</v>
      </c>
      <c r="X139" s="647">
        <v>382</v>
      </c>
      <c r="Y139" s="634">
        <v>303</v>
      </c>
      <c r="Z139" s="634">
        <v>685</v>
      </c>
    </row>
    <row r="140" spans="1:26" ht="26" x14ac:dyDescent="0.3">
      <c r="A140" s="286">
        <v>136</v>
      </c>
      <c r="B140" s="291" t="s">
        <v>857</v>
      </c>
      <c r="C140" s="647">
        <v>5321</v>
      </c>
      <c r="D140" s="634">
        <v>2558</v>
      </c>
      <c r="E140" s="634">
        <v>7879</v>
      </c>
      <c r="F140" s="647">
        <v>642</v>
      </c>
      <c r="G140" s="634">
        <v>335</v>
      </c>
      <c r="H140" s="634">
        <v>977</v>
      </c>
      <c r="I140" s="647">
        <v>166</v>
      </c>
      <c r="J140" s="634">
        <v>62</v>
      </c>
      <c r="K140" s="634">
        <v>228</v>
      </c>
      <c r="L140" s="647">
        <v>1726</v>
      </c>
      <c r="M140" s="634">
        <v>818</v>
      </c>
      <c r="N140" s="634">
        <v>2544</v>
      </c>
      <c r="O140" s="647">
        <v>8</v>
      </c>
      <c r="P140" s="634">
        <v>6</v>
      </c>
      <c r="Q140" s="634">
        <v>14</v>
      </c>
      <c r="R140" s="647">
        <v>252</v>
      </c>
      <c r="S140" s="634">
        <v>89</v>
      </c>
      <c r="T140" s="634">
        <v>341</v>
      </c>
      <c r="U140" s="647">
        <v>489</v>
      </c>
      <c r="V140" s="634">
        <v>293</v>
      </c>
      <c r="W140" s="634">
        <v>782</v>
      </c>
      <c r="X140" s="647">
        <v>50</v>
      </c>
      <c r="Y140" s="634">
        <v>12</v>
      </c>
      <c r="Z140" s="634">
        <v>62</v>
      </c>
    </row>
    <row r="141" spans="1:26" ht="26" x14ac:dyDescent="0.3">
      <c r="A141" s="286">
        <v>137</v>
      </c>
      <c r="B141" s="291" t="s">
        <v>858</v>
      </c>
      <c r="C141" s="647">
        <v>275</v>
      </c>
      <c r="D141" s="634">
        <v>521</v>
      </c>
      <c r="E141" s="634">
        <v>796</v>
      </c>
      <c r="F141" s="647">
        <v>17</v>
      </c>
      <c r="G141" s="634">
        <v>93</v>
      </c>
      <c r="H141" s="634">
        <v>110</v>
      </c>
      <c r="I141" s="647">
        <v>5</v>
      </c>
      <c r="J141" s="634">
        <v>5</v>
      </c>
      <c r="K141" s="634">
        <v>10</v>
      </c>
      <c r="L141" s="647">
        <v>63</v>
      </c>
      <c r="M141" s="634">
        <v>162</v>
      </c>
      <c r="N141" s="634">
        <v>225</v>
      </c>
      <c r="O141" s="647">
        <v>0</v>
      </c>
      <c r="P141" s="634">
        <v>0</v>
      </c>
      <c r="Q141" s="634">
        <v>0</v>
      </c>
      <c r="R141" s="647">
        <v>79</v>
      </c>
      <c r="S141" s="634">
        <v>61</v>
      </c>
      <c r="T141" s="634">
        <v>140</v>
      </c>
      <c r="U141" s="647">
        <v>10</v>
      </c>
      <c r="V141" s="634">
        <v>36</v>
      </c>
      <c r="W141" s="634">
        <v>46</v>
      </c>
      <c r="X141" s="647">
        <v>4</v>
      </c>
      <c r="Y141" s="634">
        <v>2</v>
      </c>
      <c r="Z141" s="634">
        <v>6</v>
      </c>
    </row>
    <row r="142" spans="1:26" ht="26" x14ac:dyDescent="0.3">
      <c r="A142" s="286">
        <v>138</v>
      </c>
      <c r="B142" s="291" t="s">
        <v>205</v>
      </c>
      <c r="C142" s="647">
        <v>18669</v>
      </c>
      <c r="D142" s="634">
        <v>15625</v>
      </c>
      <c r="E142" s="634">
        <v>34294</v>
      </c>
      <c r="F142" s="647">
        <v>1619</v>
      </c>
      <c r="G142" s="634">
        <v>1507</v>
      </c>
      <c r="H142" s="634">
        <v>3126</v>
      </c>
      <c r="I142" s="647">
        <v>593</v>
      </c>
      <c r="J142" s="634">
        <v>423</v>
      </c>
      <c r="K142" s="634">
        <v>1016</v>
      </c>
      <c r="L142" s="647">
        <v>4131</v>
      </c>
      <c r="M142" s="634">
        <v>4349</v>
      </c>
      <c r="N142" s="634">
        <v>8480</v>
      </c>
      <c r="O142" s="647">
        <v>48</v>
      </c>
      <c r="P142" s="634">
        <v>24</v>
      </c>
      <c r="Q142" s="634">
        <v>72</v>
      </c>
      <c r="R142" s="647">
        <v>743</v>
      </c>
      <c r="S142" s="634">
        <v>1045</v>
      </c>
      <c r="T142" s="634">
        <v>1788</v>
      </c>
      <c r="U142" s="647">
        <v>489</v>
      </c>
      <c r="V142" s="634">
        <v>912</v>
      </c>
      <c r="W142" s="634">
        <v>1401</v>
      </c>
      <c r="X142" s="647">
        <v>601</v>
      </c>
      <c r="Y142" s="634">
        <v>416</v>
      </c>
      <c r="Z142" s="634">
        <v>1017</v>
      </c>
    </row>
    <row r="143" spans="1:26" ht="26" x14ac:dyDescent="0.3">
      <c r="A143" s="286">
        <v>139</v>
      </c>
      <c r="B143" s="291" t="s">
        <v>206</v>
      </c>
      <c r="C143" s="647">
        <v>969</v>
      </c>
      <c r="D143" s="634">
        <v>803</v>
      </c>
      <c r="E143" s="634">
        <v>1772</v>
      </c>
      <c r="F143" s="647">
        <v>78</v>
      </c>
      <c r="G143" s="634">
        <v>52</v>
      </c>
      <c r="H143" s="634">
        <v>130</v>
      </c>
      <c r="I143" s="647">
        <v>32</v>
      </c>
      <c r="J143" s="634">
        <v>16</v>
      </c>
      <c r="K143" s="634">
        <v>48</v>
      </c>
      <c r="L143" s="647">
        <v>197</v>
      </c>
      <c r="M143" s="634">
        <v>177</v>
      </c>
      <c r="N143" s="634">
        <v>374</v>
      </c>
      <c r="O143" s="647">
        <v>1</v>
      </c>
      <c r="P143" s="634">
        <v>0</v>
      </c>
      <c r="Q143" s="634">
        <v>1</v>
      </c>
      <c r="R143" s="647">
        <v>10</v>
      </c>
      <c r="S143" s="634">
        <v>10</v>
      </c>
      <c r="T143" s="634">
        <v>20</v>
      </c>
      <c r="U143" s="647">
        <v>9</v>
      </c>
      <c r="V143" s="634">
        <v>14</v>
      </c>
      <c r="W143" s="634">
        <v>23</v>
      </c>
      <c r="X143" s="647">
        <v>26</v>
      </c>
      <c r="Y143" s="634">
        <v>4</v>
      </c>
      <c r="Z143" s="634">
        <v>30</v>
      </c>
    </row>
    <row r="144" spans="1:26" x14ac:dyDescent="0.3">
      <c r="A144" s="286">
        <v>140</v>
      </c>
      <c r="B144" s="291" t="s">
        <v>207</v>
      </c>
      <c r="C144" s="647">
        <v>325681</v>
      </c>
      <c r="D144" s="634">
        <v>158856</v>
      </c>
      <c r="E144" s="634">
        <v>484537</v>
      </c>
      <c r="F144" s="647">
        <v>47383</v>
      </c>
      <c r="G144" s="634">
        <v>21965</v>
      </c>
      <c r="H144" s="634">
        <v>69348</v>
      </c>
      <c r="I144" s="647">
        <v>12024</v>
      </c>
      <c r="J144" s="634">
        <v>6749</v>
      </c>
      <c r="K144" s="634">
        <v>18773</v>
      </c>
      <c r="L144" s="647">
        <v>105538</v>
      </c>
      <c r="M144" s="634">
        <v>46155</v>
      </c>
      <c r="N144" s="634">
        <v>151693</v>
      </c>
      <c r="O144" s="647">
        <v>1439</v>
      </c>
      <c r="P144" s="634">
        <v>565</v>
      </c>
      <c r="Q144" s="634">
        <v>2004</v>
      </c>
      <c r="R144" s="647">
        <v>15889</v>
      </c>
      <c r="S144" s="634">
        <v>8284</v>
      </c>
      <c r="T144" s="634">
        <v>24173</v>
      </c>
      <c r="U144" s="647">
        <v>5639</v>
      </c>
      <c r="V144" s="634">
        <v>5237</v>
      </c>
      <c r="W144" s="634">
        <v>10876</v>
      </c>
      <c r="X144" s="647">
        <v>7589</v>
      </c>
      <c r="Y144" s="634">
        <v>3424</v>
      </c>
      <c r="Z144" s="634">
        <v>11013</v>
      </c>
    </row>
    <row r="145" spans="1:26" x14ac:dyDescent="0.3">
      <c r="A145" s="286">
        <v>141</v>
      </c>
      <c r="B145" s="291" t="s">
        <v>859</v>
      </c>
      <c r="C145" s="647">
        <v>62</v>
      </c>
      <c r="D145" s="634">
        <v>86</v>
      </c>
      <c r="E145" s="634">
        <v>148</v>
      </c>
      <c r="F145" s="647">
        <v>11</v>
      </c>
      <c r="G145" s="634">
        <v>13</v>
      </c>
      <c r="H145" s="634">
        <v>24</v>
      </c>
      <c r="I145" s="647">
        <v>0</v>
      </c>
      <c r="J145" s="634">
        <v>1</v>
      </c>
      <c r="K145" s="634">
        <v>1</v>
      </c>
      <c r="L145" s="647">
        <v>15</v>
      </c>
      <c r="M145" s="634">
        <v>32</v>
      </c>
      <c r="N145" s="634">
        <v>47</v>
      </c>
      <c r="O145" s="647">
        <v>0</v>
      </c>
      <c r="P145" s="634">
        <v>0</v>
      </c>
      <c r="Q145" s="634">
        <v>0</v>
      </c>
      <c r="R145" s="647">
        <v>0</v>
      </c>
      <c r="S145" s="634">
        <v>0</v>
      </c>
      <c r="T145" s="634">
        <v>0</v>
      </c>
      <c r="U145" s="647">
        <v>0</v>
      </c>
      <c r="V145" s="634">
        <v>0</v>
      </c>
      <c r="W145" s="634">
        <v>0</v>
      </c>
      <c r="X145" s="647">
        <v>0</v>
      </c>
      <c r="Y145" s="634">
        <v>0</v>
      </c>
      <c r="Z145" s="634">
        <v>0</v>
      </c>
    </row>
    <row r="146" spans="1:26" x14ac:dyDescent="0.3">
      <c r="A146" s="286">
        <v>142</v>
      </c>
      <c r="B146" s="291" t="s">
        <v>208</v>
      </c>
      <c r="C146" s="647">
        <v>24280</v>
      </c>
      <c r="D146" s="634">
        <v>20289</v>
      </c>
      <c r="E146" s="634">
        <v>44569</v>
      </c>
      <c r="F146" s="647">
        <v>3482</v>
      </c>
      <c r="G146" s="634">
        <v>2505</v>
      </c>
      <c r="H146" s="634">
        <v>5987</v>
      </c>
      <c r="I146" s="647">
        <v>1039</v>
      </c>
      <c r="J146" s="634">
        <v>839</v>
      </c>
      <c r="K146" s="634">
        <v>1878</v>
      </c>
      <c r="L146" s="647">
        <v>6021</v>
      </c>
      <c r="M146" s="634">
        <v>4648</v>
      </c>
      <c r="N146" s="634">
        <v>10669</v>
      </c>
      <c r="O146" s="647">
        <v>125</v>
      </c>
      <c r="P146" s="634">
        <v>76</v>
      </c>
      <c r="Q146" s="634">
        <v>201</v>
      </c>
      <c r="R146" s="647">
        <v>779</v>
      </c>
      <c r="S146" s="634">
        <v>627</v>
      </c>
      <c r="T146" s="634">
        <v>1406</v>
      </c>
      <c r="U146" s="647">
        <v>459</v>
      </c>
      <c r="V146" s="634">
        <v>560</v>
      </c>
      <c r="W146" s="634">
        <v>1019</v>
      </c>
      <c r="X146" s="647">
        <v>724</v>
      </c>
      <c r="Y146" s="634">
        <v>476</v>
      </c>
      <c r="Z146" s="634">
        <v>1200</v>
      </c>
    </row>
    <row r="147" spans="1:26" ht="26" x14ac:dyDescent="0.3">
      <c r="A147" s="286">
        <v>143</v>
      </c>
      <c r="B147" s="291" t="s">
        <v>860</v>
      </c>
      <c r="C147" s="647">
        <v>315</v>
      </c>
      <c r="D147" s="634">
        <v>263</v>
      </c>
      <c r="E147" s="634">
        <v>578</v>
      </c>
      <c r="F147" s="647">
        <v>55</v>
      </c>
      <c r="G147" s="634">
        <v>33</v>
      </c>
      <c r="H147" s="634">
        <v>88</v>
      </c>
      <c r="I147" s="647">
        <v>45</v>
      </c>
      <c r="J147" s="634">
        <v>31</v>
      </c>
      <c r="K147" s="634">
        <v>76</v>
      </c>
      <c r="L147" s="647">
        <v>125</v>
      </c>
      <c r="M147" s="634">
        <v>65</v>
      </c>
      <c r="N147" s="634">
        <v>190</v>
      </c>
      <c r="O147" s="647">
        <v>1</v>
      </c>
      <c r="P147" s="634">
        <v>0</v>
      </c>
      <c r="Q147" s="634">
        <v>1</v>
      </c>
      <c r="R147" s="647">
        <v>25</v>
      </c>
      <c r="S147" s="634">
        <v>14</v>
      </c>
      <c r="T147" s="634">
        <v>39</v>
      </c>
      <c r="U147" s="647">
        <v>4</v>
      </c>
      <c r="V147" s="634">
        <v>15</v>
      </c>
      <c r="W147" s="634">
        <v>19</v>
      </c>
      <c r="X147" s="647">
        <v>10</v>
      </c>
      <c r="Y147" s="634">
        <v>8</v>
      </c>
      <c r="Z147" s="634">
        <v>18</v>
      </c>
    </row>
    <row r="148" spans="1:26" ht="26" x14ac:dyDescent="0.3">
      <c r="A148" s="286">
        <v>144</v>
      </c>
      <c r="B148" s="291" t="s">
        <v>209</v>
      </c>
      <c r="C148" s="647">
        <v>206</v>
      </c>
      <c r="D148" s="634">
        <v>632</v>
      </c>
      <c r="E148" s="634">
        <v>838</v>
      </c>
      <c r="F148" s="647">
        <v>27</v>
      </c>
      <c r="G148" s="634">
        <v>82</v>
      </c>
      <c r="H148" s="634">
        <v>109</v>
      </c>
      <c r="I148" s="647">
        <v>14</v>
      </c>
      <c r="J148" s="634">
        <v>36</v>
      </c>
      <c r="K148" s="634">
        <v>50</v>
      </c>
      <c r="L148" s="647">
        <v>59</v>
      </c>
      <c r="M148" s="634">
        <v>243</v>
      </c>
      <c r="N148" s="634">
        <v>302</v>
      </c>
      <c r="O148" s="647">
        <v>3</v>
      </c>
      <c r="P148" s="634">
        <v>4</v>
      </c>
      <c r="Q148" s="634">
        <v>7</v>
      </c>
      <c r="R148" s="647">
        <v>1</v>
      </c>
      <c r="S148" s="634">
        <v>3</v>
      </c>
      <c r="T148" s="634">
        <v>4</v>
      </c>
      <c r="U148" s="647">
        <v>0</v>
      </c>
      <c r="V148" s="634">
        <v>0</v>
      </c>
      <c r="W148" s="634">
        <v>0</v>
      </c>
      <c r="X148" s="647">
        <v>23</v>
      </c>
      <c r="Y148" s="634">
        <v>35</v>
      </c>
      <c r="Z148" s="634">
        <v>58</v>
      </c>
    </row>
    <row r="149" spans="1:26" x14ac:dyDescent="0.3">
      <c r="A149" s="286">
        <v>145</v>
      </c>
      <c r="B149" s="291" t="s">
        <v>211</v>
      </c>
      <c r="C149" s="647">
        <v>1250</v>
      </c>
      <c r="D149" s="634">
        <v>1929</v>
      </c>
      <c r="E149" s="634">
        <v>3179</v>
      </c>
      <c r="F149" s="647">
        <v>81</v>
      </c>
      <c r="G149" s="634">
        <v>94</v>
      </c>
      <c r="H149" s="634">
        <v>175</v>
      </c>
      <c r="I149" s="647">
        <v>17</v>
      </c>
      <c r="J149" s="634">
        <v>29</v>
      </c>
      <c r="K149" s="634">
        <v>46</v>
      </c>
      <c r="L149" s="647">
        <v>402</v>
      </c>
      <c r="M149" s="634">
        <v>541</v>
      </c>
      <c r="N149" s="634">
        <v>943</v>
      </c>
      <c r="O149" s="647">
        <v>3</v>
      </c>
      <c r="P149" s="634">
        <v>1</v>
      </c>
      <c r="Q149" s="634">
        <v>4</v>
      </c>
      <c r="R149" s="647">
        <v>93</v>
      </c>
      <c r="S149" s="634">
        <v>81</v>
      </c>
      <c r="T149" s="634">
        <v>174</v>
      </c>
      <c r="U149" s="647">
        <v>31</v>
      </c>
      <c r="V149" s="634">
        <v>58</v>
      </c>
      <c r="W149" s="634">
        <v>89</v>
      </c>
      <c r="X149" s="647">
        <v>61</v>
      </c>
      <c r="Y149" s="634">
        <v>91</v>
      </c>
      <c r="Z149" s="634">
        <v>152</v>
      </c>
    </row>
    <row r="150" spans="1:26" ht="26" x14ac:dyDescent="0.3">
      <c r="A150" s="286">
        <v>146</v>
      </c>
      <c r="B150" s="291" t="s">
        <v>212</v>
      </c>
      <c r="C150" s="647">
        <v>464006</v>
      </c>
      <c r="D150" s="634">
        <v>349555</v>
      </c>
      <c r="E150" s="634">
        <v>813561</v>
      </c>
      <c r="F150" s="647">
        <v>53278</v>
      </c>
      <c r="G150" s="634">
        <v>39536</v>
      </c>
      <c r="H150" s="634">
        <v>92814</v>
      </c>
      <c r="I150" s="647">
        <v>11749</v>
      </c>
      <c r="J150" s="634">
        <v>7907</v>
      </c>
      <c r="K150" s="634">
        <v>19656</v>
      </c>
      <c r="L150" s="647">
        <v>168531</v>
      </c>
      <c r="M150" s="634">
        <v>127893</v>
      </c>
      <c r="N150" s="634">
        <v>296424</v>
      </c>
      <c r="O150" s="647">
        <v>879</v>
      </c>
      <c r="P150" s="634">
        <v>361</v>
      </c>
      <c r="Q150" s="634">
        <v>1240</v>
      </c>
      <c r="R150" s="647">
        <v>15149</v>
      </c>
      <c r="S150" s="634">
        <v>9753</v>
      </c>
      <c r="T150" s="634">
        <v>24902</v>
      </c>
      <c r="U150" s="647">
        <v>10686</v>
      </c>
      <c r="V150" s="634">
        <v>9108</v>
      </c>
      <c r="W150" s="634">
        <v>19794</v>
      </c>
      <c r="X150" s="647">
        <v>8633</v>
      </c>
      <c r="Y150" s="634">
        <v>6928</v>
      </c>
      <c r="Z150" s="634">
        <v>15561</v>
      </c>
    </row>
    <row r="151" spans="1:26" ht="39" x14ac:dyDescent="0.3">
      <c r="A151" s="286">
        <v>147</v>
      </c>
      <c r="B151" s="291" t="s">
        <v>213</v>
      </c>
      <c r="C151" s="647">
        <v>178</v>
      </c>
      <c r="D151" s="634">
        <v>162</v>
      </c>
      <c r="E151" s="634">
        <v>340</v>
      </c>
      <c r="F151" s="647">
        <v>14</v>
      </c>
      <c r="G151" s="634">
        <v>20</v>
      </c>
      <c r="H151" s="634">
        <v>34</v>
      </c>
      <c r="I151" s="647">
        <v>3</v>
      </c>
      <c r="J151" s="634">
        <v>8</v>
      </c>
      <c r="K151" s="634">
        <v>11</v>
      </c>
      <c r="L151" s="647">
        <v>56</v>
      </c>
      <c r="M151" s="634">
        <v>47</v>
      </c>
      <c r="N151" s="634">
        <v>103</v>
      </c>
      <c r="O151" s="647">
        <v>0</v>
      </c>
      <c r="P151" s="634">
        <v>1</v>
      </c>
      <c r="Q151" s="634">
        <v>1</v>
      </c>
      <c r="R151" s="647">
        <v>2</v>
      </c>
      <c r="S151" s="634">
        <v>3</v>
      </c>
      <c r="T151" s="634">
        <v>5</v>
      </c>
      <c r="U151" s="647">
        <v>3</v>
      </c>
      <c r="V151" s="634">
        <v>7</v>
      </c>
      <c r="W151" s="634">
        <v>10</v>
      </c>
      <c r="X151" s="647">
        <v>16</v>
      </c>
      <c r="Y151" s="634">
        <v>8</v>
      </c>
      <c r="Z151" s="634">
        <v>24</v>
      </c>
    </row>
    <row r="152" spans="1:26" ht="26" x14ac:dyDescent="0.3">
      <c r="A152" s="286">
        <v>148</v>
      </c>
      <c r="B152" s="291" t="s">
        <v>214</v>
      </c>
      <c r="C152" s="647">
        <v>1785</v>
      </c>
      <c r="D152" s="634">
        <v>1248</v>
      </c>
      <c r="E152" s="634">
        <v>3033</v>
      </c>
      <c r="F152" s="647">
        <v>238</v>
      </c>
      <c r="G152" s="634">
        <v>170</v>
      </c>
      <c r="H152" s="634">
        <v>408</v>
      </c>
      <c r="I152" s="647">
        <v>61</v>
      </c>
      <c r="J152" s="634">
        <v>47</v>
      </c>
      <c r="K152" s="634">
        <v>108</v>
      </c>
      <c r="L152" s="647">
        <v>760</v>
      </c>
      <c r="M152" s="634">
        <v>495</v>
      </c>
      <c r="N152" s="634">
        <v>1255</v>
      </c>
      <c r="O152" s="647">
        <v>0</v>
      </c>
      <c r="P152" s="634">
        <v>0</v>
      </c>
      <c r="Q152" s="634">
        <v>0</v>
      </c>
      <c r="R152" s="647">
        <v>70</v>
      </c>
      <c r="S152" s="634">
        <v>46</v>
      </c>
      <c r="T152" s="634">
        <v>116</v>
      </c>
      <c r="U152" s="647">
        <v>9</v>
      </c>
      <c r="V152" s="634">
        <v>16</v>
      </c>
      <c r="W152" s="634">
        <v>25</v>
      </c>
      <c r="X152" s="647">
        <v>27</v>
      </c>
      <c r="Y152" s="634">
        <v>27</v>
      </c>
      <c r="Z152" s="634">
        <v>54</v>
      </c>
    </row>
    <row r="153" spans="1:26" ht="26" x14ac:dyDescent="0.3">
      <c r="A153" s="286">
        <v>149</v>
      </c>
      <c r="B153" s="291" t="s">
        <v>215</v>
      </c>
      <c r="C153" s="647">
        <v>185938</v>
      </c>
      <c r="D153" s="634">
        <v>182785</v>
      </c>
      <c r="E153" s="634">
        <v>368723</v>
      </c>
      <c r="F153" s="647">
        <v>19478</v>
      </c>
      <c r="G153" s="634">
        <v>18121</v>
      </c>
      <c r="H153" s="634">
        <v>37599</v>
      </c>
      <c r="I153" s="647">
        <v>9903</v>
      </c>
      <c r="J153" s="634">
        <v>9883</v>
      </c>
      <c r="K153" s="634">
        <v>19786</v>
      </c>
      <c r="L153" s="647">
        <v>59176</v>
      </c>
      <c r="M153" s="634">
        <v>57507</v>
      </c>
      <c r="N153" s="634">
        <v>116683</v>
      </c>
      <c r="O153" s="647">
        <v>775</v>
      </c>
      <c r="P153" s="634">
        <v>438</v>
      </c>
      <c r="Q153" s="634">
        <v>1213</v>
      </c>
      <c r="R153" s="647">
        <v>9258</v>
      </c>
      <c r="S153" s="634">
        <v>9010</v>
      </c>
      <c r="T153" s="634">
        <v>18268</v>
      </c>
      <c r="U153" s="647">
        <v>4839</v>
      </c>
      <c r="V153" s="634">
        <v>5829</v>
      </c>
      <c r="W153" s="634">
        <v>10668</v>
      </c>
      <c r="X153" s="647">
        <v>7341</v>
      </c>
      <c r="Y153" s="634">
        <v>5571</v>
      </c>
      <c r="Z153" s="634">
        <v>12912</v>
      </c>
    </row>
    <row r="154" spans="1:26" ht="26" x14ac:dyDescent="0.3">
      <c r="A154" s="286">
        <v>150</v>
      </c>
      <c r="B154" s="291" t="s">
        <v>216</v>
      </c>
      <c r="C154" s="647">
        <v>124166</v>
      </c>
      <c r="D154" s="634">
        <v>79382</v>
      </c>
      <c r="E154" s="634">
        <v>203548</v>
      </c>
      <c r="F154" s="647">
        <v>9477</v>
      </c>
      <c r="G154" s="634">
        <v>6552</v>
      </c>
      <c r="H154" s="634">
        <v>16029</v>
      </c>
      <c r="I154" s="647">
        <v>2722</v>
      </c>
      <c r="J154" s="634">
        <v>1664</v>
      </c>
      <c r="K154" s="634">
        <v>4386</v>
      </c>
      <c r="L154" s="647">
        <v>47918</v>
      </c>
      <c r="M154" s="634">
        <v>32835</v>
      </c>
      <c r="N154" s="634">
        <v>80753</v>
      </c>
      <c r="O154" s="647">
        <v>260</v>
      </c>
      <c r="P154" s="634">
        <v>154</v>
      </c>
      <c r="Q154" s="634">
        <v>414</v>
      </c>
      <c r="R154" s="647">
        <v>4623</v>
      </c>
      <c r="S154" s="634">
        <v>2157</v>
      </c>
      <c r="T154" s="634">
        <v>6780</v>
      </c>
      <c r="U154" s="647">
        <v>3233</v>
      </c>
      <c r="V154" s="634">
        <v>2729</v>
      </c>
      <c r="W154" s="634">
        <v>5962</v>
      </c>
      <c r="X154" s="647">
        <v>3282</v>
      </c>
      <c r="Y154" s="634">
        <v>2214</v>
      </c>
      <c r="Z154" s="634">
        <v>5496</v>
      </c>
    </row>
    <row r="155" spans="1:26" x14ac:dyDescent="0.3">
      <c r="A155" s="286">
        <v>151</v>
      </c>
      <c r="B155" s="291" t="s">
        <v>217</v>
      </c>
      <c r="C155" s="647">
        <v>599</v>
      </c>
      <c r="D155" s="634">
        <v>174</v>
      </c>
      <c r="E155" s="634">
        <v>773</v>
      </c>
      <c r="F155" s="647">
        <v>7</v>
      </c>
      <c r="G155" s="634">
        <v>1</v>
      </c>
      <c r="H155" s="634">
        <v>8</v>
      </c>
      <c r="I155" s="647">
        <v>1</v>
      </c>
      <c r="J155" s="634">
        <v>0</v>
      </c>
      <c r="K155" s="634">
        <v>1</v>
      </c>
      <c r="L155" s="647">
        <v>39</v>
      </c>
      <c r="M155" s="634">
        <v>10</v>
      </c>
      <c r="N155" s="634">
        <v>49</v>
      </c>
      <c r="O155" s="647">
        <v>0</v>
      </c>
      <c r="P155" s="634">
        <v>0</v>
      </c>
      <c r="Q155" s="634">
        <v>0</v>
      </c>
      <c r="R155" s="647">
        <v>12</v>
      </c>
      <c r="S155" s="634">
        <v>0</v>
      </c>
      <c r="T155" s="634">
        <v>12</v>
      </c>
      <c r="U155" s="647">
        <v>9</v>
      </c>
      <c r="V155" s="634">
        <v>3</v>
      </c>
      <c r="W155" s="634">
        <v>12</v>
      </c>
      <c r="X155" s="647">
        <v>0</v>
      </c>
      <c r="Y155" s="634">
        <v>0</v>
      </c>
      <c r="Z155" s="634">
        <v>0</v>
      </c>
    </row>
    <row r="156" spans="1:26" ht="26" x14ac:dyDescent="0.3">
      <c r="A156" s="286">
        <v>152</v>
      </c>
      <c r="B156" s="291" t="s">
        <v>861</v>
      </c>
      <c r="C156" s="647">
        <v>83</v>
      </c>
      <c r="D156" s="634">
        <v>185</v>
      </c>
      <c r="E156" s="634">
        <v>268</v>
      </c>
      <c r="F156" s="647">
        <v>13</v>
      </c>
      <c r="G156" s="634">
        <v>26</v>
      </c>
      <c r="H156" s="634">
        <v>39</v>
      </c>
      <c r="I156" s="647">
        <v>0</v>
      </c>
      <c r="J156" s="634">
        <v>0</v>
      </c>
      <c r="K156" s="634">
        <v>0</v>
      </c>
      <c r="L156" s="647">
        <v>17</v>
      </c>
      <c r="M156" s="634">
        <v>41</v>
      </c>
      <c r="N156" s="634">
        <v>58</v>
      </c>
      <c r="O156" s="647">
        <v>0</v>
      </c>
      <c r="P156" s="634">
        <v>0</v>
      </c>
      <c r="Q156" s="634">
        <v>0</v>
      </c>
      <c r="R156" s="647">
        <v>0</v>
      </c>
      <c r="S156" s="634">
        <v>0</v>
      </c>
      <c r="T156" s="634">
        <v>0</v>
      </c>
      <c r="U156" s="647">
        <v>0</v>
      </c>
      <c r="V156" s="634">
        <v>0</v>
      </c>
      <c r="W156" s="634">
        <v>0</v>
      </c>
      <c r="X156" s="647">
        <v>3</v>
      </c>
      <c r="Y156" s="634">
        <v>12</v>
      </c>
      <c r="Z156" s="634">
        <v>15</v>
      </c>
    </row>
    <row r="157" spans="1:26" x14ac:dyDescent="0.3">
      <c r="A157" s="286">
        <v>153</v>
      </c>
      <c r="B157" s="291" t="s">
        <v>218</v>
      </c>
      <c r="C157" s="647">
        <v>192588</v>
      </c>
      <c r="D157" s="634">
        <v>323749</v>
      </c>
      <c r="E157" s="634">
        <v>516337</v>
      </c>
      <c r="F157" s="647">
        <v>24233</v>
      </c>
      <c r="G157" s="634">
        <v>35510</v>
      </c>
      <c r="H157" s="634">
        <v>59743</v>
      </c>
      <c r="I157" s="647">
        <v>10332</v>
      </c>
      <c r="J157" s="634">
        <v>12702</v>
      </c>
      <c r="K157" s="634">
        <v>23034</v>
      </c>
      <c r="L157" s="647">
        <v>72697</v>
      </c>
      <c r="M157" s="634">
        <v>125903</v>
      </c>
      <c r="N157" s="634">
        <v>198600</v>
      </c>
      <c r="O157" s="647">
        <v>510</v>
      </c>
      <c r="P157" s="634">
        <v>419</v>
      </c>
      <c r="Q157" s="634">
        <v>929</v>
      </c>
      <c r="R157" s="647">
        <v>7032</v>
      </c>
      <c r="S157" s="634">
        <v>11653</v>
      </c>
      <c r="T157" s="634">
        <v>18685</v>
      </c>
      <c r="U157" s="647">
        <v>5299</v>
      </c>
      <c r="V157" s="634">
        <v>9684</v>
      </c>
      <c r="W157" s="634">
        <v>14983</v>
      </c>
      <c r="X157" s="647">
        <v>3690</v>
      </c>
      <c r="Y157" s="634">
        <v>7565</v>
      </c>
      <c r="Z157" s="634">
        <v>11255</v>
      </c>
    </row>
    <row r="158" spans="1:26" x14ac:dyDescent="0.3">
      <c r="A158" s="286">
        <v>154</v>
      </c>
      <c r="B158" s="291" t="s">
        <v>219</v>
      </c>
      <c r="C158" s="647">
        <v>38694</v>
      </c>
      <c r="D158" s="634">
        <v>43717</v>
      </c>
      <c r="E158" s="634">
        <v>82411</v>
      </c>
      <c r="F158" s="647">
        <v>3984</v>
      </c>
      <c r="G158" s="634">
        <v>4357</v>
      </c>
      <c r="H158" s="634">
        <v>8341</v>
      </c>
      <c r="I158" s="647">
        <v>1776</v>
      </c>
      <c r="J158" s="634">
        <v>2003</v>
      </c>
      <c r="K158" s="634">
        <v>3779</v>
      </c>
      <c r="L158" s="647">
        <v>11149</v>
      </c>
      <c r="M158" s="634">
        <v>12725</v>
      </c>
      <c r="N158" s="634">
        <v>23874</v>
      </c>
      <c r="O158" s="647">
        <v>83</v>
      </c>
      <c r="P158" s="634">
        <v>65</v>
      </c>
      <c r="Q158" s="634">
        <v>148</v>
      </c>
      <c r="R158" s="647">
        <v>1417</v>
      </c>
      <c r="S158" s="634">
        <v>1589</v>
      </c>
      <c r="T158" s="634">
        <v>3006</v>
      </c>
      <c r="U158" s="647">
        <v>745</v>
      </c>
      <c r="V158" s="634">
        <v>1124</v>
      </c>
      <c r="W158" s="634">
        <v>1869</v>
      </c>
      <c r="X158" s="647">
        <v>1266</v>
      </c>
      <c r="Y158" s="634">
        <v>1258</v>
      </c>
      <c r="Z158" s="634">
        <v>2524</v>
      </c>
    </row>
    <row r="159" spans="1:26" x14ac:dyDescent="0.3">
      <c r="A159" s="286">
        <v>155</v>
      </c>
      <c r="B159" s="291" t="s">
        <v>220</v>
      </c>
      <c r="C159" s="647">
        <v>5523</v>
      </c>
      <c r="D159" s="634">
        <v>12900</v>
      </c>
      <c r="E159" s="634">
        <v>18423</v>
      </c>
      <c r="F159" s="647">
        <v>383</v>
      </c>
      <c r="G159" s="634">
        <v>897</v>
      </c>
      <c r="H159" s="634">
        <v>1280</v>
      </c>
      <c r="I159" s="647">
        <v>122</v>
      </c>
      <c r="J159" s="634">
        <v>245</v>
      </c>
      <c r="K159" s="634">
        <v>367</v>
      </c>
      <c r="L159" s="647">
        <v>1633</v>
      </c>
      <c r="M159" s="634">
        <v>3680</v>
      </c>
      <c r="N159" s="634">
        <v>5313</v>
      </c>
      <c r="O159" s="647">
        <v>3</v>
      </c>
      <c r="P159" s="634">
        <v>4</v>
      </c>
      <c r="Q159" s="634">
        <v>7</v>
      </c>
      <c r="R159" s="647">
        <v>265</v>
      </c>
      <c r="S159" s="634">
        <v>367</v>
      </c>
      <c r="T159" s="634">
        <v>632</v>
      </c>
      <c r="U159" s="647">
        <v>214</v>
      </c>
      <c r="V159" s="634">
        <v>471</v>
      </c>
      <c r="W159" s="634">
        <v>685</v>
      </c>
      <c r="X159" s="647">
        <v>88</v>
      </c>
      <c r="Y159" s="634">
        <v>173</v>
      </c>
      <c r="Z159" s="634">
        <v>261</v>
      </c>
    </row>
    <row r="160" spans="1:26" x14ac:dyDescent="0.3">
      <c r="A160" s="286">
        <v>156</v>
      </c>
      <c r="B160" s="291" t="s">
        <v>221</v>
      </c>
      <c r="C160" s="647">
        <v>83</v>
      </c>
      <c r="D160" s="634">
        <v>212</v>
      </c>
      <c r="E160" s="634">
        <v>295</v>
      </c>
      <c r="F160" s="647">
        <v>30</v>
      </c>
      <c r="G160" s="634">
        <v>32</v>
      </c>
      <c r="H160" s="634">
        <v>62</v>
      </c>
      <c r="I160" s="647">
        <v>4</v>
      </c>
      <c r="J160" s="634">
        <v>8</v>
      </c>
      <c r="K160" s="634">
        <v>12</v>
      </c>
      <c r="L160" s="647">
        <v>27</v>
      </c>
      <c r="M160" s="634">
        <v>61</v>
      </c>
      <c r="N160" s="634">
        <v>88</v>
      </c>
      <c r="O160" s="647">
        <v>0</v>
      </c>
      <c r="P160" s="634">
        <v>0</v>
      </c>
      <c r="Q160" s="634">
        <v>0</v>
      </c>
      <c r="R160" s="647">
        <v>0</v>
      </c>
      <c r="S160" s="634">
        <v>3</v>
      </c>
      <c r="T160" s="634">
        <v>3</v>
      </c>
      <c r="U160" s="647">
        <v>0</v>
      </c>
      <c r="V160" s="634">
        <v>2</v>
      </c>
      <c r="W160" s="634">
        <v>2</v>
      </c>
      <c r="X160" s="647">
        <v>0</v>
      </c>
      <c r="Y160" s="634">
        <v>2</v>
      </c>
      <c r="Z160" s="634">
        <v>2</v>
      </c>
    </row>
    <row r="161" spans="1:26" x14ac:dyDescent="0.3">
      <c r="A161" s="286">
        <v>157</v>
      </c>
      <c r="B161" s="291" t="s">
        <v>222</v>
      </c>
      <c r="C161" s="647">
        <v>1778</v>
      </c>
      <c r="D161" s="634">
        <v>2716</v>
      </c>
      <c r="E161" s="634">
        <v>4494</v>
      </c>
      <c r="F161" s="647">
        <v>178</v>
      </c>
      <c r="G161" s="634">
        <v>267</v>
      </c>
      <c r="H161" s="634">
        <v>445</v>
      </c>
      <c r="I161" s="647">
        <v>47</v>
      </c>
      <c r="J161" s="634">
        <v>82</v>
      </c>
      <c r="K161" s="634">
        <v>129</v>
      </c>
      <c r="L161" s="647">
        <v>376</v>
      </c>
      <c r="M161" s="634">
        <v>410</v>
      </c>
      <c r="N161" s="634">
        <v>786</v>
      </c>
      <c r="O161" s="647">
        <v>5</v>
      </c>
      <c r="P161" s="634">
        <v>9</v>
      </c>
      <c r="Q161" s="634">
        <v>14</v>
      </c>
      <c r="R161" s="647">
        <v>44</v>
      </c>
      <c r="S161" s="634">
        <v>34</v>
      </c>
      <c r="T161" s="634">
        <v>78</v>
      </c>
      <c r="U161" s="647">
        <v>27</v>
      </c>
      <c r="V161" s="634">
        <v>94</v>
      </c>
      <c r="W161" s="634">
        <v>121</v>
      </c>
      <c r="X161" s="647">
        <v>78</v>
      </c>
      <c r="Y161" s="634">
        <v>108</v>
      </c>
      <c r="Z161" s="634">
        <v>186</v>
      </c>
    </row>
    <row r="162" spans="1:26" x14ac:dyDescent="0.3">
      <c r="A162" s="286">
        <v>158</v>
      </c>
      <c r="B162" s="291" t="s">
        <v>223</v>
      </c>
      <c r="C162" s="647">
        <v>17836</v>
      </c>
      <c r="D162" s="634">
        <v>10043</v>
      </c>
      <c r="E162" s="634">
        <v>27879</v>
      </c>
      <c r="F162" s="647">
        <v>3405</v>
      </c>
      <c r="G162" s="634">
        <v>2400</v>
      </c>
      <c r="H162" s="634">
        <v>5805</v>
      </c>
      <c r="I162" s="647">
        <v>916</v>
      </c>
      <c r="J162" s="634">
        <v>383</v>
      </c>
      <c r="K162" s="634">
        <v>1299</v>
      </c>
      <c r="L162" s="647">
        <v>7033</v>
      </c>
      <c r="M162" s="634">
        <v>4396</v>
      </c>
      <c r="N162" s="634">
        <v>11429</v>
      </c>
      <c r="O162" s="647">
        <v>12</v>
      </c>
      <c r="P162" s="634">
        <v>0</v>
      </c>
      <c r="Q162" s="634">
        <v>12</v>
      </c>
      <c r="R162" s="647">
        <v>680</v>
      </c>
      <c r="S162" s="634">
        <v>259</v>
      </c>
      <c r="T162" s="634">
        <v>939</v>
      </c>
      <c r="U162" s="647">
        <v>523</v>
      </c>
      <c r="V162" s="634">
        <v>538</v>
      </c>
      <c r="W162" s="634">
        <v>1061</v>
      </c>
      <c r="X162" s="647">
        <v>264</v>
      </c>
      <c r="Y162" s="634">
        <v>108</v>
      </c>
      <c r="Z162" s="634">
        <v>372</v>
      </c>
    </row>
    <row r="163" spans="1:26" x14ac:dyDescent="0.3">
      <c r="A163" s="286">
        <v>159</v>
      </c>
      <c r="B163" s="291" t="s">
        <v>224</v>
      </c>
      <c r="C163" s="647">
        <v>19829</v>
      </c>
      <c r="D163" s="634">
        <v>40887</v>
      </c>
      <c r="E163" s="634">
        <v>60716</v>
      </c>
      <c r="F163" s="647">
        <v>5287</v>
      </c>
      <c r="G163" s="634">
        <v>9073</v>
      </c>
      <c r="H163" s="634">
        <v>14360</v>
      </c>
      <c r="I163" s="647">
        <v>1689</v>
      </c>
      <c r="J163" s="634">
        <v>3066</v>
      </c>
      <c r="K163" s="634">
        <v>4755</v>
      </c>
      <c r="L163" s="647">
        <v>5783</v>
      </c>
      <c r="M163" s="634">
        <v>11392</v>
      </c>
      <c r="N163" s="634">
        <v>17175</v>
      </c>
      <c r="O163" s="647">
        <v>128</v>
      </c>
      <c r="P163" s="634">
        <v>140</v>
      </c>
      <c r="Q163" s="634">
        <v>268</v>
      </c>
      <c r="R163" s="647">
        <v>782</v>
      </c>
      <c r="S163" s="634">
        <v>1696</v>
      </c>
      <c r="T163" s="634">
        <v>2478</v>
      </c>
      <c r="U163" s="647">
        <v>319</v>
      </c>
      <c r="V163" s="634">
        <v>1483</v>
      </c>
      <c r="W163" s="634">
        <v>1802</v>
      </c>
      <c r="X163" s="647">
        <v>494</v>
      </c>
      <c r="Y163" s="634">
        <v>733</v>
      </c>
      <c r="Z163" s="634">
        <v>1227</v>
      </c>
    </row>
    <row r="164" spans="1:26" x14ac:dyDescent="0.3">
      <c r="A164" s="286">
        <v>160</v>
      </c>
      <c r="B164" s="291" t="s">
        <v>225</v>
      </c>
      <c r="C164" s="647">
        <v>2504</v>
      </c>
      <c r="D164" s="634">
        <v>3212</v>
      </c>
      <c r="E164" s="634">
        <v>5716</v>
      </c>
      <c r="F164" s="647">
        <v>516</v>
      </c>
      <c r="G164" s="634">
        <v>358</v>
      </c>
      <c r="H164" s="634">
        <v>874</v>
      </c>
      <c r="I164" s="647">
        <v>129</v>
      </c>
      <c r="J164" s="634">
        <v>76</v>
      </c>
      <c r="K164" s="634">
        <v>205</v>
      </c>
      <c r="L164" s="647">
        <v>703</v>
      </c>
      <c r="M164" s="634">
        <v>946</v>
      </c>
      <c r="N164" s="634">
        <v>1649</v>
      </c>
      <c r="O164" s="647">
        <v>22</v>
      </c>
      <c r="P164" s="634">
        <v>16</v>
      </c>
      <c r="Q164" s="634">
        <v>38</v>
      </c>
      <c r="R164" s="647">
        <v>28</v>
      </c>
      <c r="S164" s="634">
        <v>51</v>
      </c>
      <c r="T164" s="634">
        <v>79</v>
      </c>
      <c r="U164" s="647">
        <v>39</v>
      </c>
      <c r="V164" s="634">
        <v>71</v>
      </c>
      <c r="W164" s="634">
        <v>110</v>
      </c>
      <c r="X164" s="647">
        <v>61</v>
      </c>
      <c r="Y164" s="634">
        <v>90</v>
      </c>
      <c r="Z164" s="634">
        <v>151</v>
      </c>
    </row>
    <row r="165" spans="1:26" ht="26" x14ac:dyDescent="0.3">
      <c r="A165" s="286">
        <v>161</v>
      </c>
      <c r="B165" s="291" t="s">
        <v>862</v>
      </c>
      <c r="C165" s="647">
        <v>823</v>
      </c>
      <c r="D165" s="634">
        <v>585</v>
      </c>
      <c r="E165" s="634">
        <v>1408</v>
      </c>
      <c r="F165" s="647">
        <v>155</v>
      </c>
      <c r="G165" s="634">
        <v>120</v>
      </c>
      <c r="H165" s="634">
        <v>275</v>
      </c>
      <c r="I165" s="647">
        <v>36</v>
      </c>
      <c r="J165" s="634">
        <v>40</v>
      </c>
      <c r="K165" s="634">
        <v>76</v>
      </c>
      <c r="L165" s="647">
        <v>65</v>
      </c>
      <c r="M165" s="634">
        <v>43</v>
      </c>
      <c r="N165" s="634">
        <v>108</v>
      </c>
      <c r="O165" s="647">
        <v>4</v>
      </c>
      <c r="P165" s="634">
        <v>0</v>
      </c>
      <c r="Q165" s="634">
        <v>4</v>
      </c>
      <c r="R165" s="647">
        <v>109</v>
      </c>
      <c r="S165" s="634">
        <v>41</v>
      </c>
      <c r="T165" s="634">
        <v>150</v>
      </c>
      <c r="U165" s="647">
        <v>7</v>
      </c>
      <c r="V165" s="634">
        <v>6</v>
      </c>
      <c r="W165" s="634">
        <v>13</v>
      </c>
      <c r="X165" s="647">
        <v>1</v>
      </c>
      <c r="Y165" s="634">
        <v>0</v>
      </c>
      <c r="Z165" s="634">
        <v>1</v>
      </c>
    </row>
    <row r="166" spans="1:26" x14ac:dyDescent="0.3">
      <c r="A166" s="286">
        <v>162</v>
      </c>
      <c r="B166" s="291" t="s">
        <v>863</v>
      </c>
      <c r="C166" s="647">
        <v>116</v>
      </c>
      <c r="D166" s="634">
        <v>682</v>
      </c>
      <c r="E166" s="634">
        <v>798</v>
      </c>
      <c r="F166" s="647">
        <v>12</v>
      </c>
      <c r="G166" s="634">
        <v>38</v>
      </c>
      <c r="H166" s="634">
        <v>50</v>
      </c>
      <c r="I166" s="647">
        <v>1</v>
      </c>
      <c r="J166" s="634">
        <v>21</v>
      </c>
      <c r="K166" s="634">
        <v>22</v>
      </c>
      <c r="L166" s="647">
        <v>37</v>
      </c>
      <c r="M166" s="634">
        <v>156</v>
      </c>
      <c r="N166" s="634">
        <v>193</v>
      </c>
      <c r="O166" s="647">
        <v>0</v>
      </c>
      <c r="P166" s="634">
        <v>2</v>
      </c>
      <c r="Q166" s="634">
        <v>2</v>
      </c>
      <c r="R166" s="647">
        <v>1</v>
      </c>
      <c r="S166" s="634">
        <v>7</v>
      </c>
      <c r="T166" s="634">
        <v>8</v>
      </c>
      <c r="U166" s="647">
        <v>1</v>
      </c>
      <c r="V166" s="634">
        <v>25</v>
      </c>
      <c r="W166" s="634">
        <v>26</v>
      </c>
      <c r="X166" s="647">
        <v>12</v>
      </c>
      <c r="Y166" s="634">
        <v>29</v>
      </c>
      <c r="Z166" s="634">
        <v>41</v>
      </c>
    </row>
    <row r="167" spans="1:26" x14ac:dyDescent="0.3">
      <c r="A167" s="286">
        <v>163</v>
      </c>
      <c r="B167" s="291" t="s">
        <v>864</v>
      </c>
      <c r="C167" s="647">
        <v>782</v>
      </c>
      <c r="D167" s="634">
        <v>701</v>
      </c>
      <c r="E167" s="634">
        <v>1483</v>
      </c>
      <c r="F167" s="647">
        <v>120</v>
      </c>
      <c r="G167" s="634">
        <v>74</v>
      </c>
      <c r="H167" s="634">
        <v>194</v>
      </c>
      <c r="I167" s="647">
        <v>54</v>
      </c>
      <c r="J167" s="634">
        <v>62</v>
      </c>
      <c r="K167" s="634">
        <v>116</v>
      </c>
      <c r="L167" s="647">
        <v>290</v>
      </c>
      <c r="M167" s="634">
        <v>307</v>
      </c>
      <c r="N167" s="634">
        <v>597</v>
      </c>
      <c r="O167" s="647">
        <v>6</v>
      </c>
      <c r="P167" s="634">
        <v>2</v>
      </c>
      <c r="Q167" s="634">
        <v>8</v>
      </c>
      <c r="R167" s="647">
        <v>22</v>
      </c>
      <c r="S167" s="634">
        <v>41</v>
      </c>
      <c r="T167" s="634">
        <v>63</v>
      </c>
      <c r="U167" s="647">
        <v>28</v>
      </c>
      <c r="V167" s="634">
        <v>45</v>
      </c>
      <c r="W167" s="634">
        <v>73</v>
      </c>
      <c r="X167" s="647">
        <v>26</v>
      </c>
      <c r="Y167" s="634">
        <v>21</v>
      </c>
      <c r="Z167" s="634">
        <v>47</v>
      </c>
    </row>
    <row r="168" spans="1:26" ht="26" x14ac:dyDescent="0.3">
      <c r="A168" s="286">
        <v>164</v>
      </c>
      <c r="B168" s="291" t="s">
        <v>865</v>
      </c>
      <c r="C168" s="647">
        <v>40</v>
      </c>
      <c r="D168" s="634">
        <v>191</v>
      </c>
      <c r="E168" s="634">
        <v>231</v>
      </c>
      <c r="F168" s="647">
        <v>6</v>
      </c>
      <c r="G168" s="634">
        <v>29</v>
      </c>
      <c r="H168" s="634">
        <v>35</v>
      </c>
      <c r="I168" s="647">
        <v>0</v>
      </c>
      <c r="J168" s="634">
        <v>6</v>
      </c>
      <c r="K168" s="634">
        <v>6</v>
      </c>
      <c r="L168" s="647">
        <v>10</v>
      </c>
      <c r="M168" s="634">
        <v>32</v>
      </c>
      <c r="N168" s="634">
        <v>42</v>
      </c>
      <c r="O168" s="647">
        <v>0</v>
      </c>
      <c r="P168" s="634">
        <v>0</v>
      </c>
      <c r="Q168" s="634">
        <v>0</v>
      </c>
      <c r="R168" s="647">
        <v>2</v>
      </c>
      <c r="S168" s="634">
        <v>6</v>
      </c>
      <c r="T168" s="634">
        <v>8</v>
      </c>
      <c r="U168" s="647">
        <v>2</v>
      </c>
      <c r="V168" s="634">
        <v>36</v>
      </c>
      <c r="W168" s="634">
        <v>38</v>
      </c>
      <c r="X168" s="647">
        <v>1</v>
      </c>
      <c r="Y168" s="634">
        <v>2</v>
      </c>
      <c r="Z168" s="634">
        <v>3</v>
      </c>
    </row>
    <row r="169" spans="1:26" ht="26" x14ac:dyDescent="0.3">
      <c r="A169" s="286">
        <v>165</v>
      </c>
      <c r="B169" s="291" t="s">
        <v>226</v>
      </c>
      <c r="C169" s="647">
        <v>2742</v>
      </c>
      <c r="D169" s="634">
        <v>3015</v>
      </c>
      <c r="E169" s="634">
        <v>5757</v>
      </c>
      <c r="F169" s="647">
        <v>254</v>
      </c>
      <c r="G169" s="634">
        <v>233</v>
      </c>
      <c r="H169" s="634">
        <v>487</v>
      </c>
      <c r="I169" s="647">
        <v>67</v>
      </c>
      <c r="J169" s="634">
        <v>68</v>
      </c>
      <c r="K169" s="634">
        <v>135</v>
      </c>
      <c r="L169" s="647">
        <v>492</v>
      </c>
      <c r="M169" s="634">
        <v>595</v>
      </c>
      <c r="N169" s="634">
        <v>1087</v>
      </c>
      <c r="O169" s="647">
        <v>8</v>
      </c>
      <c r="P169" s="634">
        <v>1</v>
      </c>
      <c r="Q169" s="634">
        <v>9</v>
      </c>
      <c r="R169" s="647">
        <v>82</v>
      </c>
      <c r="S169" s="634">
        <v>147</v>
      </c>
      <c r="T169" s="634">
        <v>229</v>
      </c>
      <c r="U169" s="647">
        <v>75</v>
      </c>
      <c r="V169" s="634">
        <v>117</v>
      </c>
      <c r="W169" s="634">
        <v>192</v>
      </c>
      <c r="X169" s="647">
        <v>19</v>
      </c>
      <c r="Y169" s="634">
        <v>38</v>
      </c>
      <c r="Z169" s="634">
        <v>57</v>
      </c>
    </row>
    <row r="170" spans="1:26" ht="26" x14ac:dyDescent="0.3">
      <c r="A170" s="286">
        <v>166</v>
      </c>
      <c r="B170" s="291" t="s">
        <v>866</v>
      </c>
      <c r="C170" s="647">
        <v>197</v>
      </c>
      <c r="D170" s="634">
        <v>351</v>
      </c>
      <c r="E170" s="634">
        <v>548</v>
      </c>
      <c r="F170" s="647">
        <v>12</v>
      </c>
      <c r="G170" s="634">
        <v>35</v>
      </c>
      <c r="H170" s="634">
        <v>47</v>
      </c>
      <c r="I170" s="647">
        <v>1</v>
      </c>
      <c r="J170" s="634">
        <v>5</v>
      </c>
      <c r="K170" s="634">
        <v>6</v>
      </c>
      <c r="L170" s="647">
        <v>43</v>
      </c>
      <c r="M170" s="634">
        <v>113</v>
      </c>
      <c r="N170" s="634">
        <v>156</v>
      </c>
      <c r="O170" s="647">
        <v>0</v>
      </c>
      <c r="P170" s="634">
        <v>0</v>
      </c>
      <c r="Q170" s="634">
        <v>0</v>
      </c>
      <c r="R170" s="647">
        <v>2</v>
      </c>
      <c r="S170" s="634">
        <v>7</v>
      </c>
      <c r="T170" s="634">
        <v>9</v>
      </c>
      <c r="U170" s="647">
        <v>1</v>
      </c>
      <c r="V170" s="634">
        <v>5</v>
      </c>
      <c r="W170" s="634">
        <v>6</v>
      </c>
      <c r="X170" s="647">
        <v>1</v>
      </c>
      <c r="Y170" s="634">
        <v>1</v>
      </c>
      <c r="Z170" s="634">
        <v>2</v>
      </c>
    </row>
    <row r="171" spans="1:26" ht="26" x14ac:dyDescent="0.3">
      <c r="A171" s="286">
        <v>167</v>
      </c>
      <c r="B171" s="291" t="s">
        <v>227</v>
      </c>
      <c r="C171" s="647">
        <v>637</v>
      </c>
      <c r="D171" s="634">
        <v>866</v>
      </c>
      <c r="E171" s="634">
        <v>1503</v>
      </c>
      <c r="F171" s="647">
        <v>83</v>
      </c>
      <c r="G171" s="634">
        <v>76</v>
      </c>
      <c r="H171" s="634">
        <v>159</v>
      </c>
      <c r="I171" s="647">
        <v>69</v>
      </c>
      <c r="J171" s="634">
        <v>106</v>
      </c>
      <c r="K171" s="634">
        <v>175</v>
      </c>
      <c r="L171" s="647">
        <v>203</v>
      </c>
      <c r="M171" s="634">
        <v>266</v>
      </c>
      <c r="N171" s="634">
        <v>469</v>
      </c>
      <c r="O171" s="647">
        <v>0</v>
      </c>
      <c r="P171" s="634">
        <v>2</v>
      </c>
      <c r="Q171" s="634">
        <v>2</v>
      </c>
      <c r="R171" s="647">
        <v>50</v>
      </c>
      <c r="S171" s="634">
        <v>74</v>
      </c>
      <c r="T171" s="634">
        <v>124</v>
      </c>
      <c r="U171" s="647">
        <v>14</v>
      </c>
      <c r="V171" s="634">
        <v>30</v>
      </c>
      <c r="W171" s="634">
        <v>44</v>
      </c>
      <c r="X171" s="647">
        <v>6</v>
      </c>
      <c r="Y171" s="634">
        <v>5</v>
      </c>
      <c r="Z171" s="634">
        <v>11</v>
      </c>
    </row>
    <row r="172" spans="1:26" x14ac:dyDescent="0.3">
      <c r="A172" s="286">
        <v>168</v>
      </c>
      <c r="B172" s="291" t="s">
        <v>867</v>
      </c>
      <c r="C172" s="647">
        <v>564</v>
      </c>
      <c r="D172" s="634">
        <v>403</v>
      </c>
      <c r="E172" s="634">
        <v>967</v>
      </c>
      <c r="F172" s="647">
        <v>49</v>
      </c>
      <c r="G172" s="634">
        <v>39</v>
      </c>
      <c r="H172" s="634">
        <v>88</v>
      </c>
      <c r="I172" s="647">
        <v>7</v>
      </c>
      <c r="J172" s="634">
        <v>4</v>
      </c>
      <c r="K172" s="634">
        <v>11</v>
      </c>
      <c r="L172" s="647">
        <v>245</v>
      </c>
      <c r="M172" s="634">
        <v>206</v>
      </c>
      <c r="N172" s="634">
        <v>451</v>
      </c>
      <c r="O172" s="647">
        <v>2</v>
      </c>
      <c r="P172" s="634">
        <v>0</v>
      </c>
      <c r="Q172" s="634">
        <v>2</v>
      </c>
      <c r="R172" s="647">
        <v>37</v>
      </c>
      <c r="S172" s="634">
        <v>23</v>
      </c>
      <c r="T172" s="634">
        <v>60</v>
      </c>
      <c r="U172" s="647">
        <v>5</v>
      </c>
      <c r="V172" s="634">
        <v>7</v>
      </c>
      <c r="W172" s="634">
        <v>12</v>
      </c>
      <c r="X172" s="647">
        <v>11</v>
      </c>
      <c r="Y172" s="634">
        <v>9</v>
      </c>
      <c r="Z172" s="634">
        <v>20</v>
      </c>
    </row>
    <row r="173" spans="1:26" x14ac:dyDescent="0.3">
      <c r="A173" s="286">
        <v>169</v>
      </c>
      <c r="B173" s="291" t="s">
        <v>229</v>
      </c>
      <c r="C173" s="647">
        <v>1434</v>
      </c>
      <c r="D173" s="634">
        <v>728</v>
      </c>
      <c r="E173" s="634">
        <v>2162</v>
      </c>
      <c r="F173" s="647">
        <v>291</v>
      </c>
      <c r="G173" s="634">
        <v>121</v>
      </c>
      <c r="H173" s="634">
        <v>412</v>
      </c>
      <c r="I173" s="647">
        <v>158</v>
      </c>
      <c r="J173" s="634">
        <v>56</v>
      </c>
      <c r="K173" s="634">
        <v>214</v>
      </c>
      <c r="L173" s="647">
        <v>465</v>
      </c>
      <c r="M173" s="634">
        <v>182</v>
      </c>
      <c r="N173" s="634">
        <v>647</v>
      </c>
      <c r="O173" s="647">
        <v>9</v>
      </c>
      <c r="P173" s="634">
        <v>1</v>
      </c>
      <c r="Q173" s="634">
        <v>10</v>
      </c>
      <c r="R173" s="647">
        <v>68</v>
      </c>
      <c r="S173" s="634">
        <v>26</v>
      </c>
      <c r="T173" s="634">
        <v>94</v>
      </c>
      <c r="U173" s="647">
        <v>24</v>
      </c>
      <c r="V173" s="634">
        <v>22</v>
      </c>
      <c r="W173" s="634">
        <v>46</v>
      </c>
      <c r="X173" s="647">
        <v>5</v>
      </c>
      <c r="Y173" s="634">
        <v>6</v>
      </c>
      <c r="Z173" s="634">
        <v>11</v>
      </c>
    </row>
    <row r="174" spans="1:26" x14ac:dyDescent="0.3">
      <c r="A174" s="286">
        <v>170</v>
      </c>
      <c r="B174" s="291" t="s">
        <v>230</v>
      </c>
      <c r="C174" s="647">
        <v>664</v>
      </c>
      <c r="D174" s="634">
        <v>701</v>
      </c>
      <c r="E174" s="634">
        <v>1365</v>
      </c>
      <c r="F174" s="647">
        <v>60</v>
      </c>
      <c r="G174" s="634">
        <v>67</v>
      </c>
      <c r="H174" s="634">
        <v>127</v>
      </c>
      <c r="I174" s="647">
        <v>70</v>
      </c>
      <c r="J174" s="634">
        <v>58</v>
      </c>
      <c r="K174" s="634">
        <v>128</v>
      </c>
      <c r="L174" s="647">
        <v>198</v>
      </c>
      <c r="M174" s="634">
        <v>180</v>
      </c>
      <c r="N174" s="634">
        <v>378</v>
      </c>
      <c r="O174" s="647">
        <v>0</v>
      </c>
      <c r="P174" s="634">
        <v>1</v>
      </c>
      <c r="Q174" s="634">
        <v>1</v>
      </c>
      <c r="R174" s="647">
        <v>15</v>
      </c>
      <c r="S174" s="634">
        <v>7</v>
      </c>
      <c r="T174" s="634">
        <v>22</v>
      </c>
      <c r="U174" s="647">
        <v>0</v>
      </c>
      <c r="V174" s="634">
        <v>0</v>
      </c>
      <c r="W174" s="634">
        <v>0</v>
      </c>
      <c r="X174" s="647">
        <v>34</v>
      </c>
      <c r="Y174" s="634">
        <v>41</v>
      </c>
      <c r="Z174" s="634">
        <v>75</v>
      </c>
    </row>
    <row r="175" spans="1:26" ht="26" x14ac:dyDescent="0.3">
      <c r="A175" s="286">
        <v>171</v>
      </c>
      <c r="B175" s="291" t="s">
        <v>231</v>
      </c>
      <c r="C175" s="647">
        <v>3204</v>
      </c>
      <c r="D175" s="634">
        <v>3557</v>
      </c>
      <c r="E175" s="634">
        <v>6761</v>
      </c>
      <c r="F175" s="647">
        <v>652</v>
      </c>
      <c r="G175" s="634">
        <v>583</v>
      </c>
      <c r="H175" s="634">
        <v>1235</v>
      </c>
      <c r="I175" s="647">
        <v>247</v>
      </c>
      <c r="J175" s="634">
        <v>274</v>
      </c>
      <c r="K175" s="634">
        <v>521</v>
      </c>
      <c r="L175" s="647">
        <v>1165</v>
      </c>
      <c r="M175" s="634">
        <v>1167</v>
      </c>
      <c r="N175" s="634">
        <v>2332</v>
      </c>
      <c r="O175" s="647">
        <v>13</v>
      </c>
      <c r="P175" s="634">
        <v>5</v>
      </c>
      <c r="Q175" s="634">
        <v>18</v>
      </c>
      <c r="R175" s="647">
        <v>80</v>
      </c>
      <c r="S175" s="634">
        <v>73</v>
      </c>
      <c r="T175" s="634">
        <v>153</v>
      </c>
      <c r="U175" s="647">
        <v>39</v>
      </c>
      <c r="V175" s="634">
        <v>69</v>
      </c>
      <c r="W175" s="634">
        <v>108</v>
      </c>
      <c r="X175" s="647">
        <v>41</v>
      </c>
      <c r="Y175" s="634">
        <v>89</v>
      </c>
      <c r="Z175" s="634">
        <v>130</v>
      </c>
    </row>
    <row r="176" spans="1:26" x14ac:dyDescent="0.3">
      <c r="A176" s="286">
        <v>172</v>
      </c>
      <c r="B176" s="291" t="s">
        <v>232</v>
      </c>
      <c r="C176" s="647">
        <v>3927</v>
      </c>
      <c r="D176" s="634">
        <v>3468</v>
      </c>
      <c r="E176" s="634">
        <v>7395</v>
      </c>
      <c r="F176" s="647">
        <v>895</v>
      </c>
      <c r="G176" s="634">
        <v>674</v>
      </c>
      <c r="H176" s="634">
        <v>1569</v>
      </c>
      <c r="I176" s="647">
        <v>365</v>
      </c>
      <c r="J176" s="634">
        <v>316</v>
      </c>
      <c r="K176" s="634">
        <v>681</v>
      </c>
      <c r="L176" s="647">
        <v>1228</v>
      </c>
      <c r="M176" s="634">
        <v>1301</v>
      </c>
      <c r="N176" s="634">
        <v>2529</v>
      </c>
      <c r="O176" s="647">
        <v>36</v>
      </c>
      <c r="P176" s="634">
        <v>21</v>
      </c>
      <c r="Q176" s="634">
        <v>57</v>
      </c>
      <c r="R176" s="647">
        <v>97</v>
      </c>
      <c r="S176" s="634">
        <v>98</v>
      </c>
      <c r="T176" s="634">
        <v>195</v>
      </c>
      <c r="U176" s="647">
        <v>107</v>
      </c>
      <c r="V176" s="634">
        <v>151</v>
      </c>
      <c r="W176" s="634">
        <v>258</v>
      </c>
      <c r="X176" s="647">
        <v>102</v>
      </c>
      <c r="Y176" s="634">
        <v>98</v>
      </c>
      <c r="Z176" s="634">
        <v>200</v>
      </c>
    </row>
    <row r="177" spans="1:26" ht="26" x14ac:dyDescent="0.3">
      <c r="A177" s="286">
        <v>173</v>
      </c>
      <c r="B177" s="291" t="s">
        <v>868</v>
      </c>
      <c r="C177" s="647">
        <v>51</v>
      </c>
      <c r="D177" s="634">
        <v>185</v>
      </c>
      <c r="E177" s="634">
        <v>236</v>
      </c>
      <c r="F177" s="647">
        <v>14</v>
      </c>
      <c r="G177" s="634">
        <v>38</v>
      </c>
      <c r="H177" s="634">
        <v>52</v>
      </c>
      <c r="I177" s="647">
        <v>0</v>
      </c>
      <c r="J177" s="634">
        <v>5</v>
      </c>
      <c r="K177" s="634">
        <v>5</v>
      </c>
      <c r="L177" s="647">
        <v>24</v>
      </c>
      <c r="M177" s="634">
        <v>102</v>
      </c>
      <c r="N177" s="634">
        <v>126</v>
      </c>
      <c r="O177" s="647">
        <v>0</v>
      </c>
      <c r="P177" s="634">
        <v>0</v>
      </c>
      <c r="Q177" s="634">
        <v>0</v>
      </c>
      <c r="R177" s="647">
        <v>0</v>
      </c>
      <c r="S177" s="634">
        <v>1</v>
      </c>
      <c r="T177" s="634">
        <v>1</v>
      </c>
      <c r="U177" s="647">
        <v>4</v>
      </c>
      <c r="V177" s="634">
        <v>48</v>
      </c>
      <c r="W177" s="634">
        <v>52</v>
      </c>
      <c r="X177" s="647">
        <v>0</v>
      </c>
      <c r="Y177" s="634">
        <v>2</v>
      </c>
      <c r="Z177" s="634">
        <v>2</v>
      </c>
    </row>
    <row r="178" spans="1:26" ht="24.75" customHeight="1" x14ac:dyDescent="0.3">
      <c r="A178" s="286">
        <v>174</v>
      </c>
      <c r="B178" s="291" t="s">
        <v>869</v>
      </c>
      <c r="C178" s="647">
        <v>1665</v>
      </c>
      <c r="D178" s="634">
        <v>1904</v>
      </c>
      <c r="E178" s="634">
        <v>3569</v>
      </c>
      <c r="F178" s="647">
        <v>170</v>
      </c>
      <c r="G178" s="634">
        <v>135</v>
      </c>
      <c r="H178" s="634">
        <v>305</v>
      </c>
      <c r="I178" s="647">
        <v>80</v>
      </c>
      <c r="J178" s="634">
        <v>59</v>
      </c>
      <c r="K178" s="634">
        <v>139</v>
      </c>
      <c r="L178" s="647">
        <v>313</v>
      </c>
      <c r="M178" s="634">
        <v>298</v>
      </c>
      <c r="N178" s="634">
        <v>611</v>
      </c>
      <c r="O178" s="647">
        <v>5</v>
      </c>
      <c r="P178" s="634">
        <v>2</v>
      </c>
      <c r="Q178" s="634">
        <v>7</v>
      </c>
      <c r="R178" s="647">
        <v>11</v>
      </c>
      <c r="S178" s="634">
        <v>14</v>
      </c>
      <c r="T178" s="634">
        <v>25</v>
      </c>
      <c r="U178" s="647">
        <v>7</v>
      </c>
      <c r="V178" s="634">
        <v>4</v>
      </c>
      <c r="W178" s="634">
        <v>11</v>
      </c>
      <c r="X178" s="647">
        <v>57</v>
      </c>
      <c r="Y178" s="634">
        <v>44</v>
      </c>
      <c r="Z178" s="634">
        <v>101</v>
      </c>
    </row>
    <row r="179" spans="1:26" x14ac:dyDescent="0.3">
      <c r="A179" s="286">
        <v>175</v>
      </c>
      <c r="B179" s="291" t="s">
        <v>870</v>
      </c>
      <c r="C179" s="647">
        <v>20</v>
      </c>
      <c r="D179" s="634">
        <v>25</v>
      </c>
      <c r="E179" s="634">
        <v>45</v>
      </c>
      <c r="F179" s="647">
        <v>0</v>
      </c>
      <c r="G179" s="634">
        <v>0</v>
      </c>
      <c r="H179" s="634">
        <v>0</v>
      </c>
      <c r="I179" s="647">
        <v>0</v>
      </c>
      <c r="J179" s="634">
        <v>0</v>
      </c>
      <c r="K179" s="634">
        <v>0</v>
      </c>
      <c r="L179" s="647">
        <v>1</v>
      </c>
      <c r="M179" s="634">
        <v>1</v>
      </c>
      <c r="N179" s="634">
        <v>2</v>
      </c>
      <c r="O179" s="647">
        <v>0</v>
      </c>
      <c r="P179" s="634">
        <v>0</v>
      </c>
      <c r="Q179" s="634">
        <v>0</v>
      </c>
      <c r="R179" s="647">
        <v>1</v>
      </c>
      <c r="S179" s="634">
        <v>0</v>
      </c>
      <c r="T179" s="634">
        <v>1</v>
      </c>
      <c r="U179" s="647">
        <v>1</v>
      </c>
      <c r="V179" s="634">
        <v>3</v>
      </c>
      <c r="W179" s="634">
        <v>4</v>
      </c>
      <c r="X179" s="647">
        <v>0</v>
      </c>
      <c r="Y179" s="634">
        <v>0</v>
      </c>
      <c r="Z179" s="634">
        <v>0</v>
      </c>
    </row>
    <row r="180" spans="1:26" x14ac:dyDescent="0.3">
      <c r="A180" s="286">
        <v>176</v>
      </c>
      <c r="B180" s="291" t="s">
        <v>233</v>
      </c>
      <c r="C180" s="647">
        <v>8804</v>
      </c>
      <c r="D180" s="634">
        <v>4224</v>
      </c>
      <c r="E180" s="634">
        <v>13028</v>
      </c>
      <c r="F180" s="647">
        <v>833</v>
      </c>
      <c r="G180" s="634">
        <v>586</v>
      </c>
      <c r="H180" s="634">
        <v>1419</v>
      </c>
      <c r="I180" s="647">
        <v>307</v>
      </c>
      <c r="J180" s="634">
        <v>199</v>
      </c>
      <c r="K180" s="634">
        <v>506</v>
      </c>
      <c r="L180" s="647">
        <v>1283</v>
      </c>
      <c r="M180" s="634">
        <v>774</v>
      </c>
      <c r="N180" s="634">
        <v>2057</v>
      </c>
      <c r="O180" s="647">
        <v>13</v>
      </c>
      <c r="P180" s="634">
        <v>0</v>
      </c>
      <c r="Q180" s="634">
        <v>13</v>
      </c>
      <c r="R180" s="647">
        <v>105</v>
      </c>
      <c r="S180" s="634">
        <v>54</v>
      </c>
      <c r="T180" s="634">
        <v>159</v>
      </c>
      <c r="U180" s="647">
        <v>242</v>
      </c>
      <c r="V180" s="634">
        <v>182</v>
      </c>
      <c r="W180" s="634">
        <v>424</v>
      </c>
      <c r="X180" s="647">
        <v>92</v>
      </c>
      <c r="Y180" s="634">
        <v>47</v>
      </c>
      <c r="Z180" s="634">
        <v>139</v>
      </c>
    </row>
    <row r="181" spans="1:26" ht="26" x14ac:dyDescent="0.3">
      <c r="A181" s="286">
        <v>177</v>
      </c>
      <c r="B181" s="291" t="s">
        <v>871</v>
      </c>
      <c r="C181" s="647">
        <v>493</v>
      </c>
      <c r="D181" s="634">
        <v>242</v>
      </c>
      <c r="E181" s="634">
        <v>735</v>
      </c>
      <c r="F181" s="647">
        <v>47</v>
      </c>
      <c r="G181" s="634">
        <v>26</v>
      </c>
      <c r="H181" s="634">
        <v>73</v>
      </c>
      <c r="I181" s="647">
        <v>15</v>
      </c>
      <c r="J181" s="634">
        <v>14</v>
      </c>
      <c r="K181" s="634">
        <v>29</v>
      </c>
      <c r="L181" s="647">
        <v>195</v>
      </c>
      <c r="M181" s="634">
        <v>102</v>
      </c>
      <c r="N181" s="634">
        <v>297</v>
      </c>
      <c r="O181" s="647">
        <v>0</v>
      </c>
      <c r="P181" s="634">
        <v>0</v>
      </c>
      <c r="Q181" s="634">
        <v>0</v>
      </c>
      <c r="R181" s="647">
        <v>0</v>
      </c>
      <c r="S181" s="634">
        <v>1</v>
      </c>
      <c r="T181" s="634">
        <v>1</v>
      </c>
      <c r="U181" s="647">
        <v>10</v>
      </c>
      <c r="V181" s="634">
        <v>6</v>
      </c>
      <c r="W181" s="634">
        <v>16</v>
      </c>
      <c r="X181" s="647">
        <v>0</v>
      </c>
      <c r="Y181" s="634">
        <v>0</v>
      </c>
      <c r="Z181" s="634">
        <v>0</v>
      </c>
    </row>
    <row r="182" spans="1:26" x14ac:dyDescent="0.3">
      <c r="A182" s="286">
        <v>178</v>
      </c>
      <c r="B182" s="291" t="s">
        <v>234</v>
      </c>
      <c r="C182" s="647">
        <v>743</v>
      </c>
      <c r="D182" s="634">
        <v>1012</v>
      </c>
      <c r="E182" s="634">
        <v>1755</v>
      </c>
      <c r="F182" s="647">
        <v>163</v>
      </c>
      <c r="G182" s="634">
        <v>168</v>
      </c>
      <c r="H182" s="634">
        <v>331</v>
      </c>
      <c r="I182" s="647">
        <v>31</v>
      </c>
      <c r="J182" s="634">
        <v>48</v>
      </c>
      <c r="K182" s="634">
        <v>79</v>
      </c>
      <c r="L182" s="647">
        <v>194</v>
      </c>
      <c r="M182" s="634">
        <v>266</v>
      </c>
      <c r="N182" s="634">
        <v>460</v>
      </c>
      <c r="O182" s="647">
        <v>1</v>
      </c>
      <c r="P182" s="634">
        <v>3</v>
      </c>
      <c r="Q182" s="634">
        <v>4</v>
      </c>
      <c r="R182" s="647">
        <v>7</v>
      </c>
      <c r="S182" s="634">
        <v>0</v>
      </c>
      <c r="T182" s="634">
        <v>7</v>
      </c>
      <c r="U182" s="647">
        <v>40</v>
      </c>
      <c r="V182" s="634">
        <v>34</v>
      </c>
      <c r="W182" s="634">
        <v>74</v>
      </c>
      <c r="X182" s="647">
        <v>20</v>
      </c>
      <c r="Y182" s="634">
        <v>26</v>
      </c>
      <c r="Z182" s="634">
        <v>46</v>
      </c>
    </row>
    <row r="183" spans="1:26" x14ac:dyDescent="0.3">
      <c r="A183" s="286">
        <v>179</v>
      </c>
      <c r="B183" s="291" t="s">
        <v>872</v>
      </c>
      <c r="C183" s="647">
        <v>138</v>
      </c>
      <c r="D183" s="634">
        <v>94</v>
      </c>
      <c r="E183" s="634">
        <v>232</v>
      </c>
      <c r="F183" s="647">
        <v>0</v>
      </c>
      <c r="G183" s="634">
        <v>0</v>
      </c>
      <c r="H183" s="634">
        <v>0</v>
      </c>
      <c r="I183" s="647">
        <v>0</v>
      </c>
      <c r="J183" s="634">
        <v>0</v>
      </c>
      <c r="K183" s="634">
        <v>0</v>
      </c>
      <c r="L183" s="647">
        <v>3</v>
      </c>
      <c r="M183" s="634">
        <v>2</v>
      </c>
      <c r="N183" s="634">
        <v>5</v>
      </c>
      <c r="O183" s="647">
        <v>0</v>
      </c>
      <c r="P183" s="634">
        <v>0</v>
      </c>
      <c r="Q183" s="634">
        <v>0</v>
      </c>
      <c r="R183" s="647">
        <v>138</v>
      </c>
      <c r="S183" s="634">
        <v>89</v>
      </c>
      <c r="T183" s="634">
        <v>227</v>
      </c>
      <c r="U183" s="647">
        <v>0</v>
      </c>
      <c r="V183" s="634">
        <v>0</v>
      </c>
      <c r="W183" s="634">
        <v>0</v>
      </c>
      <c r="X183" s="647">
        <v>0</v>
      </c>
      <c r="Y183" s="634">
        <v>0</v>
      </c>
      <c r="Z183" s="634">
        <v>0</v>
      </c>
    </row>
    <row r="184" spans="1:26" ht="26" x14ac:dyDescent="0.3">
      <c r="A184" s="286">
        <v>180</v>
      </c>
      <c r="B184" s="291" t="s">
        <v>235</v>
      </c>
      <c r="C184" s="647">
        <v>178</v>
      </c>
      <c r="D184" s="634">
        <v>465</v>
      </c>
      <c r="E184" s="634">
        <v>643</v>
      </c>
      <c r="F184" s="647">
        <v>17</v>
      </c>
      <c r="G184" s="634">
        <v>51</v>
      </c>
      <c r="H184" s="634">
        <v>68</v>
      </c>
      <c r="I184" s="647">
        <v>2</v>
      </c>
      <c r="J184" s="634">
        <v>16</v>
      </c>
      <c r="K184" s="634">
        <v>18</v>
      </c>
      <c r="L184" s="647">
        <v>75</v>
      </c>
      <c r="M184" s="634">
        <v>131</v>
      </c>
      <c r="N184" s="634">
        <v>206</v>
      </c>
      <c r="O184" s="647">
        <v>0</v>
      </c>
      <c r="P184" s="634">
        <v>0</v>
      </c>
      <c r="Q184" s="634">
        <v>0</v>
      </c>
      <c r="R184" s="647">
        <v>2</v>
      </c>
      <c r="S184" s="634">
        <v>3</v>
      </c>
      <c r="T184" s="634">
        <v>5</v>
      </c>
      <c r="U184" s="647">
        <v>4</v>
      </c>
      <c r="V184" s="634">
        <v>13</v>
      </c>
      <c r="W184" s="634">
        <v>17</v>
      </c>
      <c r="X184" s="647">
        <v>5</v>
      </c>
      <c r="Y184" s="634">
        <v>4</v>
      </c>
      <c r="Z184" s="634">
        <v>9</v>
      </c>
    </row>
    <row r="185" spans="1:26" x14ac:dyDescent="0.3">
      <c r="A185" s="286">
        <v>181</v>
      </c>
      <c r="B185" s="291" t="s">
        <v>236</v>
      </c>
      <c r="C185" s="647">
        <v>337</v>
      </c>
      <c r="D185" s="634">
        <v>561</v>
      </c>
      <c r="E185" s="634">
        <v>898</v>
      </c>
      <c r="F185" s="647">
        <v>22</v>
      </c>
      <c r="G185" s="634">
        <v>33</v>
      </c>
      <c r="H185" s="634">
        <v>55</v>
      </c>
      <c r="I185" s="647">
        <v>4</v>
      </c>
      <c r="J185" s="634">
        <v>18</v>
      </c>
      <c r="K185" s="634">
        <v>22</v>
      </c>
      <c r="L185" s="647">
        <v>52</v>
      </c>
      <c r="M185" s="634">
        <v>134</v>
      </c>
      <c r="N185" s="634">
        <v>186</v>
      </c>
      <c r="O185" s="647">
        <v>0</v>
      </c>
      <c r="P185" s="634">
        <v>0</v>
      </c>
      <c r="Q185" s="634">
        <v>0</v>
      </c>
      <c r="R185" s="647">
        <v>3</v>
      </c>
      <c r="S185" s="634">
        <v>10</v>
      </c>
      <c r="T185" s="634">
        <v>13</v>
      </c>
      <c r="U185" s="647">
        <v>1</v>
      </c>
      <c r="V185" s="634">
        <v>11</v>
      </c>
      <c r="W185" s="634">
        <v>12</v>
      </c>
      <c r="X185" s="647">
        <v>1</v>
      </c>
      <c r="Y185" s="634">
        <v>0</v>
      </c>
      <c r="Z185" s="634">
        <v>1</v>
      </c>
    </row>
    <row r="186" spans="1:26" x14ac:dyDescent="0.3">
      <c r="A186" s="286">
        <v>182</v>
      </c>
      <c r="B186" s="291" t="s">
        <v>237</v>
      </c>
      <c r="C186" s="647">
        <v>1540</v>
      </c>
      <c r="D186" s="634">
        <v>1646</v>
      </c>
      <c r="E186" s="634">
        <v>3186</v>
      </c>
      <c r="F186" s="647">
        <v>256</v>
      </c>
      <c r="G186" s="634">
        <v>151</v>
      </c>
      <c r="H186" s="634">
        <v>407</v>
      </c>
      <c r="I186" s="647">
        <v>85</v>
      </c>
      <c r="J186" s="634">
        <v>64</v>
      </c>
      <c r="K186" s="634">
        <v>149</v>
      </c>
      <c r="L186" s="647">
        <v>396</v>
      </c>
      <c r="M186" s="634">
        <v>354</v>
      </c>
      <c r="N186" s="634">
        <v>750</v>
      </c>
      <c r="O186" s="647">
        <v>11</v>
      </c>
      <c r="P186" s="634">
        <v>13</v>
      </c>
      <c r="Q186" s="634">
        <v>24</v>
      </c>
      <c r="R186" s="647">
        <v>11</v>
      </c>
      <c r="S186" s="634">
        <v>2</v>
      </c>
      <c r="T186" s="634">
        <v>13</v>
      </c>
      <c r="U186" s="647">
        <v>14</v>
      </c>
      <c r="V186" s="634">
        <v>10</v>
      </c>
      <c r="W186" s="634">
        <v>24</v>
      </c>
      <c r="X186" s="647">
        <v>28</v>
      </c>
      <c r="Y186" s="634">
        <v>25</v>
      </c>
      <c r="Z186" s="634">
        <v>53</v>
      </c>
    </row>
    <row r="187" spans="1:26" x14ac:dyDescent="0.3">
      <c r="A187" s="286">
        <v>183</v>
      </c>
      <c r="B187" s="291" t="s">
        <v>873</v>
      </c>
      <c r="C187" s="647">
        <v>1522</v>
      </c>
      <c r="D187" s="634">
        <v>813</v>
      </c>
      <c r="E187" s="634">
        <v>2335</v>
      </c>
      <c r="F187" s="647">
        <v>197</v>
      </c>
      <c r="G187" s="634">
        <v>109</v>
      </c>
      <c r="H187" s="634">
        <v>306</v>
      </c>
      <c r="I187" s="647">
        <v>143</v>
      </c>
      <c r="J187" s="634">
        <v>60</v>
      </c>
      <c r="K187" s="634">
        <v>203</v>
      </c>
      <c r="L187" s="647">
        <v>480</v>
      </c>
      <c r="M187" s="634">
        <v>263</v>
      </c>
      <c r="N187" s="634">
        <v>743</v>
      </c>
      <c r="O187" s="647">
        <v>2</v>
      </c>
      <c r="P187" s="634">
        <v>1</v>
      </c>
      <c r="Q187" s="634">
        <v>3</v>
      </c>
      <c r="R187" s="647">
        <v>37</v>
      </c>
      <c r="S187" s="634">
        <v>13</v>
      </c>
      <c r="T187" s="634">
        <v>50</v>
      </c>
      <c r="U187" s="647">
        <v>34</v>
      </c>
      <c r="V187" s="634">
        <v>11</v>
      </c>
      <c r="W187" s="634">
        <v>45</v>
      </c>
      <c r="X187" s="647">
        <v>29</v>
      </c>
      <c r="Y187" s="634">
        <v>23</v>
      </c>
      <c r="Z187" s="634">
        <v>52</v>
      </c>
    </row>
    <row r="188" spans="1:26" x14ac:dyDescent="0.3">
      <c r="A188" s="286">
        <v>184</v>
      </c>
      <c r="B188" s="291" t="s">
        <v>238</v>
      </c>
      <c r="C188" s="647">
        <v>7334</v>
      </c>
      <c r="D188" s="634">
        <v>3718</v>
      </c>
      <c r="E188" s="634">
        <v>11052</v>
      </c>
      <c r="F188" s="647">
        <v>1193</v>
      </c>
      <c r="G188" s="634">
        <v>616</v>
      </c>
      <c r="H188" s="634">
        <v>1809</v>
      </c>
      <c r="I188" s="647">
        <v>517</v>
      </c>
      <c r="J188" s="634">
        <v>209</v>
      </c>
      <c r="K188" s="634">
        <v>726</v>
      </c>
      <c r="L188" s="647">
        <v>2360</v>
      </c>
      <c r="M188" s="634">
        <v>1162</v>
      </c>
      <c r="N188" s="634">
        <v>3522</v>
      </c>
      <c r="O188" s="647">
        <v>0</v>
      </c>
      <c r="P188" s="634">
        <v>0</v>
      </c>
      <c r="Q188" s="634">
        <v>0</v>
      </c>
      <c r="R188" s="647">
        <v>280</v>
      </c>
      <c r="S188" s="634">
        <v>94</v>
      </c>
      <c r="T188" s="634">
        <v>374</v>
      </c>
      <c r="U188" s="647">
        <v>158</v>
      </c>
      <c r="V188" s="634">
        <v>84</v>
      </c>
      <c r="W188" s="634">
        <v>242</v>
      </c>
      <c r="X188" s="647">
        <v>160</v>
      </c>
      <c r="Y188" s="634">
        <v>79</v>
      </c>
      <c r="Z188" s="634">
        <v>239</v>
      </c>
    </row>
    <row r="189" spans="1:26" x14ac:dyDescent="0.3">
      <c r="A189" s="286">
        <v>185</v>
      </c>
      <c r="B189" s="291" t="s">
        <v>239</v>
      </c>
      <c r="C189" s="647">
        <v>1145</v>
      </c>
      <c r="D189" s="634">
        <v>2015</v>
      </c>
      <c r="E189" s="634">
        <v>3160</v>
      </c>
      <c r="F189" s="647">
        <v>121</v>
      </c>
      <c r="G189" s="634">
        <v>170</v>
      </c>
      <c r="H189" s="634">
        <v>291</v>
      </c>
      <c r="I189" s="647">
        <v>66</v>
      </c>
      <c r="J189" s="634">
        <v>112</v>
      </c>
      <c r="K189" s="634">
        <v>178</v>
      </c>
      <c r="L189" s="647">
        <v>277</v>
      </c>
      <c r="M189" s="634">
        <v>513</v>
      </c>
      <c r="N189" s="634">
        <v>790</v>
      </c>
      <c r="O189" s="647">
        <v>1</v>
      </c>
      <c r="P189" s="634">
        <v>3</v>
      </c>
      <c r="Q189" s="634">
        <v>4</v>
      </c>
      <c r="R189" s="647">
        <v>46</v>
      </c>
      <c r="S189" s="634">
        <v>110</v>
      </c>
      <c r="T189" s="634">
        <v>156</v>
      </c>
      <c r="U189" s="647">
        <v>39</v>
      </c>
      <c r="V189" s="634">
        <v>91</v>
      </c>
      <c r="W189" s="634">
        <v>130</v>
      </c>
      <c r="X189" s="647">
        <v>19</v>
      </c>
      <c r="Y189" s="634">
        <v>43</v>
      </c>
      <c r="Z189" s="634">
        <v>62</v>
      </c>
    </row>
    <row r="190" spans="1:26" ht="26" x14ac:dyDescent="0.3">
      <c r="A190" s="286">
        <v>186</v>
      </c>
      <c r="B190" s="291" t="s">
        <v>240</v>
      </c>
      <c r="C190" s="647">
        <v>22</v>
      </c>
      <c r="D190" s="634">
        <v>13</v>
      </c>
      <c r="E190" s="634">
        <v>35</v>
      </c>
      <c r="F190" s="647">
        <v>3</v>
      </c>
      <c r="G190" s="634">
        <v>2</v>
      </c>
      <c r="H190" s="634">
        <v>5</v>
      </c>
      <c r="I190" s="647">
        <v>1</v>
      </c>
      <c r="J190" s="634">
        <v>1</v>
      </c>
      <c r="K190" s="634">
        <v>2</v>
      </c>
      <c r="L190" s="647">
        <v>7</v>
      </c>
      <c r="M190" s="634">
        <v>1</v>
      </c>
      <c r="N190" s="634">
        <v>8</v>
      </c>
      <c r="O190" s="647">
        <v>0</v>
      </c>
      <c r="P190" s="634">
        <v>0</v>
      </c>
      <c r="Q190" s="634">
        <v>0</v>
      </c>
      <c r="R190" s="647">
        <v>1</v>
      </c>
      <c r="S190" s="634">
        <v>0</v>
      </c>
      <c r="T190" s="634">
        <v>1</v>
      </c>
      <c r="U190" s="647">
        <v>2</v>
      </c>
      <c r="V190" s="634">
        <v>1</v>
      </c>
      <c r="W190" s="634">
        <v>3</v>
      </c>
      <c r="X190" s="647">
        <v>1</v>
      </c>
      <c r="Y190" s="634">
        <v>0</v>
      </c>
      <c r="Z190" s="634">
        <v>1</v>
      </c>
    </row>
    <row r="191" spans="1:26" x14ac:dyDescent="0.3">
      <c r="A191" s="286">
        <v>187</v>
      </c>
      <c r="B191" s="291" t="s">
        <v>874</v>
      </c>
      <c r="C191" s="647">
        <v>43</v>
      </c>
      <c r="D191" s="634">
        <v>24</v>
      </c>
      <c r="E191" s="634">
        <v>67</v>
      </c>
      <c r="F191" s="647">
        <v>8</v>
      </c>
      <c r="G191" s="634">
        <v>0</v>
      </c>
      <c r="H191" s="634">
        <v>8</v>
      </c>
      <c r="I191" s="647">
        <v>3</v>
      </c>
      <c r="J191" s="634">
        <v>0</v>
      </c>
      <c r="K191" s="634">
        <v>3</v>
      </c>
      <c r="L191" s="647">
        <v>13</v>
      </c>
      <c r="M191" s="634">
        <v>5</v>
      </c>
      <c r="N191" s="634">
        <v>18</v>
      </c>
      <c r="O191" s="647">
        <v>0</v>
      </c>
      <c r="P191" s="634">
        <v>0</v>
      </c>
      <c r="Q191" s="634">
        <v>0</v>
      </c>
      <c r="R191" s="647">
        <v>5</v>
      </c>
      <c r="S191" s="634">
        <v>1</v>
      </c>
      <c r="T191" s="634">
        <v>6</v>
      </c>
      <c r="U191" s="647">
        <v>0</v>
      </c>
      <c r="V191" s="634">
        <v>0</v>
      </c>
      <c r="W191" s="634">
        <v>0</v>
      </c>
      <c r="X191" s="647">
        <v>1</v>
      </c>
      <c r="Y191" s="634">
        <v>2</v>
      </c>
      <c r="Z191" s="634">
        <v>3</v>
      </c>
    </row>
    <row r="192" spans="1:26" x14ac:dyDescent="0.3">
      <c r="A192" s="286">
        <v>188</v>
      </c>
      <c r="B192" s="291" t="s">
        <v>241</v>
      </c>
      <c r="C192" s="647">
        <v>3255</v>
      </c>
      <c r="D192" s="634">
        <v>6919</v>
      </c>
      <c r="E192" s="634">
        <v>10174</v>
      </c>
      <c r="F192" s="647">
        <v>333</v>
      </c>
      <c r="G192" s="634">
        <v>566</v>
      </c>
      <c r="H192" s="634">
        <v>899</v>
      </c>
      <c r="I192" s="647">
        <v>109</v>
      </c>
      <c r="J192" s="634">
        <v>176</v>
      </c>
      <c r="K192" s="634">
        <v>285</v>
      </c>
      <c r="L192" s="647">
        <v>979</v>
      </c>
      <c r="M192" s="634">
        <v>1705</v>
      </c>
      <c r="N192" s="634">
        <v>2684</v>
      </c>
      <c r="O192" s="647">
        <v>9</v>
      </c>
      <c r="P192" s="634">
        <v>11</v>
      </c>
      <c r="Q192" s="634">
        <v>20</v>
      </c>
      <c r="R192" s="647">
        <v>150</v>
      </c>
      <c r="S192" s="634">
        <v>275</v>
      </c>
      <c r="T192" s="634">
        <v>425</v>
      </c>
      <c r="U192" s="647">
        <v>109</v>
      </c>
      <c r="V192" s="634">
        <v>297</v>
      </c>
      <c r="W192" s="634">
        <v>406</v>
      </c>
      <c r="X192" s="647">
        <v>46</v>
      </c>
      <c r="Y192" s="634">
        <v>157</v>
      </c>
      <c r="Z192" s="634">
        <v>203</v>
      </c>
    </row>
    <row r="193" spans="1:26" x14ac:dyDescent="0.3">
      <c r="A193" s="286">
        <v>189</v>
      </c>
      <c r="B193" s="291" t="s">
        <v>242</v>
      </c>
      <c r="C193" s="647">
        <v>22481</v>
      </c>
      <c r="D193" s="634">
        <v>23594</v>
      </c>
      <c r="E193" s="634">
        <v>46075</v>
      </c>
      <c r="F193" s="647">
        <v>2334</v>
      </c>
      <c r="G193" s="634">
        <v>2798</v>
      </c>
      <c r="H193" s="634">
        <v>5132</v>
      </c>
      <c r="I193" s="647">
        <v>839</v>
      </c>
      <c r="J193" s="634">
        <v>881</v>
      </c>
      <c r="K193" s="634">
        <v>1720</v>
      </c>
      <c r="L193" s="647">
        <v>8628</v>
      </c>
      <c r="M193" s="634">
        <v>9244</v>
      </c>
      <c r="N193" s="634">
        <v>17872</v>
      </c>
      <c r="O193" s="647">
        <v>39</v>
      </c>
      <c r="P193" s="634">
        <v>30</v>
      </c>
      <c r="Q193" s="634">
        <v>69</v>
      </c>
      <c r="R193" s="647">
        <v>1095</v>
      </c>
      <c r="S193" s="634">
        <v>1181</v>
      </c>
      <c r="T193" s="634">
        <v>2276</v>
      </c>
      <c r="U193" s="647">
        <v>315</v>
      </c>
      <c r="V193" s="634">
        <v>426</v>
      </c>
      <c r="W193" s="634">
        <v>741</v>
      </c>
      <c r="X193" s="647">
        <v>661</v>
      </c>
      <c r="Y193" s="634">
        <v>700</v>
      </c>
      <c r="Z193" s="634">
        <v>1361</v>
      </c>
    </row>
    <row r="194" spans="1:26" x14ac:dyDescent="0.3">
      <c r="A194" s="286">
        <v>190</v>
      </c>
      <c r="B194" s="291" t="s">
        <v>243</v>
      </c>
      <c r="C194" s="647">
        <v>1270</v>
      </c>
      <c r="D194" s="634">
        <v>1964</v>
      </c>
      <c r="E194" s="634">
        <v>3234</v>
      </c>
      <c r="F194" s="647">
        <v>245</v>
      </c>
      <c r="G194" s="634">
        <v>206</v>
      </c>
      <c r="H194" s="634">
        <v>451</v>
      </c>
      <c r="I194" s="647">
        <v>53</v>
      </c>
      <c r="J194" s="634">
        <v>64</v>
      </c>
      <c r="K194" s="634">
        <v>117</v>
      </c>
      <c r="L194" s="647">
        <v>409</v>
      </c>
      <c r="M194" s="634">
        <v>778</v>
      </c>
      <c r="N194" s="634">
        <v>1187</v>
      </c>
      <c r="O194" s="647">
        <v>14</v>
      </c>
      <c r="P194" s="634">
        <v>4</v>
      </c>
      <c r="Q194" s="634">
        <v>18</v>
      </c>
      <c r="R194" s="647">
        <v>35</v>
      </c>
      <c r="S194" s="634">
        <v>58</v>
      </c>
      <c r="T194" s="634">
        <v>93</v>
      </c>
      <c r="U194" s="647">
        <v>34</v>
      </c>
      <c r="V194" s="634">
        <v>126</v>
      </c>
      <c r="W194" s="634">
        <v>160</v>
      </c>
      <c r="X194" s="647">
        <v>50</v>
      </c>
      <c r="Y194" s="634">
        <v>41</v>
      </c>
      <c r="Z194" s="634">
        <v>91</v>
      </c>
    </row>
    <row r="195" spans="1:26" x14ac:dyDescent="0.3">
      <c r="A195" s="286">
        <v>191</v>
      </c>
      <c r="B195" s="291" t="s">
        <v>244</v>
      </c>
      <c r="C195" s="647">
        <v>1111</v>
      </c>
      <c r="D195" s="634">
        <v>1087</v>
      </c>
      <c r="E195" s="634">
        <v>2198</v>
      </c>
      <c r="F195" s="647">
        <v>117</v>
      </c>
      <c r="G195" s="634">
        <v>83</v>
      </c>
      <c r="H195" s="634">
        <v>200</v>
      </c>
      <c r="I195" s="647">
        <v>28</v>
      </c>
      <c r="J195" s="634">
        <v>32</v>
      </c>
      <c r="K195" s="634">
        <v>60</v>
      </c>
      <c r="L195" s="647">
        <v>315</v>
      </c>
      <c r="M195" s="634">
        <v>258</v>
      </c>
      <c r="N195" s="634">
        <v>573</v>
      </c>
      <c r="O195" s="647">
        <v>5</v>
      </c>
      <c r="P195" s="634">
        <v>2</v>
      </c>
      <c r="Q195" s="634">
        <v>7</v>
      </c>
      <c r="R195" s="647">
        <v>39</v>
      </c>
      <c r="S195" s="634">
        <v>29</v>
      </c>
      <c r="T195" s="634">
        <v>68</v>
      </c>
      <c r="U195" s="647">
        <v>34</v>
      </c>
      <c r="V195" s="634">
        <v>39</v>
      </c>
      <c r="W195" s="634">
        <v>73</v>
      </c>
      <c r="X195" s="647">
        <v>51</v>
      </c>
      <c r="Y195" s="634">
        <v>29</v>
      </c>
      <c r="Z195" s="634">
        <v>80</v>
      </c>
    </row>
    <row r="196" spans="1:26" x14ac:dyDescent="0.3">
      <c r="A196" s="286">
        <v>192</v>
      </c>
      <c r="B196" s="291" t="s">
        <v>245</v>
      </c>
      <c r="C196" s="647">
        <v>6115</v>
      </c>
      <c r="D196" s="634">
        <v>8331</v>
      </c>
      <c r="E196" s="634">
        <v>14446</v>
      </c>
      <c r="F196" s="647">
        <v>828</v>
      </c>
      <c r="G196" s="634">
        <v>920</v>
      </c>
      <c r="H196" s="634">
        <v>1748</v>
      </c>
      <c r="I196" s="647">
        <v>441</v>
      </c>
      <c r="J196" s="634">
        <v>566</v>
      </c>
      <c r="K196" s="634">
        <v>1007</v>
      </c>
      <c r="L196" s="647">
        <v>2090</v>
      </c>
      <c r="M196" s="634">
        <v>3441</v>
      </c>
      <c r="N196" s="634">
        <v>5531</v>
      </c>
      <c r="O196" s="647">
        <v>18</v>
      </c>
      <c r="P196" s="634">
        <v>17</v>
      </c>
      <c r="Q196" s="634">
        <v>35</v>
      </c>
      <c r="R196" s="647">
        <v>133</v>
      </c>
      <c r="S196" s="634">
        <v>370</v>
      </c>
      <c r="T196" s="634">
        <v>503</v>
      </c>
      <c r="U196" s="647">
        <v>110</v>
      </c>
      <c r="V196" s="634">
        <v>302</v>
      </c>
      <c r="W196" s="634">
        <v>412</v>
      </c>
      <c r="X196" s="647">
        <v>238</v>
      </c>
      <c r="Y196" s="634">
        <v>223</v>
      </c>
      <c r="Z196" s="634">
        <v>461</v>
      </c>
    </row>
    <row r="197" spans="1:26" x14ac:dyDescent="0.3">
      <c r="A197" s="286">
        <v>193</v>
      </c>
      <c r="B197" s="291" t="s">
        <v>246</v>
      </c>
      <c r="C197" s="647">
        <v>13466</v>
      </c>
      <c r="D197" s="634">
        <v>12640</v>
      </c>
      <c r="E197" s="634">
        <v>26106</v>
      </c>
      <c r="F197" s="647">
        <v>1213</v>
      </c>
      <c r="G197" s="634">
        <v>1190</v>
      </c>
      <c r="H197" s="634">
        <v>2403</v>
      </c>
      <c r="I197" s="647">
        <v>574</v>
      </c>
      <c r="J197" s="634">
        <v>558</v>
      </c>
      <c r="K197" s="634">
        <v>1132</v>
      </c>
      <c r="L197" s="647">
        <v>3751</v>
      </c>
      <c r="M197" s="634">
        <v>3493</v>
      </c>
      <c r="N197" s="634">
        <v>7244</v>
      </c>
      <c r="O197" s="647">
        <v>12</v>
      </c>
      <c r="P197" s="634">
        <v>13</v>
      </c>
      <c r="Q197" s="634">
        <v>25</v>
      </c>
      <c r="R197" s="647">
        <v>517</v>
      </c>
      <c r="S197" s="634">
        <v>464</v>
      </c>
      <c r="T197" s="634">
        <v>981</v>
      </c>
      <c r="U197" s="647">
        <v>316</v>
      </c>
      <c r="V197" s="634">
        <v>343</v>
      </c>
      <c r="W197" s="634">
        <v>659</v>
      </c>
      <c r="X197" s="647">
        <v>376</v>
      </c>
      <c r="Y197" s="634">
        <v>255</v>
      </c>
      <c r="Z197" s="634">
        <v>631</v>
      </c>
    </row>
    <row r="198" spans="1:26" x14ac:dyDescent="0.3">
      <c r="A198" s="286">
        <v>194</v>
      </c>
      <c r="B198" s="291" t="s">
        <v>247</v>
      </c>
      <c r="C198" s="647">
        <v>36625</v>
      </c>
      <c r="D198" s="634">
        <v>44608</v>
      </c>
      <c r="E198" s="634">
        <v>81233</v>
      </c>
      <c r="F198" s="647">
        <v>7628</v>
      </c>
      <c r="G198" s="634">
        <v>8535</v>
      </c>
      <c r="H198" s="634">
        <v>16163</v>
      </c>
      <c r="I198" s="647">
        <v>6965</v>
      </c>
      <c r="J198" s="634">
        <v>7436</v>
      </c>
      <c r="K198" s="634">
        <v>14401</v>
      </c>
      <c r="L198" s="647">
        <v>11805</v>
      </c>
      <c r="M198" s="634">
        <v>14369</v>
      </c>
      <c r="N198" s="634">
        <v>26174</v>
      </c>
      <c r="O198" s="647">
        <v>99</v>
      </c>
      <c r="P198" s="634">
        <v>94</v>
      </c>
      <c r="Q198" s="634">
        <v>193</v>
      </c>
      <c r="R198" s="647">
        <v>542</v>
      </c>
      <c r="S198" s="634">
        <v>802</v>
      </c>
      <c r="T198" s="634">
        <v>1344</v>
      </c>
      <c r="U198" s="647">
        <v>1216</v>
      </c>
      <c r="V198" s="634">
        <v>2234</v>
      </c>
      <c r="W198" s="634">
        <v>3450</v>
      </c>
      <c r="X198" s="647">
        <v>415</v>
      </c>
      <c r="Y198" s="634">
        <v>569</v>
      </c>
      <c r="Z198" s="634">
        <v>984</v>
      </c>
    </row>
    <row r="199" spans="1:26" ht="26" x14ac:dyDescent="0.3">
      <c r="A199" s="286">
        <v>195</v>
      </c>
      <c r="B199" s="291" t="s">
        <v>875</v>
      </c>
      <c r="C199" s="647">
        <v>233</v>
      </c>
      <c r="D199" s="634">
        <v>217</v>
      </c>
      <c r="E199" s="634">
        <v>450</v>
      </c>
      <c r="F199" s="647">
        <v>37</v>
      </c>
      <c r="G199" s="634">
        <v>23</v>
      </c>
      <c r="H199" s="634">
        <v>60</v>
      </c>
      <c r="I199" s="647">
        <v>11</v>
      </c>
      <c r="J199" s="634">
        <v>20</v>
      </c>
      <c r="K199" s="634">
        <v>31</v>
      </c>
      <c r="L199" s="647">
        <v>111</v>
      </c>
      <c r="M199" s="634">
        <v>88</v>
      </c>
      <c r="N199" s="634">
        <v>199</v>
      </c>
      <c r="O199" s="647">
        <v>2</v>
      </c>
      <c r="P199" s="634">
        <v>0</v>
      </c>
      <c r="Q199" s="634">
        <v>2</v>
      </c>
      <c r="R199" s="647">
        <v>1</v>
      </c>
      <c r="S199" s="634">
        <v>1</v>
      </c>
      <c r="T199" s="634">
        <v>2</v>
      </c>
      <c r="U199" s="647">
        <v>1</v>
      </c>
      <c r="V199" s="634">
        <v>2</v>
      </c>
      <c r="W199" s="634">
        <v>3</v>
      </c>
      <c r="X199" s="647">
        <v>29</v>
      </c>
      <c r="Y199" s="634">
        <v>15</v>
      </c>
      <c r="Z199" s="634">
        <v>44</v>
      </c>
    </row>
    <row r="200" spans="1:26" x14ac:dyDescent="0.3">
      <c r="A200" s="286">
        <v>196</v>
      </c>
      <c r="B200" s="291" t="s">
        <v>876</v>
      </c>
      <c r="C200" s="647">
        <v>130</v>
      </c>
      <c r="D200" s="634">
        <v>270</v>
      </c>
      <c r="E200" s="634">
        <v>400</v>
      </c>
      <c r="F200" s="647">
        <v>14</v>
      </c>
      <c r="G200" s="634">
        <v>33</v>
      </c>
      <c r="H200" s="634">
        <v>47</v>
      </c>
      <c r="I200" s="647">
        <v>10</v>
      </c>
      <c r="J200" s="634">
        <v>20</v>
      </c>
      <c r="K200" s="634">
        <v>30</v>
      </c>
      <c r="L200" s="647">
        <v>36</v>
      </c>
      <c r="M200" s="634">
        <v>58</v>
      </c>
      <c r="N200" s="634">
        <v>94</v>
      </c>
      <c r="O200" s="647">
        <v>0</v>
      </c>
      <c r="P200" s="634">
        <v>0</v>
      </c>
      <c r="Q200" s="634">
        <v>0</v>
      </c>
      <c r="R200" s="647">
        <v>5</v>
      </c>
      <c r="S200" s="634">
        <v>8</v>
      </c>
      <c r="T200" s="634">
        <v>13</v>
      </c>
      <c r="U200" s="647">
        <v>0</v>
      </c>
      <c r="V200" s="634">
        <v>8</v>
      </c>
      <c r="W200" s="634">
        <v>8</v>
      </c>
      <c r="X200" s="647">
        <v>1</v>
      </c>
      <c r="Y200" s="634">
        <v>11</v>
      </c>
      <c r="Z200" s="634">
        <v>12</v>
      </c>
    </row>
    <row r="201" spans="1:26" ht="26" x14ac:dyDescent="0.3">
      <c r="A201" s="286">
        <v>197</v>
      </c>
      <c r="B201" s="291" t="s">
        <v>877</v>
      </c>
      <c r="C201" s="647">
        <v>26</v>
      </c>
      <c r="D201" s="634">
        <v>30</v>
      </c>
      <c r="E201" s="634">
        <v>56</v>
      </c>
      <c r="F201" s="647">
        <v>2</v>
      </c>
      <c r="G201" s="634">
        <v>3</v>
      </c>
      <c r="H201" s="634">
        <v>5</v>
      </c>
      <c r="I201" s="647">
        <v>0</v>
      </c>
      <c r="J201" s="634">
        <v>0</v>
      </c>
      <c r="K201" s="634">
        <v>0</v>
      </c>
      <c r="L201" s="647">
        <v>13</v>
      </c>
      <c r="M201" s="634">
        <v>8</v>
      </c>
      <c r="N201" s="634">
        <v>21</v>
      </c>
      <c r="O201" s="647">
        <v>0</v>
      </c>
      <c r="P201" s="634">
        <v>0</v>
      </c>
      <c r="Q201" s="634">
        <v>0</v>
      </c>
      <c r="R201" s="647">
        <v>0</v>
      </c>
      <c r="S201" s="634">
        <v>0</v>
      </c>
      <c r="T201" s="634">
        <v>0</v>
      </c>
      <c r="U201" s="647">
        <v>1</v>
      </c>
      <c r="V201" s="634">
        <v>0</v>
      </c>
      <c r="W201" s="634">
        <v>1</v>
      </c>
      <c r="X201" s="647">
        <v>1</v>
      </c>
      <c r="Y201" s="634">
        <v>0</v>
      </c>
      <c r="Z201" s="634">
        <v>1</v>
      </c>
    </row>
    <row r="202" spans="1:26" ht="26" x14ac:dyDescent="0.3">
      <c r="A202" s="286">
        <v>198</v>
      </c>
      <c r="B202" s="291" t="s">
        <v>248</v>
      </c>
      <c r="C202" s="647">
        <v>3409</v>
      </c>
      <c r="D202" s="634">
        <v>12333</v>
      </c>
      <c r="E202" s="634">
        <v>15742</v>
      </c>
      <c r="F202" s="647">
        <v>550</v>
      </c>
      <c r="G202" s="634">
        <v>1994</v>
      </c>
      <c r="H202" s="634">
        <v>2544</v>
      </c>
      <c r="I202" s="647">
        <v>252</v>
      </c>
      <c r="J202" s="634">
        <v>1201</v>
      </c>
      <c r="K202" s="634">
        <v>1453</v>
      </c>
      <c r="L202" s="647">
        <v>1048</v>
      </c>
      <c r="M202" s="634">
        <v>3591</v>
      </c>
      <c r="N202" s="634">
        <v>4639</v>
      </c>
      <c r="O202" s="647">
        <v>4</v>
      </c>
      <c r="P202" s="634">
        <v>3</v>
      </c>
      <c r="Q202" s="634">
        <v>7</v>
      </c>
      <c r="R202" s="647">
        <v>91</v>
      </c>
      <c r="S202" s="634">
        <v>194</v>
      </c>
      <c r="T202" s="634">
        <v>285</v>
      </c>
      <c r="U202" s="647">
        <v>55</v>
      </c>
      <c r="V202" s="634">
        <v>551</v>
      </c>
      <c r="W202" s="634">
        <v>606</v>
      </c>
      <c r="X202" s="647">
        <v>57</v>
      </c>
      <c r="Y202" s="634">
        <v>107</v>
      </c>
      <c r="Z202" s="634">
        <v>164</v>
      </c>
    </row>
    <row r="203" spans="1:26" ht="26" x14ac:dyDescent="0.3">
      <c r="A203" s="286">
        <v>199</v>
      </c>
      <c r="B203" s="291" t="s">
        <v>249</v>
      </c>
      <c r="C203" s="647">
        <v>1071</v>
      </c>
      <c r="D203" s="634">
        <v>758</v>
      </c>
      <c r="E203" s="634">
        <v>1829</v>
      </c>
      <c r="F203" s="647">
        <v>147</v>
      </c>
      <c r="G203" s="634">
        <v>146</v>
      </c>
      <c r="H203" s="634">
        <v>293</v>
      </c>
      <c r="I203" s="647">
        <v>33</v>
      </c>
      <c r="J203" s="634">
        <v>27</v>
      </c>
      <c r="K203" s="634">
        <v>60</v>
      </c>
      <c r="L203" s="647">
        <v>338</v>
      </c>
      <c r="M203" s="634">
        <v>231</v>
      </c>
      <c r="N203" s="634">
        <v>569</v>
      </c>
      <c r="O203" s="647">
        <v>4</v>
      </c>
      <c r="P203" s="634">
        <v>0</v>
      </c>
      <c r="Q203" s="634">
        <v>4</v>
      </c>
      <c r="R203" s="647">
        <v>27</v>
      </c>
      <c r="S203" s="634">
        <v>12</v>
      </c>
      <c r="T203" s="634">
        <v>39</v>
      </c>
      <c r="U203" s="647">
        <v>23</v>
      </c>
      <c r="V203" s="634">
        <v>18</v>
      </c>
      <c r="W203" s="634">
        <v>41</v>
      </c>
      <c r="X203" s="647">
        <v>60</v>
      </c>
      <c r="Y203" s="634">
        <v>31</v>
      </c>
      <c r="Z203" s="634">
        <v>91</v>
      </c>
    </row>
    <row r="204" spans="1:26" ht="39" x14ac:dyDescent="0.3">
      <c r="A204" s="286">
        <v>200</v>
      </c>
      <c r="B204" s="291" t="s">
        <v>878</v>
      </c>
      <c r="C204" s="647">
        <v>235</v>
      </c>
      <c r="D204" s="634">
        <v>111</v>
      </c>
      <c r="E204" s="634">
        <v>346</v>
      </c>
      <c r="F204" s="647">
        <v>19</v>
      </c>
      <c r="G204" s="634">
        <v>5</v>
      </c>
      <c r="H204" s="634">
        <v>24</v>
      </c>
      <c r="I204" s="647">
        <v>6</v>
      </c>
      <c r="J204" s="634">
        <v>6</v>
      </c>
      <c r="K204" s="634">
        <v>12</v>
      </c>
      <c r="L204" s="647">
        <v>71</v>
      </c>
      <c r="M204" s="634">
        <v>43</v>
      </c>
      <c r="N204" s="634">
        <v>114</v>
      </c>
      <c r="O204" s="647">
        <v>0</v>
      </c>
      <c r="P204" s="634">
        <v>0</v>
      </c>
      <c r="Q204" s="634">
        <v>0</v>
      </c>
      <c r="R204" s="647">
        <v>6</v>
      </c>
      <c r="S204" s="634">
        <v>0</v>
      </c>
      <c r="T204" s="634">
        <v>6</v>
      </c>
      <c r="U204" s="647">
        <v>3</v>
      </c>
      <c r="V204" s="634">
        <v>0</v>
      </c>
      <c r="W204" s="634">
        <v>3</v>
      </c>
      <c r="X204" s="647">
        <v>15</v>
      </c>
      <c r="Y204" s="634">
        <v>3</v>
      </c>
      <c r="Z204" s="634">
        <v>18</v>
      </c>
    </row>
    <row r="205" spans="1:26" ht="26" x14ac:dyDescent="0.3">
      <c r="A205" s="286">
        <v>201</v>
      </c>
      <c r="B205" s="291" t="s">
        <v>250</v>
      </c>
      <c r="C205" s="647">
        <v>91</v>
      </c>
      <c r="D205" s="634">
        <v>146</v>
      </c>
      <c r="E205" s="634">
        <v>237</v>
      </c>
      <c r="F205" s="647">
        <v>14</v>
      </c>
      <c r="G205" s="634">
        <v>17</v>
      </c>
      <c r="H205" s="634">
        <v>31</v>
      </c>
      <c r="I205" s="647">
        <v>12</v>
      </c>
      <c r="J205" s="634">
        <v>18</v>
      </c>
      <c r="K205" s="634">
        <v>30</v>
      </c>
      <c r="L205" s="647">
        <v>33</v>
      </c>
      <c r="M205" s="634">
        <v>39</v>
      </c>
      <c r="N205" s="634">
        <v>72</v>
      </c>
      <c r="O205" s="647">
        <v>0</v>
      </c>
      <c r="P205" s="634">
        <v>0</v>
      </c>
      <c r="Q205" s="634">
        <v>0</v>
      </c>
      <c r="R205" s="647">
        <v>5</v>
      </c>
      <c r="S205" s="634">
        <v>11</v>
      </c>
      <c r="T205" s="634">
        <v>16</v>
      </c>
      <c r="U205" s="647">
        <v>1</v>
      </c>
      <c r="V205" s="634">
        <v>4</v>
      </c>
      <c r="W205" s="634">
        <v>5</v>
      </c>
      <c r="X205" s="647">
        <v>3</v>
      </c>
      <c r="Y205" s="634">
        <v>2</v>
      </c>
      <c r="Z205" s="634">
        <v>5</v>
      </c>
    </row>
    <row r="206" spans="1:26" ht="26" x14ac:dyDescent="0.3">
      <c r="A206" s="286">
        <v>202</v>
      </c>
      <c r="B206" s="291" t="s">
        <v>251</v>
      </c>
      <c r="C206" s="647">
        <v>192</v>
      </c>
      <c r="D206" s="634">
        <v>272</v>
      </c>
      <c r="E206" s="634">
        <v>464</v>
      </c>
      <c r="F206" s="647">
        <v>20</v>
      </c>
      <c r="G206" s="634">
        <v>30</v>
      </c>
      <c r="H206" s="634">
        <v>50</v>
      </c>
      <c r="I206" s="647">
        <v>3</v>
      </c>
      <c r="J206" s="634">
        <v>8</v>
      </c>
      <c r="K206" s="634">
        <v>11</v>
      </c>
      <c r="L206" s="647">
        <v>89</v>
      </c>
      <c r="M206" s="634">
        <v>89</v>
      </c>
      <c r="N206" s="634">
        <v>178</v>
      </c>
      <c r="O206" s="647">
        <v>0</v>
      </c>
      <c r="P206" s="634">
        <v>0</v>
      </c>
      <c r="Q206" s="634">
        <v>0</v>
      </c>
      <c r="R206" s="647">
        <v>16</v>
      </c>
      <c r="S206" s="634">
        <v>18</v>
      </c>
      <c r="T206" s="634">
        <v>34</v>
      </c>
      <c r="U206" s="647">
        <v>2</v>
      </c>
      <c r="V206" s="634">
        <v>5</v>
      </c>
      <c r="W206" s="634">
        <v>7</v>
      </c>
      <c r="X206" s="647">
        <v>2</v>
      </c>
      <c r="Y206" s="634">
        <v>5</v>
      </c>
      <c r="Z206" s="634">
        <v>7</v>
      </c>
    </row>
    <row r="207" spans="1:26" ht="26" x14ac:dyDescent="0.3">
      <c r="A207" s="286">
        <v>203</v>
      </c>
      <c r="B207" s="291" t="s">
        <v>252</v>
      </c>
      <c r="C207" s="647">
        <v>393</v>
      </c>
      <c r="D207" s="634">
        <v>702</v>
      </c>
      <c r="E207" s="634">
        <v>1095</v>
      </c>
      <c r="F207" s="647">
        <v>64</v>
      </c>
      <c r="G207" s="634">
        <v>79</v>
      </c>
      <c r="H207" s="634">
        <v>143</v>
      </c>
      <c r="I207" s="647">
        <v>5</v>
      </c>
      <c r="J207" s="634">
        <v>13</v>
      </c>
      <c r="K207" s="634">
        <v>18</v>
      </c>
      <c r="L207" s="647">
        <v>115</v>
      </c>
      <c r="M207" s="634">
        <v>236</v>
      </c>
      <c r="N207" s="634">
        <v>351</v>
      </c>
      <c r="O207" s="647">
        <v>0</v>
      </c>
      <c r="P207" s="634">
        <v>0</v>
      </c>
      <c r="Q207" s="634">
        <v>0</v>
      </c>
      <c r="R207" s="647">
        <v>31</v>
      </c>
      <c r="S207" s="634">
        <v>77</v>
      </c>
      <c r="T207" s="634">
        <v>108</v>
      </c>
      <c r="U207" s="647">
        <v>3</v>
      </c>
      <c r="V207" s="634">
        <v>22</v>
      </c>
      <c r="W207" s="634">
        <v>25</v>
      </c>
      <c r="X207" s="647">
        <v>7</v>
      </c>
      <c r="Y207" s="634">
        <v>34</v>
      </c>
      <c r="Z207" s="634">
        <v>41</v>
      </c>
    </row>
    <row r="208" spans="1:26" ht="26" x14ac:dyDescent="0.3">
      <c r="A208" s="286">
        <v>204</v>
      </c>
      <c r="B208" s="291" t="s">
        <v>879</v>
      </c>
      <c r="C208" s="647">
        <v>31</v>
      </c>
      <c r="D208" s="634">
        <v>53</v>
      </c>
      <c r="E208" s="634">
        <v>84</v>
      </c>
      <c r="F208" s="647">
        <v>5</v>
      </c>
      <c r="G208" s="634">
        <v>6</v>
      </c>
      <c r="H208" s="634">
        <v>11</v>
      </c>
      <c r="I208" s="647">
        <v>2</v>
      </c>
      <c r="J208" s="634">
        <v>1</v>
      </c>
      <c r="K208" s="634">
        <v>3</v>
      </c>
      <c r="L208" s="647">
        <v>5</v>
      </c>
      <c r="M208" s="634">
        <v>20</v>
      </c>
      <c r="N208" s="634">
        <v>25</v>
      </c>
      <c r="O208" s="647">
        <v>0</v>
      </c>
      <c r="P208" s="634">
        <v>0</v>
      </c>
      <c r="Q208" s="634">
        <v>0</v>
      </c>
      <c r="R208" s="647">
        <v>1</v>
      </c>
      <c r="S208" s="634">
        <v>4</v>
      </c>
      <c r="T208" s="634">
        <v>5</v>
      </c>
      <c r="U208" s="647">
        <v>1</v>
      </c>
      <c r="V208" s="634">
        <v>1</v>
      </c>
      <c r="W208" s="634">
        <v>2</v>
      </c>
      <c r="X208" s="647">
        <v>1</v>
      </c>
      <c r="Y208" s="634">
        <v>0</v>
      </c>
      <c r="Z208" s="634">
        <v>1</v>
      </c>
    </row>
    <row r="209" spans="1:26" ht="26" x14ac:dyDescent="0.3">
      <c r="A209" s="286">
        <v>205</v>
      </c>
      <c r="B209" s="291" t="s">
        <v>253</v>
      </c>
      <c r="C209" s="647">
        <v>69</v>
      </c>
      <c r="D209" s="634">
        <v>123</v>
      </c>
      <c r="E209" s="634">
        <v>192</v>
      </c>
      <c r="F209" s="647">
        <v>4</v>
      </c>
      <c r="G209" s="634">
        <v>10</v>
      </c>
      <c r="H209" s="634">
        <v>14</v>
      </c>
      <c r="I209" s="647">
        <v>0</v>
      </c>
      <c r="J209" s="634">
        <v>3</v>
      </c>
      <c r="K209" s="634">
        <v>3</v>
      </c>
      <c r="L209" s="647">
        <v>22</v>
      </c>
      <c r="M209" s="634">
        <v>31</v>
      </c>
      <c r="N209" s="634">
        <v>53</v>
      </c>
      <c r="O209" s="647">
        <v>0</v>
      </c>
      <c r="P209" s="634">
        <v>0</v>
      </c>
      <c r="Q209" s="634">
        <v>0</v>
      </c>
      <c r="R209" s="647">
        <v>4</v>
      </c>
      <c r="S209" s="634">
        <v>13</v>
      </c>
      <c r="T209" s="634">
        <v>17</v>
      </c>
      <c r="U209" s="647">
        <v>2</v>
      </c>
      <c r="V209" s="634">
        <v>3</v>
      </c>
      <c r="W209" s="634">
        <v>5</v>
      </c>
      <c r="X209" s="647">
        <v>2</v>
      </c>
      <c r="Y209" s="634">
        <v>4</v>
      </c>
      <c r="Z209" s="634">
        <v>6</v>
      </c>
    </row>
    <row r="210" spans="1:26" ht="26" x14ac:dyDescent="0.3">
      <c r="A210" s="286">
        <v>206</v>
      </c>
      <c r="B210" s="291" t="s">
        <v>880</v>
      </c>
      <c r="C210" s="647">
        <v>97</v>
      </c>
      <c r="D210" s="634">
        <v>170</v>
      </c>
      <c r="E210" s="634">
        <v>267</v>
      </c>
      <c r="F210" s="647">
        <v>12</v>
      </c>
      <c r="G210" s="634">
        <v>20</v>
      </c>
      <c r="H210" s="634">
        <v>32</v>
      </c>
      <c r="I210" s="647">
        <v>6</v>
      </c>
      <c r="J210" s="634">
        <v>17</v>
      </c>
      <c r="K210" s="634">
        <v>23</v>
      </c>
      <c r="L210" s="647">
        <v>34</v>
      </c>
      <c r="M210" s="634">
        <v>55</v>
      </c>
      <c r="N210" s="634">
        <v>89</v>
      </c>
      <c r="O210" s="647">
        <v>0</v>
      </c>
      <c r="P210" s="634">
        <v>0</v>
      </c>
      <c r="Q210" s="634">
        <v>0</v>
      </c>
      <c r="R210" s="647">
        <v>0</v>
      </c>
      <c r="S210" s="634">
        <v>0</v>
      </c>
      <c r="T210" s="634">
        <v>0</v>
      </c>
      <c r="U210" s="647">
        <v>0</v>
      </c>
      <c r="V210" s="634">
        <v>0</v>
      </c>
      <c r="W210" s="634">
        <v>0</v>
      </c>
      <c r="X210" s="647">
        <v>10</v>
      </c>
      <c r="Y210" s="634">
        <v>5</v>
      </c>
      <c r="Z210" s="634">
        <v>15</v>
      </c>
    </row>
    <row r="211" spans="1:26" x14ac:dyDescent="0.3">
      <c r="A211" s="286">
        <v>207</v>
      </c>
      <c r="B211" s="291" t="s">
        <v>254</v>
      </c>
      <c r="C211" s="647">
        <v>402797</v>
      </c>
      <c r="D211" s="634">
        <v>601537</v>
      </c>
      <c r="E211" s="634">
        <v>1004334</v>
      </c>
      <c r="F211" s="647">
        <v>56591</v>
      </c>
      <c r="G211" s="634">
        <v>74720</v>
      </c>
      <c r="H211" s="634">
        <v>131311</v>
      </c>
      <c r="I211" s="647">
        <v>24690</v>
      </c>
      <c r="J211" s="634">
        <v>31330</v>
      </c>
      <c r="K211" s="634">
        <v>56020</v>
      </c>
      <c r="L211" s="647">
        <v>167490</v>
      </c>
      <c r="M211" s="634">
        <v>262618</v>
      </c>
      <c r="N211" s="634">
        <v>430108</v>
      </c>
      <c r="O211" s="647">
        <v>816</v>
      </c>
      <c r="P211" s="634">
        <v>735</v>
      </c>
      <c r="Q211" s="634">
        <v>1551</v>
      </c>
      <c r="R211" s="647">
        <v>13250</v>
      </c>
      <c r="S211" s="634">
        <v>24810</v>
      </c>
      <c r="T211" s="634">
        <v>38060</v>
      </c>
      <c r="U211" s="647">
        <v>8116</v>
      </c>
      <c r="V211" s="634">
        <v>19302</v>
      </c>
      <c r="W211" s="634">
        <v>27418</v>
      </c>
      <c r="X211" s="647">
        <v>11532</v>
      </c>
      <c r="Y211" s="634">
        <v>16599</v>
      </c>
      <c r="Z211" s="634">
        <v>28131</v>
      </c>
    </row>
    <row r="212" spans="1:26" x14ac:dyDescent="0.3">
      <c r="A212" s="286">
        <v>208</v>
      </c>
      <c r="B212" s="291" t="s">
        <v>255</v>
      </c>
      <c r="C212" s="647">
        <v>1092</v>
      </c>
      <c r="D212" s="634">
        <v>1522</v>
      </c>
      <c r="E212" s="634">
        <v>2614</v>
      </c>
      <c r="F212" s="647">
        <v>110</v>
      </c>
      <c r="G212" s="634">
        <v>185</v>
      </c>
      <c r="H212" s="634">
        <v>295</v>
      </c>
      <c r="I212" s="647">
        <v>48</v>
      </c>
      <c r="J212" s="634">
        <v>42</v>
      </c>
      <c r="K212" s="634">
        <v>90</v>
      </c>
      <c r="L212" s="647">
        <v>456</v>
      </c>
      <c r="M212" s="634">
        <v>659</v>
      </c>
      <c r="N212" s="634">
        <v>1115</v>
      </c>
      <c r="O212" s="647">
        <v>7</v>
      </c>
      <c r="P212" s="634">
        <v>3</v>
      </c>
      <c r="Q212" s="634">
        <v>10</v>
      </c>
      <c r="R212" s="647">
        <v>57</v>
      </c>
      <c r="S212" s="634">
        <v>110</v>
      </c>
      <c r="T212" s="634">
        <v>167</v>
      </c>
      <c r="U212" s="647">
        <v>39</v>
      </c>
      <c r="V212" s="634">
        <v>56</v>
      </c>
      <c r="W212" s="634">
        <v>95</v>
      </c>
      <c r="X212" s="647">
        <v>20</v>
      </c>
      <c r="Y212" s="634">
        <v>43</v>
      </c>
      <c r="Z212" s="634">
        <v>63</v>
      </c>
    </row>
    <row r="213" spans="1:26" x14ac:dyDescent="0.3">
      <c r="A213" s="286">
        <v>209</v>
      </c>
      <c r="B213" s="291" t="s">
        <v>256</v>
      </c>
      <c r="C213" s="647">
        <v>81952</v>
      </c>
      <c r="D213" s="634">
        <v>34677</v>
      </c>
      <c r="E213" s="634">
        <v>116629</v>
      </c>
      <c r="F213" s="647">
        <v>10238</v>
      </c>
      <c r="G213" s="634">
        <v>4537</v>
      </c>
      <c r="H213" s="634">
        <v>14775</v>
      </c>
      <c r="I213" s="647">
        <v>3483</v>
      </c>
      <c r="J213" s="634">
        <v>1523</v>
      </c>
      <c r="K213" s="634">
        <v>5006</v>
      </c>
      <c r="L213" s="647">
        <v>23508</v>
      </c>
      <c r="M213" s="634">
        <v>10847</v>
      </c>
      <c r="N213" s="634">
        <v>34355</v>
      </c>
      <c r="O213" s="647">
        <v>194</v>
      </c>
      <c r="P213" s="634">
        <v>29</v>
      </c>
      <c r="Q213" s="634">
        <v>223</v>
      </c>
      <c r="R213" s="647">
        <v>3484</v>
      </c>
      <c r="S213" s="634">
        <v>1591</v>
      </c>
      <c r="T213" s="634">
        <v>5075</v>
      </c>
      <c r="U213" s="647">
        <v>1706</v>
      </c>
      <c r="V213" s="634">
        <v>1251</v>
      </c>
      <c r="W213" s="634">
        <v>2957</v>
      </c>
      <c r="X213" s="647">
        <v>3809</v>
      </c>
      <c r="Y213" s="634">
        <v>1089</v>
      </c>
      <c r="Z213" s="634">
        <v>4898</v>
      </c>
    </row>
    <row r="214" spans="1:26" ht="26" x14ac:dyDescent="0.3">
      <c r="A214" s="286">
        <v>210</v>
      </c>
      <c r="B214" s="291" t="s">
        <v>881</v>
      </c>
      <c r="C214" s="647">
        <v>42</v>
      </c>
      <c r="D214" s="634">
        <v>14</v>
      </c>
      <c r="E214" s="634">
        <v>56</v>
      </c>
      <c r="F214" s="647">
        <v>8</v>
      </c>
      <c r="G214" s="634">
        <v>1</v>
      </c>
      <c r="H214" s="634">
        <v>9</v>
      </c>
      <c r="I214" s="647">
        <v>0</v>
      </c>
      <c r="J214" s="634">
        <v>0</v>
      </c>
      <c r="K214" s="634">
        <v>0</v>
      </c>
      <c r="L214" s="647">
        <v>8</v>
      </c>
      <c r="M214" s="634">
        <v>3</v>
      </c>
      <c r="N214" s="634">
        <v>11</v>
      </c>
      <c r="O214" s="647">
        <v>0</v>
      </c>
      <c r="P214" s="634">
        <v>0</v>
      </c>
      <c r="Q214" s="634">
        <v>0</v>
      </c>
      <c r="R214" s="647">
        <v>0</v>
      </c>
      <c r="S214" s="634">
        <v>0</v>
      </c>
      <c r="T214" s="634">
        <v>0</v>
      </c>
      <c r="U214" s="647">
        <v>0</v>
      </c>
      <c r="V214" s="634">
        <v>0</v>
      </c>
      <c r="W214" s="634">
        <v>0</v>
      </c>
      <c r="X214" s="647">
        <v>4</v>
      </c>
      <c r="Y214" s="634">
        <v>1</v>
      </c>
      <c r="Z214" s="634">
        <v>5</v>
      </c>
    </row>
    <row r="215" spans="1:26" x14ac:dyDescent="0.3">
      <c r="A215" s="286">
        <v>211</v>
      </c>
      <c r="B215" s="291" t="s">
        <v>882</v>
      </c>
      <c r="C215" s="647">
        <v>92</v>
      </c>
      <c r="D215" s="634">
        <v>60</v>
      </c>
      <c r="E215" s="634">
        <v>152</v>
      </c>
      <c r="F215" s="647">
        <v>9</v>
      </c>
      <c r="G215" s="634">
        <v>3</v>
      </c>
      <c r="H215" s="634">
        <v>12</v>
      </c>
      <c r="I215" s="647">
        <v>3</v>
      </c>
      <c r="J215" s="634">
        <v>0</v>
      </c>
      <c r="K215" s="634">
        <v>3</v>
      </c>
      <c r="L215" s="647">
        <v>21</v>
      </c>
      <c r="M215" s="634">
        <v>11</v>
      </c>
      <c r="N215" s="634">
        <v>32</v>
      </c>
      <c r="O215" s="647">
        <v>0</v>
      </c>
      <c r="P215" s="634">
        <v>0</v>
      </c>
      <c r="Q215" s="634">
        <v>0</v>
      </c>
      <c r="R215" s="647">
        <v>0</v>
      </c>
      <c r="S215" s="634">
        <v>0</v>
      </c>
      <c r="T215" s="634">
        <v>0</v>
      </c>
      <c r="U215" s="647">
        <v>1</v>
      </c>
      <c r="V215" s="634">
        <v>0</v>
      </c>
      <c r="W215" s="634">
        <v>1</v>
      </c>
      <c r="X215" s="647">
        <v>1</v>
      </c>
      <c r="Y215" s="634">
        <v>0</v>
      </c>
      <c r="Z215" s="634">
        <v>1</v>
      </c>
    </row>
    <row r="216" spans="1:26" x14ac:dyDescent="0.3">
      <c r="A216" s="286">
        <v>212</v>
      </c>
      <c r="B216" s="291" t="s">
        <v>257</v>
      </c>
      <c r="C216" s="647">
        <v>255</v>
      </c>
      <c r="D216" s="634">
        <v>261</v>
      </c>
      <c r="E216" s="634">
        <v>516</v>
      </c>
      <c r="F216" s="647">
        <v>42</v>
      </c>
      <c r="G216" s="634">
        <v>30</v>
      </c>
      <c r="H216" s="634">
        <v>72</v>
      </c>
      <c r="I216" s="647">
        <v>16</v>
      </c>
      <c r="J216" s="634">
        <v>7</v>
      </c>
      <c r="K216" s="634">
        <v>23</v>
      </c>
      <c r="L216" s="647">
        <v>62</v>
      </c>
      <c r="M216" s="634">
        <v>60</v>
      </c>
      <c r="N216" s="634">
        <v>122</v>
      </c>
      <c r="O216" s="647">
        <v>0</v>
      </c>
      <c r="P216" s="634">
        <v>0</v>
      </c>
      <c r="Q216" s="634">
        <v>0</v>
      </c>
      <c r="R216" s="647">
        <v>1</v>
      </c>
      <c r="S216" s="634">
        <v>0</v>
      </c>
      <c r="T216" s="634">
        <v>1</v>
      </c>
      <c r="U216" s="647">
        <v>0</v>
      </c>
      <c r="V216" s="634">
        <v>2</v>
      </c>
      <c r="W216" s="634">
        <v>2</v>
      </c>
      <c r="X216" s="647">
        <v>3</v>
      </c>
      <c r="Y216" s="634">
        <v>5</v>
      </c>
      <c r="Z216" s="634">
        <v>8</v>
      </c>
    </row>
    <row r="217" spans="1:26" x14ac:dyDescent="0.3">
      <c r="A217" s="286">
        <v>213</v>
      </c>
      <c r="B217" s="291" t="s">
        <v>883</v>
      </c>
      <c r="C217" s="647">
        <v>2219</v>
      </c>
      <c r="D217" s="634">
        <v>1879</v>
      </c>
      <c r="E217" s="634">
        <v>4098</v>
      </c>
      <c r="F217" s="647">
        <v>260</v>
      </c>
      <c r="G217" s="634">
        <v>206</v>
      </c>
      <c r="H217" s="634">
        <v>466</v>
      </c>
      <c r="I217" s="647">
        <v>154</v>
      </c>
      <c r="J217" s="634">
        <v>202</v>
      </c>
      <c r="K217" s="634">
        <v>356</v>
      </c>
      <c r="L217" s="647">
        <v>726</v>
      </c>
      <c r="M217" s="634">
        <v>653</v>
      </c>
      <c r="N217" s="634">
        <v>1379</v>
      </c>
      <c r="O217" s="647">
        <v>4</v>
      </c>
      <c r="P217" s="634">
        <v>5</v>
      </c>
      <c r="Q217" s="634">
        <v>9</v>
      </c>
      <c r="R217" s="647">
        <v>82</v>
      </c>
      <c r="S217" s="634">
        <v>72</v>
      </c>
      <c r="T217" s="634">
        <v>154</v>
      </c>
      <c r="U217" s="647">
        <v>48</v>
      </c>
      <c r="V217" s="634">
        <v>37</v>
      </c>
      <c r="W217" s="634">
        <v>85</v>
      </c>
      <c r="X217" s="647">
        <v>106</v>
      </c>
      <c r="Y217" s="634">
        <v>57</v>
      </c>
      <c r="Z217" s="634">
        <v>163</v>
      </c>
    </row>
    <row r="218" spans="1:26" x14ac:dyDescent="0.3">
      <c r="A218" s="286">
        <v>214</v>
      </c>
      <c r="B218" s="291" t="s">
        <v>258</v>
      </c>
      <c r="C218" s="647">
        <v>738</v>
      </c>
      <c r="D218" s="634">
        <v>1003</v>
      </c>
      <c r="E218" s="634">
        <v>1741</v>
      </c>
      <c r="F218" s="647">
        <v>80</v>
      </c>
      <c r="G218" s="634">
        <v>83</v>
      </c>
      <c r="H218" s="634">
        <v>163</v>
      </c>
      <c r="I218" s="647">
        <v>26</v>
      </c>
      <c r="J218" s="634">
        <v>24</v>
      </c>
      <c r="K218" s="634">
        <v>50</v>
      </c>
      <c r="L218" s="647">
        <v>202</v>
      </c>
      <c r="M218" s="634">
        <v>330</v>
      </c>
      <c r="N218" s="634">
        <v>532</v>
      </c>
      <c r="O218" s="647">
        <v>0</v>
      </c>
      <c r="P218" s="634">
        <v>1</v>
      </c>
      <c r="Q218" s="634">
        <v>1</v>
      </c>
      <c r="R218" s="647">
        <v>50</v>
      </c>
      <c r="S218" s="634">
        <v>77</v>
      </c>
      <c r="T218" s="634">
        <v>127</v>
      </c>
      <c r="U218" s="647">
        <v>61</v>
      </c>
      <c r="V218" s="634">
        <v>84</v>
      </c>
      <c r="W218" s="634">
        <v>145</v>
      </c>
      <c r="X218" s="647">
        <v>17</v>
      </c>
      <c r="Y218" s="634">
        <v>38</v>
      </c>
      <c r="Z218" s="634">
        <v>55</v>
      </c>
    </row>
    <row r="219" spans="1:26" ht="22.5" customHeight="1" x14ac:dyDescent="0.3">
      <c r="A219" s="286">
        <v>215</v>
      </c>
      <c r="B219" s="291" t="s">
        <v>884</v>
      </c>
      <c r="C219" s="647">
        <v>498</v>
      </c>
      <c r="D219" s="634">
        <v>529</v>
      </c>
      <c r="E219" s="634">
        <v>1027</v>
      </c>
      <c r="F219" s="647">
        <v>89</v>
      </c>
      <c r="G219" s="634">
        <v>116</v>
      </c>
      <c r="H219" s="634">
        <v>205</v>
      </c>
      <c r="I219" s="647">
        <v>8</v>
      </c>
      <c r="J219" s="634">
        <v>5</v>
      </c>
      <c r="K219" s="634">
        <v>13</v>
      </c>
      <c r="L219" s="647">
        <v>57</v>
      </c>
      <c r="M219" s="634">
        <v>61</v>
      </c>
      <c r="N219" s="634">
        <v>118</v>
      </c>
      <c r="O219" s="647">
        <v>3</v>
      </c>
      <c r="P219" s="634">
        <v>2</v>
      </c>
      <c r="Q219" s="634">
        <v>5</v>
      </c>
      <c r="R219" s="647">
        <v>13</v>
      </c>
      <c r="S219" s="634">
        <v>2</v>
      </c>
      <c r="T219" s="634">
        <v>15</v>
      </c>
      <c r="U219" s="647">
        <v>14</v>
      </c>
      <c r="V219" s="634">
        <v>13</v>
      </c>
      <c r="W219" s="634">
        <v>27</v>
      </c>
      <c r="X219" s="647">
        <v>1</v>
      </c>
      <c r="Y219" s="634">
        <v>4</v>
      </c>
      <c r="Z219" s="634">
        <v>5</v>
      </c>
    </row>
    <row r="220" spans="1:26" x14ac:dyDescent="0.3">
      <c r="A220" s="286">
        <v>216</v>
      </c>
      <c r="B220" s="291" t="s">
        <v>259</v>
      </c>
      <c r="C220" s="647">
        <v>477</v>
      </c>
      <c r="D220" s="634">
        <v>482</v>
      </c>
      <c r="E220" s="634">
        <v>959</v>
      </c>
      <c r="F220" s="647">
        <v>75</v>
      </c>
      <c r="G220" s="634">
        <v>45</v>
      </c>
      <c r="H220" s="634">
        <v>120</v>
      </c>
      <c r="I220" s="647">
        <v>36</v>
      </c>
      <c r="J220" s="634">
        <v>13</v>
      </c>
      <c r="K220" s="634">
        <v>49</v>
      </c>
      <c r="L220" s="647">
        <v>199</v>
      </c>
      <c r="M220" s="634">
        <v>206</v>
      </c>
      <c r="N220" s="634">
        <v>405</v>
      </c>
      <c r="O220" s="647">
        <v>1</v>
      </c>
      <c r="P220" s="634">
        <v>2</v>
      </c>
      <c r="Q220" s="634">
        <v>3</v>
      </c>
      <c r="R220" s="647">
        <v>16</v>
      </c>
      <c r="S220" s="634">
        <v>29</v>
      </c>
      <c r="T220" s="634">
        <v>45</v>
      </c>
      <c r="U220" s="647">
        <v>81</v>
      </c>
      <c r="V220" s="634">
        <v>114</v>
      </c>
      <c r="W220" s="634">
        <v>195</v>
      </c>
      <c r="X220" s="647">
        <v>14</v>
      </c>
      <c r="Y220" s="634">
        <v>11</v>
      </c>
      <c r="Z220" s="634">
        <v>25</v>
      </c>
    </row>
    <row r="221" spans="1:26" ht="26" x14ac:dyDescent="0.3">
      <c r="A221" s="286">
        <v>217</v>
      </c>
      <c r="B221" s="291" t="s">
        <v>260</v>
      </c>
      <c r="C221" s="647">
        <v>3334</v>
      </c>
      <c r="D221" s="634">
        <v>2362</v>
      </c>
      <c r="E221" s="634">
        <v>5696</v>
      </c>
      <c r="F221" s="647">
        <v>457</v>
      </c>
      <c r="G221" s="634">
        <v>306</v>
      </c>
      <c r="H221" s="634">
        <v>763</v>
      </c>
      <c r="I221" s="647">
        <v>331</v>
      </c>
      <c r="J221" s="634">
        <v>317</v>
      </c>
      <c r="K221" s="634">
        <v>648</v>
      </c>
      <c r="L221" s="647">
        <v>614</v>
      </c>
      <c r="M221" s="634">
        <v>428</v>
      </c>
      <c r="N221" s="634">
        <v>1042</v>
      </c>
      <c r="O221" s="647">
        <v>11</v>
      </c>
      <c r="P221" s="634">
        <v>2</v>
      </c>
      <c r="Q221" s="634">
        <v>13</v>
      </c>
      <c r="R221" s="647">
        <v>107</v>
      </c>
      <c r="S221" s="634">
        <v>55</v>
      </c>
      <c r="T221" s="634">
        <v>162</v>
      </c>
      <c r="U221" s="647">
        <v>47</v>
      </c>
      <c r="V221" s="634">
        <v>38</v>
      </c>
      <c r="W221" s="634">
        <v>85</v>
      </c>
      <c r="X221" s="647">
        <v>84</v>
      </c>
      <c r="Y221" s="634">
        <v>61</v>
      </c>
      <c r="Z221" s="634">
        <v>145</v>
      </c>
    </row>
    <row r="222" spans="1:26" ht="26" x14ac:dyDescent="0.3">
      <c r="A222" s="286">
        <v>218</v>
      </c>
      <c r="B222" s="291" t="s">
        <v>885</v>
      </c>
      <c r="C222" s="647">
        <v>395</v>
      </c>
      <c r="D222" s="634">
        <v>215</v>
      </c>
      <c r="E222" s="634">
        <v>610</v>
      </c>
      <c r="F222" s="647">
        <v>71</v>
      </c>
      <c r="G222" s="634">
        <v>23</v>
      </c>
      <c r="H222" s="634">
        <v>94</v>
      </c>
      <c r="I222" s="647">
        <v>17</v>
      </c>
      <c r="J222" s="634">
        <v>12</v>
      </c>
      <c r="K222" s="634">
        <v>29</v>
      </c>
      <c r="L222" s="647">
        <v>101</v>
      </c>
      <c r="M222" s="634">
        <v>40</v>
      </c>
      <c r="N222" s="634">
        <v>141</v>
      </c>
      <c r="O222" s="647">
        <v>1</v>
      </c>
      <c r="P222" s="634">
        <v>0</v>
      </c>
      <c r="Q222" s="634">
        <v>1</v>
      </c>
      <c r="R222" s="647">
        <v>22</v>
      </c>
      <c r="S222" s="634">
        <v>7</v>
      </c>
      <c r="T222" s="634">
        <v>29</v>
      </c>
      <c r="U222" s="647">
        <v>9</v>
      </c>
      <c r="V222" s="634">
        <v>1</v>
      </c>
      <c r="W222" s="634">
        <v>10</v>
      </c>
      <c r="X222" s="647">
        <v>8</v>
      </c>
      <c r="Y222" s="634">
        <v>1</v>
      </c>
      <c r="Z222" s="634">
        <v>9</v>
      </c>
    </row>
    <row r="223" spans="1:26" x14ac:dyDescent="0.3">
      <c r="A223" s="286">
        <v>219</v>
      </c>
      <c r="B223" s="291" t="s">
        <v>886</v>
      </c>
      <c r="C223" s="647">
        <v>182</v>
      </c>
      <c r="D223" s="634">
        <v>121</v>
      </c>
      <c r="E223" s="634">
        <v>303</v>
      </c>
      <c r="F223" s="647">
        <v>38</v>
      </c>
      <c r="G223" s="634">
        <v>17</v>
      </c>
      <c r="H223" s="634">
        <v>55</v>
      </c>
      <c r="I223" s="647">
        <v>34</v>
      </c>
      <c r="J223" s="634">
        <v>36</v>
      </c>
      <c r="K223" s="634">
        <v>70</v>
      </c>
      <c r="L223" s="647">
        <v>80</v>
      </c>
      <c r="M223" s="634">
        <v>53</v>
      </c>
      <c r="N223" s="634">
        <v>133</v>
      </c>
      <c r="O223" s="647">
        <v>0</v>
      </c>
      <c r="P223" s="634">
        <v>0</v>
      </c>
      <c r="Q223" s="634">
        <v>0</v>
      </c>
      <c r="R223" s="647">
        <v>0</v>
      </c>
      <c r="S223" s="634">
        <v>0</v>
      </c>
      <c r="T223" s="634">
        <v>0</v>
      </c>
      <c r="U223" s="647">
        <v>0</v>
      </c>
      <c r="V223" s="634">
        <v>0</v>
      </c>
      <c r="W223" s="634">
        <v>0</v>
      </c>
      <c r="X223" s="647">
        <v>0</v>
      </c>
      <c r="Y223" s="634">
        <v>0</v>
      </c>
      <c r="Z223" s="634">
        <v>0</v>
      </c>
    </row>
    <row r="224" spans="1:26" ht="26" x14ac:dyDescent="0.3">
      <c r="A224" s="286">
        <v>220</v>
      </c>
      <c r="B224" s="291" t="s">
        <v>261</v>
      </c>
      <c r="C224" s="647">
        <v>10</v>
      </c>
      <c r="D224" s="634">
        <v>4</v>
      </c>
      <c r="E224" s="634">
        <v>14</v>
      </c>
      <c r="F224" s="647">
        <v>0</v>
      </c>
      <c r="G224" s="634">
        <v>0</v>
      </c>
      <c r="H224" s="634">
        <v>0</v>
      </c>
      <c r="I224" s="647">
        <v>0</v>
      </c>
      <c r="J224" s="634">
        <v>0</v>
      </c>
      <c r="K224" s="634">
        <v>0</v>
      </c>
      <c r="L224" s="647">
        <v>0</v>
      </c>
      <c r="M224" s="634">
        <v>0</v>
      </c>
      <c r="N224" s="634">
        <v>0</v>
      </c>
      <c r="O224" s="647">
        <v>0</v>
      </c>
      <c r="P224" s="634">
        <v>0</v>
      </c>
      <c r="Q224" s="634">
        <v>0</v>
      </c>
      <c r="R224" s="647">
        <v>0</v>
      </c>
      <c r="S224" s="634">
        <v>0</v>
      </c>
      <c r="T224" s="634">
        <v>0</v>
      </c>
      <c r="U224" s="647">
        <v>0</v>
      </c>
      <c r="V224" s="634">
        <v>0</v>
      </c>
      <c r="W224" s="634">
        <v>0</v>
      </c>
      <c r="X224" s="647">
        <v>0</v>
      </c>
      <c r="Y224" s="634">
        <v>0</v>
      </c>
      <c r="Z224" s="634">
        <v>0</v>
      </c>
    </row>
    <row r="225" spans="1:26" ht="26" x14ac:dyDescent="0.3">
      <c r="A225" s="286">
        <v>221</v>
      </c>
      <c r="B225" s="291" t="s">
        <v>887</v>
      </c>
      <c r="C225" s="647">
        <v>336</v>
      </c>
      <c r="D225" s="634">
        <v>148</v>
      </c>
      <c r="E225" s="634">
        <v>484</v>
      </c>
      <c r="F225" s="647">
        <v>0</v>
      </c>
      <c r="G225" s="634">
        <v>0</v>
      </c>
      <c r="H225" s="634">
        <v>0</v>
      </c>
      <c r="I225" s="647">
        <v>0</v>
      </c>
      <c r="J225" s="634">
        <v>0</v>
      </c>
      <c r="K225" s="634">
        <v>0</v>
      </c>
      <c r="L225" s="647">
        <v>4</v>
      </c>
      <c r="M225" s="634">
        <v>4</v>
      </c>
      <c r="N225" s="634">
        <v>8</v>
      </c>
      <c r="O225" s="647">
        <v>0</v>
      </c>
      <c r="P225" s="634">
        <v>0</v>
      </c>
      <c r="Q225" s="634">
        <v>0</v>
      </c>
      <c r="R225" s="647">
        <v>0</v>
      </c>
      <c r="S225" s="634">
        <v>1</v>
      </c>
      <c r="T225" s="634">
        <v>1</v>
      </c>
      <c r="U225" s="647">
        <v>0</v>
      </c>
      <c r="V225" s="634">
        <v>0</v>
      </c>
      <c r="W225" s="634">
        <v>0</v>
      </c>
      <c r="X225" s="647">
        <v>4</v>
      </c>
      <c r="Y225" s="634">
        <v>0</v>
      </c>
      <c r="Z225" s="634">
        <v>4</v>
      </c>
    </row>
    <row r="226" spans="1:26" ht="26" x14ac:dyDescent="0.3">
      <c r="A226" s="286">
        <v>222</v>
      </c>
      <c r="B226" s="291" t="s">
        <v>888</v>
      </c>
      <c r="C226" s="647">
        <v>11381</v>
      </c>
      <c r="D226" s="634">
        <v>7440</v>
      </c>
      <c r="E226" s="634">
        <v>18821</v>
      </c>
      <c r="F226" s="647">
        <v>687</v>
      </c>
      <c r="G226" s="634">
        <v>447</v>
      </c>
      <c r="H226" s="634">
        <v>1134</v>
      </c>
      <c r="I226" s="647">
        <v>343</v>
      </c>
      <c r="J226" s="634">
        <v>395</v>
      </c>
      <c r="K226" s="634">
        <v>738</v>
      </c>
      <c r="L226" s="647">
        <v>2179</v>
      </c>
      <c r="M226" s="634">
        <v>1136</v>
      </c>
      <c r="N226" s="634">
        <v>3315</v>
      </c>
      <c r="O226" s="647">
        <v>1</v>
      </c>
      <c r="P226" s="634">
        <v>0</v>
      </c>
      <c r="Q226" s="634">
        <v>1</v>
      </c>
      <c r="R226" s="647">
        <v>232</v>
      </c>
      <c r="S226" s="634">
        <v>140</v>
      </c>
      <c r="T226" s="634">
        <v>372</v>
      </c>
      <c r="U226" s="647">
        <v>448</v>
      </c>
      <c r="V226" s="634">
        <v>406</v>
      </c>
      <c r="W226" s="634">
        <v>854</v>
      </c>
      <c r="X226" s="647">
        <v>110</v>
      </c>
      <c r="Y226" s="634">
        <v>45</v>
      </c>
      <c r="Z226" s="634">
        <v>155</v>
      </c>
    </row>
    <row r="227" spans="1:26" ht="26" x14ac:dyDescent="0.3">
      <c r="A227" s="286">
        <v>223</v>
      </c>
      <c r="B227" s="291" t="s">
        <v>262</v>
      </c>
      <c r="C227" s="647">
        <v>2236</v>
      </c>
      <c r="D227" s="634">
        <v>1194</v>
      </c>
      <c r="E227" s="634">
        <v>3430</v>
      </c>
      <c r="F227" s="647">
        <v>462</v>
      </c>
      <c r="G227" s="634">
        <v>193</v>
      </c>
      <c r="H227" s="634">
        <v>655</v>
      </c>
      <c r="I227" s="647">
        <v>187</v>
      </c>
      <c r="J227" s="634">
        <v>146</v>
      </c>
      <c r="K227" s="634">
        <v>333</v>
      </c>
      <c r="L227" s="647">
        <v>599</v>
      </c>
      <c r="M227" s="634">
        <v>264</v>
      </c>
      <c r="N227" s="634">
        <v>863</v>
      </c>
      <c r="O227" s="647">
        <v>24</v>
      </c>
      <c r="P227" s="634">
        <v>3</v>
      </c>
      <c r="Q227" s="634">
        <v>27</v>
      </c>
      <c r="R227" s="647">
        <v>12</v>
      </c>
      <c r="S227" s="634">
        <v>1</v>
      </c>
      <c r="T227" s="634">
        <v>13</v>
      </c>
      <c r="U227" s="647">
        <v>7</v>
      </c>
      <c r="V227" s="634">
        <v>4</v>
      </c>
      <c r="W227" s="634">
        <v>11</v>
      </c>
      <c r="X227" s="647">
        <v>71</v>
      </c>
      <c r="Y227" s="634">
        <v>13</v>
      </c>
      <c r="Z227" s="634">
        <v>84</v>
      </c>
    </row>
    <row r="228" spans="1:26" x14ac:dyDescent="0.3">
      <c r="A228" s="286">
        <v>224</v>
      </c>
      <c r="B228" s="291" t="s">
        <v>265</v>
      </c>
      <c r="C228" s="647">
        <v>15553</v>
      </c>
      <c r="D228" s="634">
        <v>24630</v>
      </c>
      <c r="E228" s="634">
        <v>40183</v>
      </c>
      <c r="F228" s="647">
        <v>1440</v>
      </c>
      <c r="G228" s="634">
        <v>2633</v>
      </c>
      <c r="H228" s="634">
        <v>4073</v>
      </c>
      <c r="I228" s="647">
        <v>514</v>
      </c>
      <c r="J228" s="634">
        <v>731</v>
      </c>
      <c r="K228" s="634">
        <v>1245</v>
      </c>
      <c r="L228" s="647">
        <v>6992</v>
      </c>
      <c r="M228" s="634">
        <v>11446</v>
      </c>
      <c r="N228" s="634">
        <v>18438</v>
      </c>
      <c r="O228" s="647">
        <v>13</v>
      </c>
      <c r="P228" s="634">
        <v>11</v>
      </c>
      <c r="Q228" s="634">
        <v>24</v>
      </c>
      <c r="R228" s="647">
        <v>1672</v>
      </c>
      <c r="S228" s="634">
        <v>2850</v>
      </c>
      <c r="T228" s="634">
        <v>4522</v>
      </c>
      <c r="U228" s="647">
        <v>484</v>
      </c>
      <c r="V228" s="634">
        <v>1039</v>
      </c>
      <c r="W228" s="634">
        <v>1523</v>
      </c>
      <c r="X228" s="647">
        <v>250</v>
      </c>
      <c r="Y228" s="634">
        <v>514</v>
      </c>
      <c r="Z228" s="634">
        <v>764</v>
      </c>
    </row>
    <row r="229" spans="1:26" ht="26" x14ac:dyDescent="0.3">
      <c r="A229" s="286">
        <v>225</v>
      </c>
      <c r="B229" s="291" t="s">
        <v>890</v>
      </c>
      <c r="C229" s="647">
        <v>74</v>
      </c>
      <c r="D229" s="634">
        <v>73</v>
      </c>
      <c r="E229" s="634">
        <v>147</v>
      </c>
      <c r="F229" s="647">
        <v>5</v>
      </c>
      <c r="G229" s="634">
        <v>8</v>
      </c>
      <c r="H229" s="634">
        <v>13</v>
      </c>
      <c r="I229" s="647">
        <v>29</v>
      </c>
      <c r="J229" s="634">
        <v>13</v>
      </c>
      <c r="K229" s="634">
        <v>42</v>
      </c>
      <c r="L229" s="647">
        <v>33</v>
      </c>
      <c r="M229" s="634">
        <v>49</v>
      </c>
      <c r="N229" s="634">
        <v>82</v>
      </c>
      <c r="O229" s="647">
        <v>0</v>
      </c>
      <c r="P229" s="634">
        <v>0</v>
      </c>
      <c r="Q229" s="634">
        <v>0</v>
      </c>
      <c r="R229" s="647">
        <v>0</v>
      </c>
      <c r="S229" s="634">
        <v>0</v>
      </c>
      <c r="T229" s="634">
        <v>0</v>
      </c>
      <c r="U229" s="647">
        <v>0</v>
      </c>
      <c r="V229" s="634">
        <v>0</v>
      </c>
      <c r="W229" s="634">
        <v>0</v>
      </c>
      <c r="X229" s="647">
        <v>0</v>
      </c>
      <c r="Y229" s="634">
        <v>0</v>
      </c>
      <c r="Z229" s="634">
        <v>0</v>
      </c>
    </row>
    <row r="230" spans="1:26" ht="26" x14ac:dyDescent="0.3">
      <c r="A230" s="286">
        <v>226</v>
      </c>
      <c r="B230" s="291" t="s">
        <v>891</v>
      </c>
      <c r="C230" s="647">
        <v>141</v>
      </c>
      <c r="D230" s="634">
        <v>0</v>
      </c>
      <c r="E230" s="634">
        <v>141</v>
      </c>
      <c r="F230" s="647">
        <v>24</v>
      </c>
      <c r="G230" s="634">
        <v>0</v>
      </c>
      <c r="H230" s="634">
        <v>24</v>
      </c>
      <c r="I230" s="647">
        <v>4</v>
      </c>
      <c r="J230" s="634">
        <v>0</v>
      </c>
      <c r="K230" s="634">
        <v>4</v>
      </c>
      <c r="L230" s="647">
        <v>97</v>
      </c>
      <c r="M230" s="634">
        <v>0</v>
      </c>
      <c r="N230" s="634">
        <v>97</v>
      </c>
      <c r="O230" s="647">
        <v>0</v>
      </c>
      <c r="P230" s="634">
        <v>0</v>
      </c>
      <c r="Q230" s="634">
        <v>0</v>
      </c>
      <c r="R230" s="647">
        <v>0</v>
      </c>
      <c r="S230" s="634">
        <v>0</v>
      </c>
      <c r="T230" s="634">
        <v>0</v>
      </c>
      <c r="U230" s="647">
        <v>0</v>
      </c>
      <c r="V230" s="634">
        <v>0</v>
      </c>
      <c r="W230" s="634">
        <v>0</v>
      </c>
      <c r="X230" s="647">
        <v>0</v>
      </c>
      <c r="Y230" s="634">
        <v>0</v>
      </c>
      <c r="Z230" s="634">
        <v>0</v>
      </c>
    </row>
    <row r="231" spans="1:26" x14ac:dyDescent="0.3">
      <c r="A231" s="286">
        <v>227</v>
      </c>
      <c r="B231" s="291" t="s">
        <v>266</v>
      </c>
      <c r="C231" s="647">
        <v>31743</v>
      </c>
      <c r="D231" s="634">
        <v>17394</v>
      </c>
      <c r="E231" s="634">
        <v>49137</v>
      </c>
      <c r="F231" s="647">
        <v>2957</v>
      </c>
      <c r="G231" s="634">
        <v>3240</v>
      </c>
      <c r="H231" s="634">
        <v>6197</v>
      </c>
      <c r="I231" s="647">
        <v>1138</v>
      </c>
      <c r="J231" s="634">
        <v>1247</v>
      </c>
      <c r="K231" s="634">
        <v>2385</v>
      </c>
      <c r="L231" s="647">
        <v>7235</v>
      </c>
      <c r="M231" s="634">
        <v>6510</v>
      </c>
      <c r="N231" s="634">
        <v>13745</v>
      </c>
      <c r="O231" s="647">
        <v>42</v>
      </c>
      <c r="P231" s="634">
        <v>54</v>
      </c>
      <c r="Q231" s="634">
        <v>96</v>
      </c>
      <c r="R231" s="647">
        <v>97</v>
      </c>
      <c r="S231" s="634">
        <v>61</v>
      </c>
      <c r="T231" s="634">
        <v>158</v>
      </c>
      <c r="U231" s="647">
        <v>431</v>
      </c>
      <c r="V231" s="634">
        <v>96</v>
      </c>
      <c r="W231" s="634">
        <v>527</v>
      </c>
      <c r="X231" s="647">
        <v>414</v>
      </c>
      <c r="Y231" s="634">
        <v>152</v>
      </c>
      <c r="Z231" s="634">
        <v>566</v>
      </c>
    </row>
    <row r="232" spans="1:26" x14ac:dyDescent="0.3">
      <c r="A232" s="286">
        <v>228</v>
      </c>
      <c r="B232" s="291" t="s">
        <v>892</v>
      </c>
      <c r="C232" s="647">
        <v>150</v>
      </c>
      <c r="D232" s="634">
        <v>55</v>
      </c>
      <c r="E232" s="634">
        <v>205</v>
      </c>
      <c r="F232" s="647">
        <v>6</v>
      </c>
      <c r="G232" s="634">
        <v>7</v>
      </c>
      <c r="H232" s="634">
        <v>13</v>
      </c>
      <c r="I232" s="647">
        <v>3</v>
      </c>
      <c r="J232" s="634">
        <v>2</v>
      </c>
      <c r="K232" s="634">
        <v>5</v>
      </c>
      <c r="L232" s="647">
        <v>49</v>
      </c>
      <c r="M232" s="634">
        <v>10</v>
      </c>
      <c r="N232" s="634">
        <v>59</v>
      </c>
      <c r="O232" s="647">
        <v>2</v>
      </c>
      <c r="P232" s="634">
        <v>0</v>
      </c>
      <c r="Q232" s="634">
        <v>2</v>
      </c>
      <c r="R232" s="647">
        <v>0</v>
      </c>
      <c r="S232" s="634">
        <v>0</v>
      </c>
      <c r="T232" s="634">
        <v>0</v>
      </c>
      <c r="U232" s="647">
        <v>0</v>
      </c>
      <c r="V232" s="634">
        <v>0</v>
      </c>
      <c r="W232" s="634">
        <v>0</v>
      </c>
      <c r="X232" s="647">
        <v>15</v>
      </c>
      <c r="Y232" s="634">
        <v>6</v>
      </c>
      <c r="Z232" s="634">
        <v>21</v>
      </c>
    </row>
    <row r="233" spans="1:26" x14ac:dyDescent="0.3">
      <c r="A233" s="286">
        <v>229</v>
      </c>
      <c r="B233" s="291" t="s">
        <v>893</v>
      </c>
      <c r="C233" s="647">
        <v>3122</v>
      </c>
      <c r="D233" s="634">
        <v>3894</v>
      </c>
      <c r="E233" s="634">
        <v>7016</v>
      </c>
      <c r="F233" s="647">
        <v>381</v>
      </c>
      <c r="G233" s="634">
        <v>654</v>
      </c>
      <c r="H233" s="634">
        <v>1035</v>
      </c>
      <c r="I233" s="647">
        <v>317</v>
      </c>
      <c r="J233" s="634">
        <v>582</v>
      </c>
      <c r="K233" s="634">
        <v>899</v>
      </c>
      <c r="L233" s="647">
        <v>949</v>
      </c>
      <c r="M233" s="634">
        <v>1570</v>
      </c>
      <c r="N233" s="634">
        <v>2519</v>
      </c>
      <c r="O233" s="647">
        <v>4</v>
      </c>
      <c r="P233" s="634">
        <v>2</v>
      </c>
      <c r="Q233" s="634">
        <v>6</v>
      </c>
      <c r="R233" s="647">
        <v>5</v>
      </c>
      <c r="S233" s="634">
        <v>12</v>
      </c>
      <c r="T233" s="634">
        <v>17</v>
      </c>
      <c r="U233" s="647">
        <v>12</v>
      </c>
      <c r="V233" s="634">
        <v>7</v>
      </c>
      <c r="W233" s="634">
        <v>19</v>
      </c>
      <c r="X233" s="647">
        <v>236</v>
      </c>
      <c r="Y233" s="634">
        <v>128</v>
      </c>
      <c r="Z233" s="634">
        <v>364</v>
      </c>
    </row>
    <row r="234" spans="1:26" x14ac:dyDescent="0.3">
      <c r="A234" s="286">
        <v>230</v>
      </c>
      <c r="B234" s="291" t="s">
        <v>894</v>
      </c>
      <c r="C234" s="647">
        <v>868</v>
      </c>
      <c r="D234" s="634">
        <v>1770</v>
      </c>
      <c r="E234" s="634">
        <v>2638</v>
      </c>
      <c r="F234" s="647">
        <v>69</v>
      </c>
      <c r="G234" s="634">
        <v>151</v>
      </c>
      <c r="H234" s="634">
        <v>220</v>
      </c>
      <c r="I234" s="647">
        <v>26</v>
      </c>
      <c r="J234" s="634">
        <v>59</v>
      </c>
      <c r="K234" s="634">
        <v>85</v>
      </c>
      <c r="L234" s="647">
        <v>328</v>
      </c>
      <c r="M234" s="634">
        <v>661</v>
      </c>
      <c r="N234" s="634">
        <v>989</v>
      </c>
      <c r="O234" s="647">
        <v>1</v>
      </c>
      <c r="P234" s="634">
        <v>1</v>
      </c>
      <c r="Q234" s="634">
        <v>2</v>
      </c>
      <c r="R234" s="647">
        <v>16</v>
      </c>
      <c r="S234" s="634">
        <v>14</v>
      </c>
      <c r="T234" s="634">
        <v>30</v>
      </c>
      <c r="U234" s="647">
        <v>10</v>
      </c>
      <c r="V234" s="634">
        <v>21</v>
      </c>
      <c r="W234" s="634">
        <v>31</v>
      </c>
      <c r="X234" s="647">
        <v>37</v>
      </c>
      <c r="Y234" s="634">
        <v>85</v>
      </c>
      <c r="Z234" s="634">
        <v>122</v>
      </c>
    </row>
    <row r="235" spans="1:26" x14ac:dyDescent="0.3">
      <c r="A235" s="286">
        <v>231</v>
      </c>
      <c r="B235" s="291" t="s">
        <v>895</v>
      </c>
      <c r="C235" s="647">
        <v>64</v>
      </c>
      <c r="D235" s="634">
        <v>29</v>
      </c>
      <c r="E235" s="634">
        <v>93</v>
      </c>
      <c r="F235" s="647">
        <v>3</v>
      </c>
      <c r="G235" s="634">
        <v>0</v>
      </c>
      <c r="H235" s="634">
        <v>3</v>
      </c>
      <c r="I235" s="647">
        <v>0</v>
      </c>
      <c r="J235" s="634">
        <v>0</v>
      </c>
      <c r="K235" s="634">
        <v>0</v>
      </c>
      <c r="L235" s="647">
        <v>11</v>
      </c>
      <c r="M235" s="634">
        <v>5</v>
      </c>
      <c r="N235" s="634">
        <v>16</v>
      </c>
      <c r="O235" s="647">
        <v>0</v>
      </c>
      <c r="P235" s="634">
        <v>0</v>
      </c>
      <c r="Q235" s="634">
        <v>0</v>
      </c>
      <c r="R235" s="647">
        <v>0</v>
      </c>
      <c r="S235" s="634">
        <v>0</v>
      </c>
      <c r="T235" s="634">
        <v>0</v>
      </c>
      <c r="U235" s="647">
        <v>0</v>
      </c>
      <c r="V235" s="634">
        <v>0</v>
      </c>
      <c r="W235" s="634">
        <v>0</v>
      </c>
      <c r="X235" s="647">
        <v>0</v>
      </c>
      <c r="Y235" s="634">
        <v>0</v>
      </c>
      <c r="Z235" s="634">
        <v>0</v>
      </c>
    </row>
    <row r="236" spans="1:26" x14ac:dyDescent="0.3">
      <c r="A236" s="286">
        <v>232</v>
      </c>
      <c r="B236" s="291" t="s">
        <v>896</v>
      </c>
      <c r="C236" s="647">
        <v>9</v>
      </c>
      <c r="D236" s="634">
        <v>9</v>
      </c>
      <c r="E236" s="634">
        <v>18</v>
      </c>
      <c r="F236" s="647">
        <v>2</v>
      </c>
      <c r="G236" s="634">
        <v>1</v>
      </c>
      <c r="H236" s="634">
        <v>3</v>
      </c>
      <c r="I236" s="647">
        <v>0</v>
      </c>
      <c r="J236" s="634">
        <v>1</v>
      </c>
      <c r="K236" s="634">
        <v>1</v>
      </c>
      <c r="L236" s="647">
        <v>2</v>
      </c>
      <c r="M236" s="634">
        <v>2</v>
      </c>
      <c r="N236" s="634">
        <v>4</v>
      </c>
      <c r="O236" s="647">
        <v>0</v>
      </c>
      <c r="P236" s="634">
        <v>0</v>
      </c>
      <c r="Q236" s="634">
        <v>0</v>
      </c>
      <c r="R236" s="647">
        <v>0</v>
      </c>
      <c r="S236" s="634">
        <v>0</v>
      </c>
      <c r="T236" s="634">
        <v>0</v>
      </c>
      <c r="U236" s="647">
        <v>0</v>
      </c>
      <c r="V236" s="634">
        <v>0</v>
      </c>
      <c r="W236" s="634">
        <v>0</v>
      </c>
      <c r="X236" s="647">
        <v>0</v>
      </c>
      <c r="Y236" s="634">
        <v>0</v>
      </c>
      <c r="Z236" s="634">
        <v>0</v>
      </c>
    </row>
    <row r="237" spans="1:26" x14ac:dyDescent="0.3">
      <c r="A237" s="286">
        <v>233</v>
      </c>
      <c r="B237" s="291" t="s">
        <v>267</v>
      </c>
      <c r="C237" s="647">
        <v>380</v>
      </c>
      <c r="D237" s="634">
        <v>151</v>
      </c>
      <c r="E237" s="634">
        <v>531</v>
      </c>
      <c r="F237" s="647">
        <v>18</v>
      </c>
      <c r="G237" s="634">
        <v>9</v>
      </c>
      <c r="H237" s="634">
        <v>27</v>
      </c>
      <c r="I237" s="647">
        <v>10</v>
      </c>
      <c r="J237" s="634">
        <v>3</v>
      </c>
      <c r="K237" s="634">
        <v>13</v>
      </c>
      <c r="L237" s="647">
        <v>58</v>
      </c>
      <c r="M237" s="634">
        <v>39</v>
      </c>
      <c r="N237" s="634">
        <v>97</v>
      </c>
      <c r="O237" s="647">
        <v>0</v>
      </c>
      <c r="P237" s="634">
        <v>0</v>
      </c>
      <c r="Q237" s="634">
        <v>0</v>
      </c>
      <c r="R237" s="647">
        <v>0</v>
      </c>
      <c r="S237" s="634">
        <v>0</v>
      </c>
      <c r="T237" s="634">
        <v>0</v>
      </c>
      <c r="U237" s="647">
        <v>0</v>
      </c>
      <c r="V237" s="634">
        <v>0</v>
      </c>
      <c r="W237" s="634">
        <v>0</v>
      </c>
      <c r="X237" s="647">
        <v>58</v>
      </c>
      <c r="Y237" s="634">
        <v>19</v>
      </c>
      <c r="Z237" s="634">
        <v>77</v>
      </c>
    </row>
    <row r="238" spans="1:26" x14ac:dyDescent="0.3">
      <c r="A238" s="286">
        <v>234</v>
      </c>
      <c r="B238" s="291" t="s">
        <v>897</v>
      </c>
      <c r="C238" s="647">
        <v>247</v>
      </c>
      <c r="D238" s="634">
        <v>97</v>
      </c>
      <c r="E238" s="634">
        <v>344</v>
      </c>
      <c r="F238" s="647">
        <v>74</v>
      </c>
      <c r="G238" s="634">
        <v>39</v>
      </c>
      <c r="H238" s="634">
        <v>113</v>
      </c>
      <c r="I238" s="647">
        <v>6</v>
      </c>
      <c r="J238" s="634">
        <v>3</v>
      </c>
      <c r="K238" s="634">
        <v>9</v>
      </c>
      <c r="L238" s="647">
        <v>115</v>
      </c>
      <c r="M238" s="634">
        <v>35</v>
      </c>
      <c r="N238" s="634">
        <v>150</v>
      </c>
      <c r="O238" s="647">
        <v>0</v>
      </c>
      <c r="P238" s="634">
        <v>0</v>
      </c>
      <c r="Q238" s="634">
        <v>0</v>
      </c>
      <c r="R238" s="647">
        <v>0</v>
      </c>
      <c r="S238" s="634">
        <v>0</v>
      </c>
      <c r="T238" s="634">
        <v>0</v>
      </c>
      <c r="U238" s="647">
        <v>0</v>
      </c>
      <c r="V238" s="634">
        <v>0</v>
      </c>
      <c r="W238" s="634">
        <v>0</v>
      </c>
      <c r="X238" s="647">
        <v>13</v>
      </c>
      <c r="Y238" s="634">
        <v>6</v>
      </c>
      <c r="Z238" s="634">
        <v>19</v>
      </c>
    </row>
    <row r="239" spans="1:26" x14ac:dyDescent="0.3">
      <c r="A239" s="286">
        <v>235</v>
      </c>
      <c r="B239" s="291" t="s">
        <v>898</v>
      </c>
      <c r="C239" s="647">
        <v>1</v>
      </c>
      <c r="D239" s="634">
        <v>0</v>
      </c>
      <c r="E239" s="634">
        <v>1</v>
      </c>
      <c r="F239" s="647">
        <v>0</v>
      </c>
      <c r="G239" s="634">
        <v>0</v>
      </c>
      <c r="H239" s="634">
        <v>0</v>
      </c>
      <c r="I239" s="647">
        <v>0</v>
      </c>
      <c r="J239" s="634">
        <v>0</v>
      </c>
      <c r="K239" s="634">
        <v>0</v>
      </c>
      <c r="L239" s="647">
        <v>0</v>
      </c>
      <c r="M239" s="634">
        <v>0</v>
      </c>
      <c r="N239" s="634">
        <v>0</v>
      </c>
      <c r="O239" s="647">
        <v>0</v>
      </c>
      <c r="P239" s="634">
        <v>0</v>
      </c>
      <c r="Q239" s="634">
        <v>0</v>
      </c>
      <c r="R239" s="647">
        <v>0</v>
      </c>
      <c r="S239" s="634">
        <v>0</v>
      </c>
      <c r="T239" s="634">
        <v>0</v>
      </c>
      <c r="U239" s="647">
        <v>0</v>
      </c>
      <c r="V239" s="634">
        <v>0</v>
      </c>
      <c r="W239" s="634">
        <v>0</v>
      </c>
      <c r="X239" s="647">
        <v>0</v>
      </c>
      <c r="Y239" s="634">
        <v>0</v>
      </c>
      <c r="Z239" s="634">
        <v>0</v>
      </c>
    </row>
    <row r="240" spans="1:26" x14ac:dyDescent="0.3">
      <c r="A240" s="286"/>
      <c r="B240" s="325" t="s">
        <v>12</v>
      </c>
      <c r="C240" s="648">
        <v>22463919</v>
      </c>
      <c r="D240" s="636">
        <v>21349320</v>
      </c>
      <c r="E240" s="636">
        <v>43813239</v>
      </c>
      <c r="F240" s="648">
        <v>3462961</v>
      </c>
      <c r="G240" s="636">
        <v>3324482</v>
      </c>
      <c r="H240" s="636">
        <v>6787443</v>
      </c>
      <c r="I240" s="648">
        <v>1381722</v>
      </c>
      <c r="J240" s="636">
        <v>1443029</v>
      </c>
      <c r="K240" s="636">
        <v>2824751</v>
      </c>
      <c r="L240" s="648">
        <v>8696107</v>
      </c>
      <c r="M240" s="636">
        <v>8347913</v>
      </c>
      <c r="N240" s="636">
        <v>17044020</v>
      </c>
      <c r="O240" s="648">
        <v>52601</v>
      </c>
      <c r="P240" s="636">
        <v>34291</v>
      </c>
      <c r="Q240" s="636">
        <v>86892</v>
      </c>
      <c r="R240" s="648">
        <v>1094790</v>
      </c>
      <c r="S240" s="636">
        <v>1097430</v>
      </c>
      <c r="T240" s="636">
        <v>2192220</v>
      </c>
      <c r="U240" s="648">
        <v>476431</v>
      </c>
      <c r="V240" s="636">
        <v>549811</v>
      </c>
      <c r="W240" s="636">
        <v>1026242</v>
      </c>
      <c r="X240" s="648">
        <v>430702</v>
      </c>
      <c r="Y240" s="636">
        <v>377638</v>
      </c>
      <c r="Z240" s="636">
        <v>808340</v>
      </c>
    </row>
  </sheetData>
  <autoFilter ref="A4:Z239" xr:uid="{506B4356-9655-484F-8A9E-FC4090DC8A94}">
    <sortState xmlns:xlrd2="http://schemas.microsoft.com/office/spreadsheetml/2017/richdata2" ref="A5:Z242">
      <sortCondition ref="A4:A239"/>
    </sortState>
  </autoFilter>
  <mergeCells count="14">
    <mergeCell ref="U1:Z1"/>
    <mergeCell ref="O2:Q2"/>
    <mergeCell ref="R2:T2"/>
    <mergeCell ref="U2:W2"/>
    <mergeCell ref="X2:Z2"/>
    <mergeCell ref="I2:K2"/>
    <mergeCell ref="L2:N2"/>
    <mergeCell ref="C1:K1"/>
    <mergeCell ref="L1:T1"/>
    <mergeCell ref="A1:B1"/>
    <mergeCell ref="A2:A3"/>
    <mergeCell ref="B2:B3"/>
    <mergeCell ref="C2:E2"/>
    <mergeCell ref="F2:H2"/>
  </mergeCells>
  <pageMargins left="0.43307086614173229" right="0.11811023622047245" top="0.39370078740157483" bottom="0.39370078740157483" header="0.31496062992125984" footer="0.19685039370078741"/>
  <pageSetup paperSize="9" scale="65" firstPageNumber="28" orientation="portrait" r:id="rId1"/>
  <headerFooter>
    <oddFooter>&amp;L&amp;"Arial,Italic"&amp;9AISHE 2022-23&amp;RT-11</oddFooter>
  </headerFooter>
  <rowBreaks count="2" manualBreakCount="2">
    <brk id="112" max="25" man="1"/>
    <brk id="185" max="25" man="1"/>
  </rowBreaks>
  <colBreaks count="2" manualBreakCount="2">
    <brk id="11" max="239" man="1"/>
    <brk id="20" max="23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3CBA-5B21-4B7D-B8C3-ACAD1C0631D9}">
  <sheetPr codeName="Sheet18">
    <tabColor rgb="FFFFFF00"/>
  </sheetPr>
  <dimension ref="A1:Z240"/>
  <sheetViews>
    <sheetView zoomScaleNormal="100" zoomScaleSheetLayoutView="85" workbookViewId="0">
      <pane ySplit="4" topLeftCell="A232" activePane="bottomLeft" state="frozen"/>
      <selection activeCell="Z240" sqref="Z240"/>
      <selection pane="bottomLeft" activeCell="Z240" sqref="Z240"/>
    </sheetView>
  </sheetViews>
  <sheetFormatPr defaultColWidth="9.26953125" defaultRowHeight="14" x14ac:dyDescent="0.35"/>
  <cols>
    <col min="1" max="1" width="6.7265625" style="134" bestFit="1" customWidth="1"/>
    <col min="2" max="2" width="35.54296875" style="106" customWidth="1"/>
    <col min="3" max="8" width="15.7265625" style="134" customWidth="1"/>
    <col min="9" max="14" width="12.453125" style="134" customWidth="1"/>
    <col min="15" max="17" width="9.26953125" style="134"/>
    <col min="18" max="26" width="11.54296875" style="134" customWidth="1"/>
    <col min="27" max="16384" width="9.26953125" style="104"/>
  </cols>
  <sheetData>
    <row r="1" spans="1:26" s="159" customFormat="1" ht="33" customHeight="1" x14ac:dyDescent="0.35">
      <c r="A1" s="784" t="s">
        <v>939</v>
      </c>
      <c r="B1" s="784"/>
      <c r="C1" s="785" t="s">
        <v>940</v>
      </c>
      <c r="D1" s="786"/>
      <c r="E1" s="786"/>
      <c r="F1" s="786"/>
      <c r="G1" s="786"/>
      <c r="H1" s="786"/>
      <c r="I1" s="785" t="str">
        <f>C1</f>
        <v>Programme-wise Enrolment - Regular Mode
(Based on Actual Response)</v>
      </c>
      <c r="J1" s="785"/>
      <c r="K1" s="785"/>
      <c r="L1" s="785"/>
      <c r="M1" s="785"/>
      <c r="N1" s="785"/>
      <c r="O1" s="785"/>
      <c r="P1" s="785"/>
      <c r="Q1" s="785"/>
      <c r="R1" s="785" t="s">
        <v>941</v>
      </c>
      <c r="S1" s="785"/>
      <c r="T1" s="785"/>
      <c r="U1" s="785"/>
      <c r="V1" s="785"/>
      <c r="W1" s="785"/>
      <c r="X1" s="785"/>
      <c r="Y1" s="785"/>
      <c r="Z1" s="785"/>
    </row>
    <row r="2" spans="1:26" s="326" customFormat="1" ht="28.5" customHeight="1" x14ac:dyDescent="0.35">
      <c r="A2" s="787" t="s">
        <v>49</v>
      </c>
      <c r="B2" s="788" t="s">
        <v>814</v>
      </c>
      <c r="C2" s="789" t="s">
        <v>574</v>
      </c>
      <c r="D2" s="789"/>
      <c r="E2" s="789"/>
      <c r="F2" s="789" t="s">
        <v>566</v>
      </c>
      <c r="G2" s="789"/>
      <c r="H2" s="789"/>
      <c r="I2" s="789" t="s">
        <v>567</v>
      </c>
      <c r="J2" s="789"/>
      <c r="K2" s="789"/>
      <c r="L2" s="789" t="s">
        <v>568</v>
      </c>
      <c r="M2" s="789"/>
      <c r="N2" s="789"/>
      <c r="O2" s="778" t="s">
        <v>121</v>
      </c>
      <c r="P2" s="778"/>
      <c r="Q2" s="778"/>
      <c r="R2" s="778" t="s">
        <v>122</v>
      </c>
      <c r="S2" s="778"/>
      <c r="T2" s="778"/>
      <c r="U2" s="778" t="s">
        <v>123</v>
      </c>
      <c r="V2" s="778"/>
      <c r="W2" s="778"/>
      <c r="X2" s="778" t="s">
        <v>124</v>
      </c>
      <c r="Y2" s="778"/>
      <c r="Z2" s="778"/>
    </row>
    <row r="3" spans="1:26" s="328" customFormat="1" ht="18" customHeight="1" x14ac:dyDescent="0.35">
      <c r="A3" s="787"/>
      <c r="B3" s="788"/>
      <c r="C3" s="327" t="s">
        <v>93</v>
      </c>
      <c r="D3" s="327" t="s">
        <v>94</v>
      </c>
      <c r="E3" s="327" t="s">
        <v>54</v>
      </c>
      <c r="F3" s="327" t="s">
        <v>93</v>
      </c>
      <c r="G3" s="327" t="s">
        <v>94</v>
      </c>
      <c r="H3" s="327" t="s">
        <v>54</v>
      </c>
      <c r="I3" s="327" t="s">
        <v>93</v>
      </c>
      <c r="J3" s="327" t="s">
        <v>94</v>
      </c>
      <c r="K3" s="327" t="s">
        <v>54</v>
      </c>
      <c r="L3" s="327" t="s">
        <v>93</v>
      </c>
      <c r="M3" s="327" t="s">
        <v>94</v>
      </c>
      <c r="N3" s="327" t="s">
        <v>54</v>
      </c>
      <c r="O3" s="289" t="s">
        <v>93</v>
      </c>
      <c r="P3" s="289" t="s">
        <v>94</v>
      </c>
      <c r="Q3" s="289" t="s">
        <v>54</v>
      </c>
      <c r="R3" s="289" t="s">
        <v>93</v>
      </c>
      <c r="S3" s="289" t="s">
        <v>94</v>
      </c>
      <c r="T3" s="289" t="s">
        <v>54</v>
      </c>
      <c r="U3" s="289" t="s">
        <v>93</v>
      </c>
      <c r="V3" s="289" t="s">
        <v>94</v>
      </c>
      <c r="W3" s="289" t="s">
        <v>54</v>
      </c>
      <c r="X3" s="289" t="s">
        <v>93</v>
      </c>
      <c r="Y3" s="289" t="s">
        <v>94</v>
      </c>
      <c r="Z3" s="289" t="s">
        <v>54</v>
      </c>
    </row>
    <row r="4" spans="1:26" s="324" customFormat="1" ht="11.5" x14ac:dyDescent="0.35">
      <c r="A4" s="102">
        <v>1</v>
      </c>
      <c r="B4" s="102">
        <v>2</v>
      </c>
      <c r="C4" s="102">
        <v>3</v>
      </c>
      <c r="D4" s="102">
        <v>4</v>
      </c>
      <c r="E4" s="102">
        <v>5</v>
      </c>
      <c r="F4" s="102">
        <v>6</v>
      </c>
      <c r="G4" s="102">
        <v>7</v>
      </c>
      <c r="H4" s="102">
        <v>8</v>
      </c>
      <c r="I4" s="102">
        <v>9</v>
      </c>
      <c r="J4" s="102">
        <v>10</v>
      </c>
      <c r="K4" s="102">
        <v>11</v>
      </c>
      <c r="L4" s="102">
        <v>12</v>
      </c>
      <c r="M4" s="102">
        <v>13</v>
      </c>
      <c r="N4" s="102">
        <v>14</v>
      </c>
      <c r="O4" s="102">
        <v>15</v>
      </c>
      <c r="P4" s="102">
        <v>16</v>
      </c>
      <c r="Q4" s="102">
        <v>17</v>
      </c>
      <c r="R4" s="102">
        <v>18</v>
      </c>
      <c r="S4" s="102">
        <v>19</v>
      </c>
      <c r="T4" s="102">
        <v>20</v>
      </c>
      <c r="U4" s="102">
        <v>21</v>
      </c>
      <c r="V4" s="102">
        <v>22</v>
      </c>
      <c r="W4" s="102">
        <v>23</v>
      </c>
      <c r="X4" s="102">
        <v>24</v>
      </c>
      <c r="Y4" s="102">
        <v>25</v>
      </c>
      <c r="Z4" s="102">
        <v>26</v>
      </c>
    </row>
    <row r="5" spans="1:26" x14ac:dyDescent="0.35">
      <c r="A5" s="103">
        <v>1</v>
      </c>
      <c r="B5" s="130" t="s">
        <v>815</v>
      </c>
      <c r="C5" s="103">
        <f>E5-D5</f>
        <v>1495</v>
      </c>
      <c r="D5" s="290">
        <v>100075</v>
      </c>
      <c r="E5" s="290">
        <v>101570</v>
      </c>
      <c r="F5" s="103">
        <f>H5-G5</f>
        <v>542</v>
      </c>
      <c r="G5" s="290">
        <v>29621</v>
      </c>
      <c r="H5" s="290">
        <v>30163</v>
      </c>
      <c r="I5" s="103">
        <f>K5-J5</f>
        <v>198</v>
      </c>
      <c r="J5" s="290">
        <v>16407</v>
      </c>
      <c r="K5" s="290">
        <v>16605</v>
      </c>
      <c r="L5" s="103">
        <f>N5-M5</f>
        <v>304</v>
      </c>
      <c r="M5" s="290">
        <v>28193</v>
      </c>
      <c r="N5" s="290">
        <v>28497</v>
      </c>
      <c r="O5" s="103">
        <f>Q5-P5</f>
        <v>0</v>
      </c>
      <c r="P5" s="290">
        <v>238</v>
      </c>
      <c r="Q5" s="290">
        <v>238</v>
      </c>
      <c r="R5" s="103">
        <f>T5-S5</f>
        <v>30</v>
      </c>
      <c r="S5" s="290">
        <v>1356</v>
      </c>
      <c r="T5" s="290">
        <v>1386</v>
      </c>
      <c r="U5" s="103">
        <f>W5-V5</f>
        <v>0</v>
      </c>
      <c r="V5" s="290">
        <v>1966</v>
      </c>
      <c r="W5" s="290">
        <v>1966</v>
      </c>
      <c r="X5" s="103">
        <f>Z5-Y5</f>
        <v>20</v>
      </c>
      <c r="Y5" s="290">
        <v>1411</v>
      </c>
      <c r="Z5" s="290">
        <v>1431</v>
      </c>
    </row>
    <row r="6" spans="1:26" x14ac:dyDescent="0.35">
      <c r="A6" s="103">
        <v>2</v>
      </c>
      <c r="B6" s="130" t="s">
        <v>125</v>
      </c>
      <c r="C6" s="103">
        <f t="shared" ref="C6:C69" si="0">E6-D6</f>
        <v>12162</v>
      </c>
      <c r="D6" s="290">
        <v>5915</v>
      </c>
      <c r="E6" s="290">
        <v>18077</v>
      </c>
      <c r="F6" s="103">
        <f t="shared" ref="F6:F69" si="1">H6-G6</f>
        <v>549</v>
      </c>
      <c r="G6" s="290">
        <v>701</v>
      </c>
      <c r="H6" s="290">
        <v>1250</v>
      </c>
      <c r="I6" s="103">
        <f t="shared" ref="I6:I69" si="2">K6-J6</f>
        <v>216</v>
      </c>
      <c r="J6" s="290">
        <v>287</v>
      </c>
      <c r="K6" s="290">
        <v>503</v>
      </c>
      <c r="L6" s="103">
        <f t="shared" ref="L6:L69" si="3">N6-M6</f>
        <v>1711</v>
      </c>
      <c r="M6" s="290">
        <v>1936</v>
      </c>
      <c r="N6" s="290">
        <v>3647</v>
      </c>
      <c r="O6" s="103">
        <f t="shared" ref="O6:O69" si="4">Q6-P6</f>
        <v>3</v>
      </c>
      <c r="P6" s="290">
        <v>1</v>
      </c>
      <c r="Q6" s="290">
        <v>4</v>
      </c>
      <c r="R6" s="103">
        <f t="shared" ref="R6:R69" si="5">T6-S6</f>
        <v>13</v>
      </c>
      <c r="S6" s="290">
        <v>11</v>
      </c>
      <c r="T6" s="290">
        <v>24</v>
      </c>
      <c r="U6" s="103">
        <f t="shared" ref="U6:U69" si="6">W6-V6</f>
        <v>70</v>
      </c>
      <c r="V6" s="290">
        <v>33</v>
      </c>
      <c r="W6" s="290">
        <v>103</v>
      </c>
      <c r="X6" s="103">
        <f t="shared" ref="X6:X69" si="7">Z6-Y6</f>
        <v>243</v>
      </c>
      <c r="Y6" s="290">
        <v>127</v>
      </c>
      <c r="Z6" s="290">
        <v>370</v>
      </c>
    </row>
    <row r="7" spans="1:26" x14ac:dyDescent="0.35">
      <c r="A7" s="103">
        <v>3</v>
      </c>
      <c r="B7" s="130" t="s">
        <v>816</v>
      </c>
      <c r="C7" s="103">
        <f t="shared" si="0"/>
        <v>49</v>
      </c>
      <c r="D7" s="290">
        <v>13</v>
      </c>
      <c r="E7" s="290">
        <v>62</v>
      </c>
      <c r="F7" s="103">
        <f t="shared" si="1"/>
        <v>1</v>
      </c>
      <c r="G7" s="290">
        <v>2</v>
      </c>
      <c r="H7" s="290">
        <v>3</v>
      </c>
      <c r="I7" s="103">
        <f t="shared" si="2"/>
        <v>3</v>
      </c>
      <c r="J7" s="290">
        <v>1</v>
      </c>
      <c r="K7" s="290">
        <v>4</v>
      </c>
      <c r="L7" s="103">
        <f t="shared" si="3"/>
        <v>3</v>
      </c>
      <c r="M7" s="290">
        <v>1</v>
      </c>
      <c r="N7" s="290">
        <v>4</v>
      </c>
      <c r="O7" s="103">
        <f t="shared" si="4"/>
        <v>0</v>
      </c>
      <c r="P7" s="290">
        <v>0</v>
      </c>
      <c r="Q7" s="290">
        <v>0</v>
      </c>
      <c r="R7" s="103">
        <f t="shared" si="5"/>
        <v>0</v>
      </c>
      <c r="S7" s="290">
        <v>0</v>
      </c>
      <c r="T7" s="290">
        <v>0</v>
      </c>
      <c r="U7" s="103">
        <f t="shared" si="6"/>
        <v>17</v>
      </c>
      <c r="V7" s="290">
        <v>7</v>
      </c>
      <c r="W7" s="290">
        <v>24</v>
      </c>
      <c r="X7" s="103">
        <f t="shared" si="7"/>
        <v>0</v>
      </c>
      <c r="Y7" s="290">
        <v>0</v>
      </c>
      <c r="Z7" s="290">
        <v>0</v>
      </c>
    </row>
    <row r="8" spans="1:26" x14ac:dyDescent="0.35">
      <c r="A8" s="103">
        <v>4</v>
      </c>
      <c r="B8" s="130" t="s">
        <v>817</v>
      </c>
      <c r="C8" s="103">
        <f t="shared" si="0"/>
        <v>138</v>
      </c>
      <c r="D8" s="290">
        <v>117</v>
      </c>
      <c r="E8" s="290">
        <v>255</v>
      </c>
      <c r="F8" s="103">
        <f t="shared" si="1"/>
        <v>47</v>
      </c>
      <c r="G8" s="290">
        <v>27</v>
      </c>
      <c r="H8" s="290">
        <v>74</v>
      </c>
      <c r="I8" s="103">
        <f t="shared" si="2"/>
        <v>13</v>
      </c>
      <c r="J8" s="290">
        <v>12</v>
      </c>
      <c r="K8" s="290">
        <v>25</v>
      </c>
      <c r="L8" s="103">
        <f t="shared" si="3"/>
        <v>31</v>
      </c>
      <c r="M8" s="290">
        <v>30</v>
      </c>
      <c r="N8" s="290">
        <v>61</v>
      </c>
      <c r="O8" s="103">
        <f t="shared" si="4"/>
        <v>0</v>
      </c>
      <c r="P8" s="290">
        <v>0</v>
      </c>
      <c r="Q8" s="290">
        <v>0</v>
      </c>
      <c r="R8" s="103">
        <f t="shared" si="5"/>
        <v>0</v>
      </c>
      <c r="S8" s="290">
        <v>1</v>
      </c>
      <c r="T8" s="290">
        <v>1</v>
      </c>
      <c r="U8" s="103">
        <f t="shared" si="6"/>
        <v>0</v>
      </c>
      <c r="V8" s="290">
        <v>0</v>
      </c>
      <c r="W8" s="290">
        <v>0</v>
      </c>
      <c r="X8" s="103">
        <f t="shared" si="7"/>
        <v>1</v>
      </c>
      <c r="Y8" s="290">
        <v>1</v>
      </c>
      <c r="Z8" s="290">
        <v>2</v>
      </c>
    </row>
    <row r="9" spans="1:26" x14ac:dyDescent="0.35">
      <c r="A9" s="103">
        <v>5</v>
      </c>
      <c r="B9" s="130" t="s">
        <v>818</v>
      </c>
      <c r="C9" s="103">
        <f t="shared" si="0"/>
        <v>364</v>
      </c>
      <c r="D9" s="290">
        <v>466</v>
      </c>
      <c r="E9" s="290">
        <v>830</v>
      </c>
      <c r="F9" s="103">
        <f t="shared" si="1"/>
        <v>42</v>
      </c>
      <c r="G9" s="290">
        <v>51</v>
      </c>
      <c r="H9" s="290">
        <v>93</v>
      </c>
      <c r="I9" s="103">
        <f t="shared" si="2"/>
        <v>19</v>
      </c>
      <c r="J9" s="290">
        <v>18</v>
      </c>
      <c r="K9" s="290">
        <v>37</v>
      </c>
      <c r="L9" s="103">
        <f t="shared" si="3"/>
        <v>90</v>
      </c>
      <c r="M9" s="290">
        <v>107</v>
      </c>
      <c r="N9" s="290">
        <v>197</v>
      </c>
      <c r="O9" s="103">
        <f t="shared" si="4"/>
        <v>1</v>
      </c>
      <c r="P9" s="290">
        <v>0</v>
      </c>
      <c r="Q9" s="290">
        <v>1</v>
      </c>
      <c r="R9" s="103">
        <f t="shared" si="5"/>
        <v>2</v>
      </c>
      <c r="S9" s="290">
        <v>3</v>
      </c>
      <c r="T9" s="290">
        <v>5</v>
      </c>
      <c r="U9" s="103">
        <f t="shared" si="6"/>
        <v>2</v>
      </c>
      <c r="V9" s="290">
        <v>4</v>
      </c>
      <c r="W9" s="290">
        <v>6</v>
      </c>
      <c r="X9" s="103">
        <f t="shared" si="7"/>
        <v>9</v>
      </c>
      <c r="Y9" s="290">
        <v>10</v>
      </c>
      <c r="Z9" s="290">
        <v>19</v>
      </c>
    </row>
    <row r="10" spans="1:26" x14ac:dyDescent="0.35">
      <c r="A10" s="103">
        <v>6</v>
      </c>
      <c r="B10" s="130" t="s">
        <v>126</v>
      </c>
      <c r="C10" s="103">
        <f t="shared" si="0"/>
        <v>8155</v>
      </c>
      <c r="D10" s="290">
        <v>11450</v>
      </c>
      <c r="E10" s="290">
        <v>19605</v>
      </c>
      <c r="F10" s="103">
        <f t="shared" si="1"/>
        <v>831</v>
      </c>
      <c r="G10" s="290">
        <v>1172</v>
      </c>
      <c r="H10" s="290">
        <v>2003</v>
      </c>
      <c r="I10" s="103">
        <f t="shared" si="2"/>
        <v>373</v>
      </c>
      <c r="J10" s="290">
        <v>595</v>
      </c>
      <c r="K10" s="290">
        <v>968</v>
      </c>
      <c r="L10" s="103">
        <f t="shared" si="3"/>
        <v>3285</v>
      </c>
      <c r="M10" s="290">
        <v>4513</v>
      </c>
      <c r="N10" s="290">
        <v>7798</v>
      </c>
      <c r="O10" s="103">
        <f t="shared" si="4"/>
        <v>3</v>
      </c>
      <c r="P10" s="290">
        <v>0</v>
      </c>
      <c r="Q10" s="290">
        <v>3</v>
      </c>
      <c r="R10" s="103">
        <f t="shared" si="5"/>
        <v>230</v>
      </c>
      <c r="S10" s="290">
        <v>297</v>
      </c>
      <c r="T10" s="290">
        <v>527</v>
      </c>
      <c r="U10" s="103">
        <f t="shared" si="6"/>
        <v>69</v>
      </c>
      <c r="V10" s="290">
        <v>129</v>
      </c>
      <c r="W10" s="290">
        <v>198</v>
      </c>
      <c r="X10" s="103">
        <f t="shared" si="7"/>
        <v>285</v>
      </c>
      <c r="Y10" s="290">
        <v>355</v>
      </c>
      <c r="Z10" s="290">
        <v>640</v>
      </c>
    </row>
    <row r="11" spans="1:26" ht="28" x14ac:dyDescent="0.35">
      <c r="A11" s="103">
        <v>7</v>
      </c>
      <c r="B11" s="130" t="s">
        <v>127</v>
      </c>
      <c r="C11" s="103">
        <f t="shared" si="0"/>
        <v>40586</v>
      </c>
      <c r="D11" s="290">
        <v>53619</v>
      </c>
      <c r="E11" s="290">
        <v>94205</v>
      </c>
      <c r="F11" s="103">
        <f t="shared" si="1"/>
        <v>8754</v>
      </c>
      <c r="G11" s="290">
        <v>9716</v>
      </c>
      <c r="H11" s="290">
        <v>18470</v>
      </c>
      <c r="I11" s="103">
        <f t="shared" si="2"/>
        <v>5837</v>
      </c>
      <c r="J11" s="290">
        <v>6189</v>
      </c>
      <c r="K11" s="290">
        <v>12026</v>
      </c>
      <c r="L11" s="103">
        <f t="shared" si="3"/>
        <v>16330</v>
      </c>
      <c r="M11" s="290">
        <v>21611</v>
      </c>
      <c r="N11" s="290">
        <v>37941</v>
      </c>
      <c r="O11" s="103">
        <f t="shared" si="4"/>
        <v>104</v>
      </c>
      <c r="P11" s="290">
        <v>52</v>
      </c>
      <c r="Q11" s="290">
        <v>156</v>
      </c>
      <c r="R11" s="103">
        <f t="shared" si="5"/>
        <v>498</v>
      </c>
      <c r="S11" s="290">
        <v>897</v>
      </c>
      <c r="T11" s="290">
        <v>1395</v>
      </c>
      <c r="U11" s="103">
        <f t="shared" si="6"/>
        <v>400</v>
      </c>
      <c r="V11" s="290">
        <v>1357</v>
      </c>
      <c r="W11" s="290">
        <v>1757</v>
      </c>
      <c r="X11" s="103">
        <f t="shared" si="7"/>
        <v>1214</v>
      </c>
      <c r="Y11" s="290">
        <v>1611</v>
      </c>
      <c r="Z11" s="290">
        <v>2825</v>
      </c>
    </row>
    <row r="12" spans="1:26" ht="28" x14ac:dyDescent="0.35">
      <c r="A12" s="103">
        <v>8</v>
      </c>
      <c r="B12" s="130" t="s">
        <v>128</v>
      </c>
      <c r="C12" s="103">
        <f t="shared" si="0"/>
        <v>106257</v>
      </c>
      <c r="D12" s="290">
        <v>81990</v>
      </c>
      <c r="E12" s="290">
        <v>188247</v>
      </c>
      <c r="F12" s="103">
        <f t="shared" si="1"/>
        <v>14622</v>
      </c>
      <c r="G12" s="290">
        <v>11652</v>
      </c>
      <c r="H12" s="290">
        <v>26274</v>
      </c>
      <c r="I12" s="103">
        <f t="shared" si="2"/>
        <v>4003</v>
      </c>
      <c r="J12" s="290">
        <v>3462</v>
      </c>
      <c r="K12" s="290">
        <v>7465</v>
      </c>
      <c r="L12" s="103">
        <f t="shared" si="3"/>
        <v>30700</v>
      </c>
      <c r="M12" s="290">
        <v>19776</v>
      </c>
      <c r="N12" s="290">
        <v>50476</v>
      </c>
      <c r="O12" s="103">
        <f t="shared" si="4"/>
        <v>519</v>
      </c>
      <c r="P12" s="290">
        <v>242</v>
      </c>
      <c r="Q12" s="290">
        <v>761</v>
      </c>
      <c r="R12" s="103">
        <f t="shared" si="5"/>
        <v>7133</v>
      </c>
      <c r="S12" s="290">
        <v>4893</v>
      </c>
      <c r="T12" s="290">
        <v>12026</v>
      </c>
      <c r="U12" s="103">
        <f t="shared" si="6"/>
        <v>2220</v>
      </c>
      <c r="V12" s="290">
        <v>2581</v>
      </c>
      <c r="W12" s="290">
        <v>4801</v>
      </c>
      <c r="X12" s="103">
        <f t="shared" si="7"/>
        <v>1612</v>
      </c>
      <c r="Y12" s="290">
        <v>1198</v>
      </c>
      <c r="Z12" s="290">
        <v>2810</v>
      </c>
    </row>
    <row r="13" spans="1:26" ht="28" x14ac:dyDescent="0.35">
      <c r="A13" s="103">
        <v>9</v>
      </c>
      <c r="B13" s="130" t="s">
        <v>129</v>
      </c>
      <c r="C13" s="103">
        <f t="shared" si="0"/>
        <v>689</v>
      </c>
      <c r="D13" s="290">
        <v>905</v>
      </c>
      <c r="E13" s="290">
        <v>1594</v>
      </c>
      <c r="F13" s="103">
        <f t="shared" si="1"/>
        <v>169</v>
      </c>
      <c r="G13" s="290">
        <v>127</v>
      </c>
      <c r="H13" s="290">
        <v>296</v>
      </c>
      <c r="I13" s="103">
        <f t="shared" si="2"/>
        <v>7</v>
      </c>
      <c r="J13" s="290">
        <v>15</v>
      </c>
      <c r="K13" s="290">
        <v>22</v>
      </c>
      <c r="L13" s="103">
        <f t="shared" si="3"/>
        <v>148</v>
      </c>
      <c r="M13" s="290">
        <v>151</v>
      </c>
      <c r="N13" s="290">
        <v>299</v>
      </c>
      <c r="O13" s="103">
        <f t="shared" si="4"/>
        <v>1</v>
      </c>
      <c r="P13" s="290">
        <v>0</v>
      </c>
      <c r="Q13" s="290">
        <v>1</v>
      </c>
      <c r="R13" s="103">
        <f t="shared" si="5"/>
        <v>7</v>
      </c>
      <c r="S13" s="290">
        <v>6</v>
      </c>
      <c r="T13" s="290">
        <v>13</v>
      </c>
      <c r="U13" s="103">
        <f t="shared" si="6"/>
        <v>76</v>
      </c>
      <c r="V13" s="290">
        <v>107</v>
      </c>
      <c r="W13" s="290">
        <v>183</v>
      </c>
      <c r="X13" s="103">
        <f t="shared" si="7"/>
        <v>38</v>
      </c>
      <c r="Y13" s="290">
        <v>70</v>
      </c>
      <c r="Z13" s="290">
        <v>108</v>
      </c>
    </row>
    <row r="14" spans="1:26" x14ac:dyDescent="0.35">
      <c r="A14" s="103">
        <v>10</v>
      </c>
      <c r="B14" s="130" t="s">
        <v>130</v>
      </c>
      <c r="C14" s="103">
        <f t="shared" si="0"/>
        <v>734905</v>
      </c>
      <c r="D14" s="290">
        <v>1026440</v>
      </c>
      <c r="E14" s="290">
        <v>1761345</v>
      </c>
      <c r="F14" s="103">
        <f t="shared" si="1"/>
        <v>116509</v>
      </c>
      <c r="G14" s="290">
        <v>142130</v>
      </c>
      <c r="H14" s="290">
        <v>258639</v>
      </c>
      <c r="I14" s="103">
        <f t="shared" si="2"/>
        <v>88454</v>
      </c>
      <c r="J14" s="290">
        <v>108190</v>
      </c>
      <c r="K14" s="290">
        <v>196644</v>
      </c>
      <c r="L14" s="103">
        <f t="shared" si="3"/>
        <v>307925</v>
      </c>
      <c r="M14" s="290">
        <v>395981</v>
      </c>
      <c r="N14" s="290">
        <v>703906</v>
      </c>
      <c r="O14" s="103">
        <f t="shared" si="4"/>
        <v>1312</v>
      </c>
      <c r="P14" s="290">
        <v>1150</v>
      </c>
      <c r="Q14" s="290">
        <v>2462</v>
      </c>
      <c r="R14" s="103">
        <f t="shared" si="5"/>
        <v>58128</v>
      </c>
      <c r="S14" s="290">
        <v>87847</v>
      </c>
      <c r="T14" s="290">
        <v>145975</v>
      </c>
      <c r="U14" s="103">
        <f t="shared" si="6"/>
        <v>19161</v>
      </c>
      <c r="V14" s="290">
        <v>24246</v>
      </c>
      <c r="W14" s="290">
        <v>43407</v>
      </c>
      <c r="X14" s="103">
        <f t="shared" si="7"/>
        <v>9709</v>
      </c>
      <c r="Y14" s="290">
        <v>13124</v>
      </c>
      <c r="Z14" s="290">
        <v>22833</v>
      </c>
    </row>
    <row r="15" spans="1:26" x14ac:dyDescent="0.35">
      <c r="A15" s="103">
        <v>11</v>
      </c>
      <c r="B15" s="130" t="s">
        <v>131</v>
      </c>
      <c r="C15" s="103">
        <f t="shared" si="0"/>
        <v>4307184</v>
      </c>
      <c r="D15" s="290">
        <v>5070452</v>
      </c>
      <c r="E15" s="290">
        <v>9377636</v>
      </c>
      <c r="F15" s="103">
        <f t="shared" si="1"/>
        <v>906983</v>
      </c>
      <c r="G15" s="290">
        <v>999838</v>
      </c>
      <c r="H15" s="290">
        <v>1906821</v>
      </c>
      <c r="I15" s="103">
        <f t="shared" si="2"/>
        <v>398393</v>
      </c>
      <c r="J15" s="290">
        <v>429895</v>
      </c>
      <c r="K15" s="290">
        <v>828288</v>
      </c>
      <c r="L15" s="103">
        <f t="shared" si="3"/>
        <v>1737794</v>
      </c>
      <c r="M15" s="290">
        <v>2058513</v>
      </c>
      <c r="N15" s="290">
        <v>3796307</v>
      </c>
      <c r="O15" s="103">
        <f t="shared" si="4"/>
        <v>9197</v>
      </c>
      <c r="P15" s="290">
        <v>6862</v>
      </c>
      <c r="Q15" s="290">
        <v>16059</v>
      </c>
      <c r="R15" s="103">
        <f t="shared" si="5"/>
        <v>228579</v>
      </c>
      <c r="S15" s="290">
        <v>337826</v>
      </c>
      <c r="T15" s="290">
        <v>566405</v>
      </c>
      <c r="U15" s="103">
        <f t="shared" si="6"/>
        <v>72835</v>
      </c>
      <c r="V15" s="290">
        <v>91628</v>
      </c>
      <c r="W15" s="290">
        <v>164463</v>
      </c>
      <c r="X15" s="103">
        <f t="shared" si="7"/>
        <v>55838</v>
      </c>
      <c r="Y15" s="290">
        <v>59246</v>
      </c>
      <c r="Z15" s="290">
        <v>115084</v>
      </c>
    </row>
    <row r="16" spans="1:26" x14ac:dyDescent="0.35">
      <c r="A16" s="103">
        <v>12</v>
      </c>
      <c r="B16" s="130" t="s">
        <v>132</v>
      </c>
      <c r="C16" s="103">
        <f t="shared" si="0"/>
        <v>3360</v>
      </c>
      <c r="D16" s="290">
        <v>4730</v>
      </c>
      <c r="E16" s="290">
        <v>8090</v>
      </c>
      <c r="F16" s="103">
        <f t="shared" si="1"/>
        <v>278</v>
      </c>
      <c r="G16" s="290">
        <v>405</v>
      </c>
      <c r="H16" s="290">
        <v>683</v>
      </c>
      <c r="I16" s="103">
        <f t="shared" si="2"/>
        <v>108</v>
      </c>
      <c r="J16" s="290">
        <v>169</v>
      </c>
      <c r="K16" s="290">
        <v>277</v>
      </c>
      <c r="L16" s="103">
        <f t="shared" si="3"/>
        <v>1412</v>
      </c>
      <c r="M16" s="290">
        <v>1813</v>
      </c>
      <c r="N16" s="290">
        <v>3225</v>
      </c>
      <c r="O16" s="103">
        <f t="shared" si="4"/>
        <v>2</v>
      </c>
      <c r="P16" s="290">
        <v>0</v>
      </c>
      <c r="Q16" s="290">
        <v>2</v>
      </c>
      <c r="R16" s="103">
        <f t="shared" si="5"/>
        <v>277</v>
      </c>
      <c r="S16" s="290">
        <v>249</v>
      </c>
      <c r="T16" s="290">
        <v>526</v>
      </c>
      <c r="U16" s="103">
        <f t="shared" si="6"/>
        <v>32</v>
      </c>
      <c r="V16" s="290">
        <v>55</v>
      </c>
      <c r="W16" s="290">
        <v>87</v>
      </c>
      <c r="X16" s="103">
        <f t="shared" si="7"/>
        <v>167</v>
      </c>
      <c r="Y16" s="290">
        <v>202</v>
      </c>
      <c r="Z16" s="290">
        <v>369</v>
      </c>
    </row>
    <row r="17" spans="1:26" ht="28" x14ac:dyDescent="0.35">
      <c r="A17" s="103">
        <v>13</v>
      </c>
      <c r="B17" s="130" t="s">
        <v>133</v>
      </c>
      <c r="C17" s="103">
        <f t="shared" si="0"/>
        <v>35517</v>
      </c>
      <c r="D17" s="290">
        <v>63991</v>
      </c>
      <c r="E17" s="290">
        <v>99508</v>
      </c>
      <c r="F17" s="103">
        <f t="shared" si="1"/>
        <v>3230</v>
      </c>
      <c r="G17" s="290">
        <v>4320</v>
      </c>
      <c r="H17" s="290">
        <v>7550</v>
      </c>
      <c r="I17" s="103">
        <f t="shared" si="2"/>
        <v>1454</v>
      </c>
      <c r="J17" s="290">
        <v>2047</v>
      </c>
      <c r="K17" s="290">
        <v>3501</v>
      </c>
      <c r="L17" s="103">
        <f t="shared" si="3"/>
        <v>13504</v>
      </c>
      <c r="M17" s="290">
        <v>16756</v>
      </c>
      <c r="N17" s="290">
        <v>30260</v>
      </c>
      <c r="O17" s="103">
        <f t="shared" si="4"/>
        <v>27</v>
      </c>
      <c r="P17" s="290">
        <v>19</v>
      </c>
      <c r="Q17" s="290">
        <v>46</v>
      </c>
      <c r="R17" s="103">
        <f t="shared" si="5"/>
        <v>1698</v>
      </c>
      <c r="S17" s="290">
        <v>1705</v>
      </c>
      <c r="T17" s="290">
        <v>3403</v>
      </c>
      <c r="U17" s="103">
        <f t="shared" si="6"/>
        <v>674</v>
      </c>
      <c r="V17" s="290">
        <v>978</v>
      </c>
      <c r="W17" s="290">
        <v>1652</v>
      </c>
      <c r="X17" s="103">
        <f t="shared" si="7"/>
        <v>1248</v>
      </c>
      <c r="Y17" s="290">
        <v>1617</v>
      </c>
      <c r="Z17" s="290">
        <v>2865</v>
      </c>
    </row>
    <row r="18" spans="1:26" ht="28" x14ac:dyDescent="0.35">
      <c r="A18" s="103">
        <v>14</v>
      </c>
      <c r="B18" s="130" t="s">
        <v>134</v>
      </c>
      <c r="C18" s="103">
        <f t="shared" si="0"/>
        <v>1083</v>
      </c>
      <c r="D18" s="290">
        <v>2698</v>
      </c>
      <c r="E18" s="290">
        <v>3781</v>
      </c>
      <c r="F18" s="103">
        <f t="shared" si="1"/>
        <v>101</v>
      </c>
      <c r="G18" s="290">
        <v>152</v>
      </c>
      <c r="H18" s="290">
        <v>253</v>
      </c>
      <c r="I18" s="103">
        <f t="shared" si="2"/>
        <v>29</v>
      </c>
      <c r="J18" s="290">
        <v>61</v>
      </c>
      <c r="K18" s="290">
        <v>90</v>
      </c>
      <c r="L18" s="103">
        <f t="shared" si="3"/>
        <v>456</v>
      </c>
      <c r="M18" s="290">
        <v>1375</v>
      </c>
      <c r="N18" s="290">
        <v>1831</v>
      </c>
      <c r="O18" s="103">
        <f t="shared" si="4"/>
        <v>5</v>
      </c>
      <c r="P18" s="290">
        <v>13</v>
      </c>
      <c r="Q18" s="290">
        <v>18</v>
      </c>
      <c r="R18" s="103">
        <f t="shared" si="5"/>
        <v>87</v>
      </c>
      <c r="S18" s="290">
        <v>428</v>
      </c>
      <c r="T18" s="290">
        <v>515</v>
      </c>
      <c r="U18" s="103">
        <f t="shared" si="6"/>
        <v>73</v>
      </c>
      <c r="V18" s="290">
        <v>313</v>
      </c>
      <c r="W18" s="290">
        <v>386</v>
      </c>
      <c r="X18" s="103">
        <f t="shared" si="7"/>
        <v>7</v>
      </c>
      <c r="Y18" s="290">
        <v>26</v>
      </c>
      <c r="Z18" s="290">
        <v>33</v>
      </c>
    </row>
    <row r="19" spans="1:26" x14ac:dyDescent="0.35">
      <c r="A19" s="103">
        <v>15</v>
      </c>
      <c r="B19" s="130" t="s">
        <v>135</v>
      </c>
      <c r="C19" s="103">
        <f t="shared" si="0"/>
        <v>126832</v>
      </c>
      <c r="D19" s="290">
        <v>42441</v>
      </c>
      <c r="E19" s="290">
        <v>169273</v>
      </c>
      <c r="F19" s="103">
        <f t="shared" si="1"/>
        <v>17079</v>
      </c>
      <c r="G19" s="290">
        <v>5935</v>
      </c>
      <c r="H19" s="290">
        <v>23014</v>
      </c>
      <c r="I19" s="103">
        <f t="shared" si="2"/>
        <v>5460</v>
      </c>
      <c r="J19" s="290">
        <v>3102</v>
      </c>
      <c r="K19" s="290">
        <v>8562</v>
      </c>
      <c r="L19" s="103">
        <f t="shared" si="3"/>
        <v>62010</v>
      </c>
      <c r="M19" s="290">
        <v>18423</v>
      </c>
      <c r="N19" s="290">
        <v>80433</v>
      </c>
      <c r="O19" s="103">
        <f t="shared" si="4"/>
        <v>253</v>
      </c>
      <c r="P19" s="290">
        <v>131</v>
      </c>
      <c r="Q19" s="290">
        <v>384</v>
      </c>
      <c r="R19" s="103">
        <f t="shared" si="5"/>
        <v>1800</v>
      </c>
      <c r="S19" s="290">
        <v>1062</v>
      </c>
      <c r="T19" s="290">
        <v>2862</v>
      </c>
      <c r="U19" s="103">
        <f t="shared" si="6"/>
        <v>612</v>
      </c>
      <c r="V19" s="290">
        <v>694</v>
      </c>
      <c r="W19" s="290">
        <v>1306</v>
      </c>
      <c r="X19" s="103">
        <f t="shared" si="7"/>
        <v>2988</v>
      </c>
      <c r="Y19" s="290">
        <v>1370</v>
      </c>
      <c r="Z19" s="290">
        <v>4358</v>
      </c>
    </row>
    <row r="20" spans="1:26" x14ac:dyDescent="0.35">
      <c r="A20" s="103">
        <v>16</v>
      </c>
      <c r="B20" s="130" t="s">
        <v>136</v>
      </c>
      <c r="C20" s="103">
        <f t="shared" si="0"/>
        <v>33074</v>
      </c>
      <c r="D20" s="290">
        <v>37690</v>
      </c>
      <c r="E20" s="290">
        <v>70764</v>
      </c>
      <c r="F20" s="103">
        <f t="shared" si="1"/>
        <v>2215</v>
      </c>
      <c r="G20" s="290">
        <v>2135</v>
      </c>
      <c r="H20" s="290">
        <v>4350</v>
      </c>
      <c r="I20" s="103">
        <f t="shared" si="2"/>
        <v>724</v>
      </c>
      <c r="J20" s="290">
        <v>651</v>
      </c>
      <c r="K20" s="290">
        <v>1375</v>
      </c>
      <c r="L20" s="103">
        <f t="shared" si="3"/>
        <v>11696</v>
      </c>
      <c r="M20" s="290">
        <v>11833</v>
      </c>
      <c r="N20" s="290">
        <v>23529</v>
      </c>
      <c r="O20" s="103">
        <f t="shared" si="4"/>
        <v>64</v>
      </c>
      <c r="P20" s="290">
        <v>87</v>
      </c>
      <c r="Q20" s="290">
        <v>151</v>
      </c>
      <c r="R20" s="103">
        <f t="shared" si="5"/>
        <v>2748</v>
      </c>
      <c r="S20" s="290">
        <v>2358</v>
      </c>
      <c r="T20" s="290">
        <v>5106</v>
      </c>
      <c r="U20" s="103">
        <f t="shared" si="6"/>
        <v>1381</v>
      </c>
      <c r="V20" s="290">
        <v>1798</v>
      </c>
      <c r="W20" s="290">
        <v>3179</v>
      </c>
      <c r="X20" s="103">
        <f t="shared" si="7"/>
        <v>1129</v>
      </c>
      <c r="Y20" s="290">
        <v>1128</v>
      </c>
      <c r="Z20" s="290">
        <v>2257</v>
      </c>
    </row>
    <row r="21" spans="1:26" ht="28" x14ac:dyDescent="0.35">
      <c r="A21" s="103">
        <v>17</v>
      </c>
      <c r="B21" s="130" t="s">
        <v>137</v>
      </c>
      <c r="C21" s="103">
        <f t="shared" si="0"/>
        <v>450987</v>
      </c>
      <c r="D21" s="290">
        <v>287899</v>
      </c>
      <c r="E21" s="290">
        <v>738886</v>
      </c>
      <c r="F21" s="103">
        <f t="shared" si="1"/>
        <v>41184</v>
      </c>
      <c r="G21" s="290">
        <v>29170</v>
      </c>
      <c r="H21" s="290">
        <v>70354</v>
      </c>
      <c r="I21" s="103">
        <f t="shared" si="2"/>
        <v>10559</v>
      </c>
      <c r="J21" s="290">
        <v>6841</v>
      </c>
      <c r="K21" s="290">
        <v>17400</v>
      </c>
      <c r="L21" s="103">
        <f t="shared" si="3"/>
        <v>152392</v>
      </c>
      <c r="M21" s="290">
        <v>99710</v>
      </c>
      <c r="N21" s="290">
        <v>252102</v>
      </c>
      <c r="O21" s="103">
        <f t="shared" si="4"/>
        <v>510</v>
      </c>
      <c r="P21" s="290">
        <v>237</v>
      </c>
      <c r="Q21" s="290">
        <v>747</v>
      </c>
      <c r="R21" s="103">
        <f t="shared" si="5"/>
        <v>35407</v>
      </c>
      <c r="S21" s="290">
        <v>18050</v>
      </c>
      <c r="T21" s="290">
        <v>53457</v>
      </c>
      <c r="U21" s="103">
        <f t="shared" si="6"/>
        <v>17810</v>
      </c>
      <c r="V21" s="290">
        <v>13507</v>
      </c>
      <c r="W21" s="290">
        <v>31317</v>
      </c>
      <c r="X21" s="103">
        <f t="shared" si="7"/>
        <v>6272</v>
      </c>
      <c r="Y21" s="290">
        <v>4462</v>
      </c>
      <c r="Z21" s="290">
        <v>10734</v>
      </c>
    </row>
    <row r="22" spans="1:26" x14ac:dyDescent="0.35">
      <c r="A22" s="103">
        <v>18</v>
      </c>
      <c r="B22" s="130" t="s">
        <v>819</v>
      </c>
      <c r="C22" s="103">
        <f t="shared" si="0"/>
        <v>2287</v>
      </c>
      <c r="D22" s="290">
        <v>2127</v>
      </c>
      <c r="E22" s="290">
        <v>4414</v>
      </c>
      <c r="F22" s="103">
        <f t="shared" si="1"/>
        <v>85</v>
      </c>
      <c r="G22" s="290">
        <v>82</v>
      </c>
      <c r="H22" s="290">
        <v>167</v>
      </c>
      <c r="I22" s="103">
        <f t="shared" si="2"/>
        <v>30</v>
      </c>
      <c r="J22" s="290">
        <v>21</v>
      </c>
      <c r="K22" s="290">
        <v>51</v>
      </c>
      <c r="L22" s="103">
        <f t="shared" si="3"/>
        <v>411</v>
      </c>
      <c r="M22" s="290">
        <v>368</v>
      </c>
      <c r="N22" s="290">
        <v>779</v>
      </c>
      <c r="O22" s="103">
        <f t="shared" si="4"/>
        <v>1</v>
      </c>
      <c r="P22" s="290">
        <v>0</v>
      </c>
      <c r="Q22" s="290">
        <v>1</v>
      </c>
      <c r="R22" s="103">
        <f t="shared" si="5"/>
        <v>42</v>
      </c>
      <c r="S22" s="290">
        <v>42</v>
      </c>
      <c r="T22" s="290">
        <v>84</v>
      </c>
      <c r="U22" s="103">
        <f t="shared" si="6"/>
        <v>33</v>
      </c>
      <c r="V22" s="290">
        <v>47</v>
      </c>
      <c r="W22" s="290">
        <v>80</v>
      </c>
      <c r="X22" s="103">
        <f t="shared" si="7"/>
        <v>107</v>
      </c>
      <c r="Y22" s="290">
        <v>101</v>
      </c>
      <c r="Z22" s="290">
        <v>208</v>
      </c>
    </row>
    <row r="23" spans="1:26" ht="28" x14ac:dyDescent="0.35">
      <c r="A23" s="103">
        <v>19</v>
      </c>
      <c r="B23" s="130" t="s">
        <v>138</v>
      </c>
      <c r="C23" s="103">
        <f t="shared" si="0"/>
        <v>16426</v>
      </c>
      <c r="D23" s="290">
        <v>14578</v>
      </c>
      <c r="E23" s="290">
        <v>31004</v>
      </c>
      <c r="F23" s="103">
        <f t="shared" si="1"/>
        <v>1010</v>
      </c>
      <c r="G23" s="290">
        <v>865</v>
      </c>
      <c r="H23" s="290">
        <v>1875</v>
      </c>
      <c r="I23" s="103">
        <f t="shared" si="2"/>
        <v>382</v>
      </c>
      <c r="J23" s="290">
        <v>325</v>
      </c>
      <c r="K23" s="290">
        <v>707</v>
      </c>
      <c r="L23" s="103">
        <f t="shared" si="3"/>
        <v>3008</v>
      </c>
      <c r="M23" s="290">
        <v>2753</v>
      </c>
      <c r="N23" s="290">
        <v>5761</v>
      </c>
      <c r="O23" s="103">
        <f t="shared" si="4"/>
        <v>54</v>
      </c>
      <c r="P23" s="290">
        <v>34</v>
      </c>
      <c r="Q23" s="290">
        <v>88</v>
      </c>
      <c r="R23" s="103">
        <f t="shared" si="5"/>
        <v>688</v>
      </c>
      <c r="S23" s="290">
        <v>525</v>
      </c>
      <c r="T23" s="290">
        <v>1213</v>
      </c>
      <c r="U23" s="103">
        <f t="shared" si="6"/>
        <v>661</v>
      </c>
      <c r="V23" s="290">
        <v>724</v>
      </c>
      <c r="W23" s="290">
        <v>1385</v>
      </c>
      <c r="X23" s="103">
        <f t="shared" si="7"/>
        <v>243</v>
      </c>
      <c r="Y23" s="290">
        <v>195</v>
      </c>
      <c r="Z23" s="290">
        <v>438</v>
      </c>
    </row>
    <row r="24" spans="1:26" x14ac:dyDescent="0.35">
      <c r="A24" s="103">
        <v>20</v>
      </c>
      <c r="B24" s="130" t="s">
        <v>139</v>
      </c>
      <c r="C24" s="103">
        <f t="shared" si="0"/>
        <v>12127</v>
      </c>
      <c r="D24" s="290">
        <v>7840</v>
      </c>
      <c r="E24" s="290">
        <v>19967</v>
      </c>
      <c r="F24" s="103">
        <f t="shared" si="1"/>
        <v>850</v>
      </c>
      <c r="G24" s="290">
        <v>724</v>
      </c>
      <c r="H24" s="290">
        <v>1574</v>
      </c>
      <c r="I24" s="103">
        <f t="shared" si="2"/>
        <v>293</v>
      </c>
      <c r="J24" s="290">
        <v>214</v>
      </c>
      <c r="K24" s="290">
        <v>507</v>
      </c>
      <c r="L24" s="103">
        <f t="shared" si="3"/>
        <v>3371</v>
      </c>
      <c r="M24" s="290">
        <v>2611</v>
      </c>
      <c r="N24" s="290">
        <v>5982</v>
      </c>
      <c r="O24" s="103">
        <f t="shared" si="4"/>
        <v>10</v>
      </c>
      <c r="P24" s="290">
        <v>4</v>
      </c>
      <c r="Q24" s="290">
        <v>14</v>
      </c>
      <c r="R24" s="103">
        <f t="shared" si="5"/>
        <v>437</v>
      </c>
      <c r="S24" s="290">
        <v>408</v>
      </c>
      <c r="T24" s="290">
        <v>845</v>
      </c>
      <c r="U24" s="103">
        <f t="shared" si="6"/>
        <v>336</v>
      </c>
      <c r="V24" s="290">
        <v>301</v>
      </c>
      <c r="W24" s="290">
        <v>637</v>
      </c>
      <c r="X24" s="103">
        <f t="shared" si="7"/>
        <v>205</v>
      </c>
      <c r="Y24" s="290">
        <v>134</v>
      </c>
      <c r="Z24" s="290">
        <v>339</v>
      </c>
    </row>
    <row r="25" spans="1:26" x14ac:dyDescent="0.35">
      <c r="A25" s="103">
        <v>21</v>
      </c>
      <c r="B25" s="130" t="s">
        <v>140</v>
      </c>
      <c r="C25" s="103">
        <f t="shared" si="0"/>
        <v>246</v>
      </c>
      <c r="D25" s="290">
        <v>61</v>
      </c>
      <c r="E25" s="290">
        <v>307</v>
      </c>
      <c r="F25" s="103">
        <f t="shared" si="1"/>
        <v>40</v>
      </c>
      <c r="G25" s="290">
        <v>4</v>
      </c>
      <c r="H25" s="290">
        <v>44</v>
      </c>
      <c r="I25" s="103">
        <f t="shared" si="2"/>
        <v>2</v>
      </c>
      <c r="J25" s="290">
        <v>0</v>
      </c>
      <c r="K25" s="290">
        <v>2</v>
      </c>
      <c r="L25" s="103">
        <f t="shared" si="3"/>
        <v>58</v>
      </c>
      <c r="M25" s="290">
        <v>4</v>
      </c>
      <c r="N25" s="290">
        <v>62</v>
      </c>
      <c r="O25" s="103">
        <f t="shared" si="4"/>
        <v>0</v>
      </c>
      <c r="P25" s="290">
        <v>0</v>
      </c>
      <c r="Q25" s="290">
        <v>0</v>
      </c>
      <c r="R25" s="103">
        <f t="shared" si="5"/>
        <v>6</v>
      </c>
      <c r="S25" s="290">
        <v>0</v>
      </c>
      <c r="T25" s="290">
        <v>6</v>
      </c>
      <c r="U25" s="103">
        <f t="shared" si="6"/>
        <v>0</v>
      </c>
      <c r="V25" s="290">
        <v>0</v>
      </c>
      <c r="W25" s="290">
        <v>0</v>
      </c>
      <c r="X25" s="103">
        <f t="shared" si="7"/>
        <v>20</v>
      </c>
      <c r="Y25" s="290">
        <v>3</v>
      </c>
      <c r="Z25" s="290">
        <v>23</v>
      </c>
    </row>
    <row r="26" spans="1:26" ht="28" x14ac:dyDescent="0.35">
      <c r="A26" s="103">
        <v>22</v>
      </c>
      <c r="B26" s="130" t="s">
        <v>141</v>
      </c>
      <c r="C26" s="103">
        <f t="shared" si="0"/>
        <v>447536</v>
      </c>
      <c r="D26" s="290">
        <v>264955</v>
      </c>
      <c r="E26" s="290">
        <v>712491</v>
      </c>
      <c r="F26" s="103">
        <f t="shared" si="1"/>
        <v>49080</v>
      </c>
      <c r="G26" s="290">
        <v>32970</v>
      </c>
      <c r="H26" s="290">
        <v>82050</v>
      </c>
      <c r="I26" s="103">
        <f t="shared" si="2"/>
        <v>12041</v>
      </c>
      <c r="J26" s="290">
        <v>6887</v>
      </c>
      <c r="K26" s="290">
        <v>18928</v>
      </c>
      <c r="L26" s="103">
        <f t="shared" si="3"/>
        <v>177802</v>
      </c>
      <c r="M26" s="290">
        <v>112198</v>
      </c>
      <c r="N26" s="290">
        <v>290000</v>
      </c>
      <c r="O26" s="103">
        <f t="shared" si="4"/>
        <v>753</v>
      </c>
      <c r="P26" s="290">
        <v>269</v>
      </c>
      <c r="Q26" s="290">
        <v>1022</v>
      </c>
      <c r="R26" s="103">
        <f t="shared" si="5"/>
        <v>26185</v>
      </c>
      <c r="S26" s="290">
        <v>12265</v>
      </c>
      <c r="T26" s="290">
        <v>38450</v>
      </c>
      <c r="U26" s="103">
        <f t="shared" si="6"/>
        <v>15924</v>
      </c>
      <c r="V26" s="290">
        <v>12166</v>
      </c>
      <c r="W26" s="290">
        <v>28090</v>
      </c>
      <c r="X26" s="103">
        <f t="shared" si="7"/>
        <v>8396</v>
      </c>
      <c r="Y26" s="290">
        <v>5919</v>
      </c>
      <c r="Z26" s="290">
        <v>14315</v>
      </c>
    </row>
    <row r="27" spans="1:26" x14ac:dyDescent="0.35">
      <c r="A27" s="103">
        <v>23</v>
      </c>
      <c r="B27" s="130" t="s">
        <v>820</v>
      </c>
      <c r="C27" s="103">
        <f t="shared" si="0"/>
        <v>589</v>
      </c>
      <c r="D27" s="290">
        <v>94</v>
      </c>
      <c r="E27" s="290">
        <v>683</v>
      </c>
      <c r="F27" s="103">
        <f t="shared" si="1"/>
        <v>113</v>
      </c>
      <c r="G27" s="290">
        <v>24</v>
      </c>
      <c r="H27" s="290">
        <v>137</v>
      </c>
      <c r="I27" s="103">
        <f t="shared" si="2"/>
        <v>24</v>
      </c>
      <c r="J27" s="290">
        <v>12</v>
      </c>
      <c r="K27" s="290">
        <v>36</v>
      </c>
      <c r="L27" s="103">
        <f t="shared" si="3"/>
        <v>149</v>
      </c>
      <c r="M27" s="290">
        <v>14</v>
      </c>
      <c r="N27" s="290">
        <v>163</v>
      </c>
      <c r="O27" s="103">
        <f t="shared" si="4"/>
        <v>8</v>
      </c>
      <c r="P27" s="290">
        <v>1</v>
      </c>
      <c r="Q27" s="290">
        <v>9</v>
      </c>
      <c r="R27" s="103">
        <f t="shared" si="5"/>
        <v>37</v>
      </c>
      <c r="S27" s="290">
        <v>0</v>
      </c>
      <c r="T27" s="290">
        <v>37</v>
      </c>
      <c r="U27" s="103">
        <f t="shared" si="6"/>
        <v>0</v>
      </c>
      <c r="V27" s="290">
        <v>0</v>
      </c>
      <c r="W27" s="290">
        <v>0</v>
      </c>
      <c r="X27" s="103">
        <f t="shared" si="7"/>
        <v>0</v>
      </c>
      <c r="Y27" s="290">
        <v>0</v>
      </c>
      <c r="Z27" s="290">
        <v>0</v>
      </c>
    </row>
    <row r="28" spans="1:26" x14ac:dyDescent="0.35">
      <c r="A28" s="103">
        <v>24</v>
      </c>
      <c r="B28" s="130" t="s">
        <v>142</v>
      </c>
      <c r="C28" s="103">
        <f t="shared" si="0"/>
        <v>374</v>
      </c>
      <c r="D28" s="290">
        <v>177</v>
      </c>
      <c r="E28" s="290">
        <v>551</v>
      </c>
      <c r="F28" s="103">
        <f t="shared" si="1"/>
        <v>45</v>
      </c>
      <c r="G28" s="290">
        <v>24</v>
      </c>
      <c r="H28" s="290">
        <v>69</v>
      </c>
      <c r="I28" s="103">
        <f t="shared" si="2"/>
        <v>27</v>
      </c>
      <c r="J28" s="290">
        <v>13</v>
      </c>
      <c r="K28" s="290">
        <v>40</v>
      </c>
      <c r="L28" s="103">
        <f t="shared" si="3"/>
        <v>99</v>
      </c>
      <c r="M28" s="290">
        <v>66</v>
      </c>
      <c r="N28" s="290">
        <v>165</v>
      </c>
      <c r="O28" s="103">
        <f t="shared" si="4"/>
        <v>0</v>
      </c>
      <c r="P28" s="290">
        <v>0</v>
      </c>
      <c r="Q28" s="290">
        <v>0</v>
      </c>
      <c r="R28" s="103">
        <f t="shared" si="5"/>
        <v>6</v>
      </c>
      <c r="S28" s="290">
        <v>0</v>
      </c>
      <c r="T28" s="290">
        <v>6</v>
      </c>
      <c r="U28" s="103">
        <f t="shared" si="6"/>
        <v>0</v>
      </c>
      <c r="V28" s="290">
        <v>0</v>
      </c>
      <c r="W28" s="290">
        <v>0</v>
      </c>
      <c r="X28" s="103">
        <f t="shared" si="7"/>
        <v>30</v>
      </c>
      <c r="Y28" s="290">
        <v>7</v>
      </c>
      <c r="Z28" s="290">
        <v>37</v>
      </c>
    </row>
    <row r="29" spans="1:26" ht="28" x14ac:dyDescent="0.35">
      <c r="A29" s="103">
        <v>25</v>
      </c>
      <c r="B29" s="130" t="s">
        <v>821</v>
      </c>
      <c r="C29" s="103">
        <f t="shared" si="0"/>
        <v>799</v>
      </c>
      <c r="D29" s="290">
        <v>198</v>
      </c>
      <c r="E29" s="290">
        <v>997</v>
      </c>
      <c r="F29" s="103">
        <f t="shared" si="1"/>
        <v>139</v>
      </c>
      <c r="G29" s="290">
        <v>31</v>
      </c>
      <c r="H29" s="290">
        <v>170</v>
      </c>
      <c r="I29" s="103">
        <f t="shared" si="2"/>
        <v>47</v>
      </c>
      <c r="J29" s="290">
        <v>13</v>
      </c>
      <c r="K29" s="290">
        <v>60</v>
      </c>
      <c r="L29" s="103">
        <f t="shared" si="3"/>
        <v>242</v>
      </c>
      <c r="M29" s="290">
        <v>62</v>
      </c>
      <c r="N29" s="290">
        <v>304</v>
      </c>
      <c r="O29" s="103">
        <f t="shared" si="4"/>
        <v>7</v>
      </c>
      <c r="P29" s="290">
        <v>1</v>
      </c>
      <c r="Q29" s="290">
        <v>8</v>
      </c>
      <c r="R29" s="103">
        <f t="shared" si="5"/>
        <v>34</v>
      </c>
      <c r="S29" s="290">
        <v>12</v>
      </c>
      <c r="T29" s="290">
        <v>46</v>
      </c>
      <c r="U29" s="103">
        <f t="shared" si="6"/>
        <v>12</v>
      </c>
      <c r="V29" s="290">
        <v>6</v>
      </c>
      <c r="W29" s="290">
        <v>18</v>
      </c>
      <c r="X29" s="103">
        <f t="shared" si="7"/>
        <v>16</v>
      </c>
      <c r="Y29" s="290">
        <v>2</v>
      </c>
      <c r="Z29" s="290">
        <v>18</v>
      </c>
    </row>
    <row r="30" spans="1:26" ht="28" x14ac:dyDescent="0.35">
      <c r="A30" s="103">
        <v>26</v>
      </c>
      <c r="B30" s="130" t="s">
        <v>822</v>
      </c>
      <c r="C30" s="103">
        <f t="shared" si="0"/>
        <v>74</v>
      </c>
      <c r="D30" s="290">
        <v>92</v>
      </c>
      <c r="E30" s="290">
        <v>166</v>
      </c>
      <c r="F30" s="103">
        <f t="shared" si="1"/>
        <v>0</v>
      </c>
      <c r="G30" s="290">
        <v>0</v>
      </c>
      <c r="H30" s="290">
        <v>0</v>
      </c>
      <c r="I30" s="103">
        <f t="shared" si="2"/>
        <v>0</v>
      </c>
      <c r="J30" s="290">
        <v>0</v>
      </c>
      <c r="K30" s="290">
        <v>0</v>
      </c>
      <c r="L30" s="103">
        <f t="shared" si="3"/>
        <v>3</v>
      </c>
      <c r="M30" s="290">
        <v>7</v>
      </c>
      <c r="N30" s="290">
        <v>10</v>
      </c>
      <c r="O30" s="103">
        <f t="shared" si="4"/>
        <v>0</v>
      </c>
      <c r="P30" s="290">
        <v>0</v>
      </c>
      <c r="Q30" s="290">
        <v>0</v>
      </c>
      <c r="R30" s="103">
        <f t="shared" si="5"/>
        <v>25</v>
      </c>
      <c r="S30" s="290">
        <v>38</v>
      </c>
      <c r="T30" s="290">
        <v>63</v>
      </c>
      <c r="U30" s="103">
        <f t="shared" si="6"/>
        <v>0</v>
      </c>
      <c r="V30" s="290">
        <v>0</v>
      </c>
      <c r="W30" s="290">
        <v>0</v>
      </c>
      <c r="X30" s="103">
        <f t="shared" si="7"/>
        <v>0</v>
      </c>
      <c r="Y30" s="290">
        <v>13</v>
      </c>
      <c r="Z30" s="290">
        <v>13</v>
      </c>
    </row>
    <row r="31" spans="1:26" ht="28" x14ac:dyDescent="0.35">
      <c r="A31" s="103">
        <v>27</v>
      </c>
      <c r="B31" s="130" t="s">
        <v>931</v>
      </c>
      <c r="C31" s="103">
        <f t="shared" si="0"/>
        <v>101</v>
      </c>
      <c r="D31" s="290">
        <v>95</v>
      </c>
      <c r="E31" s="290">
        <v>196</v>
      </c>
      <c r="F31" s="103">
        <f t="shared" si="1"/>
        <v>38</v>
      </c>
      <c r="G31" s="290">
        <v>51</v>
      </c>
      <c r="H31" s="290">
        <v>89</v>
      </c>
      <c r="I31" s="103">
        <f t="shared" si="2"/>
        <v>7</v>
      </c>
      <c r="J31" s="290">
        <v>3</v>
      </c>
      <c r="K31" s="290">
        <v>10</v>
      </c>
      <c r="L31" s="103">
        <f t="shared" si="3"/>
        <v>18</v>
      </c>
      <c r="M31" s="290">
        <v>26</v>
      </c>
      <c r="N31" s="290">
        <v>44</v>
      </c>
      <c r="O31" s="103">
        <f t="shared" si="4"/>
        <v>0</v>
      </c>
      <c r="P31" s="290">
        <v>0</v>
      </c>
      <c r="Q31" s="290">
        <v>0</v>
      </c>
      <c r="R31" s="103">
        <f t="shared" si="5"/>
        <v>0</v>
      </c>
      <c r="S31" s="290">
        <v>2</v>
      </c>
      <c r="T31" s="290">
        <v>2</v>
      </c>
      <c r="U31" s="103">
        <f t="shared" si="6"/>
        <v>0</v>
      </c>
      <c r="V31" s="290">
        <v>0</v>
      </c>
      <c r="W31" s="290">
        <v>0</v>
      </c>
      <c r="X31" s="103">
        <f t="shared" si="7"/>
        <v>9</v>
      </c>
      <c r="Y31" s="290">
        <v>3</v>
      </c>
      <c r="Z31" s="290">
        <v>12</v>
      </c>
    </row>
    <row r="32" spans="1:26" ht="28" x14ac:dyDescent="0.35">
      <c r="A32" s="103">
        <v>28</v>
      </c>
      <c r="B32" s="130" t="s">
        <v>143</v>
      </c>
      <c r="C32" s="103">
        <f t="shared" si="0"/>
        <v>49757</v>
      </c>
      <c r="D32" s="290">
        <v>42772</v>
      </c>
      <c r="E32" s="290">
        <v>92529</v>
      </c>
      <c r="F32" s="103">
        <f t="shared" si="1"/>
        <v>4925</v>
      </c>
      <c r="G32" s="290">
        <v>4044</v>
      </c>
      <c r="H32" s="290">
        <v>8969</v>
      </c>
      <c r="I32" s="103">
        <f t="shared" si="2"/>
        <v>2719</v>
      </c>
      <c r="J32" s="290">
        <v>2161</v>
      </c>
      <c r="K32" s="290">
        <v>4880</v>
      </c>
      <c r="L32" s="103">
        <f t="shared" si="3"/>
        <v>13611</v>
      </c>
      <c r="M32" s="290">
        <v>11779</v>
      </c>
      <c r="N32" s="290">
        <v>25390</v>
      </c>
      <c r="O32" s="103">
        <f t="shared" si="4"/>
        <v>104</v>
      </c>
      <c r="P32" s="290">
        <v>30</v>
      </c>
      <c r="Q32" s="290">
        <v>134</v>
      </c>
      <c r="R32" s="103">
        <f t="shared" si="5"/>
        <v>3356</v>
      </c>
      <c r="S32" s="290">
        <v>2137</v>
      </c>
      <c r="T32" s="290">
        <v>5493</v>
      </c>
      <c r="U32" s="103">
        <f t="shared" si="6"/>
        <v>943</v>
      </c>
      <c r="V32" s="290">
        <v>1095</v>
      </c>
      <c r="W32" s="290">
        <v>2038</v>
      </c>
      <c r="X32" s="103">
        <f t="shared" si="7"/>
        <v>1451</v>
      </c>
      <c r="Y32" s="290">
        <v>922</v>
      </c>
      <c r="Z32" s="290">
        <v>2373</v>
      </c>
    </row>
    <row r="33" spans="1:26" x14ac:dyDescent="0.35">
      <c r="A33" s="103">
        <v>29</v>
      </c>
      <c r="B33" s="130" t="s">
        <v>144</v>
      </c>
      <c r="C33" s="103">
        <f t="shared" si="0"/>
        <v>1922215</v>
      </c>
      <c r="D33" s="290">
        <v>1816190</v>
      </c>
      <c r="E33" s="290">
        <v>3738405</v>
      </c>
      <c r="F33" s="103">
        <f t="shared" si="1"/>
        <v>244209</v>
      </c>
      <c r="G33" s="290">
        <v>234021</v>
      </c>
      <c r="H33" s="290">
        <v>478230</v>
      </c>
      <c r="I33" s="103">
        <f t="shared" si="2"/>
        <v>80363</v>
      </c>
      <c r="J33" s="290">
        <v>68987</v>
      </c>
      <c r="K33" s="290">
        <v>149350</v>
      </c>
      <c r="L33" s="103">
        <f t="shared" si="3"/>
        <v>781568</v>
      </c>
      <c r="M33" s="290">
        <v>770433</v>
      </c>
      <c r="N33" s="290">
        <v>1552001</v>
      </c>
      <c r="O33" s="103">
        <f t="shared" si="4"/>
        <v>4784</v>
      </c>
      <c r="P33" s="290">
        <v>2896</v>
      </c>
      <c r="Q33" s="290">
        <v>7680</v>
      </c>
      <c r="R33" s="103">
        <f t="shared" si="5"/>
        <v>124551</v>
      </c>
      <c r="S33" s="290">
        <v>103481</v>
      </c>
      <c r="T33" s="290">
        <v>228032</v>
      </c>
      <c r="U33" s="103">
        <f t="shared" si="6"/>
        <v>67544</v>
      </c>
      <c r="V33" s="290">
        <v>74127</v>
      </c>
      <c r="W33" s="290">
        <v>141671</v>
      </c>
      <c r="X33" s="103">
        <f t="shared" si="7"/>
        <v>31768</v>
      </c>
      <c r="Y33" s="290">
        <v>30696</v>
      </c>
      <c r="Z33" s="290">
        <v>62464</v>
      </c>
    </row>
    <row r="34" spans="1:26" ht="28" x14ac:dyDescent="0.35">
      <c r="A34" s="103">
        <v>30</v>
      </c>
      <c r="B34" s="130" t="s">
        <v>145</v>
      </c>
      <c r="C34" s="103">
        <f t="shared" si="0"/>
        <v>7044</v>
      </c>
      <c r="D34" s="290">
        <v>6962</v>
      </c>
      <c r="E34" s="290">
        <v>14006</v>
      </c>
      <c r="F34" s="103">
        <f t="shared" si="1"/>
        <v>730</v>
      </c>
      <c r="G34" s="290">
        <v>663</v>
      </c>
      <c r="H34" s="290">
        <v>1393</v>
      </c>
      <c r="I34" s="103">
        <f t="shared" si="2"/>
        <v>120</v>
      </c>
      <c r="J34" s="290">
        <v>118</v>
      </c>
      <c r="K34" s="290">
        <v>238</v>
      </c>
      <c r="L34" s="103">
        <f t="shared" si="3"/>
        <v>1874</v>
      </c>
      <c r="M34" s="290">
        <v>1693</v>
      </c>
      <c r="N34" s="290">
        <v>3567</v>
      </c>
      <c r="O34" s="103">
        <f t="shared" si="4"/>
        <v>7</v>
      </c>
      <c r="P34" s="290">
        <v>9</v>
      </c>
      <c r="Q34" s="290">
        <v>16</v>
      </c>
      <c r="R34" s="103">
        <f t="shared" si="5"/>
        <v>231</v>
      </c>
      <c r="S34" s="290">
        <v>265</v>
      </c>
      <c r="T34" s="290">
        <v>496</v>
      </c>
      <c r="U34" s="103">
        <f t="shared" si="6"/>
        <v>381</v>
      </c>
      <c r="V34" s="290">
        <v>543</v>
      </c>
      <c r="W34" s="290">
        <v>924</v>
      </c>
      <c r="X34" s="103">
        <f t="shared" si="7"/>
        <v>127</v>
      </c>
      <c r="Y34" s="290">
        <v>117</v>
      </c>
      <c r="Z34" s="290">
        <v>244</v>
      </c>
    </row>
    <row r="35" spans="1:26" x14ac:dyDescent="0.35">
      <c r="A35" s="103">
        <v>31</v>
      </c>
      <c r="B35" s="130" t="s">
        <v>146</v>
      </c>
      <c r="C35" s="103">
        <f t="shared" si="0"/>
        <v>26374</v>
      </c>
      <c r="D35" s="290">
        <v>73048</v>
      </c>
      <c r="E35" s="290">
        <v>99422</v>
      </c>
      <c r="F35" s="103">
        <f t="shared" si="1"/>
        <v>3259</v>
      </c>
      <c r="G35" s="290">
        <v>8170</v>
      </c>
      <c r="H35" s="290">
        <v>11429</v>
      </c>
      <c r="I35" s="103">
        <f t="shared" si="2"/>
        <v>956</v>
      </c>
      <c r="J35" s="290">
        <v>2137</v>
      </c>
      <c r="K35" s="290">
        <v>3093</v>
      </c>
      <c r="L35" s="103">
        <f t="shared" si="3"/>
        <v>9349</v>
      </c>
      <c r="M35" s="290">
        <v>27297</v>
      </c>
      <c r="N35" s="290">
        <v>36646</v>
      </c>
      <c r="O35" s="103">
        <f t="shared" si="4"/>
        <v>23</v>
      </c>
      <c r="P35" s="290">
        <v>14</v>
      </c>
      <c r="Q35" s="290">
        <v>37</v>
      </c>
      <c r="R35" s="103">
        <f t="shared" si="5"/>
        <v>1584</v>
      </c>
      <c r="S35" s="290">
        <v>3876</v>
      </c>
      <c r="T35" s="290">
        <v>5460</v>
      </c>
      <c r="U35" s="103">
        <f t="shared" si="6"/>
        <v>868</v>
      </c>
      <c r="V35" s="290">
        <v>2565</v>
      </c>
      <c r="W35" s="290">
        <v>3433</v>
      </c>
      <c r="X35" s="103">
        <f t="shared" si="7"/>
        <v>529</v>
      </c>
      <c r="Y35" s="290">
        <v>1417</v>
      </c>
      <c r="Z35" s="290">
        <v>1946</v>
      </c>
    </row>
    <row r="36" spans="1:26" x14ac:dyDescent="0.35">
      <c r="A36" s="103">
        <v>32</v>
      </c>
      <c r="B36" s="130" t="s">
        <v>823</v>
      </c>
      <c r="C36" s="103">
        <f t="shared" si="0"/>
        <v>2</v>
      </c>
      <c r="D36" s="290">
        <v>27</v>
      </c>
      <c r="E36" s="290">
        <v>29</v>
      </c>
      <c r="F36" s="103">
        <f t="shared" si="1"/>
        <v>0</v>
      </c>
      <c r="G36" s="290">
        <v>2</v>
      </c>
      <c r="H36" s="290">
        <v>2</v>
      </c>
      <c r="I36" s="103">
        <f t="shared" si="2"/>
        <v>0</v>
      </c>
      <c r="J36" s="290">
        <v>1</v>
      </c>
      <c r="K36" s="290">
        <v>1</v>
      </c>
      <c r="L36" s="103">
        <f t="shared" si="3"/>
        <v>1</v>
      </c>
      <c r="M36" s="290">
        <v>16</v>
      </c>
      <c r="N36" s="290">
        <v>17</v>
      </c>
      <c r="O36" s="103">
        <f t="shared" si="4"/>
        <v>0</v>
      </c>
      <c r="P36" s="290">
        <v>0</v>
      </c>
      <c r="Q36" s="290">
        <v>0</v>
      </c>
      <c r="R36" s="103">
        <f t="shared" si="5"/>
        <v>0</v>
      </c>
      <c r="S36" s="290">
        <v>0</v>
      </c>
      <c r="T36" s="290">
        <v>0</v>
      </c>
      <c r="U36" s="103">
        <f t="shared" si="6"/>
        <v>0</v>
      </c>
      <c r="V36" s="290">
        <v>0</v>
      </c>
      <c r="W36" s="290">
        <v>0</v>
      </c>
      <c r="X36" s="103">
        <f t="shared" si="7"/>
        <v>0</v>
      </c>
      <c r="Y36" s="290">
        <v>0</v>
      </c>
      <c r="Z36" s="290">
        <v>0</v>
      </c>
    </row>
    <row r="37" spans="1:26" x14ac:dyDescent="0.35">
      <c r="A37" s="103">
        <v>33</v>
      </c>
      <c r="B37" s="130" t="s">
        <v>932</v>
      </c>
      <c r="C37" s="103">
        <f t="shared" si="0"/>
        <v>4</v>
      </c>
      <c r="D37" s="290">
        <v>23</v>
      </c>
      <c r="E37" s="290">
        <v>27</v>
      </c>
      <c r="F37" s="103">
        <f t="shared" si="1"/>
        <v>0</v>
      </c>
      <c r="G37" s="290">
        <v>0</v>
      </c>
      <c r="H37" s="290">
        <v>0</v>
      </c>
      <c r="I37" s="103">
        <f t="shared" si="2"/>
        <v>0</v>
      </c>
      <c r="J37" s="290">
        <v>0</v>
      </c>
      <c r="K37" s="290">
        <v>0</v>
      </c>
      <c r="L37" s="103">
        <f t="shared" si="3"/>
        <v>0</v>
      </c>
      <c r="M37" s="290">
        <v>3</v>
      </c>
      <c r="N37" s="290">
        <v>3</v>
      </c>
      <c r="O37" s="103">
        <f t="shared" si="4"/>
        <v>0</v>
      </c>
      <c r="P37" s="290">
        <v>0</v>
      </c>
      <c r="Q37" s="290">
        <v>0</v>
      </c>
      <c r="R37" s="103">
        <f t="shared" si="5"/>
        <v>0</v>
      </c>
      <c r="S37" s="290">
        <v>0</v>
      </c>
      <c r="T37" s="290">
        <v>0</v>
      </c>
      <c r="U37" s="103">
        <f t="shared" si="6"/>
        <v>0</v>
      </c>
      <c r="V37" s="290">
        <v>1</v>
      </c>
      <c r="W37" s="290">
        <v>1</v>
      </c>
      <c r="X37" s="103">
        <f t="shared" si="7"/>
        <v>0</v>
      </c>
      <c r="Y37" s="290">
        <v>0</v>
      </c>
      <c r="Z37" s="290">
        <v>0</v>
      </c>
    </row>
    <row r="38" spans="1:26" x14ac:dyDescent="0.35">
      <c r="A38" s="103">
        <v>34</v>
      </c>
      <c r="B38" s="130" t="s">
        <v>147</v>
      </c>
      <c r="C38" s="103">
        <f t="shared" si="0"/>
        <v>15268</v>
      </c>
      <c r="D38" s="290">
        <v>36192</v>
      </c>
      <c r="E38" s="290">
        <v>51460</v>
      </c>
      <c r="F38" s="103">
        <f t="shared" si="1"/>
        <v>1367</v>
      </c>
      <c r="G38" s="290">
        <v>4695</v>
      </c>
      <c r="H38" s="290">
        <v>6062</v>
      </c>
      <c r="I38" s="103">
        <f t="shared" si="2"/>
        <v>428</v>
      </c>
      <c r="J38" s="290">
        <v>1459</v>
      </c>
      <c r="K38" s="290">
        <v>1887</v>
      </c>
      <c r="L38" s="103">
        <f t="shared" si="3"/>
        <v>2933</v>
      </c>
      <c r="M38" s="290">
        <v>5712</v>
      </c>
      <c r="N38" s="290">
        <v>8645</v>
      </c>
      <c r="O38" s="103">
        <f t="shared" si="4"/>
        <v>36</v>
      </c>
      <c r="P38" s="290">
        <v>69</v>
      </c>
      <c r="Q38" s="290">
        <v>105</v>
      </c>
      <c r="R38" s="103">
        <f t="shared" si="5"/>
        <v>394</v>
      </c>
      <c r="S38" s="290">
        <v>599</v>
      </c>
      <c r="T38" s="290">
        <v>993</v>
      </c>
      <c r="U38" s="103">
        <f t="shared" si="6"/>
        <v>461</v>
      </c>
      <c r="V38" s="290">
        <v>1002</v>
      </c>
      <c r="W38" s="290">
        <v>1463</v>
      </c>
      <c r="X38" s="103">
        <f t="shared" si="7"/>
        <v>303</v>
      </c>
      <c r="Y38" s="290">
        <v>971</v>
      </c>
      <c r="Z38" s="290">
        <v>1274</v>
      </c>
    </row>
    <row r="39" spans="1:26" x14ac:dyDescent="0.35">
      <c r="A39" s="103">
        <v>35</v>
      </c>
      <c r="B39" s="130" t="s">
        <v>148</v>
      </c>
      <c r="C39" s="103">
        <f t="shared" si="0"/>
        <v>921575</v>
      </c>
      <c r="D39" s="290">
        <v>390769</v>
      </c>
      <c r="E39" s="290">
        <v>1312344</v>
      </c>
      <c r="F39" s="103">
        <f t="shared" si="1"/>
        <v>105244</v>
      </c>
      <c r="G39" s="290">
        <v>50436</v>
      </c>
      <c r="H39" s="290">
        <v>155680</v>
      </c>
      <c r="I39" s="103">
        <f t="shared" si="2"/>
        <v>21820</v>
      </c>
      <c r="J39" s="290">
        <v>10075</v>
      </c>
      <c r="K39" s="290">
        <v>31895</v>
      </c>
      <c r="L39" s="103">
        <f t="shared" si="3"/>
        <v>450079</v>
      </c>
      <c r="M39" s="290">
        <v>204955</v>
      </c>
      <c r="N39" s="290">
        <v>655034</v>
      </c>
      <c r="O39" s="103">
        <f t="shared" si="4"/>
        <v>672</v>
      </c>
      <c r="P39" s="290">
        <v>755</v>
      </c>
      <c r="Q39" s="290">
        <v>1427</v>
      </c>
      <c r="R39" s="103">
        <f t="shared" si="5"/>
        <v>45791</v>
      </c>
      <c r="S39" s="290">
        <v>11106</v>
      </c>
      <c r="T39" s="290">
        <v>56897</v>
      </c>
      <c r="U39" s="103">
        <f t="shared" si="6"/>
        <v>35075</v>
      </c>
      <c r="V39" s="290">
        <v>15117</v>
      </c>
      <c r="W39" s="290">
        <v>50192</v>
      </c>
      <c r="X39" s="103">
        <f t="shared" si="7"/>
        <v>24303</v>
      </c>
      <c r="Y39" s="290">
        <v>9594</v>
      </c>
      <c r="Z39" s="290">
        <v>33897</v>
      </c>
    </row>
    <row r="40" spans="1:26" ht="28" x14ac:dyDescent="0.35">
      <c r="A40" s="103">
        <v>36</v>
      </c>
      <c r="B40" s="130" t="s">
        <v>824</v>
      </c>
      <c r="C40" s="103">
        <f t="shared" si="0"/>
        <v>1748</v>
      </c>
      <c r="D40" s="290">
        <v>1819</v>
      </c>
      <c r="E40" s="290">
        <v>3567</v>
      </c>
      <c r="F40" s="103">
        <f t="shared" si="1"/>
        <v>302</v>
      </c>
      <c r="G40" s="290">
        <v>247</v>
      </c>
      <c r="H40" s="290">
        <v>549</v>
      </c>
      <c r="I40" s="103">
        <f t="shared" si="2"/>
        <v>207</v>
      </c>
      <c r="J40" s="290">
        <v>129</v>
      </c>
      <c r="K40" s="290">
        <v>336</v>
      </c>
      <c r="L40" s="103">
        <f t="shared" si="3"/>
        <v>637</v>
      </c>
      <c r="M40" s="290">
        <v>532</v>
      </c>
      <c r="N40" s="290">
        <v>1169</v>
      </c>
      <c r="O40" s="103">
        <f t="shared" si="4"/>
        <v>3</v>
      </c>
      <c r="P40" s="290">
        <v>2</v>
      </c>
      <c r="Q40" s="290">
        <v>5</v>
      </c>
      <c r="R40" s="103">
        <f t="shared" si="5"/>
        <v>48</v>
      </c>
      <c r="S40" s="290">
        <v>91</v>
      </c>
      <c r="T40" s="290">
        <v>139</v>
      </c>
      <c r="U40" s="103">
        <f t="shared" si="6"/>
        <v>11</v>
      </c>
      <c r="V40" s="290">
        <v>42</v>
      </c>
      <c r="W40" s="290">
        <v>53</v>
      </c>
      <c r="X40" s="103">
        <f t="shared" si="7"/>
        <v>65</v>
      </c>
      <c r="Y40" s="290">
        <v>88</v>
      </c>
      <c r="Z40" s="290">
        <v>153</v>
      </c>
    </row>
    <row r="41" spans="1:26" x14ac:dyDescent="0.35">
      <c r="A41" s="103">
        <v>37</v>
      </c>
      <c r="B41" s="130" t="s">
        <v>149</v>
      </c>
      <c r="C41" s="103">
        <f t="shared" si="0"/>
        <v>571619</v>
      </c>
      <c r="D41" s="290">
        <v>1024445</v>
      </c>
      <c r="E41" s="290">
        <v>1596064</v>
      </c>
      <c r="F41" s="103">
        <f t="shared" si="1"/>
        <v>113725</v>
      </c>
      <c r="G41" s="290">
        <v>171186</v>
      </c>
      <c r="H41" s="290">
        <v>284911</v>
      </c>
      <c r="I41" s="103">
        <f t="shared" si="2"/>
        <v>48047</v>
      </c>
      <c r="J41" s="290">
        <v>70611</v>
      </c>
      <c r="K41" s="290">
        <v>118658</v>
      </c>
      <c r="L41" s="103">
        <f t="shared" si="3"/>
        <v>211378</v>
      </c>
      <c r="M41" s="290">
        <v>376223</v>
      </c>
      <c r="N41" s="290">
        <v>587601</v>
      </c>
      <c r="O41" s="103">
        <f t="shared" si="4"/>
        <v>1435</v>
      </c>
      <c r="P41" s="290">
        <v>2034</v>
      </c>
      <c r="Q41" s="290">
        <v>3469</v>
      </c>
      <c r="R41" s="103">
        <f t="shared" si="5"/>
        <v>20616</v>
      </c>
      <c r="S41" s="290">
        <v>39601</v>
      </c>
      <c r="T41" s="290">
        <v>60217</v>
      </c>
      <c r="U41" s="103">
        <f t="shared" si="6"/>
        <v>6367</v>
      </c>
      <c r="V41" s="290">
        <v>22526</v>
      </c>
      <c r="W41" s="290">
        <v>28893</v>
      </c>
      <c r="X41" s="103">
        <f t="shared" si="7"/>
        <v>13994</v>
      </c>
      <c r="Y41" s="290">
        <v>22751</v>
      </c>
      <c r="Z41" s="290">
        <v>36745</v>
      </c>
    </row>
    <row r="42" spans="1:26" ht="28" x14ac:dyDescent="0.35">
      <c r="A42" s="103">
        <v>38</v>
      </c>
      <c r="B42" s="130" t="s">
        <v>150</v>
      </c>
      <c r="C42" s="103">
        <f t="shared" si="0"/>
        <v>3142</v>
      </c>
      <c r="D42" s="290">
        <v>6261</v>
      </c>
      <c r="E42" s="290">
        <v>9403</v>
      </c>
      <c r="F42" s="103">
        <f t="shared" si="1"/>
        <v>667</v>
      </c>
      <c r="G42" s="290">
        <v>1153</v>
      </c>
      <c r="H42" s="290">
        <v>1820</v>
      </c>
      <c r="I42" s="103">
        <f t="shared" si="2"/>
        <v>19</v>
      </c>
      <c r="J42" s="290">
        <v>79</v>
      </c>
      <c r="K42" s="290">
        <v>98</v>
      </c>
      <c r="L42" s="103">
        <f t="shared" si="3"/>
        <v>1397</v>
      </c>
      <c r="M42" s="290">
        <v>2460</v>
      </c>
      <c r="N42" s="290">
        <v>3857</v>
      </c>
      <c r="O42" s="103">
        <f t="shared" si="4"/>
        <v>0</v>
      </c>
      <c r="P42" s="290">
        <v>27</v>
      </c>
      <c r="Q42" s="290">
        <v>27</v>
      </c>
      <c r="R42" s="103">
        <f t="shared" si="5"/>
        <v>87</v>
      </c>
      <c r="S42" s="290">
        <v>224</v>
      </c>
      <c r="T42" s="290">
        <v>311</v>
      </c>
      <c r="U42" s="103">
        <f t="shared" si="6"/>
        <v>4</v>
      </c>
      <c r="V42" s="290">
        <v>13</v>
      </c>
      <c r="W42" s="290">
        <v>17</v>
      </c>
      <c r="X42" s="103">
        <f t="shared" si="7"/>
        <v>8</v>
      </c>
      <c r="Y42" s="290">
        <v>153</v>
      </c>
      <c r="Z42" s="290">
        <v>161</v>
      </c>
    </row>
    <row r="43" spans="1:26" x14ac:dyDescent="0.35">
      <c r="A43" s="103">
        <v>39</v>
      </c>
      <c r="B43" s="130" t="s">
        <v>151</v>
      </c>
      <c r="C43" s="103">
        <f t="shared" si="0"/>
        <v>13863</v>
      </c>
      <c r="D43" s="290">
        <v>14822</v>
      </c>
      <c r="E43" s="290">
        <v>28685</v>
      </c>
      <c r="F43" s="103">
        <f t="shared" si="1"/>
        <v>2541</v>
      </c>
      <c r="G43" s="290">
        <v>1792</v>
      </c>
      <c r="H43" s="290">
        <v>4333</v>
      </c>
      <c r="I43" s="103">
        <f t="shared" si="2"/>
        <v>974</v>
      </c>
      <c r="J43" s="290">
        <v>556</v>
      </c>
      <c r="K43" s="290">
        <v>1530</v>
      </c>
      <c r="L43" s="103">
        <f t="shared" si="3"/>
        <v>4967</v>
      </c>
      <c r="M43" s="290">
        <v>4403</v>
      </c>
      <c r="N43" s="290">
        <v>9370</v>
      </c>
      <c r="O43" s="103">
        <f t="shared" si="4"/>
        <v>139</v>
      </c>
      <c r="P43" s="290">
        <v>73</v>
      </c>
      <c r="Q43" s="290">
        <v>212</v>
      </c>
      <c r="R43" s="103">
        <f t="shared" si="5"/>
        <v>301</v>
      </c>
      <c r="S43" s="290">
        <v>390</v>
      </c>
      <c r="T43" s="290">
        <v>691</v>
      </c>
      <c r="U43" s="103">
        <f t="shared" si="6"/>
        <v>264</v>
      </c>
      <c r="V43" s="290">
        <v>405</v>
      </c>
      <c r="W43" s="290">
        <v>669</v>
      </c>
      <c r="X43" s="103">
        <f t="shared" si="7"/>
        <v>379</v>
      </c>
      <c r="Y43" s="290">
        <v>534</v>
      </c>
      <c r="Z43" s="290">
        <v>913</v>
      </c>
    </row>
    <row r="44" spans="1:26" ht="16.5" customHeight="1" x14ac:dyDescent="0.35">
      <c r="A44" s="103">
        <v>40</v>
      </c>
      <c r="B44" s="130" t="s">
        <v>825</v>
      </c>
      <c r="C44" s="103">
        <f t="shared" si="0"/>
        <v>2670</v>
      </c>
      <c r="D44" s="290">
        <v>2525</v>
      </c>
      <c r="E44" s="290">
        <v>5195</v>
      </c>
      <c r="F44" s="103">
        <f t="shared" si="1"/>
        <v>389</v>
      </c>
      <c r="G44" s="290">
        <v>362</v>
      </c>
      <c r="H44" s="290">
        <v>751</v>
      </c>
      <c r="I44" s="103">
        <f t="shared" si="2"/>
        <v>194</v>
      </c>
      <c r="J44" s="290">
        <v>214</v>
      </c>
      <c r="K44" s="290">
        <v>408</v>
      </c>
      <c r="L44" s="103">
        <f t="shared" si="3"/>
        <v>1180</v>
      </c>
      <c r="M44" s="290">
        <v>1148</v>
      </c>
      <c r="N44" s="290">
        <v>2328</v>
      </c>
      <c r="O44" s="103">
        <f t="shared" si="4"/>
        <v>7</v>
      </c>
      <c r="P44" s="290">
        <v>7</v>
      </c>
      <c r="Q44" s="290">
        <v>14</v>
      </c>
      <c r="R44" s="103">
        <f t="shared" si="5"/>
        <v>99</v>
      </c>
      <c r="S44" s="290">
        <v>147</v>
      </c>
      <c r="T44" s="290">
        <v>246</v>
      </c>
      <c r="U44" s="103">
        <f t="shared" si="6"/>
        <v>143</v>
      </c>
      <c r="V44" s="290">
        <v>242</v>
      </c>
      <c r="W44" s="290">
        <v>385</v>
      </c>
      <c r="X44" s="103">
        <f t="shared" si="7"/>
        <v>67</v>
      </c>
      <c r="Y44" s="290">
        <v>62</v>
      </c>
      <c r="Z44" s="290">
        <v>129</v>
      </c>
    </row>
    <row r="45" spans="1:26" ht="16.5" customHeight="1" x14ac:dyDescent="0.35">
      <c r="A45" s="103">
        <v>41</v>
      </c>
      <c r="B45" s="130" t="s">
        <v>826</v>
      </c>
      <c r="C45" s="103">
        <f t="shared" si="0"/>
        <v>520</v>
      </c>
      <c r="D45" s="290">
        <v>2270</v>
      </c>
      <c r="E45" s="290">
        <v>2790</v>
      </c>
      <c r="F45" s="103">
        <f t="shared" si="1"/>
        <v>64</v>
      </c>
      <c r="G45" s="290">
        <v>282</v>
      </c>
      <c r="H45" s="290">
        <v>346</v>
      </c>
      <c r="I45" s="103">
        <f t="shared" si="2"/>
        <v>15</v>
      </c>
      <c r="J45" s="290">
        <v>164</v>
      </c>
      <c r="K45" s="290">
        <v>179</v>
      </c>
      <c r="L45" s="103">
        <f t="shared" si="3"/>
        <v>146</v>
      </c>
      <c r="M45" s="290">
        <v>640</v>
      </c>
      <c r="N45" s="290">
        <v>786</v>
      </c>
      <c r="O45" s="103">
        <f t="shared" si="4"/>
        <v>0</v>
      </c>
      <c r="P45" s="290">
        <v>0</v>
      </c>
      <c r="Q45" s="290">
        <v>0</v>
      </c>
      <c r="R45" s="103">
        <f t="shared" si="5"/>
        <v>14</v>
      </c>
      <c r="S45" s="290">
        <v>39</v>
      </c>
      <c r="T45" s="290">
        <v>53</v>
      </c>
      <c r="U45" s="103">
        <f t="shared" si="6"/>
        <v>21</v>
      </c>
      <c r="V45" s="290">
        <v>114</v>
      </c>
      <c r="W45" s="290">
        <v>135</v>
      </c>
      <c r="X45" s="103">
        <f t="shared" si="7"/>
        <v>19</v>
      </c>
      <c r="Y45" s="290">
        <v>50</v>
      </c>
      <c r="Z45" s="290">
        <v>69</v>
      </c>
    </row>
    <row r="46" spans="1:26" x14ac:dyDescent="0.35">
      <c r="A46" s="103">
        <v>42</v>
      </c>
      <c r="B46" s="130" t="s">
        <v>827</v>
      </c>
      <c r="C46" s="103">
        <f t="shared" si="0"/>
        <v>1342</v>
      </c>
      <c r="D46" s="290">
        <v>1251</v>
      </c>
      <c r="E46" s="290">
        <v>2593</v>
      </c>
      <c r="F46" s="103">
        <f t="shared" si="1"/>
        <v>154</v>
      </c>
      <c r="G46" s="290">
        <v>137</v>
      </c>
      <c r="H46" s="290">
        <v>291</v>
      </c>
      <c r="I46" s="103">
        <f t="shared" si="2"/>
        <v>40</v>
      </c>
      <c r="J46" s="290">
        <v>24</v>
      </c>
      <c r="K46" s="290">
        <v>64</v>
      </c>
      <c r="L46" s="103">
        <f t="shared" si="3"/>
        <v>222</v>
      </c>
      <c r="M46" s="290">
        <v>204</v>
      </c>
      <c r="N46" s="290">
        <v>426</v>
      </c>
      <c r="O46" s="103">
        <f t="shared" si="4"/>
        <v>0</v>
      </c>
      <c r="P46" s="290">
        <v>0</v>
      </c>
      <c r="Q46" s="290">
        <v>0</v>
      </c>
      <c r="R46" s="103">
        <f t="shared" si="5"/>
        <v>63</v>
      </c>
      <c r="S46" s="290">
        <v>47</v>
      </c>
      <c r="T46" s="290">
        <v>110</v>
      </c>
      <c r="U46" s="103">
        <f t="shared" si="6"/>
        <v>40</v>
      </c>
      <c r="V46" s="290">
        <v>43</v>
      </c>
      <c r="W46" s="290">
        <v>83</v>
      </c>
      <c r="X46" s="103">
        <f t="shared" si="7"/>
        <v>83</v>
      </c>
      <c r="Y46" s="290">
        <v>55</v>
      </c>
      <c r="Z46" s="290">
        <v>138</v>
      </c>
    </row>
    <row r="47" spans="1:26" ht="16.5" customHeight="1" x14ac:dyDescent="0.35">
      <c r="A47" s="103">
        <v>43</v>
      </c>
      <c r="B47" s="130" t="s">
        <v>152</v>
      </c>
      <c r="C47" s="103">
        <f t="shared" si="0"/>
        <v>3091</v>
      </c>
      <c r="D47" s="290">
        <v>3407</v>
      </c>
      <c r="E47" s="290">
        <v>6498</v>
      </c>
      <c r="F47" s="103">
        <f t="shared" si="1"/>
        <v>317</v>
      </c>
      <c r="G47" s="290">
        <v>355</v>
      </c>
      <c r="H47" s="290">
        <v>672</v>
      </c>
      <c r="I47" s="103">
        <f t="shared" si="2"/>
        <v>168</v>
      </c>
      <c r="J47" s="290">
        <v>89</v>
      </c>
      <c r="K47" s="290">
        <v>257</v>
      </c>
      <c r="L47" s="103">
        <f t="shared" si="3"/>
        <v>587</v>
      </c>
      <c r="M47" s="290">
        <v>569</v>
      </c>
      <c r="N47" s="290">
        <v>1156</v>
      </c>
      <c r="O47" s="103">
        <f t="shared" si="4"/>
        <v>0</v>
      </c>
      <c r="P47" s="290">
        <v>1</v>
      </c>
      <c r="Q47" s="290">
        <v>1</v>
      </c>
      <c r="R47" s="103">
        <f t="shared" si="5"/>
        <v>142</v>
      </c>
      <c r="S47" s="290">
        <v>105</v>
      </c>
      <c r="T47" s="290">
        <v>247</v>
      </c>
      <c r="U47" s="103">
        <f t="shared" si="6"/>
        <v>22</v>
      </c>
      <c r="V47" s="290">
        <v>29</v>
      </c>
      <c r="W47" s="290">
        <v>51</v>
      </c>
      <c r="X47" s="103">
        <f t="shared" si="7"/>
        <v>53</v>
      </c>
      <c r="Y47" s="290">
        <v>41</v>
      </c>
      <c r="Z47" s="290">
        <v>94</v>
      </c>
    </row>
    <row r="48" spans="1:26" x14ac:dyDescent="0.35">
      <c r="A48" s="103">
        <v>44</v>
      </c>
      <c r="B48" s="130" t="s">
        <v>153</v>
      </c>
      <c r="C48" s="103">
        <f t="shared" si="0"/>
        <v>23936</v>
      </c>
      <c r="D48" s="290">
        <v>7952</v>
      </c>
      <c r="E48" s="290">
        <v>31888</v>
      </c>
      <c r="F48" s="103">
        <f t="shared" si="1"/>
        <v>4529</v>
      </c>
      <c r="G48" s="290">
        <v>1769</v>
      </c>
      <c r="H48" s="290">
        <v>6298</v>
      </c>
      <c r="I48" s="103">
        <f t="shared" si="2"/>
        <v>2023</v>
      </c>
      <c r="J48" s="290">
        <v>1138</v>
      </c>
      <c r="K48" s="290">
        <v>3161</v>
      </c>
      <c r="L48" s="103">
        <f t="shared" si="3"/>
        <v>4781</v>
      </c>
      <c r="M48" s="290">
        <v>921</v>
      </c>
      <c r="N48" s="290">
        <v>5702</v>
      </c>
      <c r="O48" s="103">
        <f t="shared" si="4"/>
        <v>131</v>
      </c>
      <c r="P48" s="290">
        <v>3</v>
      </c>
      <c r="Q48" s="290">
        <v>134</v>
      </c>
      <c r="R48" s="103">
        <f t="shared" si="5"/>
        <v>732</v>
      </c>
      <c r="S48" s="290">
        <v>119</v>
      </c>
      <c r="T48" s="290">
        <v>851</v>
      </c>
      <c r="U48" s="103">
        <f t="shared" si="6"/>
        <v>635</v>
      </c>
      <c r="V48" s="290">
        <v>175</v>
      </c>
      <c r="W48" s="290">
        <v>810</v>
      </c>
      <c r="X48" s="103">
        <f t="shared" si="7"/>
        <v>515</v>
      </c>
      <c r="Y48" s="290">
        <v>169</v>
      </c>
      <c r="Z48" s="290">
        <v>684</v>
      </c>
    </row>
    <row r="49" spans="1:26" ht="28" x14ac:dyDescent="0.35">
      <c r="A49" s="103">
        <v>45</v>
      </c>
      <c r="B49" s="130" t="s">
        <v>154</v>
      </c>
      <c r="C49" s="103">
        <f t="shared" si="0"/>
        <v>16802</v>
      </c>
      <c r="D49" s="290">
        <v>4209</v>
      </c>
      <c r="E49" s="290">
        <v>21011</v>
      </c>
      <c r="F49" s="103">
        <f t="shared" si="1"/>
        <v>2557</v>
      </c>
      <c r="G49" s="290">
        <v>917</v>
      </c>
      <c r="H49" s="290">
        <v>3474</v>
      </c>
      <c r="I49" s="103">
        <f t="shared" si="2"/>
        <v>337</v>
      </c>
      <c r="J49" s="290">
        <v>87</v>
      </c>
      <c r="K49" s="290">
        <v>424</v>
      </c>
      <c r="L49" s="103">
        <f t="shared" si="3"/>
        <v>4176</v>
      </c>
      <c r="M49" s="290">
        <v>738</v>
      </c>
      <c r="N49" s="290">
        <v>4914</v>
      </c>
      <c r="O49" s="103">
        <f t="shared" si="4"/>
        <v>7</v>
      </c>
      <c r="P49" s="290">
        <v>1</v>
      </c>
      <c r="Q49" s="290">
        <v>8</v>
      </c>
      <c r="R49" s="103">
        <f t="shared" si="5"/>
        <v>540</v>
      </c>
      <c r="S49" s="290">
        <v>42</v>
      </c>
      <c r="T49" s="290">
        <v>582</v>
      </c>
      <c r="U49" s="103">
        <f t="shared" si="6"/>
        <v>505</v>
      </c>
      <c r="V49" s="290">
        <v>171</v>
      </c>
      <c r="W49" s="290">
        <v>676</v>
      </c>
      <c r="X49" s="103">
        <f t="shared" si="7"/>
        <v>349</v>
      </c>
      <c r="Y49" s="290">
        <v>72</v>
      </c>
      <c r="Z49" s="290">
        <v>421</v>
      </c>
    </row>
    <row r="50" spans="1:26" ht="28" x14ac:dyDescent="0.35">
      <c r="A50" s="103">
        <v>46</v>
      </c>
      <c r="B50" s="130" t="s">
        <v>155</v>
      </c>
      <c r="C50" s="103">
        <f t="shared" si="0"/>
        <v>25585</v>
      </c>
      <c r="D50" s="290">
        <v>40188</v>
      </c>
      <c r="E50" s="290">
        <v>65773</v>
      </c>
      <c r="F50" s="103">
        <f t="shared" si="1"/>
        <v>2547</v>
      </c>
      <c r="G50" s="290">
        <v>4187</v>
      </c>
      <c r="H50" s="290">
        <v>6734</v>
      </c>
      <c r="I50" s="103">
        <f t="shared" si="2"/>
        <v>1122</v>
      </c>
      <c r="J50" s="290">
        <v>1448</v>
      </c>
      <c r="K50" s="290">
        <v>2570</v>
      </c>
      <c r="L50" s="103">
        <f t="shared" si="3"/>
        <v>10528</v>
      </c>
      <c r="M50" s="290">
        <v>16016</v>
      </c>
      <c r="N50" s="290">
        <v>26544</v>
      </c>
      <c r="O50" s="103">
        <f t="shared" si="4"/>
        <v>18</v>
      </c>
      <c r="P50" s="290">
        <v>71</v>
      </c>
      <c r="Q50" s="290">
        <v>89</v>
      </c>
      <c r="R50" s="103">
        <f t="shared" si="5"/>
        <v>1317</v>
      </c>
      <c r="S50" s="290">
        <v>2699</v>
      </c>
      <c r="T50" s="290">
        <v>4016</v>
      </c>
      <c r="U50" s="103">
        <f t="shared" si="6"/>
        <v>491</v>
      </c>
      <c r="V50" s="290">
        <v>1117</v>
      </c>
      <c r="W50" s="290">
        <v>1608</v>
      </c>
      <c r="X50" s="103">
        <f t="shared" si="7"/>
        <v>941</v>
      </c>
      <c r="Y50" s="290">
        <v>2010</v>
      </c>
      <c r="Z50" s="290">
        <v>2951</v>
      </c>
    </row>
    <row r="51" spans="1:26" ht="28" x14ac:dyDescent="0.35">
      <c r="A51" s="103">
        <v>47</v>
      </c>
      <c r="B51" s="130" t="s">
        <v>156</v>
      </c>
      <c r="C51" s="103">
        <f t="shared" si="0"/>
        <v>2557</v>
      </c>
      <c r="D51" s="290">
        <v>1789</v>
      </c>
      <c r="E51" s="290">
        <v>4346</v>
      </c>
      <c r="F51" s="103">
        <f t="shared" si="1"/>
        <v>417</v>
      </c>
      <c r="G51" s="290">
        <v>413</v>
      </c>
      <c r="H51" s="290">
        <v>830</v>
      </c>
      <c r="I51" s="103">
        <f t="shared" si="2"/>
        <v>703</v>
      </c>
      <c r="J51" s="290">
        <v>573</v>
      </c>
      <c r="K51" s="290">
        <v>1276</v>
      </c>
      <c r="L51" s="103">
        <f t="shared" si="3"/>
        <v>481</v>
      </c>
      <c r="M51" s="290">
        <v>231</v>
      </c>
      <c r="N51" s="290">
        <v>712</v>
      </c>
      <c r="O51" s="103">
        <f t="shared" si="4"/>
        <v>10</v>
      </c>
      <c r="P51" s="290">
        <v>3</v>
      </c>
      <c r="Q51" s="290">
        <v>13</v>
      </c>
      <c r="R51" s="103">
        <f t="shared" si="5"/>
        <v>348</v>
      </c>
      <c r="S51" s="290">
        <v>111</v>
      </c>
      <c r="T51" s="290">
        <v>459</v>
      </c>
      <c r="U51" s="103">
        <f t="shared" si="6"/>
        <v>217</v>
      </c>
      <c r="V51" s="290">
        <v>100</v>
      </c>
      <c r="W51" s="290">
        <v>317</v>
      </c>
      <c r="X51" s="103">
        <f t="shared" si="7"/>
        <v>101</v>
      </c>
      <c r="Y51" s="290">
        <v>54</v>
      </c>
      <c r="Z51" s="290">
        <v>155</v>
      </c>
    </row>
    <row r="52" spans="1:26" x14ac:dyDescent="0.35">
      <c r="A52" s="103">
        <v>48</v>
      </c>
      <c r="B52" s="130" t="s">
        <v>828</v>
      </c>
      <c r="C52" s="103">
        <f t="shared" si="0"/>
        <v>495</v>
      </c>
      <c r="D52" s="290">
        <v>543</v>
      </c>
      <c r="E52" s="290">
        <v>1038</v>
      </c>
      <c r="F52" s="103">
        <f t="shared" si="1"/>
        <v>66</v>
      </c>
      <c r="G52" s="290">
        <v>90</v>
      </c>
      <c r="H52" s="290">
        <v>156</v>
      </c>
      <c r="I52" s="103">
        <f t="shared" si="2"/>
        <v>4</v>
      </c>
      <c r="J52" s="290">
        <v>3</v>
      </c>
      <c r="K52" s="290">
        <v>7</v>
      </c>
      <c r="L52" s="103">
        <f t="shared" si="3"/>
        <v>125</v>
      </c>
      <c r="M52" s="290">
        <v>106</v>
      </c>
      <c r="N52" s="290">
        <v>231</v>
      </c>
      <c r="O52" s="103">
        <f t="shared" si="4"/>
        <v>0</v>
      </c>
      <c r="P52" s="290">
        <v>0</v>
      </c>
      <c r="Q52" s="290">
        <v>0</v>
      </c>
      <c r="R52" s="103">
        <f t="shared" si="5"/>
        <v>23</v>
      </c>
      <c r="S52" s="290">
        <v>13</v>
      </c>
      <c r="T52" s="290">
        <v>36</v>
      </c>
      <c r="U52" s="103">
        <f t="shared" si="6"/>
        <v>0</v>
      </c>
      <c r="V52" s="290">
        <v>5</v>
      </c>
      <c r="W52" s="290">
        <v>5</v>
      </c>
      <c r="X52" s="103">
        <f t="shared" si="7"/>
        <v>3</v>
      </c>
      <c r="Y52" s="290">
        <v>1</v>
      </c>
      <c r="Z52" s="290">
        <v>4</v>
      </c>
    </row>
    <row r="53" spans="1:26" ht="28" x14ac:dyDescent="0.35">
      <c r="A53" s="103">
        <v>49</v>
      </c>
      <c r="B53" s="130" t="s">
        <v>157</v>
      </c>
      <c r="C53" s="103">
        <f t="shared" si="0"/>
        <v>1703</v>
      </c>
      <c r="D53" s="290">
        <v>952</v>
      </c>
      <c r="E53" s="290">
        <v>2655</v>
      </c>
      <c r="F53" s="103">
        <f t="shared" si="1"/>
        <v>393</v>
      </c>
      <c r="G53" s="290">
        <v>214</v>
      </c>
      <c r="H53" s="290">
        <v>607</v>
      </c>
      <c r="I53" s="103">
        <f t="shared" si="2"/>
        <v>234</v>
      </c>
      <c r="J53" s="290">
        <v>214</v>
      </c>
      <c r="K53" s="290">
        <v>448</v>
      </c>
      <c r="L53" s="103">
        <f t="shared" si="3"/>
        <v>243</v>
      </c>
      <c r="M53" s="290">
        <v>95</v>
      </c>
      <c r="N53" s="290">
        <v>338</v>
      </c>
      <c r="O53" s="103">
        <f t="shared" si="4"/>
        <v>0</v>
      </c>
      <c r="P53" s="290">
        <v>0</v>
      </c>
      <c r="Q53" s="290">
        <v>0</v>
      </c>
      <c r="R53" s="103">
        <f t="shared" si="5"/>
        <v>48</v>
      </c>
      <c r="S53" s="290">
        <v>5</v>
      </c>
      <c r="T53" s="290">
        <v>53</v>
      </c>
      <c r="U53" s="103">
        <f t="shared" si="6"/>
        <v>36</v>
      </c>
      <c r="V53" s="290">
        <v>14</v>
      </c>
      <c r="W53" s="290">
        <v>50</v>
      </c>
      <c r="X53" s="103">
        <f t="shared" si="7"/>
        <v>7</v>
      </c>
      <c r="Y53" s="290">
        <v>3</v>
      </c>
      <c r="Z53" s="290">
        <v>10</v>
      </c>
    </row>
    <row r="54" spans="1:26" ht="28" x14ac:dyDescent="0.35">
      <c r="A54" s="103">
        <v>50</v>
      </c>
      <c r="B54" s="130" t="s">
        <v>829</v>
      </c>
      <c r="C54" s="103">
        <f t="shared" si="0"/>
        <v>1095</v>
      </c>
      <c r="D54" s="290">
        <v>74</v>
      </c>
      <c r="E54" s="290">
        <v>1169</v>
      </c>
      <c r="F54" s="103">
        <f t="shared" si="1"/>
        <v>7</v>
      </c>
      <c r="G54" s="290">
        <v>3</v>
      </c>
      <c r="H54" s="290">
        <v>10</v>
      </c>
      <c r="I54" s="103">
        <f t="shared" si="2"/>
        <v>0</v>
      </c>
      <c r="J54" s="290">
        <v>1</v>
      </c>
      <c r="K54" s="290">
        <v>1</v>
      </c>
      <c r="L54" s="103">
        <f t="shared" si="3"/>
        <v>24</v>
      </c>
      <c r="M54" s="290">
        <v>14</v>
      </c>
      <c r="N54" s="290">
        <v>38</v>
      </c>
      <c r="O54" s="103">
        <f t="shared" si="4"/>
        <v>0</v>
      </c>
      <c r="P54" s="290">
        <v>0</v>
      </c>
      <c r="Q54" s="290">
        <v>0</v>
      </c>
      <c r="R54" s="103">
        <f t="shared" si="5"/>
        <v>3</v>
      </c>
      <c r="S54" s="290">
        <v>2</v>
      </c>
      <c r="T54" s="290">
        <v>5</v>
      </c>
      <c r="U54" s="103">
        <f t="shared" si="6"/>
        <v>0</v>
      </c>
      <c r="V54" s="290">
        <v>0</v>
      </c>
      <c r="W54" s="290">
        <v>0</v>
      </c>
      <c r="X54" s="103">
        <f t="shared" si="7"/>
        <v>11</v>
      </c>
      <c r="Y54" s="290">
        <v>4</v>
      </c>
      <c r="Z54" s="290">
        <v>15</v>
      </c>
    </row>
    <row r="55" spans="1:26" x14ac:dyDescent="0.35">
      <c r="A55" s="103">
        <v>51</v>
      </c>
      <c r="B55" s="130" t="s">
        <v>830</v>
      </c>
      <c r="C55" s="103">
        <f t="shared" si="0"/>
        <v>394</v>
      </c>
      <c r="D55" s="290">
        <v>510</v>
      </c>
      <c r="E55" s="290">
        <v>904</v>
      </c>
      <c r="F55" s="103">
        <f t="shared" si="1"/>
        <v>35</v>
      </c>
      <c r="G55" s="290">
        <v>45</v>
      </c>
      <c r="H55" s="290">
        <v>80</v>
      </c>
      <c r="I55" s="103">
        <f t="shared" si="2"/>
        <v>4</v>
      </c>
      <c r="J55" s="290">
        <v>2</v>
      </c>
      <c r="K55" s="290">
        <v>6</v>
      </c>
      <c r="L55" s="103">
        <f t="shared" si="3"/>
        <v>203</v>
      </c>
      <c r="M55" s="290">
        <v>276</v>
      </c>
      <c r="N55" s="290">
        <v>479</v>
      </c>
      <c r="O55" s="103">
        <f t="shared" si="4"/>
        <v>0</v>
      </c>
      <c r="P55" s="290">
        <v>0</v>
      </c>
      <c r="Q55" s="290">
        <v>0</v>
      </c>
      <c r="R55" s="103">
        <f t="shared" si="5"/>
        <v>24</v>
      </c>
      <c r="S55" s="290">
        <v>28</v>
      </c>
      <c r="T55" s="290">
        <v>52</v>
      </c>
      <c r="U55" s="103">
        <f t="shared" si="6"/>
        <v>40</v>
      </c>
      <c r="V55" s="290">
        <v>60</v>
      </c>
      <c r="W55" s="290">
        <v>100</v>
      </c>
      <c r="X55" s="103">
        <f t="shared" si="7"/>
        <v>10</v>
      </c>
      <c r="Y55" s="290">
        <v>8</v>
      </c>
      <c r="Z55" s="290">
        <v>18</v>
      </c>
    </row>
    <row r="56" spans="1:26" x14ac:dyDescent="0.35">
      <c r="A56" s="103">
        <v>52</v>
      </c>
      <c r="B56" s="130" t="s">
        <v>158</v>
      </c>
      <c r="C56" s="103">
        <f t="shared" si="0"/>
        <v>1423</v>
      </c>
      <c r="D56" s="290">
        <v>1031</v>
      </c>
      <c r="E56" s="290">
        <v>2454</v>
      </c>
      <c r="F56" s="103">
        <f t="shared" si="1"/>
        <v>207</v>
      </c>
      <c r="G56" s="290">
        <v>90</v>
      </c>
      <c r="H56" s="290">
        <v>297</v>
      </c>
      <c r="I56" s="103">
        <f t="shared" si="2"/>
        <v>79</v>
      </c>
      <c r="J56" s="290">
        <v>39</v>
      </c>
      <c r="K56" s="290">
        <v>118</v>
      </c>
      <c r="L56" s="103">
        <f t="shared" si="3"/>
        <v>311</v>
      </c>
      <c r="M56" s="290">
        <v>168</v>
      </c>
      <c r="N56" s="290">
        <v>479</v>
      </c>
      <c r="O56" s="103">
        <f t="shared" si="4"/>
        <v>0</v>
      </c>
      <c r="P56" s="290">
        <v>0</v>
      </c>
      <c r="Q56" s="290">
        <v>0</v>
      </c>
      <c r="R56" s="103">
        <f t="shared" si="5"/>
        <v>17</v>
      </c>
      <c r="S56" s="290">
        <v>4</v>
      </c>
      <c r="T56" s="290">
        <v>21</v>
      </c>
      <c r="U56" s="103">
        <f t="shared" si="6"/>
        <v>13</v>
      </c>
      <c r="V56" s="290">
        <v>13</v>
      </c>
      <c r="W56" s="290">
        <v>26</v>
      </c>
      <c r="X56" s="103">
        <f t="shared" si="7"/>
        <v>51</v>
      </c>
      <c r="Y56" s="290">
        <v>30</v>
      </c>
      <c r="Z56" s="290">
        <v>81</v>
      </c>
    </row>
    <row r="57" spans="1:26" ht="28" x14ac:dyDescent="0.35">
      <c r="A57" s="103">
        <v>53</v>
      </c>
      <c r="B57" s="130" t="s">
        <v>159</v>
      </c>
      <c r="C57" s="103">
        <f t="shared" si="0"/>
        <v>9966</v>
      </c>
      <c r="D57" s="290">
        <v>10701</v>
      </c>
      <c r="E57" s="290">
        <v>20667</v>
      </c>
      <c r="F57" s="103">
        <f t="shared" si="1"/>
        <v>1371</v>
      </c>
      <c r="G57" s="290">
        <v>1114</v>
      </c>
      <c r="H57" s="290">
        <v>2485</v>
      </c>
      <c r="I57" s="103">
        <f t="shared" si="2"/>
        <v>426</v>
      </c>
      <c r="J57" s="290">
        <v>244</v>
      </c>
      <c r="K57" s="290">
        <v>670</v>
      </c>
      <c r="L57" s="103">
        <f t="shared" si="3"/>
        <v>1681</v>
      </c>
      <c r="M57" s="290">
        <v>1461</v>
      </c>
      <c r="N57" s="290">
        <v>3142</v>
      </c>
      <c r="O57" s="103">
        <f t="shared" si="4"/>
        <v>19</v>
      </c>
      <c r="P57" s="290">
        <v>6</v>
      </c>
      <c r="Q57" s="290">
        <v>25</v>
      </c>
      <c r="R57" s="103">
        <f t="shared" si="5"/>
        <v>366</v>
      </c>
      <c r="S57" s="290">
        <v>301</v>
      </c>
      <c r="T57" s="290">
        <v>667</v>
      </c>
      <c r="U57" s="103">
        <f t="shared" si="6"/>
        <v>473</v>
      </c>
      <c r="V57" s="290">
        <v>454</v>
      </c>
      <c r="W57" s="290">
        <v>927</v>
      </c>
      <c r="X57" s="103">
        <f t="shared" si="7"/>
        <v>143</v>
      </c>
      <c r="Y57" s="290">
        <v>128</v>
      </c>
      <c r="Z57" s="290">
        <v>271</v>
      </c>
    </row>
    <row r="58" spans="1:26" x14ac:dyDescent="0.35">
      <c r="A58" s="103">
        <v>54</v>
      </c>
      <c r="B58" s="130" t="s">
        <v>160</v>
      </c>
      <c r="C58" s="103">
        <f t="shared" si="0"/>
        <v>49055</v>
      </c>
      <c r="D58" s="290">
        <v>31534</v>
      </c>
      <c r="E58" s="290">
        <v>80589</v>
      </c>
      <c r="F58" s="103">
        <f t="shared" si="1"/>
        <v>7210</v>
      </c>
      <c r="G58" s="290">
        <v>4551</v>
      </c>
      <c r="H58" s="290">
        <v>11761</v>
      </c>
      <c r="I58" s="103">
        <f t="shared" si="2"/>
        <v>1024</v>
      </c>
      <c r="J58" s="290">
        <v>866</v>
      </c>
      <c r="K58" s="290">
        <v>1890</v>
      </c>
      <c r="L58" s="103">
        <f t="shared" si="3"/>
        <v>15889</v>
      </c>
      <c r="M58" s="290">
        <v>9283</v>
      </c>
      <c r="N58" s="290">
        <v>25172</v>
      </c>
      <c r="O58" s="103">
        <f t="shared" si="4"/>
        <v>186</v>
      </c>
      <c r="P58" s="290">
        <v>149</v>
      </c>
      <c r="Q58" s="290">
        <v>335</v>
      </c>
      <c r="R58" s="103">
        <f t="shared" si="5"/>
        <v>2834</v>
      </c>
      <c r="S58" s="290">
        <v>2001</v>
      </c>
      <c r="T58" s="290">
        <v>4835</v>
      </c>
      <c r="U58" s="103">
        <f t="shared" si="6"/>
        <v>940</v>
      </c>
      <c r="V58" s="290">
        <v>1031</v>
      </c>
      <c r="W58" s="290">
        <v>1971</v>
      </c>
      <c r="X58" s="103">
        <f t="shared" si="7"/>
        <v>768</v>
      </c>
      <c r="Y58" s="290">
        <v>489</v>
      </c>
      <c r="Z58" s="290">
        <v>1257</v>
      </c>
    </row>
    <row r="59" spans="1:26" ht="28" x14ac:dyDescent="0.35">
      <c r="A59" s="103">
        <v>55</v>
      </c>
      <c r="B59" s="130" t="s">
        <v>831</v>
      </c>
      <c r="C59" s="103">
        <f t="shared" si="0"/>
        <v>7629</v>
      </c>
      <c r="D59" s="290">
        <v>6427</v>
      </c>
      <c r="E59" s="290">
        <v>14056</v>
      </c>
      <c r="F59" s="103">
        <f t="shared" si="1"/>
        <v>759</v>
      </c>
      <c r="G59" s="290">
        <v>689</v>
      </c>
      <c r="H59" s="290">
        <v>1448</v>
      </c>
      <c r="I59" s="103">
        <f t="shared" si="2"/>
        <v>256</v>
      </c>
      <c r="J59" s="290">
        <v>225</v>
      </c>
      <c r="K59" s="290">
        <v>481</v>
      </c>
      <c r="L59" s="103">
        <f t="shared" si="3"/>
        <v>3784</v>
      </c>
      <c r="M59" s="290">
        <v>2952</v>
      </c>
      <c r="N59" s="290">
        <v>6736</v>
      </c>
      <c r="O59" s="103">
        <f t="shared" si="4"/>
        <v>16</v>
      </c>
      <c r="P59" s="290">
        <v>1</v>
      </c>
      <c r="Q59" s="290">
        <v>17</v>
      </c>
      <c r="R59" s="103">
        <f t="shared" si="5"/>
        <v>526</v>
      </c>
      <c r="S59" s="290">
        <v>410</v>
      </c>
      <c r="T59" s="290">
        <v>936</v>
      </c>
      <c r="U59" s="103">
        <f t="shared" si="6"/>
        <v>60</v>
      </c>
      <c r="V59" s="290">
        <v>71</v>
      </c>
      <c r="W59" s="290">
        <v>131</v>
      </c>
      <c r="X59" s="103">
        <f t="shared" si="7"/>
        <v>55</v>
      </c>
      <c r="Y59" s="290">
        <v>67</v>
      </c>
      <c r="Z59" s="290">
        <v>122</v>
      </c>
    </row>
    <row r="60" spans="1:26" x14ac:dyDescent="0.35">
      <c r="A60" s="103">
        <v>56</v>
      </c>
      <c r="B60" s="130" t="s">
        <v>161</v>
      </c>
      <c r="C60" s="103">
        <f t="shared" si="0"/>
        <v>3529</v>
      </c>
      <c r="D60" s="290">
        <v>3066</v>
      </c>
      <c r="E60" s="290">
        <v>6595</v>
      </c>
      <c r="F60" s="103">
        <f t="shared" si="1"/>
        <v>548</v>
      </c>
      <c r="G60" s="290">
        <v>531</v>
      </c>
      <c r="H60" s="290">
        <v>1079</v>
      </c>
      <c r="I60" s="103">
        <f t="shared" si="2"/>
        <v>221</v>
      </c>
      <c r="J60" s="290">
        <v>207</v>
      </c>
      <c r="K60" s="290">
        <v>428</v>
      </c>
      <c r="L60" s="103">
        <f t="shared" si="3"/>
        <v>959</v>
      </c>
      <c r="M60" s="290">
        <v>970</v>
      </c>
      <c r="N60" s="290">
        <v>1929</v>
      </c>
      <c r="O60" s="103">
        <f t="shared" si="4"/>
        <v>7</v>
      </c>
      <c r="P60" s="290">
        <v>6</v>
      </c>
      <c r="Q60" s="290">
        <v>13</v>
      </c>
      <c r="R60" s="103">
        <f t="shared" si="5"/>
        <v>65</v>
      </c>
      <c r="S60" s="290">
        <v>65</v>
      </c>
      <c r="T60" s="290">
        <v>130</v>
      </c>
      <c r="U60" s="103">
        <f t="shared" si="6"/>
        <v>48</v>
      </c>
      <c r="V60" s="290">
        <v>105</v>
      </c>
      <c r="W60" s="290">
        <v>153</v>
      </c>
      <c r="X60" s="103">
        <f t="shared" si="7"/>
        <v>52</v>
      </c>
      <c r="Y60" s="290">
        <v>71</v>
      </c>
      <c r="Z60" s="290">
        <v>123</v>
      </c>
    </row>
    <row r="61" spans="1:26" x14ac:dyDescent="0.35">
      <c r="A61" s="103">
        <v>57</v>
      </c>
      <c r="B61" s="130" t="s">
        <v>832</v>
      </c>
      <c r="C61" s="103">
        <f t="shared" si="0"/>
        <v>1793</v>
      </c>
      <c r="D61" s="290">
        <v>3422</v>
      </c>
      <c r="E61" s="290">
        <v>5215</v>
      </c>
      <c r="F61" s="103">
        <f t="shared" si="1"/>
        <v>470</v>
      </c>
      <c r="G61" s="290">
        <v>884</v>
      </c>
      <c r="H61" s="290">
        <v>1354</v>
      </c>
      <c r="I61" s="103">
        <f t="shared" si="2"/>
        <v>84</v>
      </c>
      <c r="J61" s="290">
        <v>112</v>
      </c>
      <c r="K61" s="290">
        <v>196</v>
      </c>
      <c r="L61" s="103">
        <f t="shared" si="3"/>
        <v>975</v>
      </c>
      <c r="M61" s="290">
        <v>1915</v>
      </c>
      <c r="N61" s="290">
        <v>2890</v>
      </c>
      <c r="O61" s="103">
        <f t="shared" si="4"/>
        <v>22</v>
      </c>
      <c r="P61" s="290">
        <v>9</v>
      </c>
      <c r="Q61" s="290">
        <v>31</v>
      </c>
      <c r="R61" s="103">
        <f t="shared" si="5"/>
        <v>31</v>
      </c>
      <c r="S61" s="290">
        <v>44</v>
      </c>
      <c r="T61" s="290">
        <v>75</v>
      </c>
      <c r="U61" s="103">
        <f t="shared" si="6"/>
        <v>79</v>
      </c>
      <c r="V61" s="290">
        <v>233</v>
      </c>
      <c r="W61" s="290">
        <v>312</v>
      </c>
      <c r="X61" s="103">
        <f t="shared" si="7"/>
        <v>5</v>
      </c>
      <c r="Y61" s="290">
        <v>7</v>
      </c>
      <c r="Z61" s="290">
        <v>12</v>
      </c>
    </row>
    <row r="62" spans="1:26" ht="28" x14ac:dyDescent="0.35">
      <c r="A62" s="103">
        <v>58</v>
      </c>
      <c r="B62" s="130" t="s">
        <v>162</v>
      </c>
      <c r="C62" s="103">
        <f t="shared" si="0"/>
        <v>9733</v>
      </c>
      <c r="D62" s="290">
        <v>7554</v>
      </c>
      <c r="E62" s="290">
        <v>17287</v>
      </c>
      <c r="F62" s="103">
        <f t="shared" si="1"/>
        <v>1339</v>
      </c>
      <c r="G62" s="290">
        <v>1158</v>
      </c>
      <c r="H62" s="290">
        <v>2497</v>
      </c>
      <c r="I62" s="103">
        <f t="shared" si="2"/>
        <v>759</v>
      </c>
      <c r="J62" s="290">
        <v>651</v>
      </c>
      <c r="K62" s="290">
        <v>1410</v>
      </c>
      <c r="L62" s="103">
        <f t="shared" si="3"/>
        <v>3760</v>
      </c>
      <c r="M62" s="290">
        <v>3141</v>
      </c>
      <c r="N62" s="290">
        <v>6901</v>
      </c>
      <c r="O62" s="103">
        <f t="shared" si="4"/>
        <v>28</v>
      </c>
      <c r="P62" s="290">
        <v>20</v>
      </c>
      <c r="Q62" s="290">
        <v>48</v>
      </c>
      <c r="R62" s="103">
        <f t="shared" si="5"/>
        <v>874</v>
      </c>
      <c r="S62" s="290">
        <v>502</v>
      </c>
      <c r="T62" s="290">
        <v>1376</v>
      </c>
      <c r="U62" s="103">
        <f t="shared" si="6"/>
        <v>164</v>
      </c>
      <c r="V62" s="290">
        <v>212</v>
      </c>
      <c r="W62" s="290">
        <v>376</v>
      </c>
      <c r="X62" s="103">
        <f t="shared" si="7"/>
        <v>51</v>
      </c>
      <c r="Y62" s="290">
        <v>52</v>
      </c>
      <c r="Z62" s="290">
        <v>103</v>
      </c>
    </row>
    <row r="63" spans="1:26" x14ac:dyDescent="0.35">
      <c r="A63" s="103">
        <v>59</v>
      </c>
      <c r="B63" s="130" t="s">
        <v>163</v>
      </c>
      <c r="C63" s="103">
        <f t="shared" si="0"/>
        <v>1815</v>
      </c>
      <c r="D63" s="290">
        <v>1638</v>
      </c>
      <c r="E63" s="290">
        <v>3453</v>
      </c>
      <c r="F63" s="103">
        <f t="shared" si="1"/>
        <v>271</v>
      </c>
      <c r="G63" s="290">
        <v>183</v>
      </c>
      <c r="H63" s="290">
        <v>454</v>
      </c>
      <c r="I63" s="103">
        <f t="shared" si="2"/>
        <v>25</v>
      </c>
      <c r="J63" s="290">
        <v>9</v>
      </c>
      <c r="K63" s="290">
        <v>34</v>
      </c>
      <c r="L63" s="103">
        <f t="shared" si="3"/>
        <v>468</v>
      </c>
      <c r="M63" s="290">
        <v>338</v>
      </c>
      <c r="N63" s="290">
        <v>806</v>
      </c>
      <c r="O63" s="103">
        <f t="shared" si="4"/>
        <v>5</v>
      </c>
      <c r="P63" s="290">
        <v>3</v>
      </c>
      <c r="Q63" s="290">
        <v>8</v>
      </c>
      <c r="R63" s="103">
        <f t="shared" si="5"/>
        <v>198</v>
      </c>
      <c r="S63" s="290">
        <v>236</v>
      </c>
      <c r="T63" s="290">
        <v>434</v>
      </c>
      <c r="U63" s="103">
        <f t="shared" si="6"/>
        <v>259</v>
      </c>
      <c r="V63" s="290">
        <v>314</v>
      </c>
      <c r="W63" s="290">
        <v>573</v>
      </c>
      <c r="X63" s="103">
        <f t="shared" si="7"/>
        <v>9</v>
      </c>
      <c r="Y63" s="290">
        <v>8</v>
      </c>
      <c r="Z63" s="290">
        <v>17</v>
      </c>
    </row>
    <row r="64" spans="1:26" x14ac:dyDescent="0.35">
      <c r="A64" s="103">
        <v>60</v>
      </c>
      <c r="B64" s="130" t="s">
        <v>164</v>
      </c>
      <c r="C64" s="103">
        <f t="shared" si="0"/>
        <v>35920</v>
      </c>
      <c r="D64" s="290">
        <v>28375</v>
      </c>
      <c r="E64" s="290">
        <v>64295</v>
      </c>
      <c r="F64" s="103">
        <f t="shared" si="1"/>
        <v>2194</v>
      </c>
      <c r="G64" s="290">
        <v>2197</v>
      </c>
      <c r="H64" s="290">
        <v>4391</v>
      </c>
      <c r="I64" s="103">
        <f t="shared" si="2"/>
        <v>390</v>
      </c>
      <c r="J64" s="290">
        <v>273</v>
      </c>
      <c r="K64" s="290">
        <v>663</v>
      </c>
      <c r="L64" s="103">
        <f t="shared" si="3"/>
        <v>4380</v>
      </c>
      <c r="M64" s="290">
        <v>3649</v>
      </c>
      <c r="N64" s="290">
        <v>8029</v>
      </c>
      <c r="O64" s="103">
        <f t="shared" si="4"/>
        <v>144</v>
      </c>
      <c r="P64" s="290">
        <v>62</v>
      </c>
      <c r="Q64" s="290">
        <v>206</v>
      </c>
      <c r="R64" s="103">
        <f t="shared" si="5"/>
        <v>4169</v>
      </c>
      <c r="S64" s="290">
        <v>2544</v>
      </c>
      <c r="T64" s="290">
        <v>6713</v>
      </c>
      <c r="U64" s="103">
        <f t="shared" si="6"/>
        <v>4754</v>
      </c>
      <c r="V64" s="290">
        <v>3911</v>
      </c>
      <c r="W64" s="290">
        <v>8665</v>
      </c>
      <c r="X64" s="103">
        <f t="shared" si="7"/>
        <v>449</v>
      </c>
      <c r="Y64" s="290">
        <v>383</v>
      </c>
      <c r="Z64" s="290">
        <v>832</v>
      </c>
    </row>
    <row r="65" spans="1:26" x14ac:dyDescent="0.35">
      <c r="A65" s="103">
        <v>61</v>
      </c>
      <c r="B65" s="130" t="s">
        <v>165</v>
      </c>
      <c r="C65" s="103">
        <f t="shared" si="0"/>
        <v>1078</v>
      </c>
      <c r="D65" s="290">
        <v>1225</v>
      </c>
      <c r="E65" s="290">
        <v>2303</v>
      </c>
      <c r="F65" s="103">
        <f t="shared" si="1"/>
        <v>85</v>
      </c>
      <c r="G65" s="290">
        <v>158</v>
      </c>
      <c r="H65" s="290">
        <v>243</v>
      </c>
      <c r="I65" s="103">
        <f t="shared" si="2"/>
        <v>334</v>
      </c>
      <c r="J65" s="290">
        <v>194</v>
      </c>
      <c r="K65" s="290">
        <v>528</v>
      </c>
      <c r="L65" s="103">
        <f t="shared" si="3"/>
        <v>145</v>
      </c>
      <c r="M65" s="290">
        <v>233</v>
      </c>
      <c r="N65" s="290">
        <v>378</v>
      </c>
      <c r="O65" s="103">
        <f t="shared" si="4"/>
        <v>2</v>
      </c>
      <c r="P65" s="290">
        <v>5</v>
      </c>
      <c r="Q65" s="290">
        <v>7</v>
      </c>
      <c r="R65" s="103">
        <f t="shared" si="5"/>
        <v>6</v>
      </c>
      <c r="S65" s="290">
        <v>0</v>
      </c>
      <c r="T65" s="290">
        <v>6</v>
      </c>
      <c r="U65" s="103">
        <f t="shared" si="6"/>
        <v>174</v>
      </c>
      <c r="V65" s="290">
        <v>146</v>
      </c>
      <c r="W65" s="290">
        <v>320</v>
      </c>
      <c r="X65" s="103">
        <f t="shared" si="7"/>
        <v>11</v>
      </c>
      <c r="Y65" s="290">
        <v>42</v>
      </c>
      <c r="Z65" s="290">
        <v>53</v>
      </c>
    </row>
    <row r="66" spans="1:26" ht="28" x14ac:dyDescent="0.35">
      <c r="A66" s="103">
        <v>62</v>
      </c>
      <c r="B66" s="130" t="s">
        <v>166</v>
      </c>
      <c r="C66" s="103">
        <f t="shared" si="0"/>
        <v>3556</v>
      </c>
      <c r="D66" s="290">
        <v>6034</v>
      </c>
      <c r="E66" s="290">
        <v>9590</v>
      </c>
      <c r="F66" s="103">
        <f t="shared" si="1"/>
        <v>554</v>
      </c>
      <c r="G66" s="290">
        <v>1112</v>
      </c>
      <c r="H66" s="290">
        <v>1666</v>
      </c>
      <c r="I66" s="103">
        <f t="shared" si="2"/>
        <v>131</v>
      </c>
      <c r="J66" s="290">
        <v>143</v>
      </c>
      <c r="K66" s="290">
        <v>274</v>
      </c>
      <c r="L66" s="103">
        <f t="shared" si="3"/>
        <v>1620</v>
      </c>
      <c r="M66" s="290">
        <v>3293</v>
      </c>
      <c r="N66" s="290">
        <v>4913</v>
      </c>
      <c r="O66" s="103">
        <f t="shared" si="4"/>
        <v>8</v>
      </c>
      <c r="P66" s="290">
        <v>0</v>
      </c>
      <c r="Q66" s="290">
        <v>8</v>
      </c>
      <c r="R66" s="103">
        <f t="shared" si="5"/>
        <v>140</v>
      </c>
      <c r="S66" s="290">
        <v>106</v>
      </c>
      <c r="T66" s="290">
        <v>246</v>
      </c>
      <c r="U66" s="103">
        <f t="shared" si="6"/>
        <v>4</v>
      </c>
      <c r="V66" s="290">
        <v>33</v>
      </c>
      <c r="W66" s="290">
        <v>37</v>
      </c>
      <c r="X66" s="103">
        <f t="shared" si="7"/>
        <v>41</v>
      </c>
      <c r="Y66" s="290">
        <v>34</v>
      </c>
      <c r="Z66" s="290">
        <v>75</v>
      </c>
    </row>
    <row r="67" spans="1:26" ht="28" x14ac:dyDescent="0.35">
      <c r="A67" s="103">
        <v>63</v>
      </c>
      <c r="B67" s="130" t="s">
        <v>167</v>
      </c>
      <c r="C67" s="103">
        <f t="shared" si="0"/>
        <v>577</v>
      </c>
      <c r="D67" s="290">
        <v>968</v>
      </c>
      <c r="E67" s="290">
        <v>1545</v>
      </c>
      <c r="F67" s="103">
        <f t="shared" si="1"/>
        <v>53</v>
      </c>
      <c r="G67" s="290">
        <v>92</v>
      </c>
      <c r="H67" s="290">
        <v>145</v>
      </c>
      <c r="I67" s="103">
        <f t="shared" si="2"/>
        <v>22</v>
      </c>
      <c r="J67" s="290">
        <v>28</v>
      </c>
      <c r="K67" s="290">
        <v>50</v>
      </c>
      <c r="L67" s="103">
        <f t="shared" si="3"/>
        <v>268</v>
      </c>
      <c r="M67" s="290">
        <v>375</v>
      </c>
      <c r="N67" s="290">
        <v>643</v>
      </c>
      <c r="O67" s="103">
        <f t="shared" si="4"/>
        <v>1</v>
      </c>
      <c r="P67" s="290">
        <v>0</v>
      </c>
      <c r="Q67" s="290">
        <v>1</v>
      </c>
      <c r="R67" s="103">
        <f t="shared" si="5"/>
        <v>21</v>
      </c>
      <c r="S67" s="290">
        <v>37</v>
      </c>
      <c r="T67" s="290">
        <v>58</v>
      </c>
      <c r="U67" s="103">
        <f t="shared" si="6"/>
        <v>0</v>
      </c>
      <c r="V67" s="290">
        <v>1</v>
      </c>
      <c r="W67" s="290">
        <v>1</v>
      </c>
      <c r="X67" s="103">
        <f t="shared" si="7"/>
        <v>2</v>
      </c>
      <c r="Y67" s="290">
        <v>5</v>
      </c>
      <c r="Z67" s="290">
        <v>7</v>
      </c>
    </row>
    <row r="68" spans="1:26" x14ac:dyDescent="0.35">
      <c r="A68" s="103">
        <v>64</v>
      </c>
      <c r="B68" s="130" t="s">
        <v>833</v>
      </c>
      <c r="C68" s="103">
        <f t="shared" si="0"/>
        <v>585</v>
      </c>
      <c r="D68" s="290">
        <v>794</v>
      </c>
      <c r="E68" s="290">
        <v>1379</v>
      </c>
      <c r="F68" s="103">
        <f t="shared" si="1"/>
        <v>66</v>
      </c>
      <c r="G68" s="290">
        <v>205</v>
      </c>
      <c r="H68" s="290">
        <v>271</v>
      </c>
      <c r="I68" s="103">
        <f t="shared" si="2"/>
        <v>41</v>
      </c>
      <c r="J68" s="290">
        <v>77</v>
      </c>
      <c r="K68" s="290">
        <v>118</v>
      </c>
      <c r="L68" s="103">
        <f t="shared" si="3"/>
        <v>166</v>
      </c>
      <c r="M68" s="290">
        <v>286</v>
      </c>
      <c r="N68" s="290">
        <v>452</v>
      </c>
      <c r="O68" s="103">
        <f t="shared" si="4"/>
        <v>0</v>
      </c>
      <c r="P68" s="290">
        <v>0</v>
      </c>
      <c r="Q68" s="290">
        <v>0</v>
      </c>
      <c r="R68" s="103">
        <f t="shared" si="5"/>
        <v>68</v>
      </c>
      <c r="S68" s="290">
        <v>51</v>
      </c>
      <c r="T68" s="290">
        <v>119</v>
      </c>
      <c r="U68" s="103">
        <f t="shared" si="6"/>
        <v>1</v>
      </c>
      <c r="V68" s="290">
        <v>1</v>
      </c>
      <c r="W68" s="290">
        <v>2</v>
      </c>
      <c r="X68" s="103">
        <f t="shared" si="7"/>
        <v>18</v>
      </c>
      <c r="Y68" s="290">
        <v>22</v>
      </c>
      <c r="Z68" s="290">
        <v>40</v>
      </c>
    </row>
    <row r="69" spans="1:26" x14ac:dyDescent="0.35">
      <c r="A69" s="103">
        <v>65</v>
      </c>
      <c r="B69" s="130" t="s">
        <v>168</v>
      </c>
      <c r="C69" s="103">
        <f t="shared" si="0"/>
        <v>2050</v>
      </c>
      <c r="D69" s="290">
        <v>3181</v>
      </c>
      <c r="E69" s="290">
        <v>5231</v>
      </c>
      <c r="F69" s="103">
        <f t="shared" si="1"/>
        <v>242</v>
      </c>
      <c r="G69" s="290">
        <v>355</v>
      </c>
      <c r="H69" s="290">
        <v>597</v>
      </c>
      <c r="I69" s="103">
        <f t="shared" si="2"/>
        <v>112</v>
      </c>
      <c r="J69" s="290">
        <v>94</v>
      </c>
      <c r="K69" s="290">
        <v>206</v>
      </c>
      <c r="L69" s="103">
        <f t="shared" si="3"/>
        <v>695</v>
      </c>
      <c r="M69" s="290">
        <v>1127</v>
      </c>
      <c r="N69" s="290">
        <v>1822</v>
      </c>
      <c r="O69" s="103">
        <f t="shared" si="4"/>
        <v>33</v>
      </c>
      <c r="P69" s="290">
        <v>16</v>
      </c>
      <c r="Q69" s="290">
        <v>49</v>
      </c>
      <c r="R69" s="103">
        <f t="shared" si="5"/>
        <v>186</v>
      </c>
      <c r="S69" s="290">
        <v>213</v>
      </c>
      <c r="T69" s="290">
        <v>399</v>
      </c>
      <c r="U69" s="103">
        <f t="shared" si="6"/>
        <v>93</v>
      </c>
      <c r="V69" s="290">
        <v>209</v>
      </c>
      <c r="W69" s="290">
        <v>302</v>
      </c>
      <c r="X69" s="103">
        <f t="shared" si="7"/>
        <v>95</v>
      </c>
      <c r="Y69" s="290">
        <v>132</v>
      </c>
      <c r="Z69" s="290">
        <v>227</v>
      </c>
    </row>
    <row r="70" spans="1:26" x14ac:dyDescent="0.35">
      <c r="A70" s="103">
        <v>66</v>
      </c>
      <c r="B70" s="130" t="s">
        <v>169</v>
      </c>
      <c r="C70" s="103">
        <f t="shared" ref="C70:C133" si="8">E70-D70</f>
        <v>3599</v>
      </c>
      <c r="D70" s="290">
        <v>5203</v>
      </c>
      <c r="E70" s="290">
        <v>8802</v>
      </c>
      <c r="F70" s="103">
        <f t="shared" ref="F70:F133" si="9">H70-G70</f>
        <v>271</v>
      </c>
      <c r="G70" s="290">
        <v>402</v>
      </c>
      <c r="H70" s="290">
        <v>673</v>
      </c>
      <c r="I70" s="103">
        <f t="shared" ref="I70:I133" si="10">K70-J70</f>
        <v>103</v>
      </c>
      <c r="J70" s="290">
        <v>215</v>
      </c>
      <c r="K70" s="290">
        <v>318</v>
      </c>
      <c r="L70" s="103">
        <f t="shared" ref="L70:L133" si="11">N70-M70</f>
        <v>978</v>
      </c>
      <c r="M70" s="290">
        <v>1856</v>
      </c>
      <c r="N70" s="290">
        <v>2834</v>
      </c>
      <c r="O70" s="103">
        <f t="shared" ref="O70:O133" si="12">Q70-P70</f>
        <v>14</v>
      </c>
      <c r="P70" s="290">
        <v>26</v>
      </c>
      <c r="Q70" s="290">
        <v>40</v>
      </c>
      <c r="R70" s="103">
        <f t="shared" ref="R70:R133" si="13">T70-S70</f>
        <v>398</v>
      </c>
      <c r="S70" s="290">
        <v>606</v>
      </c>
      <c r="T70" s="290">
        <v>1004</v>
      </c>
      <c r="U70" s="103">
        <f t="shared" ref="U70:U133" si="14">W70-V70</f>
        <v>51</v>
      </c>
      <c r="V70" s="290">
        <v>153</v>
      </c>
      <c r="W70" s="290">
        <v>204</v>
      </c>
      <c r="X70" s="103">
        <f t="shared" ref="X70:X133" si="15">Z70-Y70</f>
        <v>27</v>
      </c>
      <c r="Y70" s="290">
        <v>54</v>
      </c>
      <c r="Z70" s="290">
        <v>81</v>
      </c>
    </row>
    <row r="71" spans="1:26" x14ac:dyDescent="0.35">
      <c r="A71" s="103">
        <v>67</v>
      </c>
      <c r="B71" s="130" t="s">
        <v>170</v>
      </c>
      <c r="C71" s="103">
        <f t="shared" si="8"/>
        <v>3374</v>
      </c>
      <c r="D71" s="290">
        <v>3135</v>
      </c>
      <c r="E71" s="290">
        <v>6509</v>
      </c>
      <c r="F71" s="103">
        <f t="shared" si="9"/>
        <v>443</v>
      </c>
      <c r="G71" s="290">
        <v>320</v>
      </c>
      <c r="H71" s="290">
        <v>763</v>
      </c>
      <c r="I71" s="103">
        <f t="shared" si="10"/>
        <v>156</v>
      </c>
      <c r="J71" s="290">
        <v>161</v>
      </c>
      <c r="K71" s="290">
        <v>317</v>
      </c>
      <c r="L71" s="103">
        <f t="shared" si="11"/>
        <v>1037</v>
      </c>
      <c r="M71" s="290">
        <v>803</v>
      </c>
      <c r="N71" s="290">
        <v>1840</v>
      </c>
      <c r="O71" s="103">
        <f t="shared" si="12"/>
        <v>44</v>
      </c>
      <c r="P71" s="290">
        <v>25</v>
      </c>
      <c r="Q71" s="290">
        <v>69</v>
      </c>
      <c r="R71" s="103">
        <f t="shared" si="13"/>
        <v>10</v>
      </c>
      <c r="S71" s="290">
        <v>10</v>
      </c>
      <c r="T71" s="290">
        <v>20</v>
      </c>
      <c r="U71" s="103">
        <f t="shared" si="14"/>
        <v>42</v>
      </c>
      <c r="V71" s="290">
        <v>28</v>
      </c>
      <c r="W71" s="290">
        <v>70</v>
      </c>
      <c r="X71" s="103">
        <f t="shared" si="15"/>
        <v>33</v>
      </c>
      <c r="Y71" s="290">
        <v>36</v>
      </c>
      <c r="Z71" s="290">
        <v>69</v>
      </c>
    </row>
    <row r="72" spans="1:26" x14ac:dyDescent="0.35">
      <c r="A72" s="103">
        <v>68</v>
      </c>
      <c r="B72" s="130" t="s">
        <v>171</v>
      </c>
      <c r="C72" s="103">
        <f t="shared" si="8"/>
        <v>18218</v>
      </c>
      <c r="D72" s="290">
        <v>6447</v>
      </c>
      <c r="E72" s="290">
        <v>24665</v>
      </c>
      <c r="F72" s="103">
        <f t="shared" si="9"/>
        <v>2701</v>
      </c>
      <c r="G72" s="290">
        <v>957</v>
      </c>
      <c r="H72" s="290">
        <v>3658</v>
      </c>
      <c r="I72" s="103">
        <f t="shared" si="10"/>
        <v>1196</v>
      </c>
      <c r="J72" s="290">
        <v>428</v>
      </c>
      <c r="K72" s="290">
        <v>1624</v>
      </c>
      <c r="L72" s="103">
        <f t="shared" si="11"/>
        <v>5536</v>
      </c>
      <c r="M72" s="290">
        <v>1944</v>
      </c>
      <c r="N72" s="290">
        <v>7480</v>
      </c>
      <c r="O72" s="103">
        <f t="shared" si="12"/>
        <v>2</v>
      </c>
      <c r="P72" s="290">
        <v>3</v>
      </c>
      <c r="Q72" s="290">
        <v>5</v>
      </c>
      <c r="R72" s="103">
        <f t="shared" si="13"/>
        <v>432</v>
      </c>
      <c r="S72" s="290">
        <v>115</v>
      </c>
      <c r="T72" s="290">
        <v>547</v>
      </c>
      <c r="U72" s="103">
        <f t="shared" si="14"/>
        <v>377</v>
      </c>
      <c r="V72" s="290">
        <v>147</v>
      </c>
      <c r="W72" s="290">
        <v>524</v>
      </c>
      <c r="X72" s="103">
        <f t="shared" si="15"/>
        <v>107</v>
      </c>
      <c r="Y72" s="290">
        <v>46</v>
      </c>
      <c r="Z72" s="290">
        <v>153</v>
      </c>
    </row>
    <row r="73" spans="1:26" x14ac:dyDescent="0.35">
      <c r="A73" s="103">
        <v>69</v>
      </c>
      <c r="B73" s="130" t="s">
        <v>172</v>
      </c>
      <c r="C73" s="103">
        <f t="shared" si="8"/>
        <v>34406</v>
      </c>
      <c r="D73" s="290">
        <v>16005</v>
      </c>
      <c r="E73" s="290">
        <v>50411</v>
      </c>
      <c r="F73" s="103">
        <f t="shared" si="9"/>
        <v>5768</v>
      </c>
      <c r="G73" s="290">
        <v>2806</v>
      </c>
      <c r="H73" s="290">
        <v>8574</v>
      </c>
      <c r="I73" s="103">
        <f t="shared" si="10"/>
        <v>2520</v>
      </c>
      <c r="J73" s="290">
        <v>1302</v>
      </c>
      <c r="K73" s="290">
        <v>3822</v>
      </c>
      <c r="L73" s="103">
        <f t="shared" si="11"/>
        <v>10784</v>
      </c>
      <c r="M73" s="290">
        <v>5323</v>
      </c>
      <c r="N73" s="290">
        <v>16107</v>
      </c>
      <c r="O73" s="103">
        <f t="shared" si="12"/>
        <v>73</v>
      </c>
      <c r="P73" s="290">
        <v>35</v>
      </c>
      <c r="Q73" s="290">
        <v>108</v>
      </c>
      <c r="R73" s="103">
        <f t="shared" si="13"/>
        <v>586</v>
      </c>
      <c r="S73" s="290">
        <v>194</v>
      </c>
      <c r="T73" s="290">
        <v>780</v>
      </c>
      <c r="U73" s="103">
        <f t="shared" si="14"/>
        <v>450</v>
      </c>
      <c r="V73" s="290">
        <v>284</v>
      </c>
      <c r="W73" s="290">
        <v>734</v>
      </c>
      <c r="X73" s="103">
        <f t="shared" si="15"/>
        <v>662</v>
      </c>
      <c r="Y73" s="290">
        <v>404</v>
      </c>
      <c r="Z73" s="290">
        <v>1066</v>
      </c>
    </row>
    <row r="74" spans="1:26" ht="28" x14ac:dyDescent="0.35">
      <c r="A74" s="103">
        <v>70</v>
      </c>
      <c r="B74" s="130" t="s">
        <v>173</v>
      </c>
      <c r="C74" s="103">
        <f t="shared" si="8"/>
        <v>139</v>
      </c>
      <c r="D74" s="290">
        <v>167</v>
      </c>
      <c r="E74" s="290">
        <v>306</v>
      </c>
      <c r="F74" s="103">
        <f t="shared" si="9"/>
        <v>28</v>
      </c>
      <c r="G74" s="290">
        <v>24</v>
      </c>
      <c r="H74" s="290">
        <v>52</v>
      </c>
      <c r="I74" s="103">
        <f t="shared" si="10"/>
        <v>2</v>
      </c>
      <c r="J74" s="290">
        <v>1</v>
      </c>
      <c r="K74" s="290">
        <v>3</v>
      </c>
      <c r="L74" s="103">
        <f t="shared" si="11"/>
        <v>35</v>
      </c>
      <c r="M74" s="290">
        <v>44</v>
      </c>
      <c r="N74" s="290">
        <v>79</v>
      </c>
      <c r="O74" s="103">
        <f t="shared" si="12"/>
        <v>0</v>
      </c>
      <c r="P74" s="290">
        <v>0</v>
      </c>
      <c r="Q74" s="290">
        <v>0</v>
      </c>
      <c r="R74" s="103">
        <f t="shared" si="13"/>
        <v>13</v>
      </c>
      <c r="S74" s="290">
        <v>12</v>
      </c>
      <c r="T74" s="290">
        <v>25</v>
      </c>
      <c r="U74" s="103">
        <f t="shared" si="14"/>
        <v>6</v>
      </c>
      <c r="V74" s="290">
        <v>14</v>
      </c>
      <c r="W74" s="290">
        <v>20</v>
      </c>
      <c r="X74" s="103">
        <f t="shared" si="15"/>
        <v>4</v>
      </c>
      <c r="Y74" s="290">
        <v>7</v>
      </c>
      <c r="Z74" s="290">
        <v>11</v>
      </c>
    </row>
    <row r="75" spans="1:26" x14ac:dyDescent="0.35">
      <c r="A75" s="103">
        <v>71</v>
      </c>
      <c r="B75" s="130" t="s">
        <v>834</v>
      </c>
      <c r="C75" s="103">
        <f t="shared" si="8"/>
        <v>265</v>
      </c>
      <c r="D75" s="290">
        <v>296</v>
      </c>
      <c r="E75" s="290">
        <v>561</v>
      </c>
      <c r="F75" s="103">
        <f t="shared" si="9"/>
        <v>10</v>
      </c>
      <c r="G75" s="290">
        <v>14</v>
      </c>
      <c r="H75" s="290">
        <v>24</v>
      </c>
      <c r="I75" s="103">
        <f t="shared" si="10"/>
        <v>45</v>
      </c>
      <c r="J75" s="290">
        <v>45</v>
      </c>
      <c r="K75" s="290">
        <v>90</v>
      </c>
      <c r="L75" s="103">
        <f t="shared" si="11"/>
        <v>66</v>
      </c>
      <c r="M75" s="290">
        <v>74</v>
      </c>
      <c r="N75" s="290">
        <v>140</v>
      </c>
      <c r="O75" s="103">
        <f t="shared" si="12"/>
        <v>0</v>
      </c>
      <c r="P75" s="290">
        <v>0</v>
      </c>
      <c r="Q75" s="290">
        <v>0</v>
      </c>
      <c r="R75" s="103">
        <f t="shared" si="13"/>
        <v>18</v>
      </c>
      <c r="S75" s="290">
        <v>13</v>
      </c>
      <c r="T75" s="290">
        <v>31</v>
      </c>
      <c r="U75" s="103">
        <f t="shared" si="14"/>
        <v>31</v>
      </c>
      <c r="V75" s="290">
        <v>24</v>
      </c>
      <c r="W75" s="290">
        <v>55</v>
      </c>
      <c r="X75" s="103">
        <f t="shared" si="15"/>
        <v>0</v>
      </c>
      <c r="Y75" s="290">
        <v>0</v>
      </c>
      <c r="Z75" s="290">
        <v>0</v>
      </c>
    </row>
    <row r="76" spans="1:26" x14ac:dyDescent="0.35">
      <c r="A76" s="103">
        <v>72</v>
      </c>
      <c r="B76" s="130" t="s">
        <v>174</v>
      </c>
      <c r="C76" s="103">
        <f t="shared" si="8"/>
        <v>38719</v>
      </c>
      <c r="D76" s="103">
        <v>65578</v>
      </c>
      <c r="E76" s="103">
        <v>104297</v>
      </c>
      <c r="F76" s="103">
        <f t="shared" si="9"/>
        <v>4738</v>
      </c>
      <c r="G76" s="103">
        <v>7532</v>
      </c>
      <c r="H76" s="103">
        <v>12270</v>
      </c>
      <c r="I76" s="103">
        <f t="shared" si="10"/>
        <v>1794</v>
      </c>
      <c r="J76" s="103">
        <v>2417</v>
      </c>
      <c r="K76" s="103">
        <v>4211</v>
      </c>
      <c r="L76" s="103">
        <f t="shared" si="11"/>
        <v>13493</v>
      </c>
      <c r="M76" s="103">
        <v>21656</v>
      </c>
      <c r="N76" s="103">
        <v>35149</v>
      </c>
      <c r="O76" s="103">
        <f t="shared" si="12"/>
        <v>75</v>
      </c>
      <c r="P76" s="103">
        <v>73</v>
      </c>
      <c r="Q76" s="103">
        <v>148</v>
      </c>
      <c r="R76" s="103">
        <f t="shared" si="13"/>
        <v>3110</v>
      </c>
      <c r="S76" s="103">
        <v>4012</v>
      </c>
      <c r="T76" s="103">
        <v>7122</v>
      </c>
      <c r="U76" s="103">
        <f t="shared" si="14"/>
        <v>1746</v>
      </c>
      <c r="V76" s="103">
        <v>2849</v>
      </c>
      <c r="W76" s="103">
        <v>4595</v>
      </c>
      <c r="X76" s="103">
        <f t="shared" si="15"/>
        <v>728</v>
      </c>
      <c r="Y76" s="103">
        <v>2101</v>
      </c>
      <c r="Z76" s="103">
        <v>2829</v>
      </c>
    </row>
    <row r="77" spans="1:26" ht="28" x14ac:dyDescent="0.35">
      <c r="A77" s="103">
        <v>73</v>
      </c>
      <c r="B77" s="130" t="s">
        <v>835</v>
      </c>
      <c r="C77" s="103">
        <f t="shared" si="8"/>
        <v>677</v>
      </c>
      <c r="D77" s="103">
        <v>519</v>
      </c>
      <c r="E77" s="103">
        <v>1196</v>
      </c>
      <c r="F77" s="103">
        <f t="shared" si="9"/>
        <v>108</v>
      </c>
      <c r="G77" s="103">
        <v>90</v>
      </c>
      <c r="H77" s="103">
        <v>198</v>
      </c>
      <c r="I77" s="103">
        <f t="shared" si="10"/>
        <v>36</v>
      </c>
      <c r="J77" s="103">
        <v>32</v>
      </c>
      <c r="K77" s="103">
        <v>68</v>
      </c>
      <c r="L77" s="103">
        <f t="shared" si="11"/>
        <v>291</v>
      </c>
      <c r="M77" s="103">
        <v>191</v>
      </c>
      <c r="N77" s="103">
        <v>482</v>
      </c>
      <c r="O77" s="103">
        <f t="shared" si="12"/>
        <v>2</v>
      </c>
      <c r="P77" s="103">
        <v>2</v>
      </c>
      <c r="Q77" s="103">
        <v>4</v>
      </c>
      <c r="R77" s="103">
        <f t="shared" si="13"/>
        <v>6</v>
      </c>
      <c r="S77" s="103">
        <v>2</v>
      </c>
      <c r="T77" s="103">
        <v>8</v>
      </c>
      <c r="U77" s="103">
        <f t="shared" si="14"/>
        <v>5</v>
      </c>
      <c r="V77" s="103">
        <v>0</v>
      </c>
      <c r="W77" s="103">
        <v>5</v>
      </c>
      <c r="X77" s="103">
        <f t="shared" si="15"/>
        <v>67</v>
      </c>
      <c r="Y77" s="103">
        <v>30</v>
      </c>
      <c r="Z77" s="103">
        <v>97</v>
      </c>
    </row>
    <row r="78" spans="1:26" x14ac:dyDescent="0.35">
      <c r="A78" s="103">
        <v>74</v>
      </c>
      <c r="B78" s="130" t="s">
        <v>175</v>
      </c>
      <c r="C78" s="103">
        <f t="shared" si="8"/>
        <v>322336</v>
      </c>
      <c r="D78" s="103">
        <v>206693</v>
      </c>
      <c r="E78" s="103">
        <v>529029</v>
      </c>
      <c r="F78" s="103">
        <f t="shared" si="9"/>
        <v>34726</v>
      </c>
      <c r="G78" s="103">
        <v>25653</v>
      </c>
      <c r="H78" s="103">
        <v>60379</v>
      </c>
      <c r="I78" s="103">
        <f t="shared" si="10"/>
        <v>9316</v>
      </c>
      <c r="J78" s="103">
        <v>7453</v>
      </c>
      <c r="K78" s="103">
        <v>16769</v>
      </c>
      <c r="L78" s="103">
        <f t="shared" si="11"/>
        <v>135178</v>
      </c>
      <c r="M78" s="103">
        <v>90001</v>
      </c>
      <c r="N78" s="103">
        <v>225179</v>
      </c>
      <c r="O78" s="103">
        <f t="shared" si="12"/>
        <v>553</v>
      </c>
      <c r="P78" s="103">
        <v>354</v>
      </c>
      <c r="Q78" s="103">
        <v>907</v>
      </c>
      <c r="R78" s="103">
        <f t="shared" si="13"/>
        <v>24149</v>
      </c>
      <c r="S78" s="103">
        <v>12112</v>
      </c>
      <c r="T78" s="103">
        <v>36261</v>
      </c>
      <c r="U78" s="103">
        <f t="shared" si="14"/>
        <v>4852</v>
      </c>
      <c r="V78" s="103">
        <v>5099</v>
      </c>
      <c r="W78" s="103">
        <v>9951</v>
      </c>
      <c r="X78" s="103">
        <f t="shared" si="15"/>
        <v>7936</v>
      </c>
      <c r="Y78" s="103">
        <v>6650</v>
      </c>
      <c r="Z78" s="103">
        <v>14586</v>
      </c>
    </row>
    <row r="79" spans="1:26" x14ac:dyDescent="0.35">
      <c r="A79" s="103">
        <v>75</v>
      </c>
      <c r="B79" s="130" t="s">
        <v>836</v>
      </c>
      <c r="C79" s="103">
        <f t="shared" si="8"/>
        <v>762</v>
      </c>
      <c r="D79" s="103">
        <v>615</v>
      </c>
      <c r="E79" s="103">
        <v>1377</v>
      </c>
      <c r="F79" s="103">
        <f t="shared" si="9"/>
        <v>102</v>
      </c>
      <c r="G79" s="103">
        <v>64</v>
      </c>
      <c r="H79" s="103">
        <v>166</v>
      </c>
      <c r="I79" s="103">
        <f t="shared" si="10"/>
        <v>54</v>
      </c>
      <c r="J79" s="103">
        <v>30</v>
      </c>
      <c r="K79" s="103">
        <v>84</v>
      </c>
      <c r="L79" s="103">
        <f t="shared" si="11"/>
        <v>242</v>
      </c>
      <c r="M79" s="103">
        <v>225</v>
      </c>
      <c r="N79" s="103">
        <v>467</v>
      </c>
      <c r="O79" s="103">
        <f t="shared" si="12"/>
        <v>2</v>
      </c>
      <c r="P79" s="103">
        <v>1</v>
      </c>
      <c r="Q79" s="103">
        <v>3</v>
      </c>
      <c r="R79" s="103">
        <f t="shared" si="13"/>
        <v>20</v>
      </c>
      <c r="S79" s="103">
        <v>5</v>
      </c>
      <c r="T79" s="103">
        <v>25</v>
      </c>
      <c r="U79" s="103">
        <f t="shared" si="14"/>
        <v>28</v>
      </c>
      <c r="V79" s="103">
        <v>13</v>
      </c>
      <c r="W79" s="103">
        <v>41</v>
      </c>
      <c r="X79" s="103">
        <f t="shared" si="15"/>
        <v>38</v>
      </c>
      <c r="Y79" s="103">
        <v>24</v>
      </c>
      <c r="Z79" s="103">
        <v>62</v>
      </c>
    </row>
    <row r="80" spans="1:26" x14ac:dyDescent="0.35">
      <c r="A80" s="103">
        <v>76</v>
      </c>
      <c r="B80" s="130" t="s">
        <v>837</v>
      </c>
      <c r="C80" s="103">
        <f t="shared" si="8"/>
        <v>183</v>
      </c>
      <c r="D80" s="103">
        <v>125</v>
      </c>
      <c r="E80" s="103">
        <v>308</v>
      </c>
      <c r="F80" s="103">
        <f t="shared" si="9"/>
        <v>42</v>
      </c>
      <c r="G80" s="103">
        <v>40</v>
      </c>
      <c r="H80" s="103">
        <v>82</v>
      </c>
      <c r="I80" s="103">
        <f t="shared" si="10"/>
        <v>59</v>
      </c>
      <c r="J80" s="103">
        <v>53</v>
      </c>
      <c r="K80" s="103">
        <v>112</v>
      </c>
      <c r="L80" s="103">
        <f t="shared" si="11"/>
        <v>69</v>
      </c>
      <c r="M80" s="103">
        <v>24</v>
      </c>
      <c r="N80" s="103">
        <v>93</v>
      </c>
      <c r="O80" s="103">
        <f t="shared" si="12"/>
        <v>0</v>
      </c>
      <c r="P80" s="103">
        <v>0</v>
      </c>
      <c r="Q80" s="103">
        <v>0</v>
      </c>
      <c r="R80" s="103">
        <f t="shared" si="13"/>
        <v>0</v>
      </c>
      <c r="S80" s="103">
        <v>0</v>
      </c>
      <c r="T80" s="103">
        <v>0</v>
      </c>
      <c r="U80" s="103">
        <f t="shared" si="14"/>
        <v>0</v>
      </c>
      <c r="V80" s="103">
        <v>0</v>
      </c>
      <c r="W80" s="103">
        <v>0</v>
      </c>
      <c r="X80" s="103">
        <f t="shared" si="15"/>
        <v>10</v>
      </c>
      <c r="Y80" s="103">
        <v>8</v>
      </c>
      <c r="Z80" s="103">
        <v>18</v>
      </c>
    </row>
    <row r="81" spans="1:26" s="115" customFormat="1" ht="28" x14ac:dyDescent="0.35">
      <c r="A81" s="103">
        <v>77</v>
      </c>
      <c r="B81" s="132" t="s">
        <v>176</v>
      </c>
      <c r="C81" s="103">
        <f t="shared" si="8"/>
        <v>7344</v>
      </c>
      <c r="D81" s="105">
        <v>6003</v>
      </c>
      <c r="E81" s="105">
        <v>13347</v>
      </c>
      <c r="F81" s="103">
        <f t="shared" si="9"/>
        <v>838</v>
      </c>
      <c r="G81" s="105">
        <v>731</v>
      </c>
      <c r="H81" s="105">
        <v>1569</v>
      </c>
      <c r="I81" s="103">
        <f t="shared" si="10"/>
        <v>333</v>
      </c>
      <c r="J81" s="105">
        <v>295</v>
      </c>
      <c r="K81" s="105">
        <v>628</v>
      </c>
      <c r="L81" s="103">
        <f t="shared" si="11"/>
        <v>2349</v>
      </c>
      <c r="M81" s="105">
        <v>1942</v>
      </c>
      <c r="N81" s="105">
        <v>4291</v>
      </c>
      <c r="O81" s="103">
        <f t="shared" si="12"/>
        <v>42</v>
      </c>
      <c r="P81" s="105">
        <v>31</v>
      </c>
      <c r="Q81" s="105">
        <v>73</v>
      </c>
      <c r="R81" s="103">
        <f t="shared" si="13"/>
        <v>419</v>
      </c>
      <c r="S81" s="105">
        <v>444</v>
      </c>
      <c r="T81" s="105">
        <v>863</v>
      </c>
      <c r="U81" s="103">
        <f t="shared" si="14"/>
        <v>255</v>
      </c>
      <c r="V81" s="105">
        <v>299</v>
      </c>
      <c r="W81" s="105">
        <v>554</v>
      </c>
      <c r="X81" s="103">
        <f t="shared" si="15"/>
        <v>401</v>
      </c>
      <c r="Y81" s="105">
        <v>286</v>
      </c>
      <c r="Z81" s="105">
        <v>687</v>
      </c>
    </row>
    <row r="82" spans="1:26" ht="42" x14ac:dyDescent="0.35">
      <c r="A82" s="103">
        <v>78</v>
      </c>
      <c r="B82" s="130" t="s">
        <v>838</v>
      </c>
      <c r="C82" s="103">
        <f t="shared" si="8"/>
        <v>1461</v>
      </c>
      <c r="D82" s="103">
        <v>2459</v>
      </c>
      <c r="E82" s="103">
        <v>3920</v>
      </c>
      <c r="F82" s="103">
        <f t="shared" si="9"/>
        <v>173</v>
      </c>
      <c r="G82" s="103">
        <v>305</v>
      </c>
      <c r="H82" s="103">
        <v>478</v>
      </c>
      <c r="I82" s="103">
        <f t="shared" si="10"/>
        <v>48</v>
      </c>
      <c r="J82" s="103">
        <v>34</v>
      </c>
      <c r="K82" s="103">
        <v>82</v>
      </c>
      <c r="L82" s="103">
        <f t="shared" si="11"/>
        <v>552</v>
      </c>
      <c r="M82" s="103">
        <v>1521</v>
      </c>
      <c r="N82" s="103">
        <v>2073</v>
      </c>
      <c r="O82" s="103">
        <f t="shared" si="12"/>
        <v>0</v>
      </c>
      <c r="P82" s="103">
        <v>2</v>
      </c>
      <c r="Q82" s="103">
        <v>2</v>
      </c>
      <c r="R82" s="103">
        <f t="shared" si="13"/>
        <v>176</v>
      </c>
      <c r="S82" s="103">
        <v>286</v>
      </c>
      <c r="T82" s="103">
        <v>462</v>
      </c>
      <c r="U82" s="103">
        <f t="shared" si="14"/>
        <v>10</v>
      </c>
      <c r="V82" s="103">
        <v>22</v>
      </c>
      <c r="W82" s="103">
        <v>32</v>
      </c>
      <c r="X82" s="103">
        <f t="shared" si="15"/>
        <v>35</v>
      </c>
      <c r="Y82" s="103">
        <v>34</v>
      </c>
      <c r="Z82" s="103">
        <v>69</v>
      </c>
    </row>
    <row r="83" spans="1:26" ht="28" x14ac:dyDescent="0.35">
      <c r="A83" s="103">
        <v>79</v>
      </c>
      <c r="B83" s="130" t="s">
        <v>177</v>
      </c>
      <c r="C83" s="103">
        <f t="shared" si="8"/>
        <v>613</v>
      </c>
      <c r="D83" s="103">
        <v>2229</v>
      </c>
      <c r="E83" s="103">
        <v>2842</v>
      </c>
      <c r="F83" s="103">
        <f t="shared" si="9"/>
        <v>118</v>
      </c>
      <c r="G83" s="103">
        <v>398</v>
      </c>
      <c r="H83" s="103">
        <v>516</v>
      </c>
      <c r="I83" s="103">
        <f t="shared" si="10"/>
        <v>11</v>
      </c>
      <c r="J83" s="103">
        <v>38</v>
      </c>
      <c r="K83" s="103">
        <v>49</v>
      </c>
      <c r="L83" s="103">
        <f t="shared" si="11"/>
        <v>434</v>
      </c>
      <c r="M83" s="103">
        <v>1650</v>
      </c>
      <c r="N83" s="103">
        <v>2084</v>
      </c>
      <c r="O83" s="103">
        <f t="shared" si="12"/>
        <v>0</v>
      </c>
      <c r="P83" s="103">
        <v>3</v>
      </c>
      <c r="Q83" s="103">
        <v>3</v>
      </c>
      <c r="R83" s="103">
        <f t="shared" si="13"/>
        <v>7</v>
      </c>
      <c r="S83" s="103">
        <v>56</v>
      </c>
      <c r="T83" s="103">
        <v>63</v>
      </c>
      <c r="U83" s="103">
        <f t="shared" si="14"/>
        <v>6</v>
      </c>
      <c r="V83" s="103">
        <v>41</v>
      </c>
      <c r="W83" s="103">
        <v>47</v>
      </c>
      <c r="X83" s="103">
        <f t="shared" si="15"/>
        <v>1</v>
      </c>
      <c r="Y83" s="103">
        <v>1</v>
      </c>
      <c r="Z83" s="103">
        <v>2</v>
      </c>
    </row>
    <row r="84" spans="1:26" x14ac:dyDescent="0.35">
      <c r="A84" s="103">
        <v>80</v>
      </c>
      <c r="B84" s="130" t="s">
        <v>839</v>
      </c>
      <c r="C84" s="103">
        <f t="shared" si="8"/>
        <v>1131</v>
      </c>
      <c r="D84" s="103">
        <v>1086</v>
      </c>
      <c r="E84" s="103">
        <v>2217</v>
      </c>
      <c r="F84" s="103">
        <f t="shared" si="9"/>
        <v>129</v>
      </c>
      <c r="G84" s="103">
        <v>173</v>
      </c>
      <c r="H84" s="103">
        <v>302</v>
      </c>
      <c r="I84" s="103">
        <f t="shared" si="10"/>
        <v>122</v>
      </c>
      <c r="J84" s="103">
        <v>102</v>
      </c>
      <c r="K84" s="103">
        <v>224</v>
      </c>
      <c r="L84" s="103">
        <f t="shared" si="11"/>
        <v>463</v>
      </c>
      <c r="M84" s="103">
        <v>375</v>
      </c>
      <c r="N84" s="103">
        <v>838</v>
      </c>
      <c r="O84" s="103">
        <f t="shared" si="12"/>
        <v>2</v>
      </c>
      <c r="P84" s="103">
        <v>0</v>
      </c>
      <c r="Q84" s="103">
        <v>2</v>
      </c>
      <c r="R84" s="103">
        <f t="shared" si="13"/>
        <v>58</v>
      </c>
      <c r="S84" s="103">
        <v>102</v>
      </c>
      <c r="T84" s="103">
        <v>160</v>
      </c>
      <c r="U84" s="103">
        <f t="shared" si="14"/>
        <v>43</v>
      </c>
      <c r="V84" s="103">
        <v>31</v>
      </c>
      <c r="W84" s="103">
        <v>74</v>
      </c>
      <c r="X84" s="103">
        <f t="shared" si="15"/>
        <v>59</v>
      </c>
      <c r="Y84" s="103">
        <v>62</v>
      </c>
      <c r="Z84" s="103">
        <v>121</v>
      </c>
    </row>
    <row r="85" spans="1:26" x14ac:dyDescent="0.35">
      <c r="A85" s="103">
        <v>81</v>
      </c>
      <c r="B85" s="130" t="s">
        <v>178</v>
      </c>
      <c r="C85" s="103">
        <f t="shared" si="8"/>
        <v>12077</v>
      </c>
      <c r="D85" s="103">
        <v>11596</v>
      </c>
      <c r="E85" s="103">
        <v>23673</v>
      </c>
      <c r="F85" s="103">
        <f t="shared" si="9"/>
        <v>2544</v>
      </c>
      <c r="G85" s="103">
        <v>1978</v>
      </c>
      <c r="H85" s="103">
        <v>4522</v>
      </c>
      <c r="I85" s="103">
        <f t="shared" si="10"/>
        <v>2361</v>
      </c>
      <c r="J85" s="103">
        <v>2540</v>
      </c>
      <c r="K85" s="103">
        <v>4901</v>
      </c>
      <c r="L85" s="103">
        <f t="shared" si="11"/>
        <v>4340</v>
      </c>
      <c r="M85" s="103">
        <v>4292</v>
      </c>
      <c r="N85" s="103">
        <v>8632</v>
      </c>
      <c r="O85" s="103">
        <f t="shared" si="12"/>
        <v>24</v>
      </c>
      <c r="P85" s="103">
        <v>11</v>
      </c>
      <c r="Q85" s="103">
        <v>35</v>
      </c>
      <c r="R85" s="103">
        <f t="shared" si="13"/>
        <v>471</v>
      </c>
      <c r="S85" s="103">
        <v>489</v>
      </c>
      <c r="T85" s="103">
        <v>960</v>
      </c>
      <c r="U85" s="103">
        <f t="shared" si="14"/>
        <v>1145</v>
      </c>
      <c r="V85" s="103">
        <v>1355</v>
      </c>
      <c r="W85" s="103">
        <v>2500</v>
      </c>
      <c r="X85" s="103">
        <f t="shared" si="15"/>
        <v>143</v>
      </c>
      <c r="Y85" s="103">
        <v>142</v>
      </c>
      <c r="Z85" s="103">
        <v>285</v>
      </c>
    </row>
    <row r="86" spans="1:26" x14ac:dyDescent="0.35">
      <c r="A86" s="103">
        <v>82</v>
      </c>
      <c r="B86" s="130" t="s">
        <v>933</v>
      </c>
      <c r="C86" s="103">
        <f t="shared" si="8"/>
        <v>4</v>
      </c>
      <c r="D86" s="103">
        <v>2</v>
      </c>
      <c r="E86" s="103">
        <v>6</v>
      </c>
      <c r="F86" s="103">
        <f t="shared" si="9"/>
        <v>0</v>
      </c>
      <c r="G86" s="103">
        <v>0</v>
      </c>
      <c r="H86" s="103">
        <v>0</v>
      </c>
      <c r="I86" s="103">
        <f t="shared" si="10"/>
        <v>0</v>
      </c>
      <c r="J86" s="103">
        <v>0</v>
      </c>
      <c r="K86" s="103">
        <v>0</v>
      </c>
      <c r="L86" s="103">
        <f t="shared" si="11"/>
        <v>0</v>
      </c>
      <c r="M86" s="103">
        <v>0</v>
      </c>
      <c r="N86" s="103">
        <v>0</v>
      </c>
      <c r="O86" s="103">
        <f t="shared" si="12"/>
        <v>0</v>
      </c>
      <c r="P86" s="103">
        <v>0</v>
      </c>
      <c r="Q86" s="103">
        <v>0</v>
      </c>
      <c r="R86" s="103">
        <f t="shared" si="13"/>
        <v>0</v>
      </c>
      <c r="S86" s="103">
        <v>0</v>
      </c>
      <c r="T86" s="103">
        <v>0</v>
      </c>
      <c r="U86" s="103">
        <f t="shared" si="14"/>
        <v>0</v>
      </c>
      <c r="V86" s="103">
        <v>0</v>
      </c>
      <c r="W86" s="103">
        <v>0</v>
      </c>
      <c r="X86" s="103">
        <f t="shared" si="15"/>
        <v>0</v>
      </c>
      <c r="Y86" s="103">
        <v>0</v>
      </c>
      <c r="Z86" s="103">
        <v>0</v>
      </c>
    </row>
    <row r="87" spans="1:26" x14ac:dyDescent="0.35">
      <c r="A87" s="103">
        <v>83</v>
      </c>
      <c r="B87" s="130" t="s">
        <v>934</v>
      </c>
      <c r="C87" s="103">
        <f t="shared" si="8"/>
        <v>3</v>
      </c>
      <c r="D87" s="103">
        <v>7</v>
      </c>
      <c r="E87" s="103">
        <v>10</v>
      </c>
      <c r="F87" s="103">
        <f t="shared" si="9"/>
        <v>0</v>
      </c>
      <c r="G87" s="103">
        <v>0</v>
      </c>
      <c r="H87" s="103">
        <v>0</v>
      </c>
      <c r="I87" s="103">
        <f t="shared" si="10"/>
        <v>0</v>
      </c>
      <c r="J87" s="103">
        <v>0</v>
      </c>
      <c r="K87" s="103">
        <v>0</v>
      </c>
      <c r="L87" s="103">
        <f t="shared" si="11"/>
        <v>0</v>
      </c>
      <c r="M87" s="103">
        <v>0</v>
      </c>
      <c r="N87" s="103">
        <v>0</v>
      </c>
      <c r="O87" s="103">
        <f t="shared" si="12"/>
        <v>0</v>
      </c>
      <c r="P87" s="103">
        <v>0</v>
      </c>
      <c r="Q87" s="103">
        <v>0</v>
      </c>
      <c r="R87" s="103">
        <f t="shared" si="13"/>
        <v>0</v>
      </c>
      <c r="S87" s="103">
        <v>0</v>
      </c>
      <c r="T87" s="103">
        <v>0</v>
      </c>
      <c r="U87" s="103">
        <f t="shared" si="14"/>
        <v>0</v>
      </c>
      <c r="V87" s="103">
        <v>0</v>
      </c>
      <c r="W87" s="103">
        <v>0</v>
      </c>
      <c r="X87" s="103">
        <f t="shared" si="15"/>
        <v>0</v>
      </c>
      <c r="Y87" s="103">
        <v>0</v>
      </c>
      <c r="Z87" s="103">
        <v>0</v>
      </c>
    </row>
    <row r="88" spans="1:26" x14ac:dyDescent="0.35">
      <c r="A88" s="103">
        <v>84</v>
      </c>
      <c r="B88" s="130" t="s">
        <v>840</v>
      </c>
      <c r="C88" s="103">
        <f t="shared" si="8"/>
        <v>2201</v>
      </c>
      <c r="D88" s="103">
        <v>1459</v>
      </c>
      <c r="E88" s="103">
        <v>3660</v>
      </c>
      <c r="F88" s="103">
        <f t="shared" si="9"/>
        <v>176</v>
      </c>
      <c r="G88" s="103">
        <v>103</v>
      </c>
      <c r="H88" s="103">
        <v>279</v>
      </c>
      <c r="I88" s="103">
        <f t="shared" si="10"/>
        <v>40</v>
      </c>
      <c r="J88" s="103">
        <v>45</v>
      </c>
      <c r="K88" s="103">
        <v>85</v>
      </c>
      <c r="L88" s="103">
        <f t="shared" si="11"/>
        <v>734</v>
      </c>
      <c r="M88" s="103">
        <v>437</v>
      </c>
      <c r="N88" s="103">
        <v>1171</v>
      </c>
      <c r="O88" s="103">
        <f t="shared" si="12"/>
        <v>4</v>
      </c>
      <c r="P88" s="103">
        <v>0</v>
      </c>
      <c r="Q88" s="103">
        <v>4</v>
      </c>
      <c r="R88" s="103">
        <f t="shared" si="13"/>
        <v>10</v>
      </c>
      <c r="S88" s="103">
        <v>8</v>
      </c>
      <c r="T88" s="103">
        <v>18</v>
      </c>
      <c r="U88" s="103">
        <f t="shared" si="14"/>
        <v>7</v>
      </c>
      <c r="V88" s="103">
        <v>15</v>
      </c>
      <c r="W88" s="103">
        <v>22</v>
      </c>
      <c r="X88" s="103">
        <f t="shared" si="15"/>
        <v>176</v>
      </c>
      <c r="Y88" s="103">
        <v>172</v>
      </c>
      <c r="Z88" s="103">
        <v>348</v>
      </c>
    </row>
    <row r="89" spans="1:26" ht="28" x14ac:dyDescent="0.35">
      <c r="A89" s="103">
        <v>85</v>
      </c>
      <c r="B89" s="130" t="s">
        <v>179</v>
      </c>
      <c r="C89" s="103">
        <f t="shared" si="8"/>
        <v>35923</v>
      </c>
      <c r="D89" s="103">
        <v>40306</v>
      </c>
      <c r="E89" s="103">
        <v>76229</v>
      </c>
      <c r="F89" s="103">
        <f t="shared" si="9"/>
        <v>6934</v>
      </c>
      <c r="G89" s="103">
        <v>7014</v>
      </c>
      <c r="H89" s="103">
        <v>13948</v>
      </c>
      <c r="I89" s="103">
        <f t="shared" si="10"/>
        <v>6345</v>
      </c>
      <c r="J89" s="103">
        <v>5494</v>
      </c>
      <c r="K89" s="103">
        <v>11839</v>
      </c>
      <c r="L89" s="103">
        <f t="shared" si="11"/>
        <v>14485</v>
      </c>
      <c r="M89" s="103">
        <v>16571</v>
      </c>
      <c r="N89" s="103">
        <v>31056</v>
      </c>
      <c r="O89" s="103">
        <f t="shared" si="12"/>
        <v>55</v>
      </c>
      <c r="P89" s="103">
        <v>52</v>
      </c>
      <c r="Q89" s="103">
        <v>107</v>
      </c>
      <c r="R89" s="103">
        <f t="shared" si="13"/>
        <v>370</v>
      </c>
      <c r="S89" s="103">
        <v>555</v>
      </c>
      <c r="T89" s="103">
        <v>925</v>
      </c>
      <c r="U89" s="103">
        <f t="shared" si="14"/>
        <v>166</v>
      </c>
      <c r="V89" s="103">
        <v>583</v>
      </c>
      <c r="W89" s="103">
        <v>749</v>
      </c>
      <c r="X89" s="103">
        <f t="shared" si="15"/>
        <v>1290</v>
      </c>
      <c r="Y89" s="103">
        <v>1450</v>
      </c>
      <c r="Z89" s="103">
        <v>2740</v>
      </c>
    </row>
    <row r="90" spans="1:26" ht="28" x14ac:dyDescent="0.35">
      <c r="A90" s="103">
        <v>86</v>
      </c>
      <c r="B90" s="130" t="s">
        <v>841</v>
      </c>
      <c r="C90" s="103">
        <f t="shared" si="8"/>
        <v>203</v>
      </c>
      <c r="D90" s="103">
        <v>158</v>
      </c>
      <c r="E90" s="103">
        <v>361</v>
      </c>
      <c r="F90" s="103">
        <f t="shared" si="9"/>
        <v>15</v>
      </c>
      <c r="G90" s="103">
        <v>20</v>
      </c>
      <c r="H90" s="103">
        <v>35</v>
      </c>
      <c r="I90" s="103">
        <f t="shared" si="10"/>
        <v>16</v>
      </c>
      <c r="J90" s="103">
        <v>13</v>
      </c>
      <c r="K90" s="103">
        <v>29</v>
      </c>
      <c r="L90" s="103">
        <f t="shared" si="11"/>
        <v>34</v>
      </c>
      <c r="M90" s="103">
        <v>31</v>
      </c>
      <c r="N90" s="103">
        <v>65</v>
      </c>
      <c r="O90" s="103">
        <f t="shared" si="12"/>
        <v>3</v>
      </c>
      <c r="P90" s="103">
        <v>0</v>
      </c>
      <c r="Q90" s="103">
        <v>3</v>
      </c>
      <c r="R90" s="103">
        <f t="shared" si="13"/>
        <v>7</v>
      </c>
      <c r="S90" s="103">
        <v>3</v>
      </c>
      <c r="T90" s="103">
        <v>10</v>
      </c>
      <c r="U90" s="103">
        <f t="shared" si="14"/>
        <v>2</v>
      </c>
      <c r="V90" s="103">
        <v>2</v>
      </c>
      <c r="W90" s="103">
        <v>4</v>
      </c>
      <c r="X90" s="103">
        <f t="shared" si="15"/>
        <v>20</v>
      </c>
      <c r="Y90" s="103">
        <v>4</v>
      </c>
      <c r="Z90" s="103">
        <v>24</v>
      </c>
    </row>
    <row r="91" spans="1:26" ht="28" x14ac:dyDescent="0.35">
      <c r="A91" s="103">
        <v>87</v>
      </c>
      <c r="B91" s="130" t="s">
        <v>935</v>
      </c>
      <c r="C91" s="103">
        <f t="shared" si="8"/>
        <v>2</v>
      </c>
      <c r="D91" s="103">
        <v>3</v>
      </c>
      <c r="E91" s="103">
        <v>5</v>
      </c>
      <c r="F91" s="103">
        <f t="shared" si="9"/>
        <v>2</v>
      </c>
      <c r="G91" s="103">
        <v>3</v>
      </c>
      <c r="H91" s="103">
        <v>5</v>
      </c>
      <c r="I91" s="103">
        <f t="shared" si="10"/>
        <v>0</v>
      </c>
      <c r="J91" s="103">
        <v>0</v>
      </c>
      <c r="K91" s="103">
        <v>0</v>
      </c>
      <c r="L91" s="103">
        <f t="shared" si="11"/>
        <v>0</v>
      </c>
      <c r="M91" s="103">
        <v>0</v>
      </c>
      <c r="N91" s="103">
        <v>0</v>
      </c>
      <c r="O91" s="103">
        <f t="shared" si="12"/>
        <v>0</v>
      </c>
      <c r="P91" s="103">
        <v>0</v>
      </c>
      <c r="Q91" s="103">
        <v>0</v>
      </c>
      <c r="R91" s="103">
        <f t="shared" si="13"/>
        <v>0</v>
      </c>
      <c r="S91" s="103">
        <v>0</v>
      </c>
      <c r="T91" s="103">
        <v>0</v>
      </c>
      <c r="U91" s="103">
        <f t="shared" si="14"/>
        <v>0</v>
      </c>
      <c r="V91" s="103">
        <v>0</v>
      </c>
      <c r="W91" s="103">
        <v>0</v>
      </c>
      <c r="X91" s="103">
        <f t="shared" si="15"/>
        <v>0</v>
      </c>
      <c r="Y91" s="103">
        <v>0</v>
      </c>
      <c r="Z91" s="103">
        <v>0</v>
      </c>
    </row>
    <row r="92" spans="1:26" x14ac:dyDescent="0.35">
      <c r="A92" s="103">
        <v>88</v>
      </c>
      <c r="B92" s="130" t="s">
        <v>180</v>
      </c>
      <c r="C92" s="103">
        <f t="shared" si="8"/>
        <v>319584</v>
      </c>
      <c r="D92" s="103">
        <v>278120</v>
      </c>
      <c r="E92" s="103">
        <v>597704</v>
      </c>
      <c r="F92" s="103">
        <f t="shared" si="9"/>
        <v>44221</v>
      </c>
      <c r="G92" s="103">
        <v>32456</v>
      </c>
      <c r="H92" s="103">
        <v>76677</v>
      </c>
      <c r="I92" s="103">
        <f t="shared" si="10"/>
        <v>20371</v>
      </c>
      <c r="J92" s="103">
        <v>18089</v>
      </c>
      <c r="K92" s="103">
        <v>38460</v>
      </c>
      <c r="L92" s="103">
        <f t="shared" si="11"/>
        <v>137815</v>
      </c>
      <c r="M92" s="103">
        <v>107147</v>
      </c>
      <c r="N92" s="103">
        <v>244962</v>
      </c>
      <c r="O92" s="103">
        <f t="shared" si="12"/>
        <v>422</v>
      </c>
      <c r="P92" s="103">
        <v>196</v>
      </c>
      <c r="Q92" s="103">
        <v>618</v>
      </c>
      <c r="R92" s="103">
        <f t="shared" si="13"/>
        <v>17693</v>
      </c>
      <c r="S92" s="103">
        <v>14875</v>
      </c>
      <c r="T92" s="103">
        <v>32568</v>
      </c>
      <c r="U92" s="103">
        <f t="shared" si="14"/>
        <v>5071</v>
      </c>
      <c r="V92" s="103">
        <v>5914</v>
      </c>
      <c r="W92" s="103">
        <v>10985</v>
      </c>
      <c r="X92" s="103">
        <f t="shared" si="15"/>
        <v>6039</v>
      </c>
      <c r="Y92" s="103">
        <v>5883</v>
      </c>
      <c r="Z92" s="103">
        <v>11922</v>
      </c>
    </row>
    <row r="93" spans="1:26" ht="28" x14ac:dyDescent="0.35">
      <c r="A93" s="103">
        <v>89</v>
      </c>
      <c r="B93" s="130" t="s">
        <v>181</v>
      </c>
      <c r="C93" s="103">
        <f t="shared" si="8"/>
        <v>127140</v>
      </c>
      <c r="D93" s="103">
        <v>359296</v>
      </c>
      <c r="E93" s="103">
        <v>486436</v>
      </c>
      <c r="F93" s="103">
        <f t="shared" si="9"/>
        <v>20735</v>
      </c>
      <c r="G93" s="103">
        <v>64458</v>
      </c>
      <c r="H93" s="103">
        <v>85193</v>
      </c>
      <c r="I93" s="103">
        <f t="shared" si="10"/>
        <v>9594</v>
      </c>
      <c r="J93" s="103">
        <v>33739</v>
      </c>
      <c r="K93" s="103">
        <v>43333</v>
      </c>
      <c r="L93" s="103">
        <f t="shared" si="11"/>
        <v>48705</v>
      </c>
      <c r="M93" s="103">
        <v>119455</v>
      </c>
      <c r="N93" s="103">
        <v>168160</v>
      </c>
      <c r="O93" s="103">
        <f t="shared" si="12"/>
        <v>118</v>
      </c>
      <c r="P93" s="103">
        <v>400</v>
      </c>
      <c r="Q93" s="103">
        <v>518</v>
      </c>
      <c r="R93" s="103">
        <f t="shared" si="13"/>
        <v>7903</v>
      </c>
      <c r="S93" s="103">
        <v>11273</v>
      </c>
      <c r="T93" s="103">
        <v>19176</v>
      </c>
      <c r="U93" s="103">
        <f t="shared" si="14"/>
        <v>3891</v>
      </c>
      <c r="V93" s="103">
        <v>25177</v>
      </c>
      <c r="W93" s="103">
        <v>29068</v>
      </c>
      <c r="X93" s="103">
        <f t="shared" si="15"/>
        <v>2578</v>
      </c>
      <c r="Y93" s="103">
        <v>5350</v>
      </c>
      <c r="Z93" s="103">
        <v>7928</v>
      </c>
    </row>
    <row r="94" spans="1:26" x14ac:dyDescent="0.35">
      <c r="A94" s="103">
        <v>90</v>
      </c>
      <c r="B94" s="130" t="s">
        <v>182</v>
      </c>
      <c r="C94" s="103">
        <f t="shared" si="8"/>
        <v>10418</v>
      </c>
      <c r="D94" s="103">
        <v>42893</v>
      </c>
      <c r="E94" s="103">
        <v>53311</v>
      </c>
      <c r="F94" s="103">
        <f t="shared" si="9"/>
        <v>1987</v>
      </c>
      <c r="G94" s="103">
        <v>7967</v>
      </c>
      <c r="H94" s="103">
        <v>9954</v>
      </c>
      <c r="I94" s="103">
        <f t="shared" si="10"/>
        <v>1001</v>
      </c>
      <c r="J94" s="103">
        <v>5022</v>
      </c>
      <c r="K94" s="103">
        <v>6023</v>
      </c>
      <c r="L94" s="103">
        <f t="shared" si="11"/>
        <v>3029</v>
      </c>
      <c r="M94" s="103">
        <v>10580</v>
      </c>
      <c r="N94" s="103">
        <v>13609</v>
      </c>
      <c r="O94" s="103">
        <f t="shared" si="12"/>
        <v>23</v>
      </c>
      <c r="P94" s="103">
        <v>55</v>
      </c>
      <c r="Q94" s="103">
        <v>78</v>
      </c>
      <c r="R94" s="103">
        <f t="shared" si="13"/>
        <v>342</v>
      </c>
      <c r="S94" s="103">
        <v>983</v>
      </c>
      <c r="T94" s="103">
        <v>1325</v>
      </c>
      <c r="U94" s="103">
        <f t="shared" si="14"/>
        <v>258</v>
      </c>
      <c r="V94" s="103">
        <v>1695</v>
      </c>
      <c r="W94" s="103">
        <v>1953</v>
      </c>
      <c r="X94" s="103">
        <f t="shared" si="15"/>
        <v>214</v>
      </c>
      <c r="Y94" s="103">
        <v>450</v>
      </c>
      <c r="Z94" s="103">
        <v>664</v>
      </c>
    </row>
    <row r="95" spans="1:26" ht="28" x14ac:dyDescent="0.35">
      <c r="A95" s="103">
        <v>91</v>
      </c>
      <c r="B95" s="130" t="s">
        <v>842</v>
      </c>
      <c r="C95" s="103">
        <f t="shared" si="8"/>
        <v>46</v>
      </c>
      <c r="D95" s="103">
        <v>33</v>
      </c>
      <c r="E95" s="103">
        <v>79</v>
      </c>
      <c r="F95" s="103">
        <f t="shared" si="9"/>
        <v>11</v>
      </c>
      <c r="G95" s="103">
        <v>5</v>
      </c>
      <c r="H95" s="103">
        <v>16</v>
      </c>
      <c r="I95" s="103">
        <f t="shared" si="10"/>
        <v>0</v>
      </c>
      <c r="J95" s="103">
        <v>1</v>
      </c>
      <c r="K95" s="103">
        <v>1</v>
      </c>
      <c r="L95" s="103">
        <f t="shared" si="11"/>
        <v>1</v>
      </c>
      <c r="M95" s="103">
        <v>5</v>
      </c>
      <c r="N95" s="103">
        <v>6</v>
      </c>
      <c r="O95" s="103">
        <f t="shared" si="12"/>
        <v>0</v>
      </c>
      <c r="P95" s="103">
        <v>0</v>
      </c>
      <c r="Q95" s="103">
        <v>0</v>
      </c>
      <c r="R95" s="103">
        <f t="shared" si="13"/>
        <v>0</v>
      </c>
      <c r="S95" s="103">
        <v>0</v>
      </c>
      <c r="T95" s="103">
        <v>0</v>
      </c>
      <c r="U95" s="103">
        <f t="shared" si="14"/>
        <v>0</v>
      </c>
      <c r="V95" s="103">
        <v>0</v>
      </c>
      <c r="W95" s="103">
        <v>0</v>
      </c>
      <c r="X95" s="103">
        <f t="shared" si="15"/>
        <v>0</v>
      </c>
      <c r="Y95" s="103">
        <v>0</v>
      </c>
      <c r="Z95" s="103">
        <v>0</v>
      </c>
    </row>
    <row r="96" spans="1:26" ht="28" x14ac:dyDescent="0.35">
      <c r="A96" s="103">
        <v>92</v>
      </c>
      <c r="B96" s="130" t="s">
        <v>843</v>
      </c>
      <c r="C96" s="103">
        <f t="shared" si="8"/>
        <v>1297</v>
      </c>
      <c r="D96" s="103">
        <v>340</v>
      </c>
      <c r="E96" s="103">
        <v>1637</v>
      </c>
      <c r="F96" s="103">
        <f t="shared" si="9"/>
        <v>128</v>
      </c>
      <c r="G96" s="103">
        <v>37</v>
      </c>
      <c r="H96" s="103">
        <v>165</v>
      </c>
      <c r="I96" s="103">
        <f t="shared" si="10"/>
        <v>28</v>
      </c>
      <c r="J96" s="103">
        <v>12</v>
      </c>
      <c r="K96" s="103">
        <v>40</v>
      </c>
      <c r="L96" s="103">
        <f t="shared" si="11"/>
        <v>726</v>
      </c>
      <c r="M96" s="103">
        <v>127</v>
      </c>
      <c r="N96" s="103">
        <v>853</v>
      </c>
      <c r="O96" s="103">
        <f t="shared" si="12"/>
        <v>0</v>
      </c>
      <c r="P96" s="103">
        <v>0</v>
      </c>
      <c r="Q96" s="103">
        <v>0</v>
      </c>
      <c r="R96" s="103">
        <f t="shared" si="13"/>
        <v>31</v>
      </c>
      <c r="S96" s="103">
        <v>60</v>
      </c>
      <c r="T96" s="103">
        <v>91</v>
      </c>
      <c r="U96" s="103">
        <f t="shared" si="14"/>
        <v>11</v>
      </c>
      <c r="V96" s="103">
        <v>6</v>
      </c>
      <c r="W96" s="103">
        <v>17</v>
      </c>
      <c r="X96" s="103">
        <f t="shared" si="15"/>
        <v>33</v>
      </c>
      <c r="Y96" s="103">
        <v>9</v>
      </c>
      <c r="Z96" s="103">
        <v>42</v>
      </c>
    </row>
    <row r="97" spans="1:26" x14ac:dyDescent="0.35">
      <c r="A97" s="103">
        <v>93</v>
      </c>
      <c r="B97" s="130" t="s">
        <v>183</v>
      </c>
      <c r="C97" s="103">
        <f t="shared" si="8"/>
        <v>2192986</v>
      </c>
      <c r="D97" s="103">
        <v>2436971</v>
      </c>
      <c r="E97" s="103">
        <v>4629957</v>
      </c>
      <c r="F97" s="103">
        <f t="shared" si="9"/>
        <v>353060</v>
      </c>
      <c r="G97" s="103">
        <v>373295</v>
      </c>
      <c r="H97" s="103">
        <v>726355</v>
      </c>
      <c r="I97" s="103">
        <f t="shared" si="10"/>
        <v>120148</v>
      </c>
      <c r="J97" s="103">
        <v>139950</v>
      </c>
      <c r="K97" s="103">
        <v>260098</v>
      </c>
      <c r="L97" s="103">
        <f t="shared" si="11"/>
        <v>991726</v>
      </c>
      <c r="M97" s="103">
        <v>1156632</v>
      </c>
      <c r="N97" s="103">
        <v>2148358</v>
      </c>
      <c r="O97" s="103">
        <f t="shared" si="12"/>
        <v>2755</v>
      </c>
      <c r="P97" s="103">
        <v>2311</v>
      </c>
      <c r="Q97" s="103">
        <v>5066</v>
      </c>
      <c r="R97" s="103">
        <f t="shared" si="13"/>
        <v>91945</v>
      </c>
      <c r="S97" s="103">
        <v>128393</v>
      </c>
      <c r="T97" s="103">
        <v>220338</v>
      </c>
      <c r="U97" s="103">
        <f t="shared" si="14"/>
        <v>38542</v>
      </c>
      <c r="V97" s="103">
        <v>56245</v>
      </c>
      <c r="W97" s="103">
        <v>94787</v>
      </c>
      <c r="X97" s="103">
        <f t="shared" si="15"/>
        <v>36573</v>
      </c>
      <c r="Y97" s="103">
        <v>38163</v>
      </c>
      <c r="Z97" s="103">
        <v>74736</v>
      </c>
    </row>
    <row r="98" spans="1:26" x14ac:dyDescent="0.35">
      <c r="A98" s="103">
        <v>94</v>
      </c>
      <c r="B98" s="130" t="s">
        <v>184</v>
      </c>
      <c r="C98" s="103">
        <f t="shared" si="8"/>
        <v>749</v>
      </c>
      <c r="D98" s="103">
        <v>742</v>
      </c>
      <c r="E98" s="103">
        <v>1491</v>
      </c>
      <c r="F98" s="103">
        <f t="shared" si="9"/>
        <v>98</v>
      </c>
      <c r="G98" s="103">
        <v>66</v>
      </c>
      <c r="H98" s="103">
        <v>164</v>
      </c>
      <c r="I98" s="103">
        <f t="shared" si="10"/>
        <v>30</v>
      </c>
      <c r="J98" s="103">
        <v>15</v>
      </c>
      <c r="K98" s="103">
        <v>45</v>
      </c>
      <c r="L98" s="103">
        <f t="shared" si="11"/>
        <v>384</v>
      </c>
      <c r="M98" s="103">
        <v>392</v>
      </c>
      <c r="N98" s="103">
        <v>776</v>
      </c>
      <c r="O98" s="103">
        <f t="shared" si="12"/>
        <v>0</v>
      </c>
      <c r="P98" s="103">
        <v>1</v>
      </c>
      <c r="Q98" s="103">
        <v>1</v>
      </c>
      <c r="R98" s="103">
        <f t="shared" si="13"/>
        <v>26</v>
      </c>
      <c r="S98" s="103">
        <v>26</v>
      </c>
      <c r="T98" s="103">
        <v>52</v>
      </c>
      <c r="U98" s="103">
        <f t="shared" si="14"/>
        <v>2</v>
      </c>
      <c r="V98" s="103">
        <v>47</v>
      </c>
      <c r="W98" s="103">
        <v>49</v>
      </c>
      <c r="X98" s="103">
        <f t="shared" si="15"/>
        <v>7</v>
      </c>
      <c r="Y98" s="103">
        <v>7</v>
      </c>
      <c r="Z98" s="103">
        <v>14</v>
      </c>
    </row>
    <row r="99" spans="1:26" x14ac:dyDescent="0.35">
      <c r="A99" s="103">
        <v>95</v>
      </c>
      <c r="B99" s="130" t="s">
        <v>185</v>
      </c>
      <c r="C99" s="103">
        <f t="shared" si="8"/>
        <v>1896391</v>
      </c>
      <c r="D99" s="103">
        <v>800385</v>
      </c>
      <c r="E99" s="103">
        <v>2696776</v>
      </c>
      <c r="F99" s="103">
        <f t="shared" si="9"/>
        <v>197570</v>
      </c>
      <c r="G99" s="103">
        <v>85798</v>
      </c>
      <c r="H99" s="103">
        <v>283368</v>
      </c>
      <c r="I99" s="103">
        <f t="shared" si="10"/>
        <v>67066</v>
      </c>
      <c r="J99" s="103">
        <v>27129</v>
      </c>
      <c r="K99" s="103">
        <v>94195</v>
      </c>
      <c r="L99" s="103">
        <f t="shared" si="11"/>
        <v>674202</v>
      </c>
      <c r="M99" s="103">
        <v>305021</v>
      </c>
      <c r="N99" s="103">
        <v>979223</v>
      </c>
      <c r="O99" s="103">
        <f t="shared" si="12"/>
        <v>4262</v>
      </c>
      <c r="P99" s="103">
        <v>1396</v>
      </c>
      <c r="Q99" s="103">
        <v>5658</v>
      </c>
      <c r="R99" s="103">
        <f t="shared" si="13"/>
        <v>80008</v>
      </c>
      <c r="S99" s="103">
        <v>25872</v>
      </c>
      <c r="T99" s="103">
        <v>105880</v>
      </c>
      <c r="U99" s="103">
        <f t="shared" si="14"/>
        <v>45954</v>
      </c>
      <c r="V99" s="103">
        <v>20379</v>
      </c>
      <c r="W99" s="103">
        <v>66333</v>
      </c>
      <c r="X99" s="103">
        <f t="shared" si="15"/>
        <v>66905</v>
      </c>
      <c r="Y99" s="103">
        <v>31059</v>
      </c>
      <c r="Z99" s="103">
        <v>97964</v>
      </c>
    </row>
    <row r="100" spans="1:26" ht="28" x14ac:dyDescent="0.35">
      <c r="A100" s="103">
        <v>96</v>
      </c>
      <c r="B100" s="130" t="s">
        <v>186</v>
      </c>
      <c r="C100" s="103">
        <f t="shared" si="8"/>
        <v>17101</v>
      </c>
      <c r="D100" s="103">
        <v>6483</v>
      </c>
      <c r="E100" s="103">
        <v>23584</v>
      </c>
      <c r="F100" s="103">
        <f t="shared" si="9"/>
        <v>1786</v>
      </c>
      <c r="G100" s="103">
        <v>598</v>
      </c>
      <c r="H100" s="103">
        <v>2384</v>
      </c>
      <c r="I100" s="103">
        <f t="shared" si="10"/>
        <v>839</v>
      </c>
      <c r="J100" s="103">
        <v>301</v>
      </c>
      <c r="K100" s="103">
        <v>1140</v>
      </c>
      <c r="L100" s="103">
        <f t="shared" si="11"/>
        <v>5420</v>
      </c>
      <c r="M100" s="103">
        <v>2058</v>
      </c>
      <c r="N100" s="103">
        <v>7478</v>
      </c>
      <c r="O100" s="103">
        <f t="shared" si="12"/>
        <v>126</v>
      </c>
      <c r="P100" s="103">
        <v>19</v>
      </c>
      <c r="Q100" s="103">
        <v>145</v>
      </c>
      <c r="R100" s="103">
        <f t="shared" si="13"/>
        <v>357</v>
      </c>
      <c r="S100" s="103">
        <v>72</v>
      </c>
      <c r="T100" s="103">
        <v>429</v>
      </c>
      <c r="U100" s="103">
        <f t="shared" si="14"/>
        <v>295</v>
      </c>
      <c r="V100" s="103">
        <v>108</v>
      </c>
      <c r="W100" s="103">
        <v>403</v>
      </c>
      <c r="X100" s="103">
        <f t="shared" si="15"/>
        <v>902</v>
      </c>
      <c r="Y100" s="103">
        <v>419</v>
      </c>
      <c r="Z100" s="103">
        <v>1321</v>
      </c>
    </row>
    <row r="101" spans="1:26" ht="28" x14ac:dyDescent="0.35">
      <c r="A101" s="103">
        <v>97</v>
      </c>
      <c r="B101" s="130" t="s">
        <v>187</v>
      </c>
      <c r="C101" s="103">
        <f t="shared" si="8"/>
        <v>3617</v>
      </c>
      <c r="D101" s="103">
        <v>4635</v>
      </c>
      <c r="E101" s="103">
        <v>8252</v>
      </c>
      <c r="F101" s="103">
        <f t="shared" si="9"/>
        <v>83</v>
      </c>
      <c r="G101" s="103">
        <v>75</v>
      </c>
      <c r="H101" s="103">
        <v>158</v>
      </c>
      <c r="I101" s="103">
        <f t="shared" si="10"/>
        <v>21</v>
      </c>
      <c r="J101" s="103">
        <v>24</v>
      </c>
      <c r="K101" s="103">
        <v>45</v>
      </c>
      <c r="L101" s="103">
        <f t="shared" si="11"/>
        <v>1525</v>
      </c>
      <c r="M101" s="103">
        <v>1753</v>
      </c>
      <c r="N101" s="103">
        <v>3278</v>
      </c>
      <c r="O101" s="103">
        <f t="shared" si="12"/>
        <v>1</v>
      </c>
      <c r="P101" s="103">
        <v>1</v>
      </c>
      <c r="Q101" s="103">
        <v>2</v>
      </c>
      <c r="R101" s="103">
        <f t="shared" si="13"/>
        <v>1854</v>
      </c>
      <c r="S101" s="103">
        <v>2147</v>
      </c>
      <c r="T101" s="103">
        <v>4001</v>
      </c>
      <c r="U101" s="103">
        <f t="shared" si="14"/>
        <v>1</v>
      </c>
      <c r="V101" s="103">
        <v>3</v>
      </c>
      <c r="W101" s="103">
        <v>4</v>
      </c>
      <c r="X101" s="103">
        <f t="shared" si="15"/>
        <v>140</v>
      </c>
      <c r="Y101" s="103">
        <v>142</v>
      </c>
      <c r="Z101" s="103">
        <v>282</v>
      </c>
    </row>
    <row r="102" spans="1:26" x14ac:dyDescent="0.35">
      <c r="A102" s="103">
        <v>98</v>
      </c>
      <c r="B102" s="130" t="s">
        <v>188</v>
      </c>
      <c r="C102" s="103">
        <f t="shared" si="8"/>
        <v>1353</v>
      </c>
      <c r="D102" s="103">
        <v>1513</v>
      </c>
      <c r="E102" s="103">
        <v>2866</v>
      </c>
      <c r="F102" s="103">
        <f t="shared" si="9"/>
        <v>132</v>
      </c>
      <c r="G102" s="103">
        <v>55</v>
      </c>
      <c r="H102" s="103">
        <v>187</v>
      </c>
      <c r="I102" s="103">
        <f t="shared" si="10"/>
        <v>36</v>
      </c>
      <c r="J102" s="103">
        <v>21</v>
      </c>
      <c r="K102" s="103">
        <v>57</v>
      </c>
      <c r="L102" s="103">
        <f t="shared" si="11"/>
        <v>348</v>
      </c>
      <c r="M102" s="103">
        <v>288</v>
      </c>
      <c r="N102" s="103">
        <v>636</v>
      </c>
      <c r="O102" s="103">
        <f t="shared" si="12"/>
        <v>0</v>
      </c>
      <c r="P102" s="103">
        <v>3</v>
      </c>
      <c r="Q102" s="103">
        <v>3</v>
      </c>
      <c r="R102" s="103">
        <f t="shared" si="13"/>
        <v>8</v>
      </c>
      <c r="S102" s="103">
        <v>11</v>
      </c>
      <c r="T102" s="103">
        <v>19</v>
      </c>
      <c r="U102" s="103">
        <f t="shared" si="14"/>
        <v>24</v>
      </c>
      <c r="V102" s="103">
        <v>49</v>
      </c>
      <c r="W102" s="103">
        <v>73</v>
      </c>
      <c r="X102" s="103">
        <f t="shared" si="15"/>
        <v>20</v>
      </c>
      <c r="Y102" s="103">
        <v>20</v>
      </c>
      <c r="Z102" s="103">
        <v>40</v>
      </c>
    </row>
    <row r="103" spans="1:26" ht="28" x14ac:dyDescent="0.35">
      <c r="A103" s="103">
        <v>99</v>
      </c>
      <c r="B103" s="130" t="s">
        <v>189</v>
      </c>
      <c r="C103" s="103">
        <f t="shared" si="8"/>
        <v>12131</v>
      </c>
      <c r="D103" s="103">
        <v>8618</v>
      </c>
      <c r="E103" s="103">
        <v>20749</v>
      </c>
      <c r="F103" s="103">
        <f t="shared" si="9"/>
        <v>1605</v>
      </c>
      <c r="G103" s="103">
        <v>1034</v>
      </c>
      <c r="H103" s="103">
        <v>2639</v>
      </c>
      <c r="I103" s="103">
        <f t="shared" si="10"/>
        <v>937</v>
      </c>
      <c r="J103" s="103">
        <v>925</v>
      </c>
      <c r="K103" s="103">
        <v>1862</v>
      </c>
      <c r="L103" s="103">
        <f t="shared" si="11"/>
        <v>5038</v>
      </c>
      <c r="M103" s="103">
        <v>3613</v>
      </c>
      <c r="N103" s="103">
        <v>8651</v>
      </c>
      <c r="O103" s="103">
        <f t="shared" si="12"/>
        <v>39</v>
      </c>
      <c r="P103" s="103">
        <v>11</v>
      </c>
      <c r="Q103" s="103">
        <v>50</v>
      </c>
      <c r="R103" s="103">
        <f t="shared" si="13"/>
        <v>304</v>
      </c>
      <c r="S103" s="103">
        <v>232</v>
      </c>
      <c r="T103" s="103">
        <v>536</v>
      </c>
      <c r="U103" s="103">
        <f t="shared" si="14"/>
        <v>205</v>
      </c>
      <c r="V103" s="103">
        <v>222</v>
      </c>
      <c r="W103" s="103">
        <v>427</v>
      </c>
      <c r="X103" s="103">
        <f t="shared" si="15"/>
        <v>527</v>
      </c>
      <c r="Y103" s="103">
        <v>291</v>
      </c>
      <c r="Z103" s="103">
        <v>818</v>
      </c>
    </row>
    <row r="104" spans="1:26" x14ac:dyDescent="0.35">
      <c r="A104" s="103">
        <v>100</v>
      </c>
      <c r="B104" s="130" t="s">
        <v>190</v>
      </c>
      <c r="C104" s="103">
        <f t="shared" si="8"/>
        <v>3317</v>
      </c>
      <c r="D104" s="103">
        <v>1911</v>
      </c>
      <c r="E104" s="103">
        <v>5228</v>
      </c>
      <c r="F104" s="103">
        <f t="shared" si="9"/>
        <v>377</v>
      </c>
      <c r="G104" s="103">
        <v>295</v>
      </c>
      <c r="H104" s="103">
        <v>672</v>
      </c>
      <c r="I104" s="103">
        <f t="shared" si="10"/>
        <v>239</v>
      </c>
      <c r="J104" s="103">
        <v>213</v>
      </c>
      <c r="K104" s="103">
        <v>452</v>
      </c>
      <c r="L104" s="103">
        <f t="shared" si="11"/>
        <v>1017</v>
      </c>
      <c r="M104" s="103">
        <v>551</v>
      </c>
      <c r="N104" s="103">
        <v>1568</v>
      </c>
      <c r="O104" s="103">
        <f t="shared" si="12"/>
        <v>15</v>
      </c>
      <c r="P104" s="103">
        <v>6</v>
      </c>
      <c r="Q104" s="103">
        <v>21</v>
      </c>
      <c r="R104" s="103">
        <f t="shared" si="13"/>
        <v>298</v>
      </c>
      <c r="S104" s="103">
        <v>162</v>
      </c>
      <c r="T104" s="103">
        <v>460</v>
      </c>
      <c r="U104" s="103">
        <f t="shared" si="14"/>
        <v>168</v>
      </c>
      <c r="V104" s="103">
        <v>116</v>
      </c>
      <c r="W104" s="103">
        <v>284</v>
      </c>
      <c r="X104" s="103">
        <f t="shared" si="15"/>
        <v>75</v>
      </c>
      <c r="Y104" s="103">
        <v>29</v>
      </c>
      <c r="Z104" s="103">
        <v>104</v>
      </c>
    </row>
    <row r="105" spans="1:26" x14ac:dyDescent="0.35">
      <c r="A105" s="103">
        <v>101</v>
      </c>
      <c r="B105" s="130" t="s">
        <v>191</v>
      </c>
      <c r="C105" s="103">
        <f t="shared" si="8"/>
        <v>38807</v>
      </c>
      <c r="D105" s="103">
        <v>30405</v>
      </c>
      <c r="E105" s="103">
        <v>69212</v>
      </c>
      <c r="F105" s="103">
        <f t="shared" si="9"/>
        <v>5327</v>
      </c>
      <c r="G105" s="103">
        <v>4090</v>
      </c>
      <c r="H105" s="103">
        <v>9417</v>
      </c>
      <c r="I105" s="103">
        <f t="shared" si="10"/>
        <v>1278</v>
      </c>
      <c r="J105" s="103">
        <v>884</v>
      </c>
      <c r="K105" s="103">
        <v>2162</v>
      </c>
      <c r="L105" s="103">
        <f t="shared" si="11"/>
        <v>12616</v>
      </c>
      <c r="M105" s="103">
        <v>10141</v>
      </c>
      <c r="N105" s="103">
        <v>22757</v>
      </c>
      <c r="O105" s="103">
        <f t="shared" si="12"/>
        <v>49</v>
      </c>
      <c r="P105" s="103">
        <v>26</v>
      </c>
      <c r="Q105" s="103">
        <v>75</v>
      </c>
      <c r="R105" s="103">
        <f t="shared" si="13"/>
        <v>3635</v>
      </c>
      <c r="S105" s="103">
        <v>2534</v>
      </c>
      <c r="T105" s="103">
        <v>6169</v>
      </c>
      <c r="U105" s="103">
        <f t="shared" si="14"/>
        <v>2475</v>
      </c>
      <c r="V105" s="103">
        <v>2074</v>
      </c>
      <c r="W105" s="103">
        <v>4549</v>
      </c>
      <c r="X105" s="103">
        <f t="shared" si="15"/>
        <v>1085</v>
      </c>
      <c r="Y105" s="103">
        <v>918</v>
      </c>
      <c r="Z105" s="103">
        <v>2003</v>
      </c>
    </row>
    <row r="106" spans="1:26" ht="28" x14ac:dyDescent="0.35">
      <c r="A106" s="103">
        <v>102</v>
      </c>
      <c r="B106" s="130" t="s">
        <v>192</v>
      </c>
      <c r="C106" s="103">
        <f t="shared" si="8"/>
        <v>1040</v>
      </c>
      <c r="D106" s="103">
        <v>583</v>
      </c>
      <c r="E106" s="103">
        <v>1623</v>
      </c>
      <c r="F106" s="103">
        <f t="shared" si="9"/>
        <v>169</v>
      </c>
      <c r="G106" s="103">
        <v>81</v>
      </c>
      <c r="H106" s="103">
        <v>250</v>
      </c>
      <c r="I106" s="103">
        <f t="shared" si="10"/>
        <v>78</v>
      </c>
      <c r="J106" s="103">
        <v>41</v>
      </c>
      <c r="K106" s="103">
        <v>119</v>
      </c>
      <c r="L106" s="103">
        <f t="shared" si="11"/>
        <v>462</v>
      </c>
      <c r="M106" s="103">
        <v>251</v>
      </c>
      <c r="N106" s="103">
        <v>713</v>
      </c>
      <c r="O106" s="103">
        <f t="shared" si="12"/>
        <v>24</v>
      </c>
      <c r="P106" s="103">
        <v>12</v>
      </c>
      <c r="Q106" s="103">
        <v>36</v>
      </c>
      <c r="R106" s="103">
        <f t="shared" si="13"/>
        <v>120</v>
      </c>
      <c r="S106" s="103">
        <v>73</v>
      </c>
      <c r="T106" s="103">
        <v>193</v>
      </c>
      <c r="U106" s="103">
        <f t="shared" si="14"/>
        <v>24</v>
      </c>
      <c r="V106" s="103">
        <v>13</v>
      </c>
      <c r="W106" s="103">
        <v>37</v>
      </c>
      <c r="X106" s="103">
        <f t="shared" si="15"/>
        <v>22</v>
      </c>
      <c r="Y106" s="103">
        <v>15</v>
      </c>
      <c r="Z106" s="103">
        <v>37</v>
      </c>
    </row>
    <row r="107" spans="1:26" ht="28" x14ac:dyDescent="0.35">
      <c r="A107" s="103">
        <v>103</v>
      </c>
      <c r="B107" s="130" t="s">
        <v>844</v>
      </c>
      <c r="C107" s="103">
        <f t="shared" si="8"/>
        <v>11</v>
      </c>
      <c r="D107" s="103">
        <v>344</v>
      </c>
      <c r="E107" s="103">
        <v>355</v>
      </c>
      <c r="F107" s="103">
        <f t="shared" si="9"/>
        <v>1</v>
      </c>
      <c r="G107" s="103">
        <v>112</v>
      </c>
      <c r="H107" s="103">
        <v>113</v>
      </c>
      <c r="I107" s="103">
        <f t="shared" si="10"/>
        <v>3</v>
      </c>
      <c r="J107" s="103">
        <v>47</v>
      </c>
      <c r="K107" s="103">
        <v>50</v>
      </c>
      <c r="L107" s="103">
        <f t="shared" si="11"/>
        <v>0</v>
      </c>
      <c r="M107" s="103">
        <v>85</v>
      </c>
      <c r="N107" s="103">
        <v>85</v>
      </c>
      <c r="O107" s="103">
        <f t="shared" si="12"/>
        <v>0</v>
      </c>
      <c r="P107" s="103">
        <v>0</v>
      </c>
      <c r="Q107" s="103">
        <v>0</v>
      </c>
      <c r="R107" s="103">
        <f t="shared" si="13"/>
        <v>0</v>
      </c>
      <c r="S107" s="103">
        <v>0</v>
      </c>
      <c r="T107" s="103">
        <v>0</v>
      </c>
      <c r="U107" s="103">
        <f t="shared" si="14"/>
        <v>3</v>
      </c>
      <c r="V107" s="103">
        <v>13</v>
      </c>
      <c r="W107" s="103">
        <v>16</v>
      </c>
      <c r="X107" s="103">
        <f t="shared" si="15"/>
        <v>0</v>
      </c>
      <c r="Y107" s="103">
        <v>0</v>
      </c>
      <c r="Z107" s="103">
        <v>0</v>
      </c>
    </row>
    <row r="108" spans="1:26" ht="42" x14ac:dyDescent="0.35">
      <c r="A108" s="103">
        <v>104</v>
      </c>
      <c r="B108" s="130" t="s">
        <v>845</v>
      </c>
      <c r="C108" s="103">
        <f t="shared" si="8"/>
        <v>186</v>
      </c>
      <c r="D108" s="103">
        <v>121</v>
      </c>
      <c r="E108" s="103">
        <v>307</v>
      </c>
      <c r="F108" s="103">
        <f t="shared" si="9"/>
        <v>14</v>
      </c>
      <c r="G108" s="103">
        <v>7</v>
      </c>
      <c r="H108" s="103">
        <v>21</v>
      </c>
      <c r="I108" s="103">
        <f t="shared" si="10"/>
        <v>8</v>
      </c>
      <c r="J108" s="103">
        <v>6</v>
      </c>
      <c r="K108" s="103">
        <v>14</v>
      </c>
      <c r="L108" s="103">
        <f t="shared" si="11"/>
        <v>49</v>
      </c>
      <c r="M108" s="103">
        <v>30</v>
      </c>
      <c r="N108" s="103">
        <v>79</v>
      </c>
      <c r="O108" s="103">
        <f t="shared" si="12"/>
        <v>0</v>
      </c>
      <c r="P108" s="103">
        <v>0</v>
      </c>
      <c r="Q108" s="103">
        <v>0</v>
      </c>
      <c r="R108" s="103">
        <f t="shared" si="13"/>
        <v>11</v>
      </c>
      <c r="S108" s="103">
        <v>11</v>
      </c>
      <c r="T108" s="103">
        <v>22</v>
      </c>
      <c r="U108" s="103">
        <f t="shared" si="14"/>
        <v>0</v>
      </c>
      <c r="V108" s="103">
        <v>0</v>
      </c>
      <c r="W108" s="103">
        <v>0</v>
      </c>
      <c r="X108" s="103">
        <f t="shared" si="15"/>
        <v>6</v>
      </c>
      <c r="Y108" s="103">
        <v>6</v>
      </c>
      <c r="Z108" s="103">
        <v>12</v>
      </c>
    </row>
    <row r="109" spans="1:26" x14ac:dyDescent="0.35">
      <c r="A109" s="103">
        <v>105</v>
      </c>
      <c r="B109" s="130" t="s">
        <v>846</v>
      </c>
      <c r="C109" s="103">
        <f t="shared" si="8"/>
        <v>304</v>
      </c>
      <c r="D109" s="103">
        <v>66</v>
      </c>
      <c r="E109" s="103">
        <v>370</v>
      </c>
      <c r="F109" s="103">
        <f t="shared" si="9"/>
        <v>70</v>
      </c>
      <c r="G109" s="103">
        <v>17</v>
      </c>
      <c r="H109" s="103">
        <v>87</v>
      </c>
      <c r="I109" s="103">
        <f t="shared" si="10"/>
        <v>4</v>
      </c>
      <c r="J109" s="103">
        <v>0</v>
      </c>
      <c r="K109" s="103">
        <v>4</v>
      </c>
      <c r="L109" s="103">
        <f t="shared" si="11"/>
        <v>23</v>
      </c>
      <c r="M109" s="103">
        <v>5</v>
      </c>
      <c r="N109" s="103">
        <v>28</v>
      </c>
      <c r="O109" s="103">
        <f t="shared" si="12"/>
        <v>4</v>
      </c>
      <c r="P109" s="103">
        <v>0</v>
      </c>
      <c r="Q109" s="103">
        <v>4</v>
      </c>
      <c r="R109" s="103">
        <f t="shared" si="13"/>
        <v>3</v>
      </c>
      <c r="S109" s="103">
        <v>0</v>
      </c>
      <c r="T109" s="103">
        <v>3</v>
      </c>
      <c r="U109" s="103">
        <f t="shared" si="14"/>
        <v>3</v>
      </c>
      <c r="V109" s="103">
        <v>0</v>
      </c>
      <c r="W109" s="103">
        <v>3</v>
      </c>
      <c r="X109" s="103">
        <f t="shared" si="15"/>
        <v>5</v>
      </c>
      <c r="Y109" s="103">
        <v>0</v>
      </c>
      <c r="Z109" s="103">
        <v>5</v>
      </c>
    </row>
    <row r="110" spans="1:26" x14ac:dyDescent="0.35">
      <c r="A110" s="103">
        <v>106</v>
      </c>
      <c r="B110" s="130" t="s">
        <v>193</v>
      </c>
      <c r="C110" s="103">
        <f t="shared" si="8"/>
        <v>51714</v>
      </c>
      <c r="D110" s="103">
        <v>59102</v>
      </c>
      <c r="E110" s="103">
        <v>110816</v>
      </c>
      <c r="F110" s="103">
        <f t="shared" si="9"/>
        <v>6189</v>
      </c>
      <c r="G110" s="103">
        <v>6837</v>
      </c>
      <c r="H110" s="103">
        <v>13026</v>
      </c>
      <c r="I110" s="103">
        <f t="shared" si="10"/>
        <v>5510</v>
      </c>
      <c r="J110" s="103">
        <v>6797</v>
      </c>
      <c r="K110" s="103">
        <v>12307</v>
      </c>
      <c r="L110" s="103">
        <f t="shared" si="11"/>
        <v>13187</v>
      </c>
      <c r="M110" s="103">
        <v>18055</v>
      </c>
      <c r="N110" s="103">
        <v>31242</v>
      </c>
      <c r="O110" s="103">
        <f t="shared" si="12"/>
        <v>167</v>
      </c>
      <c r="P110" s="103">
        <v>143</v>
      </c>
      <c r="Q110" s="103">
        <v>310</v>
      </c>
      <c r="R110" s="103">
        <f t="shared" si="13"/>
        <v>3100</v>
      </c>
      <c r="S110" s="103">
        <v>3735</v>
      </c>
      <c r="T110" s="103">
        <v>6835</v>
      </c>
      <c r="U110" s="103">
        <f t="shared" si="14"/>
        <v>1095</v>
      </c>
      <c r="V110" s="103">
        <v>1452</v>
      </c>
      <c r="W110" s="103">
        <v>2547</v>
      </c>
      <c r="X110" s="103">
        <f t="shared" si="15"/>
        <v>926</v>
      </c>
      <c r="Y110" s="103">
        <v>712</v>
      </c>
      <c r="Z110" s="103">
        <v>1638</v>
      </c>
    </row>
    <row r="111" spans="1:26" x14ac:dyDescent="0.35">
      <c r="A111" s="103">
        <v>107</v>
      </c>
      <c r="B111" s="130" t="s">
        <v>194</v>
      </c>
      <c r="C111" s="103">
        <f t="shared" si="8"/>
        <v>90840</v>
      </c>
      <c r="D111" s="103">
        <v>127369</v>
      </c>
      <c r="E111" s="103">
        <v>218209</v>
      </c>
      <c r="F111" s="103">
        <f t="shared" si="9"/>
        <v>14351</v>
      </c>
      <c r="G111" s="103">
        <v>19990</v>
      </c>
      <c r="H111" s="103">
        <v>34341</v>
      </c>
      <c r="I111" s="103">
        <f t="shared" si="10"/>
        <v>8825</v>
      </c>
      <c r="J111" s="103">
        <v>11201</v>
      </c>
      <c r="K111" s="103">
        <v>20026</v>
      </c>
      <c r="L111" s="103">
        <f t="shared" si="11"/>
        <v>29532</v>
      </c>
      <c r="M111" s="103">
        <v>42329</v>
      </c>
      <c r="N111" s="103">
        <v>71861</v>
      </c>
      <c r="O111" s="103">
        <f t="shared" si="12"/>
        <v>594</v>
      </c>
      <c r="P111" s="103">
        <v>586</v>
      </c>
      <c r="Q111" s="103">
        <v>1180</v>
      </c>
      <c r="R111" s="103">
        <f t="shared" si="13"/>
        <v>5828</v>
      </c>
      <c r="S111" s="103">
        <v>8810</v>
      </c>
      <c r="T111" s="103">
        <v>14638</v>
      </c>
      <c r="U111" s="103">
        <f t="shared" si="14"/>
        <v>1581</v>
      </c>
      <c r="V111" s="103">
        <v>3140</v>
      </c>
      <c r="W111" s="103">
        <v>4721</v>
      </c>
      <c r="X111" s="103">
        <f t="shared" si="15"/>
        <v>1996</v>
      </c>
      <c r="Y111" s="103">
        <v>2781</v>
      </c>
      <c r="Z111" s="103">
        <v>4777</v>
      </c>
    </row>
    <row r="112" spans="1:26" ht="28" x14ac:dyDescent="0.35">
      <c r="A112" s="103">
        <v>108</v>
      </c>
      <c r="B112" s="130" t="s">
        <v>847</v>
      </c>
      <c r="C112" s="103">
        <f t="shared" si="8"/>
        <v>52210</v>
      </c>
      <c r="D112" s="103">
        <v>80315</v>
      </c>
      <c r="E112" s="103">
        <v>132525</v>
      </c>
      <c r="F112" s="103">
        <f t="shared" si="9"/>
        <v>10015</v>
      </c>
      <c r="G112" s="103">
        <v>13503</v>
      </c>
      <c r="H112" s="103">
        <v>23518</v>
      </c>
      <c r="I112" s="103">
        <f t="shared" si="10"/>
        <v>4426</v>
      </c>
      <c r="J112" s="103">
        <v>7960</v>
      </c>
      <c r="K112" s="103">
        <v>12386</v>
      </c>
      <c r="L112" s="103">
        <f t="shared" si="11"/>
        <v>20396</v>
      </c>
      <c r="M112" s="103">
        <v>32256</v>
      </c>
      <c r="N112" s="103">
        <v>52652</v>
      </c>
      <c r="O112" s="103">
        <f t="shared" si="12"/>
        <v>305</v>
      </c>
      <c r="P112" s="103">
        <v>210</v>
      </c>
      <c r="Q112" s="103">
        <v>515</v>
      </c>
      <c r="R112" s="103">
        <f t="shared" si="13"/>
        <v>3353</v>
      </c>
      <c r="S112" s="103">
        <v>5600</v>
      </c>
      <c r="T112" s="103">
        <v>8953</v>
      </c>
      <c r="U112" s="103">
        <f t="shared" si="14"/>
        <v>675</v>
      </c>
      <c r="V112" s="103">
        <v>2012</v>
      </c>
      <c r="W112" s="103">
        <v>2687</v>
      </c>
      <c r="X112" s="103">
        <f t="shared" si="15"/>
        <v>1433</v>
      </c>
      <c r="Y112" s="103">
        <v>1840</v>
      </c>
      <c r="Z112" s="103">
        <v>3273</v>
      </c>
    </row>
    <row r="113" spans="1:26" x14ac:dyDescent="0.35">
      <c r="A113" s="103">
        <v>109</v>
      </c>
      <c r="B113" s="130" t="s">
        <v>848</v>
      </c>
      <c r="C113" s="103">
        <f t="shared" si="8"/>
        <v>24</v>
      </c>
      <c r="D113" s="103">
        <v>15</v>
      </c>
      <c r="E113" s="103">
        <v>39</v>
      </c>
      <c r="F113" s="103">
        <f t="shared" si="9"/>
        <v>0</v>
      </c>
      <c r="G113" s="103">
        <v>0</v>
      </c>
      <c r="H113" s="103">
        <v>0</v>
      </c>
      <c r="I113" s="103">
        <f t="shared" si="10"/>
        <v>0</v>
      </c>
      <c r="J113" s="103">
        <v>0</v>
      </c>
      <c r="K113" s="103">
        <v>0</v>
      </c>
      <c r="L113" s="103">
        <f t="shared" si="11"/>
        <v>2</v>
      </c>
      <c r="M113" s="103">
        <v>1</v>
      </c>
      <c r="N113" s="103">
        <v>3</v>
      </c>
      <c r="O113" s="103">
        <f t="shared" si="12"/>
        <v>0</v>
      </c>
      <c r="P113" s="103">
        <v>0</v>
      </c>
      <c r="Q113" s="103">
        <v>0</v>
      </c>
      <c r="R113" s="103">
        <f t="shared" si="13"/>
        <v>0</v>
      </c>
      <c r="S113" s="103">
        <v>0</v>
      </c>
      <c r="T113" s="103">
        <v>0</v>
      </c>
      <c r="U113" s="103">
        <f t="shared" si="14"/>
        <v>0</v>
      </c>
      <c r="V113" s="103">
        <v>0</v>
      </c>
      <c r="W113" s="103">
        <v>0</v>
      </c>
      <c r="X113" s="103">
        <f t="shared" si="15"/>
        <v>0</v>
      </c>
      <c r="Y113" s="103">
        <v>0</v>
      </c>
      <c r="Z113" s="103">
        <v>0</v>
      </c>
    </row>
    <row r="114" spans="1:26" x14ac:dyDescent="0.35">
      <c r="A114" s="103">
        <v>110</v>
      </c>
      <c r="B114" s="130" t="s">
        <v>195</v>
      </c>
      <c r="C114" s="103">
        <f t="shared" si="8"/>
        <v>976</v>
      </c>
      <c r="D114" s="103">
        <v>552</v>
      </c>
      <c r="E114" s="103">
        <v>1528</v>
      </c>
      <c r="F114" s="103">
        <f t="shared" si="9"/>
        <v>10</v>
      </c>
      <c r="G114" s="103">
        <v>20</v>
      </c>
      <c r="H114" s="103">
        <v>30</v>
      </c>
      <c r="I114" s="103">
        <f t="shared" si="10"/>
        <v>4</v>
      </c>
      <c r="J114" s="103">
        <v>6</v>
      </c>
      <c r="K114" s="103">
        <v>10</v>
      </c>
      <c r="L114" s="103">
        <f t="shared" si="11"/>
        <v>51</v>
      </c>
      <c r="M114" s="103">
        <v>58</v>
      </c>
      <c r="N114" s="103">
        <v>109</v>
      </c>
      <c r="O114" s="103">
        <f t="shared" si="12"/>
        <v>0</v>
      </c>
      <c r="P114" s="103">
        <v>2</v>
      </c>
      <c r="Q114" s="103">
        <v>2</v>
      </c>
      <c r="R114" s="103">
        <f t="shared" si="13"/>
        <v>18</v>
      </c>
      <c r="S114" s="103">
        <v>5</v>
      </c>
      <c r="T114" s="103">
        <v>23</v>
      </c>
      <c r="U114" s="103">
        <f t="shared" si="14"/>
        <v>13</v>
      </c>
      <c r="V114" s="103">
        <v>6</v>
      </c>
      <c r="W114" s="103">
        <v>19</v>
      </c>
      <c r="X114" s="103">
        <f t="shared" si="15"/>
        <v>4</v>
      </c>
      <c r="Y114" s="103">
        <v>3</v>
      </c>
      <c r="Z114" s="103">
        <v>7</v>
      </c>
    </row>
    <row r="115" spans="1:26" ht="28" x14ac:dyDescent="0.35">
      <c r="A115" s="103">
        <v>111</v>
      </c>
      <c r="B115" s="130" t="s">
        <v>849</v>
      </c>
      <c r="C115" s="103">
        <f t="shared" si="8"/>
        <v>6269</v>
      </c>
      <c r="D115" s="103">
        <v>5478</v>
      </c>
      <c r="E115" s="103">
        <v>11747</v>
      </c>
      <c r="F115" s="103">
        <f t="shared" si="9"/>
        <v>1030</v>
      </c>
      <c r="G115" s="103">
        <v>977</v>
      </c>
      <c r="H115" s="103">
        <v>2007</v>
      </c>
      <c r="I115" s="103">
        <f t="shared" si="10"/>
        <v>626</v>
      </c>
      <c r="J115" s="103">
        <v>698</v>
      </c>
      <c r="K115" s="103">
        <v>1324</v>
      </c>
      <c r="L115" s="103">
        <f t="shared" si="11"/>
        <v>2394</v>
      </c>
      <c r="M115" s="103">
        <v>2216</v>
      </c>
      <c r="N115" s="103">
        <v>4610</v>
      </c>
      <c r="O115" s="103">
        <f t="shared" si="12"/>
        <v>82</v>
      </c>
      <c r="P115" s="103">
        <v>57</v>
      </c>
      <c r="Q115" s="103">
        <v>139</v>
      </c>
      <c r="R115" s="103">
        <f t="shared" si="13"/>
        <v>371</v>
      </c>
      <c r="S115" s="103">
        <v>288</v>
      </c>
      <c r="T115" s="103">
        <v>659</v>
      </c>
      <c r="U115" s="103">
        <f t="shared" si="14"/>
        <v>151</v>
      </c>
      <c r="V115" s="103">
        <v>161</v>
      </c>
      <c r="W115" s="103">
        <v>312</v>
      </c>
      <c r="X115" s="103">
        <f t="shared" si="15"/>
        <v>140</v>
      </c>
      <c r="Y115" s="103">
        <v>140</v>
      </c>
      <c r="Z115" s="103">
        <v>280</v>
      </c>
    </row>
    <row r="116" spans="1:26" x14ac:dyDescent="0.35">
      <c r="A116" s="103">
        <v>112</v>
      </c>
      <c r="B116" s="130" t="s">
        <v>850</v>
      </c>
      <c r="C116" s="103">
        <f t="shared" si="8"/>
        <v>10</v>
      </c>
      <c r="D116" s="103">
        <v>18</v>
      </c>
      <c r="E116" s="103">
        <v>28</v>
      </c>
      <c r="F116" s="103">
        <f t="shared" si="9"/>
        <v>2</v>
      </c>
      <c r="G116" s="103">
        <v>5</v>
      </c>
      <c r="H116" s="103">
        <v>7</v>
      </c>
      <c r="I116" s="103">
        <f t="shared" si="10"/>
        <v>1</v>
      </c>
      <c r="J116" s="103">
        <v>1</v>
      </c>
      <c r="K116" s="103">
        <v>2</v>
      </c>
      <c r="L116" s="103">
        <f t="shared" si="11"/>
        <v>5</v>
      </c>
      <c r="M116" s="103">
        <v>4</v>
      </c>
      <c r="N116" s="103">
        <v>9</v>
      </c>
      <c r="O116" s="103">
        <f t="shared" si="12"/>
        <v>0</v>
      </c>
      <c r="P116" s="103">
        <v>0</v>
      </c>
      <c r="Q116" s="103">
        <v>0</v>
      </c>
      <c r="R116" s="103">
        <f t="shared" si="13"/>
        <v>0</v>
      </c>
      <c r="S116" s="103">
        <v>0</v>
      </c>
      <c r="T116" s="103">
        <v>0</v>
      </c>
      <c r="U116" s="103">
        <f t="shared" si="14"/>
        <v>0</v>
      </c>
      <c r="V116" s="103">
        <v>0</v>
      </c>
      <c r="W116" s="103">
        <v>0</v>
      </c>
      <c r="X116" s="103">
        <f t="shared" si="15"/>
        <v>0</v>
      </c>
      <c r="Y116" s="103">
        <v>0</v>
      </c>
      <c r="Z116" s="103">
        <v>0</v>
      </c>
    </row>
    <row r="117" spans="1:26" x14ac:dyDescent="0.35">
      <c r="A117" s="103">
        <v>113</v>
      </c>
      <c r="B117" s="130" t="s">
        <v>936</v>
      </c>
      <c r="C117" s="103">
        <f t="shared" si="8"/>
        <v>3</v>
      </c>
      <c r="D117" s="103">
        <v>2</v>
      </c>
      <c r="E117" s="103">
        <v>5</v>
      </c>
      <c r="F117" s="103">
        <f t="shared" si="9"/>
        <v>0</v>
      </c>
      <c r="G117" s="103">
        <v>0</v>
      </c>
      <c r="H117" s="103">
        <v>0</v>
      </c>
      <c r="I117" s="103">
        <f t="shared" si="10"/>
        <v>0</v>
      </c>
      <c r="J117" s="103">
        <v>0</v>
      </c>
      <c r="K117" s="103">
        <v>0</v>
      </c>
      <c r="L117" s="103">
        <f t="shared" si="11"/>
        <v>0</v>
      </c>
      <c r="M117" s="103">
        <v>0</v>
      </c>
      <c r="N117" s="103">
        <v>0</v>
      </c>
      <c r="O117" s="103">
        <f t="shared" si="12"/>
        <v>0</v>
      </c>
      <c r="P117" s="103">
        <v>0</v>
      </c>
      <c r="Q117" s="103">
        <v>0</v>
      </c>
      <c r="R117" s="103">
        <f t="shared" si="13"/>
        <v>0</v>
      </c>
      <c r="S117" s="103">
        <v>0</v>
      </c>
      <c r="T117" s="103">
        <v>0</v>
      </c>
      <c r="U117" s="103">
        <f t="shared" si="14"/>
        <v>0</v>
      </c>
      <c r="V117" s="103">
        <v>0</v>
      </c>
      <c r="W117" s="103">
        <v>0</v>
      </c>
      <c r="X117" s="103">
        <f t="shared" si="15"/>
        <v>0</v>
      </c>
      <c r="Y117" s="103">
        <v>0</v>
      </c>
      <c r="Z117" s="103">
        <v>0</v>
      </c>
    </row>
    <row r="118" spans="1:26" ht="28" x14ac:dyDescent="0.35">
      <c r="A118" s="103">
        <v>114</v>
      </c>
      <c r="B118" s="130" t="s">
        <v>196</v>
      </c>
      <c r="C118" s="103">
        <f t="shared" si="8"/>
        <v>1124</v>
      </c>
      <c r="D118" s="103">
        <v>865</v>
      </c>
      <c r="E118" s="103">
        <v>1989</v>
      </c>
      <c r="F118" s="103">
        <f t="shared" si="9"/>
        <v>185</v>
      </c>
      <c r="G118" s="103">
        <v>169</v>
      </c>
      <c r="H118" s="103">
        <v>354</v>
      </c>
      <c r="I118" s="103">
        <f t="shared" si="10"/>
        <v>108</v>
      </c>
      <c r="J118" s="103">
        <v>83</v>
      </c>
      <c r="K118" s="103">
        <v>191</v>
      </c>
      <c r="L118" s="103">
        <f t="shared" si="11"/>
        <v>513</v>
      </c>
      <c r="M118" s="103">
        <v>387</v>
      </c>
      <c r="N118" s="103">
        <v>900</v>
      </c>
      <c r="O118" s="103">
        <f t="shared" si="12"/>
        <v>8</v>
      </c>
      <c r="P118" s="103">
        <v>4</v>
      </c>
      <c r="Q118" s="103">
        <v>12</v>
      </c>
      <c r="R118" s="103">
        <f t="shared" si="13"/>
        <v>115</v>
      </c>
      <c r="S118" s="103">
        <v>100</v>
      </c>
      <c r="T118" s="103">
        <v>215</v>
      </c>
      <c r="U118" s="103">
        <f t="shared" si="14"/>
        <v>77</v>
      </c>
      <c r="V118" s="103">
        <v>48</v>
      </c>
      <c r="W118" s="103">
        <v>125</v>
      </c>
      <c r="X118" s="103">
        <f t="shared" si="15"/>
        <v>30</v>
      </c>
      <c r="Y118" s="103">
        <v>21</v>
      </c>
      <c r="Z118" s="103">
        <v>51</v>
      </c>
    </row>
    <row r="119" spans="1:26" x14ac:dyDescent="0.35">
      <c r="A119" s="103">
        <v>115</v>
      </c>
      <c r="B119" s="130" t="s">
        <v>197</v>
      </c>
      <c r="C119" s="103">
        <f t="shared" si="8"/>
        <v>152537</v>
      </c>
      <c r="D119" s="103">
        <v>66536</v>
      </c>
      <c r="E119" s="103">
        <v>219073</v>
      </c>
      <c r="F119" s="103">
        <f t="shared" si="9"/>
        <v>16517</v>
      </c>
      <c r="G119" s="103">
        <v>7456</v>
      </c>
      <c r="H119" s="103">
        <v>23973</v>
      </c>
      <c r="I119" s="103">
        <f t="shared" si="10"/>
        <v>4173</v>
      </c>
      <c r="J119" s="103">
        <v>2413</v>
      </c>
      <c r="K119" s="103">
        <v>6586</v>
      </c>
      <c r="L119" s="103">
        <f t="shared" si="11"/>
        <v>62277</v>
      </c>
      <c r="M119" s="103">
        <v>27609</v>
      </c>
      <c r="N119" s="103">
        <v>89886</v>
      </c>
      <c r="O119" s="103">
        <f t="shared" si="12"/>
        <v>196</v>
      </c>
      <c r="P119" s="103">
        <v>86</v>
      </c>
      <c r="Q119" s="103">
        <v>282</v>
      </c>
      <c r="R119" s="103">
        <f t="shared" si="13"/>
        <v>13276</v>
      </c>
      <c r="S119" s="103">
        <v>4534</v>
      </c>
      <c r="T119" s="103">
        <v>17810</v>
      </c>
      <c r="U119" s="103">
        <f t="shared" si="14"/>
        <v>2307</v>
      </c>
      <c r="V119" s="103">
        <v>1602</v>
      </c>
      <c r="W119" s="103">
        <v>3909</v>
      </c>
      <c r="X119" s="103">
        <f t="shared" si="15"/>
        <v>4760</v>
      </c>
      <c r="Y119" s="103">
        <v>2235</v>
      </c>
      <c r="Z119" s="103">
        <v>6995</v>
      </c>
    </row>
    <row r="120" spans="1:26" x14ac:dyDescent="0.35">
      <c r="A120" s="103">
        <v>116</v>
      </c>
      <c r="B120" s="130" t="s">
        <v>198</v>
      </c>
      <c r="C120" s="103">
        <f t="shared" si="8"/>
        <v>802</v>
      </c>
      <c r="D120" s="103">
        <v>724</v>
      </c>
      <c r="E120" s="103">
        <v>1526</v>
      </c>
      <c r="F120" s="103">
        <f t="shared" si="9"/>
        <v>112</v>
      </c>
      <c r="G120" s="103">
        <v>68</v>
      </c>
      <c r="H120" s="103">
        <v>180</v>
      </c>
      <c r="I120" s="103">
        <f t="shared" si="10"/>
        <v>17</v>
      </c>
      <c r="J120" s="103">
        <v>11</v>
      </c>
      <c r="K120" s="103">
        <v>28</v>
      </c>
      <c r="L120" s="103">
        <f t="shared" si="11"/>
        <v>259</v>
      </c>
      <c r="M120" s="103">
        <v>148</v>
      </c>
      <c r="N120" s="103">
        <v>407</v>
      </c>
      <c r="O120" s="103">
        <f t="shared" si="12"/>
        <v>13</v>
      </c>
      <c r="P120" s="103">
        <v>4</v>
      </c>
      <c r="Q120" s="103">
        <v>17</v>
      </c>
      <c r="R120" s="103">
        <f t="shared" si="13"/>
        <v>14</v>
      </c>
      <c r="S120" s="103">
        <v>26</v>
      </c>
      <c r="T120" s="103">
        <v>40</v>
      </c>
      <c r="U120" s="103">
        <f t="shared" si="14"/>
        <v>2</v>
      </c>
      <c r="V120" s="103">
        <v>2</v>
      </c>
      <c r="W120" s="103">
        <v>4</v>
      </c>
      <c r="X120" s="103">
        <f t="shared" si="15"/>
        <v>43</v>
      </c>
      <c r="Y120" s="103">
        <v>28</v>
      </c>
      <c r="Z120" s="103">
        <v>71</v>
      </c>
    </row>
    <row r="121" spans="1:26" x14ac:dyDescent="0.35">
      <c r="A121" s="103">
        <v>117</v>
      </c>
      <c r="B121" s="130" t="s">
        <v>199</v>
      </c>
      <c r="C121" s="103">
        <f t="shared" si="8"/>
        <v>439</v>
      </c>
      <c r="D121" s="103">
        <v>426</v>
      </c>
      <c r="E121" s="103">
        <v>865</v>
      </c>
      <c r="F121" s="103">
        <f t="shared" si="9"/>
        <v>17</v>
      </c>
      <c r="G121" s="103">
        <v>10</v>
      </c>
      <c r="H121" s="103">
        <v>27</v>
      </c>
      <c r="I121" s="103">
        <f t="shared" si="10"/>
        <v>2</v>
      </c>
      <c r="J121" s="103">
        <v>0</v>
      </c>
      <c r="K121" s="103">
        <v>2</v>
      </c>
      <c r="L121" s="103">
        <f t="shared" si="11"/>
        <v>40</v>
      </c>
      <c r="M121" s="103">
        <v>32</v>
      </c>
      <c r="N121" s="103">
        <v>72</v>
      </c>
      <c r="O121" s="103">
        <f t="shared" si="12"/>
        <v>1</v>
      </c>
      <c r="P121" s="103">
        <v>0</v>
      </c>
      <c r="Q121" s="103">
        <v>1</v>
      </c>
      <c r="R121" s="103">
        <f t="shared" si="13"/>
        <v>27</v>
      </c>
      <c r="S121" s="103">
        <v>30</v>
      </c>
      <c r="T121" s="103">
        <v>57</v>
      </c>
      <c r="U121" s="103">
        <f t="shared" si="14"/>
        <v>0</v>
      </c>
      <c r="V121" s="103">
        <v>5</v>
      </c>
      <c r="W121" s="103">
        <v>5</v>
      </c>
      <c r="X121" s="103">
        <f t="shared" si="15"/>
        <v>1</v>
      </c>
      <c r="Y121" s="103">
        <v>5</v>
      </c>
      <c r="Z121" s="103">
        <v>6</v>
      </c>
    </row>
    <row r="122" spans="1:26" x14ac:dyDescent="0.35">
      <c r="A122" s="103">
        <v>118</v>
      </c>
      <c r="B122" s="130" t="s">
        <v>851</v>
      </c>
      <c r="C122" s="103">
        <f t="shared" si="8"/>
        <v>1094</v>
      </c>
      <c r="D122" s="103">
        <v>914</v>
      </c>
      <c r="E122" s="103">
        <v>2008</v>
      </c>
      <c r="F122" s="103">
        <f t="shared" si="9"/>
        <v>273</v>
      </c>
      <c r="G122" s="103">
        <v>225</v>
      </c>
      <c r="H122" s="103">
        <v>498</v>
      </c>
      <c r="I122" s="103">
        <f t="shared" si="10"/>
        <v>151</v>
      </c>
      <c r="J122" s="103">
        <v>137</v>
      </c>
      <c r="K122" s="103">
        <v>288</v>
      </c>
      <c r="L122" s="103">
        <f t="shared" si="11"/>
        <v>206</v>
      </c>
      <c r="M122" s="103">
        <v>253</v>
      </c>
      <c r="N122" s="103">
        <v>459</v>
      </c>
      <c r="O122" s="103">
        <f t="shared" si="12"/>
        <v>0</v>
      </c>
      <c r="P122" s="103">
        <v>3</v>
      </c>
      <c r="Q122" s="103">
        <v>3</v>
      </c>
      <c r="R122" s="103">
        <f t="shared" si="13"/>
        <v>66</v>
      </c>
      <c r="S122" s="103">
        <v>32</v>
      </c>
      <c r="T122" s="103">
        <v>98</v>
      </c>
      <c r="U122" s="103">
        <f t="shared" si="14"/>
        <v>6</v>
      </c>
      <c r="V122" s="103">
        <v>72</v>
      </c>
      <c r="W122" s="103">
        <v>78</v>
      </c>
      <c r="X122" s="103">
        <f t="shared" si="15"/>
        <v>34</v>
      </c>
      <c r="Y122" s="103">
        <v>28</v>
      </c>
      <c r="Z122" s="103">
        <v>62</v>
      </c>
    </row>
    <row r="123" spans="1:26" x14ac:dyDescent="0.35">
      <c r="A123" s="103">
        <v>119</v>
      </c>
      <c r="B123" s="130" t="s">
        <v>852</v>
      </c>
      <c r="C123" s="103">
        <f t="shared" si="8"/>
        <v>1529</v>
      </c>
      <c r="D123" s="103">
        <v>953</v>
      </c>
      <c r="E123" s="103">
        <v>2482</v>
      </c>
      <c r="F123" s="103">
        <f t="shared" si="9"/>
        <v>240</v>
      </c>
      <c r="G123" s="103">
        <v>154</v>
      </c>
      <c r="H123" s="103">
        <v>394</v>
      </c>
      <c r="I123" s="103">
        <f t="shared" si="10"/>
        <v>138</v>
      </c>
      <c r="J123" s="103">
        <v>95</v>
      </c>
      <c r="K123" s="103">
        <v>233</v>
      </c>
      <c r="L123" s="103">
        <f t="shared" si="11"/>
        <v>549</v>
      </c>
      <c r="M123" s="103">
        <v>425</v>
      </c>
      <c r="N123" s="103">
        <v>974</v>
      </c>
      <c r="O123" s="103">
        <f t="shared" si="12"/>
        <v>16</v>
      </c>
      <c r="P123" s="103">
        <v>8</v>
      </c>
      <c r="Q123" s="103">
        <v>24</v>
      </c>
      <c r="R123" s="103">
        <f t="shared" si="13"/>
        <v>95</v>
      </c>
      <c r="S123" s="103">
        <v>129</v>
      </c>
      <c r="T123" s="103">
        <v>224</v>
      </c>
      <c r="U123" s="103">
        <f t="shared" si="14"/>
        <v>48</v>
      </c>
      <c r="V123" s="103">
        <v>16</v>
      </c>
      <c r="W123" s="103">
        <v>64</v>
      </c>
      <c r="X123" s="103">
        <f t="shared" si="15"/>
        <v>33</v>
      </c>
      <c r="Y123" s="103">
        <v>27</v>
      </c>
      <c r="Z123" s="103">
        <v>60</v>
      </c>
    </row>
    <row r="124" spans="1:26" x14ac:dyDescent="0.35">
      <c r="A124" s="103">
        <v>120</v>
      </c>
      <c r="B124" s="130" t="s">
        <v>937</v>
      </c>
      <c r="C124" s="103">
        <f t="shared" si="8"/>
        <v>2</v>
      </c>
      <c r="D124" s="103">
        <v>0</v>
      </c>
      <c r="E124" s="103">
        <v>2</v>
      </c>
      <c r="F124" s="103">
        <f t="shared" si="9"/>
        <v>1</v>
      </c>
      <c r="G124" s="103">
        <v>0</v>
      </c>
      <c r="H124" s="103">
        <v>1</v>
      </c>
      <c r="I124" s="103">
        <f t="shared" si="10"/>
        <v>0</v>
      </c>
      <c r="J124" s="103">
        <v>0</v>
      </c>
      <c r="K124" s="103">
        <v>0</v>
      </c>
      <c r="L124" s="103">
        <f t="shared" si="11"/>
        <v>0</v>
      </c>
      <c r="M124" s="103">
        <v>0</v>
      </c>
      <c r="N124" s="103">
        <v>0</v>
      </c>
      <c r="O124" s="103">
        <f t="shared" si="12"/>
        <v>0</v>
      </c>
      <c r="P124" s="103">
        <v>0</v>
      </c>
      <c r="Q124" s="103">
        <v>0</v>
      </c>
      <c r="R124" s="103">
        <f t="shared" si="13"/>
        <v>0</v>
      </c>
      <c r="S124" s="103">
        <v>0</v>
      </c>
      <c r="T124" s="103">
        <v>0</v>
      </c>
      <c r="U124" s="103">
        <f t="shared" si="14"/>
        <v>0</v>
      </c>
      <c r="V124" s="103">
        <v>0</v>
      </c>
      <c r="W124" s="103">
        <v>0</v>
      </c>
      <c r="X124" s="103">
        <f t="shared" si="15"/>
        <v>0</v>
      </c>
      <c r="Y124" s="103">
        <v>0</v>
      </c>
      <c r="Z124" s="103">
        <v>0</v>
      </c>
    </row>
    <row r="125" spans="1:26" x14ac:dyDescent="0.35">
      <c r="A125" s="103">
        <v>121</v>
      </c>
      <c r="B125" s="130" t="s">
        <v>200</v>
      </c>
      <c r="C125" s="103">
        <f t="shared" si="8"/>
        <v>1455606</v>
      </c>
      <c r="D125" s="103">
        <v>425891</v>
      </c>
      <c r="E125" s="103">
        <v>1881497</v>
      </c>
      <c r="F125" s="103">
        <f t="shared" si="9"/>
        <v>264806</v>
      </c>
      <c r="G125" s="103">
        <v>80102</v>
      </c>
      <c r="H125" s="103">
        <v>344908</v>
      </c>
      <c r="I125" s="103">
        <f t="shared" si="10"/>
        <v>89308</v>
      </c>
      <c r="J125" s="103">
        <v>38743</v>
      </c>
      <c r="K125" s="103">
        <v>128051</v>
      </c>
      <c r="L125" s="103">
        <f t="shared" si="11"/>
        <v>568130</v>
      </c>
      <c r="M125" s="103">
        <v>156648</v>
      </c>
      <c r="N125" s="103">
        <v>724778</v>
      </c>
      <c r="O125" s="103">
        <f t="shared" si="12"/>
        <v>2852</v>
      </c>
      <c r="P125" s="103">
        <v>1338</v>
      </c>
      <c r="Q125" s="103">
        <v>4190</v>
      </c>
      <c r="R125" s="103">
        <f t="shared" si="13"/>
        <v>69850</v>
      </c>
      <c r="S125" s="103">
        <v>17386</v>
      </c>
      <c r="T125" s="103">
        <v>87236</v>
      </c>
      <c r="U125" s="103">
        <f t="shared" si="14"/>
        <v>26855</v>
      </c>
      <c r="V125" s="103">
        <v>10840</v>
      </c>
      <c r="W125" s="103">
        <v>37695</v>
      </c>
      <c r="X125" s="103">
        <f t="shared" si="15"/>
        <v>30965</v>
      </c>
      <c r="Y125" s="103">
        <v>10373</v>
      </c>
      <c r="Z125" s="103">
        <v>41338</v>
      </c>
    </row>
    <row r="126" spans="1:26" x14ac:dyDescent="0.35">
      <c r="A126" s="103">
        <v>122</v>
      </c>
      <c r="B126" s="130" t="s">
        <v>853</v>
      </c>
      <c r="C126" s="103">
        <f t="shared" si="8"/>
        <v>1122</v>
      </c>
      <c r="D126" s="103">
        <v>490</v>
      </c>
      <c r="E126" s="103">
        <v>1612</v>
      </c>
      <c r="F126" s="103">
        <f t="shared" si="9"/>
        <v>22</v>
      </c>
      <c r="G126" s="103">
        <v>8</v>
      </c>
      <c r="H126" s="103">
        <v>30</v>
      </c>
      <c r="I126" s="103">
        <f t="shared" si="10"/>
        <v>1</v>
      </c>
      <c r="J126" s="103">
        <v>2</v>
      </c>
      <c r="K126" s="103">
        <v>3</v>
      </c>
      <c r="L126" s="103">
        <f t="shared" si="11"/>
        <v>71</v>
      </c>
      <c r="M126" s="103">
        <v>49</v>
      </c>
      <c r="N126" s="103">
        <v>120</v>
      </c>
      <c r="O126" s="103">
        <f t="shared" si="12"/>
        <v>1</v>
      </c>
      <c r="P126" s="103">
        <v>0</v>
      </c>
      <c r="Q126" s="103">
        <v>1</v>
      </c>
      <c r="R126" s="103">
        <f t="shared" si="13"/>
        <v>4</v>
      </c>
      <c r="S126" s="103">
        <v>0</v>
      </c>
      <c r="T126" s="103">
        <v>4</v>
      </c>
      <c r="U126" s="103">
        <f t="shared" si="14"/>
        <v>6</v>
      </c>
      <c r="V126" s="103">
        <v>3</v>
      </c>
      <c r="W126" s="103">
        <v>9</v>
      </c>
      <c r="X126" s="103">
        <f t="shared" si="15"/>
        <v>9</v>
      </c>
      <c r="Y126" s="103">
        <v>1</v>
      </c>
      <c r="Z126" s="103">
        <v>10</v>
      </c>
    </row>
    <row r="127" spans="1:26" x14ac:dyDescent="0.35">
      <c r="A127" s="103">
        <v>123</v>
      </c>
      <c r="B127" s="130" t="s">
        <v>854</v>
      </c>
      <c r="C127" s="103">
        <f t="shared" si="8"/>
        <v>7</v>
      </c>
      <c r="D127" s="103">
        <v>10</v>
      </c>
      <c r="E127" s="103">
        <v>17</v>
      </c>
      <c r="F127" s="103">
        <f t="shared" si="9"/>
        <v>1</v>
      </c>
      <c r="G127" s="103">
        <v>1</v>
      </c>
      <c r="H127" s="103">
        <v>2</v>
      </c>
      <c r="I127" s="103">
        <f t="shared" si="10"/>
        <v>0</v>
      </c>
      <c r="J127" s="103">
        <v>0</v>
      </c>
      <c r="K127" s="103">
        <v>0</v>
      </c>
      <c r="L127" s="103">
        <f t="shared" si="11"/>
        <v>2</v>
      </c>
      <c r="M127" s="103">
        <v>2</v>
      </c>
      <c r="N127" s="103">
        <v>4</v>
      </c>
      <c r="O127" s="103">
        <f t="shared" si="12"/>
        <v>0</v>
      </c>
      <c r="P127" s="103">
        <v>0</v>
      </c>
      <c r="Q127" s="103">
        <v>0</v>
      </c>
      <c r="R127" s="103">
        <f t="shared" si="13"/>
        <v>0</v>
      </c>
      <c r="S127" s="103">
        <v>2</v>
      </c>
      <c r="T127" s="103">
        <v>2</v>
      </c>
      <c r="U127" s="103">
        <f t="shared" si="14"/>
        <v>1</v>
      </c>
      <c r="V127" s="103">
        <v>0</v>
      </c>
      <c r="W127" s="103">
        <v>1</v>
      </c>
      <c r="X127" s="103">
        <f t="shared" si="15"/>
        <v>0</v>
      </c>
      <c r="Y127" s="103">
        <v>0</v>
      </c>
      <c r="Z127" s="103">
        <v>0</v>
      </c>
    </row>
    <row r="128" spans="1:26" x14ac:dyDescent="0.35">
      <c r="A128" s="103">
        <v>124</v>
      </c>
      <c r="B128" s="130" t="s">
        <v>855</v>
      </c>
      <c r="C128" s="103">
        <f t="shared" si="8"/>
        <v>25</v>
      </c>
      <c r="D128" s="103">
        <v>175</v>
      </c>
      <c r="E128" s="103">
        <v>200</v>
      </c>
      <c r="F128" s="103">
        <f t="shared" si="9"/>
        <v>1</v>
      </c>
      <c r="G128" s="103">
        <v>13</v>
      </c>
      <c r="H128" s="103">
        <v>14</v>
      </c>
      <c r="I128" s="103">
        <f t="shared" si="10"/>
        <v>0</v>
      </c>
      <c r="J128" s="103">
        <v>1</v>
      </c>
      <c r="K128" s="103">
        <v>1</v>
      </c>
      <c r="L128" s="103">
        <f t="shared" si="11"/>
        <v>1</v>
      </c>
      <c r="M128" s="103">
        <v>19</v>
      </c>
      <c r="N128" s="103">
        <v>20</v>
      </c>
      <c r="O128" s="103">
        <f t="shared" si="12"/>
        <v>0</v>
      </c>
      <c r="P128" s="103">
        <v>0</v>
      </c>
      <c r="Q128" s="103">
        <v>0</v>
      </c>
      <c r="R128" s="103">
        <f t="shared" si="13"/>
        <v>0</v>
      </c>
      <c r="S128" s="103">
        <v>1</v>
      </c>
      <c r="T128" s="103">
        <v>1</v>
      </c>
      <c r="U128" s="103">
        <f t="shared" si="14"/>
        <v>1</v>
      </c>
      <c r="V128" s="103">
        <v>9</v>
      </c>
      <c r="W128" s="103">
        <v>10</v>
      </c>
      <c r="X128" s="103">
        <f t="shared" si="15"/>
        <v>0</v>
      </c>
      <c r="Y128" s="103">
        <v>4</v>
      </c>
      <c r="Z128" s="103">
        <v>4</v>
      </c>
    </row>
    <row r="129" spans="1:26" x14ac:dyDescent="0.35">
      <c r="A129" s="103">
        <v>125</v>
      </c>
      <c r="B129" s="130" t="s">
        <v>201</v>
      </c>
      <c r="C129" s="103">
        <f t="shared" si="8"/>
        <v>1</v>
      </c>
      <c r="D129" s="103">
        <v>13</v>
      </c>
      <c r="E129" s="103">
        <v>14</v>
      </c>
      <c r="F129" s="103">
        <f t="shared" si="9"/>
        <v>0</v>
      </c>
      <c r="G129" s="103">
        <v>2</v>
      </c>
      <c r="H129" s="103">
        <v>2</v>
      </c>
      <c r="I129" s="103">
        <f t="shared" si="10"/>
        <v>0</v>
      </c>
      <c r="J129" s="103">
        <v>0</v>
      </c>
      <c r="K129" s="103">
        <v>0</v>
      </c>
      <c r="L129" s="103">
        <f t="shared" si="11"/>
        <v>0</v>
      </c>
      <c r="M129" s="103">
        <v>2</v>
      </c>
      <c r="N129" s="103">
        <v>2</v>
      </c>
      <c r="O129" s="103">
        <f t="shared" si="12"/>
        <v>0</v>
      </c>
      <c r="P129" s="103">
        <v>0</v>
      </c>
      <c r="Q129" s="103">
        <v>0</v>
      </c>
      <c r="R129" s="103">
        <f t="shared" si="13"/>
        <v>0</v>
      </c>
      <c r="S129" s="103">
        <v>0</v>
      </c>
      <c r="T129" s="103">
        <v>0</v>
      </c>
      <c r="U129" s="103">
        <f t="shared" si="14"/>
        <v>0</v>
      </c>
      <c r="V129" s="103">
        <v>0</v>
      </c>
      <c r="W129" s="103">
        <v>0</v>
      </c>
      <c r="X129" s="103">
        <f t="shared" si="15"/>
        <v>0</v>
      </c>
      <c r="Y129" s="103">
        <v>0</v>
      </c>
      <c r="Z129" s="103">
        <v>0</v>
      </c>
    </row>
    <row r="130" spans="1:26" x14ac:dyDescent="0.35">
      <c r="A130" s="103">
        <v>126</v>
      </c>
      <c r="B130" s="130" t="s">
        <v>202</v>
      </c>
      <c r="C130" s="103">
        <f t="shared" si="8"/>
        <v>89282</v>
      </c>
      <c r="D130" s="103">
        <v>321103</v>
      </c>
      <c r="E130" s="103">
        <v>410385</v>
      </c>
      <c r="F130" s="103">
        <f t="shared" si="9"/>
        <v>17892</v>
      </c>
      <c r="G130" s="103">
        <v>78496</v>
      </c>
      <c r="H130" s="103">
        <v>96388</v>
      </c>
      <c r="I130" s="103">
        <f t="shared" si="10"/>
        <v>9039</v>
      </c>
      <c r="J130" s="103">
        <v>45567</v>
      </c>
      <c r="K130" s="103">
        <v>54606</v>
      </c>
      <c r="L130" s="103">
        <f t="shared" si="11"/>
        <v>23763</v>
      </c>
      <c r="M130" s="103">
        <v>88307</v>
      </c>
      <c r="N130" s="103">
        <v>112070</v>
      </c>
      <c r="O130" s="103">
        <f t="shared" si="12"/>
        <v>269</v>
      </c>
      <c r="P130" s="103">
        <v>589</v>
      </c>
      <c r="Q130" s="103">
        <v>858</v>
      </c>
      <c r="R130" s="103">
        <f t="shared" si="13"/>
        <v>3510</v>
      </c>
      <c r="S130" s="103">
        <v>7902</v>
      </c>
      <c r="T130" s="103">
        <v>11412</v>
      </c>
      <c r="U130" s="103">
        <f t="shared" si="14"/>
        <v>2537</v>
      </c>
      <c r="V130" s="103">
        <v>12360</v>
      </c>
      <c r="W130" s="103">
        <v>14897</v>
      </c>
      <c r="X130" s="103">
        <f t="shared" si="15"/>
        <v>1518</v>
      </c>
      <c r="Y130" s="103">
        <v>4195</v>
      </c>
      <c r="Z130" s="103">
        <v>5713</v>
      </c>
    </row>
    <row r="131" spans="1:26" x14ac:dyDescent="0.35">
      <c r="A131" s="103">
        <v>127</v>
      </c>
      <c r="B131" s="130" t="s">
        <v>856</v>
      </c>
      <c r="C131" s="103">
        <f t="shared" si="8"/>
        <v>7</v>
      </c>
      <c r="D131" s="103">
        <v>8</v>
      </c>
      <c r="E131" s="103">
        <v>15</v>
      </c>
      <c r="F131" s="103">
        <f t="shared" si="9"/>
        <v>0</v>
      </c>
      <c r="G131" s="103">
        <v>0</v>
      </c>
      <c r="H131" s="103">
        <v>0</v>
      </c>
      <c r="I131" s="103">
        <f t="shared" si="10"/>
        <v>0</v>
      </c>
      <c r="J131" s="103">
        <v>0</v>
      </c>
      <c r="K131" s="103">
        <v>0</v>
      </c>
      <c r="L131" s="103">
        <f t="shared" si="11"/>
        <v>4</v>
      </c>
      <c r="M131" s="103">
        <v>7</v>
      </c>
      <c r="N131" s="103">
        <v>11</v>
      </c>
      <c r="O131" s="103">
        <f t="shared" si="12"/>
        <v>0</v>
      </c>
      <c r="P131" s="103">
        <v>0</v>
      </c>
      <c r="Q131" s="103">
        <v>0</v>
      </c>
      <c r="R131" s="103">
        <f t="shared" si="13"/>
        <v>0</v>
      </c>
      <c r="S131" s="103">
        <v>0</v>
      </c>
      <c r="T131" s="103">
        <v>0</v>
      </c>
      <c r="U131" s="103">
        <f t="shared" si="14"/>
        <v>0</v>
      </c>
      <c r="V131" s="103">
        <v>0</v>
      </c>
      <c r="W131" s="103">
        <v>0</v>
      </c>
      <c r="X131" s="103">
        <f t="shared" si="15"/>
        <v>0</v>
      </c>
      <c r="Y131" s="103">
        <v>0</v>
      </c>
      <c r="Z131" s="103">
        <v>0</v>
      </c>
    </row>
    <row r="132" spans="1:26" ht="28" x14ac:dyDescent="0.35">
      <c r="A132" s="103">
        <v>128</v>
      </c>
      <c r="B132" s="130" t="s">
        <v>938</v>
      </c>
      <c r="C132" s="103">
        <f t="shared" si="8"/>
        <v>12</v>
      </c>
      <c r="D132" s="103">
        <v>9</v>
      </c>
      <c r="E132" s="103">
        <v>21</v>
      </c>
      <c r="F132" s="103">
        <f t="shared" si="9"/>
        <v>0</v>
      </c>
      <c r="G132" s="103">
        <v>0</v>
      </c>
      <c r="H132" s="103">
        <v>0</v>
      </c>
      <c r="I132" s="103">
        <f t="shared" si="10"/>
        <v>0</v>
      </c>
      <c r="J132" s="103">
        <v>0</v>
      </c>
      <c r="K132" s="103">
        <v>0</v>
      </c>
      <c r="L132" s="103">
        <f t="shared" si="11"/>
        <v>0</v>
      </c>
      <c r="M132" s="103">
        <v>0</v>
      </c>
      <c r="N132" s="103">
        <v>0</v>
      </c>
      <c r="O132" s="103">
        <f t="shared" si="12"/>
        <v>0</v>
      </c>
      <c r="P132" s="103">
        <v>0</v>
      </c>
      <c r="Q132" s="103">
        <v>0</v>
      </c>
      <c r="R132" s="103">
        <f t="shared" si="13"/>
        <v>0</v>
      </c>
      <c r="S132" s="103">
        <v>0</v>
      </c>
      <c r="T132" s="103">
        <v>0</v>
      </c>
      <c r="U132" s="103">
        <f t="shared" si="14"/>
        <v>0</v>
      </c>
      <c r="V132" s="103">
        <v>0</v>
      </c>
      <c r="W132" s="103">
        <v>0</v>
      </c>
      <c r="X132" s="103">
        <f t="shared" si="15"/>
        <v>0</v>
      </c>
      <c r="Y132" s="103">
        <v>0</v>
      </c>
      <c r="Z132" s="103">
        <v>0</v>
      </c>
    </row>
    <row r="133" spans="1:26" x14ac:dyDescent="0.35">
      <c r="A133" s="103">
        <v>129</v>
      </c>
      <c r="B133" s="130" t="s">
        <v>203</v>
      </c>
      <c r="C133" s="103">
        <f t="shared" si="8"/>
        <v>3373</v>
      </c>
      <c r="D133" s="103">
        <v>4756</v>
      </c>
      <c r="E133" s="103">
        <v>8129</v>
      </c>
      <c r="F133" s="103">
        <f t="shared" si="9"/>
        <v>507</v>
      </c>
      <c r="G133" s="103">
        <v>650</v>
      </c>
      <c r="H133" s="103">
        <v>1157</v>
      </c>
      <c r="I133" s="103">
        <f t="shared" si="10"/>
        <v>288</v>
      </c>
      <c r="J133" s="103">
        <v>269</v>
      </c>
      <c r="K133" s="103">
        <v>557</v>
      </c>
      <c r="L133" s="103">
        <f t="shared" si="11"/>
        <v>987</v>
      </c>
      <c r="M133" s="103">
        <v>1222</v>
      </c>
      <c r="N133" s="103">
        <v>2209</v>
      </c>
      <c r="O133" s="103">
        <f t="shared" si="12"/>
        <v>35</v>
      </c>
      <c r="P133" s="103">
        <v>18</v>
      </c>
      <c r="Q133" s="103">
        <v>53</v>
      </c>
      <c r="R133" s="103">
        <f t="shared" si="13"/>
        <v>462</v>
      </c>
      <c r="S133" s="103">
        <v>577</v>
      </c>
      <c r="T133" s="103">
        <v>1039</v>
      </c>
      <c r="U133" s="103">
        <f t="shared" si="14"/>
        <v>210</v>
      </c>
      <c r="V133" s="103">
        <v>378</v>
      </c>
      <c r="W133" s="103">
        <v>588</v>
      </c>
      <c r="X133" s="103">
        <f t="shared" si="15"/>
        <v>92</v>
      </c>
      <c r="Y133" s="103">
        <v>110</v>
      </c>
      <c r="Z133" s="103">
        <v>202</v>
      </c>
    </row>
    <row r="134" spans="1:26" ht="28" x14ac:dyDescent="0.35">
      <c r="A134" s="103">
        <v>130</v>
      </c>
      <c r="B134" s="130" t="s">
        <v>204</v>
      </c>
      <c r="C134" s="103">
        <f t="shared" ref="C134:C197" si="16">E134-D134</f>
        <v>16887</v>
      </c>
      <c r="D134" s="103">
        <v>11670</v>
      </c>
      <c r="E134" s="103">
        <v>28557</v>
      </c>
      <c r="F134" s="103">
        <f t="shared" ref="F134:F197" si="17">H134-G134</f>
        <v>1349</v>
      </c>
      <c r="G134" s="103">
        <v>956</v>
      </c>
      <c r="H134" s="103">
        <v>2305</v>
      </c>
      <c r="I134" s="103">
        <f t="shared" ref="I134:I197" si="18">K134-J134</f>
        <v>519</v>
      </c>
      <c r="J134" s="103">
        <v>367</v>
      </c>
      <c r="K134" s="103">
        <v>886</v>
      </c>
      <c r="L134" s="103">
        <f t="shared" ref="L134:L197" si="19">N134-M134</f>
        <v>3342</v>
      </c>
      <c r="M134" s="103">
        <v>2124</v>
      </c>
      <c r="N134" s="103">
        <v>5466</v>
      </c>
      <c r="O134" s="103">
        <f t="shared" ref="O134:O197" si="20">Q134-P134</f>
        <v>44</v>
      </c>
      <c r="P134" s="103">
        <v>11</v>
      </c>
      <c r="Q134" s="103">
        <v>55</v>
      </c>
      <c r="R134" s="103">
        <f t="shared" ref="R134:R197" si="21">T134-S134</f>
        <v>431</v>
      </c>
      <c r="S134" s="103">
        <v>195</v>
      </c>
      <c r="T134" s="103">
        <v>626</v>
      </c>
      <c r="U134" s="103">
        <f t="shared" ref="U134:U197" si="22">W134-V134</f>
        <v>342</v>
      </c>
      <c r="V134" s="103">
        <v>286</v>
      </c>
      <c r="W134" s="103">
        <v>628</v>
      </c>
      <c r="X134" s="103">
        <f t="shared" ref="X134:X197" si="23">Z134-Y134</f>
        <v>382</v>
      </c>
      <c r="Y134" s="103">
        <v>303</v>
      </c>
      <c r="Z134" s="103">
        <v>685</v>
      </c>
    </row>
    <row r="135" spans="1:26" ht="28" x14ac:dyDescent="0.35">
      <c r="A135" s="103">
        <v>131</v>
      </c>
      <c r="B135" s="130" t="s">
        <v>857</v>
      </c>
      <c r="C135" s="103">
        <f t="shared" si="16"/>
        <v>5321</v>
      </c>
      <c r="D135" s="103">
        <v>2558</v>
      </c>
      <c r="E135" s="103">
        <v>7879</v>
      </c>
      <c r="F135" s="103">
        <f t="shared" si="17"/>
        <v>642</v>
      </c>
      <c r="G135" s="103">
        <v>335</v>
      </c>
      <c r="H135" s="103">
        <v>977</v>
      </c>
      <c r="I135" s="103">
        <f t="shared" si="18"/>
        <v>166</v>
      </c>
      <c r="J135" s="103">
        <v>62</v>
      </c>
      <c r="K135" s="103">
        <v>228</v>
      </c>
      <c r="L135" s="103">
        <f t="shared" si="19"/>
        <v>1726</v>
      </c>
      <c r="M135" s="103">
        <v>818</v>
      </c>
      <c r="N135" s="103">
        <v>2544</v>
      </c>
      <c r="O135" s="103">
        <f t="shared" si="20"/>
        <v>8</v>
      </c>
      <c r="P135" s="103">
        <v>6</v>
      </c>
      <c r="Q135" s="103">
        <v>14</v>
      </c>
      <c r="R135" s="103">
        <f t="shared" si="21"/>
        <v>252</v>
      </c>
      <c r="S135" s="103">
        <v>89</v>
      </c>
      <c r="T135" s="103">
        <v>341</v>
      </c>
      <c r="U135" s="103">
        <f t="shared" si="22"/>
        <v>489</v>
      </c>
      <c r="V135" s="103">
        <v>293</v>
      </c>
      <c r="W135" s="103">
        <v>782</v>
      </c>
      <c r="X135" s="103">
        <f t="shared" si="23"/>
        <v>50</v>
      </c>
      <c r="Y135" s="103">
        <v>12</v>
      </c>
      <c r="Z135" s="103">
        <v>62</v>
      </c>
    </row>
    <row r="136" spans="1:26" ht="28" x14ac:dyDescent="0.35">
      <c r="A136" s="103">
        <v>132</v>
      </c>
      <c r="B136" s="130" t="s">
        <v>858</v>
      </c>
      <c r="C136" s="103">
        <f t="shared" si="16"/>
        <v>275</v>
      </c>
      <c r="D136" s="103">
        <v>521</v>
      </c>
      <c r="E136" s="103">
        <v>796</v>
      </c>
      <c r="F136" s="103">
        <f t="shared" si="17"/>
        <v>17</v>
      </c>
      <c r="G136" s="103">
        <v>93</v>
      </c>
      <c r="H136" s="103">
        <v>110</v>
      </c>
      <c r="I136" s="103">
        <f t="shared" si="18"/>
        <v>5</v>
      </c>
      <c r="J136" s="103">
        <v>5</v>
      </c>
      <c r="K136" s="103">
        <v>10</v>
      </c>
      <c r="L136" s="103">
        <f t="shared" si="19"/>
        <v>63</v>
      </c>
      <c r="M136" s="103">
        <v>162</v>
      </c>
      <c r="N136" s="103">
        <v>225</v>
      </c>
      <c r="O136" s="103">
        <f t="shared" si="20"/>
        <v>0</v>
      </c>
      <c r="P136" s="103">
        <v>0</v>
      </c>
      <c r="Q136" s="103">
        <v>0</v>
      </c>
      <c r="R136" s="103">
        <f t="shared" si="21"/>
        <v>79</v>
      </c>
      <c r="S136" s="103">
        <v>61</v>
      </c>
      <c r="T136" s="103">
        <v>140</v>
      </c>
      <c r="U136" s="103">
        <f t="shared" si="22"/>
        <v>10</v>
      </c>
      <c r="V136" s="103">
        <v>36</v>
      </c>
      <c r="W136" s="103">
        <v>46</v>
      </c>
      <c r="X136" s="103">
        <f t="shared" si="23"/>
        <v>4</v>
      </c>
      <c r="Y136" s="103">
        <v>2</v>
      </c>
      <c r="Z136" s="103">
        <v>6</v>
      </c>
    </row>
    <row r="137" spans="1:26" ht="28" x14ac:dyDescent="0.35">
      <c r="A137" s="103">
        <v>133</v>
      </c>
      <c r="B137" s="130" t="s">
        <v>205</v>
      </c>
      <c r="C137" s="103">
        <f t="shared" si="16"/>
        <v>18669</v>
      </c>
      <c r="D137" s="103">
        <v>15625</v>
      </c>
      <c r="E137" s="103">
        <v>34294</v>
      </c>
      <c r="F137" s="103">
        <f t="shared" si="17"/>
        <v>1619</v>
      </c>
      <c r="G137" s="103">
        <v>1507</v>
      </c>
      <c r="H137" s="103">
        <v>3126</v>
      </c>
      <c r="I137" s="103">
        <f t="shared" si="18"/>
        <v>593</v>
      </c>
      <c r="J137" s="103">
        <v>423</v>
      </c>
      <c r="K137" s="103">
        <v>1016</v>
      </c>
      <c r="L137" s="103">
        <f t="shared" si="19"/>
        <v>4131</v>
      </c>
      <c r="M137" s="103">
        <v>4349</v>
      </c>
      <c r="N137" s="103">
        <v>8480</v>
      </c>
      <c r="O137" s="103">
        <f t="shared" si="20"/>
        <v>48</v>
      </c>
      <c r="P137" s="103">
        <v>24</v>
      </c>
      <c r="Q137" s="103">
        <v>72</v>
      </c>
      <c r="R137" s="103">
        <f t="shared" si="21"/>
        <v>743</v>
      </c>
      <c r="S137" s="103">
        <v>1045</v>
      </c>
      <c r="T137" s="103">
        <v>1788</v>
      </c>
      <c r="U137" s="103">
        <f t="shared" si="22"/>
        <v>489</v>
      </c>
      <c r="V137" s="103">
        <v>912</v>
      </c>
      <c r="W137" s="103">
        <v>1401</v>
      </c>
      <c r="X137" s="103">
        <f t="shared" si="23"/>
        <v>601</v>
      </c>
      <c r="Y137" s="103">
        <v>416</v>
      </c>
      <c r="Z137" s="103">
        <v>1017</v>
      </c>
    </row>
    <row r="138" spans="1:26" ht="28" x14ac:dyDescent="0.35">
      <c r="A138" s="103">
        <v>134</v>
      </c>
      <c r="B138" s="130" t="s">
        <v>206</v>
      </c>
      <c r="C138" s="103">
        <f t="shared" si="16"/>
        <v>969</v>
      </c>
      <c r="D138" s="103">
        <v>803</v>
      </c>
      <c r="E138" s="103">
        <v>1772</v>
      </c>
      <c r="F138" s="103">
        <f t="shared" si="17"/>
        <v>78</v>
      </c>
      <c r="G138" s="103">
        <v>52</v>
      </c>
      <c r="H138" s="103">
        <v>130</v>
      </c>
      <c r="I138" s="103">
        <f t="shared" si="18"/>
        <v>32</v>
      </c>
      <c r="J138" s="103">
        <v>16</v>
      </c>
      <c r="K138" s="103">
        <v>48</v>
      </c>
      <c r="L138" s="103">
        <f t="shared" si="19"/>
        <v>197</v>
      </c>
      <c r="M138" s="103">
        <v>177</v>
      </c>
      <c r="N138" s="103">
        <v>374</v>
      </c>
      <c r="O138" s="103">
        <f t="shared" si="20"/>
        <v>1</v>
      </c>
      <c r="P138" s="103">
        <v>0</v>
      </c>
      <c r="Q138" s="103">
        <v>1</v>
      </c>
      <c r="R138" s="103">
        <f t="shared" si="21"/>
        <v>10</v>
      </c>
      <c r="S138" s="103">
        <v>10</v>
      </c>
      <c r="T138" s="103">
        <v>20</v>
      </c>
      <c r="U138" s="103">
        <f t="shared" si="22"/>
        <v>9</v>
      </c>
      <c r="V138" s="103">
        <v>14</v>
      </c>
      <c r="W138" s="103">
        <v>23</v>
      </c>
      <c r="X138" s="103">
        <f t="shared" si="23"/>
        <v>26</v>
      </c>
      <c r="Y138" s="103">
        <v>4</v>
      </c>
      <c r="Z138" s="103">
        <v>30</v>
      </c>
    </row>
    <row r="139" spans="1:26" x14ac:dyDescent="0.35">
      <c r="A139" s="103">
        <v>135</v>
      </c>
      <c r="B139" s="130" t="s">
        <v>207</v>
      </c>
      <c r="C139" s="103">
        <f t="shared" si="16"/>
        <v>325322</v>
      </c>
      <c r="D139" s="103">
        <v>158680</v>
      </c>
      <c r="E139" s="103">
        <v>484002</v>
      </c>
      <c r="F139" s="103">
        <f t="shared" si="17"/>
        <v>47337</v>
      </c>
      <c r="G139" s="103">
        <v>21931</v>
      </c>
      <c r="H139" s="103">
        <v>69268</v>
      </c>
      <c r="I139" s="103">
        <f t="shared" si="18"/>
        <v>12023</v>
      </c>
      <c r="J139" s="103">
        <v>6748</v>
      </c>
      <c r="K139" s="103">
        <v>18771</v>
      </c>
      <c r="L139" s="103">
        <f t="shared" si="19"/>
        <v>105320</v>
      </c>
      <c r="M139" s="103">
        <v>46049</v>
      </c>
      <c r="N139" s="103">
        <v>151369</v>
      </c>
      <c r="O139" s="103">
        <f t="shared" si="20"/>
        <v>1435</v>
      </c>
      <c r="P139" s="103">
        <v>564</v>
      </c>
      <c r="Q139" s="103">
        <v>1999</v>
      </c>
      <c r="R139" s="103">
        <f t="shared" si="21"/>
        <v>15866</v>
      </c>
      <c r="S139" s="103">
        <v>8277</v>
      </c>
      <c r="T139" s="103">
        <v>24143</v>
      </c>
      <c r="U139" s="103">
        <f t="shared" si="22"/>
        <v>5617</v>
      </c>
      <c r="V139" s="103">
        <v>5215</v>
      </c>
      <c r="W139" s="103">
        <v>10832</v>
      </c>
      <c r="X139" s="103">
        <f t="shared" si="23"/>
        <v>7589</v>
      </c>
      <c r="Y139" s="103">
        <v>3424</v>
      </c>
      <c r="Z139" s="103">
        <v>11013</v>
      </c>
    </row>
    <row r="140" spans="1:26" x14ac:dyDescent="0.35">
      <c r="A140" s="103">
        <v>136</v>
      </c>
      <c r="B140" s="130" t="s">
        <v>859</v>
      </c>
      <c r="C140" s="103">
        <f t="shared" si="16"/>
        <v>62</v>
      </c>
      <c r="D140" s="103">
        <v>86</v>
      </c>
      <c r="E140" s="103">
        <v>148</v>
      </c>
      <c r="F140" s="103">
        <f t="shared" si="17"/>
        <v>11</v>
      </c>
      <c r="G140" s="103">
        <v>13</v>
      </c>
      <c r="H140" s="103">
        <v>24</v>
      </c>
      <c r="I140" s="103">
        <f t="shared" si="18"/>
        <v>0</v>
      </c>
      <c r="J140" s="103">
        <v>1</v>
      </c>
      <c r="K140" s="103">
        <v>1</v>
      </c>
      <c r="L140" s="103">
        <f t="shared" si="19"/>
        <v>15</v>
      </c>
      <c r="M140" s="103">
        <v>32</v>
      </c>
      <c r="N140" s="103">
        <v>47</v>
      </c>
      <c r="O140" s="103">
        <f t="shared" si="20"/>
        <v>0</v>
      </c>
      <c r="P140" s="103">
        <v>0</v>
      </c>
      <c r="Q140" s="103">
        <v>0</v>
      </c>
      <c r="R140" s="103">
        <f t="shared" si="21"/>
        <v>0</v>
      </c>
      <c r="S140" s="103">
        <v>0</v>
      </c>
      <c r="T140" s="103">
        <v>0</v>
      </c>
      <c r="U140" s="103">
        <f t="shared" si="22"/>
        <v>0</v>
      </c>
      <c r="V140" s="103">
        <v>0</v>
      </c>
      <c r="W140" s="103">
        <v>0</v>
      </c>
      <c r="X140" s="103">
        <f t="shared" si="23"/>
        <v>0</v>
      </c>
      <c r="Y140" s="103">
        <v>0</v>
      </c>
      <c r="Z140" s="103">
        <v>0</v>
      </c>
    </row>
    <row r="141" spans="1:26" x14ac:dyDescent="0.35">
      <c r="A141" s="103">
        <v>137</v>
      </c>
      <c r="B141" s="130" t="s">
        <v>208</v>
      </c>
      <c r="C141" s="103">
        <f t="shared" si="16"/>
        <v>23612</v>
      </c>
      <c r="D141" s="103">
        <v>19926</v>
      </c>
      <c r="E141" s="103">
        <v>43538</v>
      </c>
      <c r="F141" s="103">
        <f t="shared" si="17"/>
        <v>3426</v>
      </c>
      <c r="G141" s="103">
        <v>2472</v>
      </c>
      <c r="H141" s="103">
        <v>5898</v>
      </c>
      <c r="I141" s="103">
        <f t="shared" si="18"/>
        <v>1033</v>
      </c>
      <c r="J141" s="103">
        <v>838</v>
      </c>
      <c r="K141" s="103">
        <v>1871</v>
      </c>
      <c r="L141" s="103">
        <f t="shared" si="19"/>
        <v>5852</v>
      </c>
      <c r="M141" s="103">
        <v>4580</v>
      </c>
      <c r="N141" s="103">
        <v>10432</v>
      </c>
      <c r="O141" s="103">
        <f t="shared" si="20"/>
        <v>124</v>
      </c>
      <c r="P141" s="103">
        <v>76</v>
      </c>
      <c r="Q141" s="103">
        <v>200</v>
      </c>
      <c r="R141" s="103">
        <f t="shared" si="21"/>
        <v>758</v>
      </c>
      <c r="S141" s="103">
        <v>624</v>
      </c>
      <c r="T141" s="103">
        <v>1382</v>
      </c>
      <c r="U141" s="103">
        <f t="shared" si="22"/>
        <v>428</v>
      </c>
      <c r="V141" s="103">
        <v>553</v>
      </c>
      <c r="W141" s="103">
        <v>981</v>
      </c>
      <c r="X141" s="103">
        <f t="shared" si="23"/>
        <v>721</v>
      </c>
      <c r="Y141" s="103">
        <v>475</v>
      </c>
      <c r="Z141" s="103">
        <v>1196</v>
      </c>
    </row>
    <row r="142" spans="1:26" ht="28" x14ac:dyDescent="0.35">
      <c r="A142" s="103">
        <v>138</v>
      </c>
      <c r="B142" s="130" t="s">
        <v>860</v>
      </c>
      <c r="C142" s="103">
        <f t="shared" si="16"/>
        <v>315</v>
      </c>
      <c r="D142" s="103">
        <v>263</v>
      </c>
      <c r="E142" s="103">
        <v>578</v>
      </c>
      <c r="F142" s="103">
        <f t="shared" si="17"/>
        <v>55</v>
      </c>
      <c r="G142" s="103">
        <v>33</v>
      </c>
      <c r="H142" s="103">
        <v>88</v>
      </c>
      <c r="I142" s="103">
        <f t="shared" si="18"/>
        <v>45</v>
      </c>
      <c r="J142" s="103">
        <v>31</v>
      </c>
      <c r="K142" s="103">
        <v>76</v>
      </c>
      <c r="L142" s="103">
        <f t="shared" si="19"/>
        <v>125</v>
      </c>
      <c r="M142" s="103">
        <v>65</v>
      </c>
      <c r="N142" s="103">
        <v>190</v>
      </c>
      <c r="O142" s="103">
        <f t="shared" si="20"/>
        <v>1</v>
      </c>
      <c r="P142" s="103">
        <v>0</v>
      </c>
      <c r="Q142" s="103">
        <v>1</v>
      </c>
      <c r="R142" s="103">
        <f t="shared" si="21"/>
        <v>25</v>
      </c>
      <c r="S142" s="103">
        <v>14</v>
      </c>
      <c r="T142" s="103">
        <v>39</v>
      </c>
      <c r="U142" s="103">
        <f t="shared" si="22"/>
        <v>4</v>
      </c>
      <c r="V142" s="103">
        <v>15</v>
      </c>
      <c r="W142" s="103">
        <v>19</v>
      </c>
      <c r="X142" s="103">
        <f t="shared" si="23"/>
        <v>10</v>
      </c>
      <c r="Y142" s="103">
        <v>8</v>
      </c>
      <c r="Z142" s="103">
        <v>18</v>
      </c>
    </row>
    <row r="143" spans="1:26" ht="28" x14ac:dyDescent="0.35">
      <c r="A143" s="103">
        <v>139</v>
      </c>
      <c r="B143" s="130" t="s">
        <v>209</v>
      </c>
      <c r="C143" s="103">
        <f t="shared" si="16"/>
        <v>206</v>
      </c>
      <c r="D143" s="103">
        <v>632</v>
      </c>
      <c r="E143" s="103">
        <v>838</v>
      </c>
      <c r="F143" s="103">
        <f t="shared" si="17"/>
        <v>27</v>
      </c>
      <c r="G143" s="103">
        <v>82</v>
      </c>
      <c r="H143" s="103">
        <v>109</v>
      </c>
      <c r="I143" s="103">
        <f t="shared" si="18"/>
        <v>14</v>
      </c>
      <c r="J143" s="103">
        <v>36</v>
      </c>
      <c r="K143" s="103">
        <v>50</v>
      </c>
      <c r="L143" s="103">
        <f t="shared" si="19"/>
        <v>59</v>
      </c>
      <c r="M143" s="103">
        <v>243</v>
      </c>
      <c r="N143" s="103">
        <v>302</v>
      </c>
      <c r="O143" s="103">
        <f t="shared" si="20"/>
        <v>3</v>
      </c>
      <c r="P143" s="103">
        <v>4</v>
      </c>
      <c r="Q143" s="103">
        <v>7</v>
      </c>
      <c r="R143" s="103">
        <f t="shared" si="21"/>
        <v>1</v>
      </c>
      <c r="S143" s="103">
        <v>3</v>
      </c>
      <c r="T143" s="103">
        <v>4</v>
      </c>
      <c r="U143" s="103">
        <f t="shared" si="22"/>
        <v>0</v>
      </c>
      <c r="V143" s="103">
        <v>0</v>
      </c>
      <c r="W143" s="103">
        <v>0</v>
      </c>
      <c r="X143" s="103">
        <f t="shared" si="23"/>
        <v>23</v>
      </c>
      <c r="Y143" s="103">
        <v>35</v>
      </c>
      <c r="Z143" s="103">
        <v>58</v>
      </c>
    </row>
    <row r="144" spans="1:26" x14ac:dyDescent="0.35">
      <c r="A144" s="103">
        <v>140</v>
      </c>
      <c r="B144" s="130" t="s">
        <v>210</v>
      </c>
      <c r="C144" s="103">
        <f t="shared" si="16"/>
        <v>459144</v>
      </c>
      <c r="D144" s="103">
        <v>807393</v>
      </c>
      <c r="E144" s="103">
        <v>1266537</v>
      </c>
      <c r="F144" s="103">
        <f t="shared" si="17"/>
        <v>94703</v>
      </c>
      <c r="G144" s="103">
        <v>144387</v>
      </c>
      <c r="H144" s="103">
        <v>239090</v>
      </c>
      <c r="I144" s="103">
        <f t="shared" si="18"/>
        <v>50210</v>
      </c>
      <c r="J144" s="103">
        <v>73917</v>
      </c>
      <c r="K144" s="103">
        <v>124127</v>
      </c>
      <c r="L144" s="103">
        <f t="shared" si="19"/>
        <v>175925</v>
      </c>
      <c r="M144" s="103">
        <v>321631</v>
      </c>
      <c r="N144" s="103">
        <v>497556</v>
      </c>
      <c r="O144" s="103">
        <f t="shared" si="20"/>
        <v>1755</v>
      </c>
      <c r="P144" s="103">
        <v>1412</v>
      </c>
      <c r="Q144" s="103">
        <v>3167</v>
      </c>
      <c r="R144" s="103">
        <f t="shared" si="21"/>
        <v>17381</v>
      </c>
      <c r="S144" s="103">
        <v>38036</v>
      </c>
      <c r="T144" s="103">
        <v>55417</v>
      </c>
      <c r="U144" s="103">
        <f t="shared" si="22"/>
        <v>9728</v>
      </c>
      <c r="V144" s="103">
        <v>19593</v>
      </c>
      <c r="W144" s="103">
        <v>29321</v>
      </c>
      <c r="X144" s="103">
        <f t="shared" si="23"/>
        <v>9366</v>
      </c>
      <c r="Y144" s="103">
        <v>13001</v>
      </c>
      <c r="Z144" s="103">
        <v>22367</v>
      </c>
    </row>
    <row r="145" spans="1:26" x14ac:dyDescent="0.35">
      <c r="A145" s="103">
        <v>141</v>
      </c>
      <c r="B145" s="130" t="s">
        <v>211</v>
      </c>
      <c r="C145" s="103">
        <f t="shared" si="16"/>
        <v>1250</v>
      </c>
      <c r="D145" s="103">
        <v>1929</v>
      </c>
      <c r="E145" s="103">
        <v>3179</v>
      </c>
      <c r="F145" s="103">
        <f t="shared" si="17"/>
        <v>81</v>
      </c>
      <c r="G145" s="103">
        <v>94</v>
      </c>
      <c r="H145" s="103">
        <v>175</v>
      </c>
      <c r="I145" s="103">
        <f t="shared" si="18"/>
        <v>17</v>
      </c>
      <c r="J145" s="103">
        <v>29</v>
      </c>
      <c r="K145" s="103">
        <v>46</v>
      </c>
      <c r="L145" s="103">
        <f t="shared" si="19"/>
        <v>402</v>
      </c>
      <c r="M145" s="103">
        <v>541</v>
      </c>
      <c r="N145" s="103">
        <v>943</v>
      </c>
      <c r="O145" s="103">
        <f t="shared" si="20"/>
        <v>3</v>
      </c>
      <c r="P145" s="103">
        <v>1</v>
      </c>
      <c r="Q145" s="103">
        <v>4</v>
      </c>
      <c r="R145" s="103">
        <f t="shared" si="21"/>
        <v>93</v>
      </c>
      <c r="S145" s="103">
        <v>81</v>
      </c>
      <c r="T145" s="103">
        <v>174</v>
      </c>
      <c r="U145" s="103">
        <f t="shared" si="22"/>
        <v>31</v>
      </c>
      <c r="V145" s="103">
        <v>58</v>
      </c>
      <c r="W145" s="103">
        <v>89</v>
      </c>
      <c r="X145" s="103">
        <f t="shared" si="23"/>
        <v>61</v>
      </c>
      <c r="Y145" s="103">
        <v>91</v>
      </c>
      <c r="Z145" s="103">
        <v>152</v>
      </c>
    </row>
    <row r="146" spans="1:26" ht="28" x14ac:dyDescent="0.35">
      <c r="A146" s="103">
        <v>142</v>
      </c>
      <c r="B146" s="130" t="s">
        <v>212</v>
      </c>
      <c r="C146" s="103">
        <f t="shared" si="16"/>
        <v>334171</v>
      </c>
      <c r="D146" s="103">
        <v>252257</v>
      </c>
      <c r="E146" s="103">
        <v>586428</v>
      </c>
      <c r="F146" s="103">
        <f t="shared" si="17"/>
        <v>42420</v>
      </c>
      <c r="G146" s="103">
        <v>30735</v>
      </c>
      <c r="H146" s="103">
        <v>73155</v>
      </c>
      <c r="I146" s="103">
        <f t="shared" si="18"/>
        <v>10496</v>
      </c>
      <c r="J146" s="103">
        <v>7046</v>
      </c>
      <c r="K146" s="103">
        <v>17542</v>
      </c>
      <c r="L146" s="103">
        <f t="shared" si="19"/>
        <v>123927</v>
      </c>
      <c r="M146" s="103">
        <v>93466</v>
      </c>
      <c r="N146" s="103">
        <v>217393</v>
      </c>
      <c r="O146" s="103">
        <f t="shared" si="20"/>
        <v>652</v>
      </c>
      <c r="P146" s="103">
        <v>253</v>
      </c>
      <c r="Q146" s="103">
        <v>905</v>
      </c>
      <c r="R146" s="103">
        <f t="shared" si="21"/>
        <v>14143</v>
      </c>
      <c r="S146" s="103">
        <v>9232</v>
      </c>
      <c r="T146" s="103">
        <v>23375</v>
      </c>
      <c r="U146" s="103">
        <f t="shared" si="22"/>
        <v>8638</v>
      </c>
      <c r="V146" s="103">
        <v>7902</v>
      </c>
      <c r="W146" s="103">
        <v>16540</v>
      </c>
      <c r="X146" s="103">
        <f t="shared" si="23"/>
        <v>7966</v>
      </c>
      <c r="Y146" s="103">
        <v>5379</v>
      </c>
      <c r="Z146" s="103">
        <v>13345</v>
      </c>
    </row>
    <row r="147" spans="1:26" ht="42" x14ac:dyDescent="0.35">
      <c r="A147" s="103">
        <v>143</v>
      </c>
      <c r="B147" s="130" t="s">
        <v>213</v>
      </c>
      <c r="C147" s="103">
        <f t="shared" si="16"/>
        <v>178</v>
      </c>
      <c r="D147" s="103">
        <v>162</v>
      </c>
      <c r="E147" s="103">
        <v>340</v>
      </c>
      <c r="F147" s="103">
        <f t="shared" si="17"/>
        <v>14</v>
      </c>
      <c r="G147" s="103">
        <v>20</v>
      </c>
      <c r="H147" s="103">
        <v>34</v>
      </c>
      <c r="I147" s="103">
        <f t="shared" si="18"/>
        <v>3</v>
      </c>
      <c r="J147" s="103">
        <v>8</v>
      </c>
      <c r="K147" s="103">
        <v>11</v>
      </c>
      <c r="L147" s="103">
        <f t="shared" si="19"/>
        <v>56</v>
      </c>
      <c r="M147" s="103">
        <v>47</v>
      </c>
      <c r="N147" s="103">
        <v>103</v>
      </c>
      <c r="O147" s="103">
        <f t="shared" si="20"/>
        <v>0</v>
      </c>
      <c r="P147" s="103">
        <v>1</v>
      </c>
      <c r="Q147" s="103">
        <v>1</v>
      </c>
      <c r="R147" s="103">
        <f t="shared" si="21"/>
        <v>2</v>
      </c>
      <c r="S147" s="103">
        <v>3</v>
      </c>
      <c r="T147" s="103">
        <v>5</v>
      </c>
      <c r="U147" s="103">
        <f t="shared" si="22"/>
        <v>3</v>
      </c>
      <c r="V147" s="103">
        <v>7</v>
      </c>
      <c r="W147" s="103">
        <v>10</v>
      </c>
      <c r="X147" s="103">
        <f t="shared" si="23"/>
        <v>16</v>
      </c>
      <c r="Y147" s="103">
        <v>8</v>
      </c>
      <c r="Z147" s="103">
        <v>24</v>
      </c>
    </row>
    <row r="148" spans="1:26" ht="28" x14ac:dyDescent="0.35">
      <c r="A148" s="103">
        <v>144</v>
      </c>
      <c r="B148" s="130" t="s">
        <v>214</v>
      </c>
      <c r="C148" s="103">
        <f t="shared" si="16"/>
        <v>1688</v>
      </c>
      <c r="D148" s="103">
        <v>1197</v>
      </c>
      <c r="E148" s="103">
        <v>2885</v>
      </c>
      <c r="F148" s="103">
        <f t="shared" si="17"/>
        <v>238</v>
      </c>
      <c r="G148" s="103">
        <v>170</v>
      </c>
      <c r="H148" s="103">
        <v>408</v>
      </c>
      <c r="I148" s="103">
        <f t="shared" si="18"/>
        <v>61</v>
      </c>
      <c r="J148" s="103">
        <v>47</v>
      </c>
      <c r="K148" s="103">
        <v>108</v>
      </c>
      <c r="L148" s="103">
        <f t="shared" si="19"/>
        <v>760</v>
      </c>
      <c r="M148" s="103">
        <v>495</v>
      </c>
      <c r="N148" s="103">
        <v>1255</v>
      </c>
      <c r="O148" s="103">
        <f t="shared" si="20"/>
        <v>0</v>
      </c>
      <c r="P148" s="103">
        <v>0</v>
      </c>
      <c r="Q148" s="103">
        <v>0</v>
      </c>
      <c r="R148" s="103">
        <f t="shared" si="21"/>
        <v>70</v>
      </c>
      <c r="S148" s="103">
        <v>46</v>
      </c>
      <c r="T148" s="103">
        <v>116</v>
      </c>
      <c r="U148" s="103">
        <f t="shared" si="22"/>
        <v>9</v>
      </c>
      <c r="V148" s="103">
        <v>16</v>
      </c>
      <c r="W148" s="103">
        <v>25</v>
      </c>
      <c r="X148" s="103">
        <f t="shared" si="23"/>
        <v>27</v>
      </c>
      <c r="Y148" s="103">
        <v>27</v>
      </c>
      <c r="Z148" s="103">
        <v>54</v>
      </c>
    </row>
    <row r="149" spans="1:26" ht="28" x14ac:dyDescent="0.35">
      <c r="A149" s="103">
        <v>145</v>
      </c>
      <c r="B149" s="130" t="s">
        <v>215</v>
      </c>
      <c r="C149" s="103">
        <f t="shared" si="16"/>
        <v>185938</v>
      </c>
      <c r="D149" s="103">
        <v>182785</v>
      </c>
      <c r="E149" s="103">
        <v>368723</v>
      </c>
      <c r="F149" s="103">
        <f t="shared" si="17"/>
        <v>19478</v>
      </c>
      <c r="G149" s="103">
        <v>18121</v>
      </c>
      <c r="H149" s="103">
        <v>37599</v>
      </c>
      <c r="I149" s="103">
        <f t="shared" si="18"/>
        <v>9903</v>
      </c>
      <c r="J149" s="103">
        <v>9883</v>
      </c>
      <c r="K149" s="103">
        <v>19786</v>
      </c>
      <c r="L149" s="103">
        <f t="shared" si="19"/>
        <v>59176</v>
      </c>
      <c r="M149" s="103">
        <v>57507</v>
      </c>
      <c r="N149" s="103">
        <v>116683</v>
      </c>
      <c r="O149" s="103">
        <f t="shared" si="20"/>
        <v>775</v>
      </c>
      <c r="P149" s="103">
        <v>438</v>
      </c>
      <c r="Q149" s="103">
        <v>1213</v>
      </c>
      <c r="R149" s="103">
        <f t="shared" si="21"/>
        <v>9258</v>
      </c>
      <c r="S149" s="103">
        <v>9010</v>
      </c>
      <c r="T149" s="103">
        <v>18268</v>
      </c>
      <c r="U149" s="103">
        <f t="shared" si="22"/>
        <v>4839</v>
      </c>
      <c r="V149" s="103">
        <v>5829</v>
      </c>
      <c r="W149" s="103">
        <v>10668</v>
      </c>
      <c r="X149" s="103">
        <f t="shared" si="23"/>
        <v>7341</v>
      </c>
      <c r="Y149" s="103">
        <v>5571</v>
      </c>
      <c r="Z149" s="103">
        <v>12912</v>
      </c>
    </row>
    <row r="150" spans="1:26" ht="28" x14ac:dyDescent="0.35">
      <c r="A150" s="103">
        <v>146</v>
      </c>
      <c r="B150" s="130" t="s">
        <v>216</v>
      </c>
      <c r="C150" s="103">
        <f t="shared" si="16"/>
        <v>98768</v>
      </c>
      <c r="D150" s="103">
        <v>65492</v>
      </c>
      <c r="E150" s="103">
        <v>164260</v>
      </c>
      <c r="F150" s="103">
        <f t="shared" si="17"/>
        <v>8209</v>
      </c>
      <c r="G150" s="103">
        <v>5771</v>
      </c>
      <c r="H150" s="103">
        <v>13980</v>
      </c>
      <c r="I150" s="103">
        <f t="shared" si="18"/>
        <v>2477</v>
      </c>
      <c r="J150" s="103">
        <v>1580</v>
      </c>
      <c r="K150" s="103">
        <v>4057</v>
      </c>
      <c r="L150" s="103">
        <f t="shared" si="19"/>
        <v>39914</v>
      </c>
      <c r="M150" s="103">
        <v>27374</v>
      </c>
      <c r="N150" s="103">
        <v>67288</v>
      </c>
      <c r="O150" s="103">
        <f t="shared" si="20"/>
        <v>229</v>
      </c>
      <c r="P150" s="103">
        <v>141</v>
      </c>
      <c r="Q150" s="103">
        <v>370</v>
      </c>
      <c r="R150" s="103">
        <f t="shared" si="21"/>
        <v>4386</v>
      </c>
      <c r="S150" s="103">
        <v>2083</v>
      </c>
      <c r="T150" s="103">
        <v>6469</v>
      </c>
      <c r="U150" s="103">
        <f t="shared" si="22"/>
        <v>2790</v>
      </c>
      <c r="V150" s="103">
        <v>2538</v>
      </c>
      <c r="W150" s="103">
        <v>5328</v>
      </c>
      <c r="X150" s="103">
        <f t="shared" si="23"/>
        <v>2959</v>
      </c>
      <c r="Y150" s="103">
        <v>2005</v>
      </c>
      <c r="Z150" s="103">
        <v>4964</v>
      </c>
    </row>
    <row r="151" spans="1:26" x14ac:dyDescent="0.35">
      <c r="A151" s="103">
        <v>147</v>
      </c>
      <c r="B151" s="130" t="s">
        <v>217</v>
      </c>
      <c r="C151" s="103">
        <f t="shared" si="16"/>
        <v>599</v>
      </c>
      <c r="D151" s="103">
        <v>174</v>
      </c>
      <c r="E151" s="103">
        <v>773</v>
      </c>
      <c r="F151" s="103">
        <f t="shared" si="17"/>
        <v>7</v>
      </c>
      <c r="G151" s="103">
        <v>1</v>
      </c>
      <c r="H151" s="103">
        <v>8</v>
      </c>
      <c r="I151" s="103">
        <f t="shared" si="18"/>
        <v>1</v>
      </c>
      <c r="J151" s="103">
        <v>0</v>
      </c>
      <c r="K151" s="103">
        <v>1</v>
      </c>
      <c r="L151" s="103">
        <f t="shared" si="19"/>
        <v>39</v>
      </c>
      <c r="M151" s="103">
        <v>10</v>
      </c>
      <c r="N151" s="103">
        <v>49</v>
      </c>
      <c r="O151" s="103">
        <f t="shared" si="20"/>
        <v>0</v>
      </c>
      <c r="P151" s="103">
        <v>0</v>
      </c>
      <c r="Q151" s="103">
        <v>0</v>
      </c>
      <c r="R151" s="103">
        <f t="shared" si="21"/>
        <v>12</v>
      </c>
      <c r="S151" s="103">
        <v>0</v>
      </c>
      <c r="T151" s="103">
        <v>12</v>
      </c>
      <c r="U151" s="103">
        <f t="shared" si="22"/>
        <v>9</v>
      </c>
      <c r="V151" s="103">
        <v>3</v>
      </c>
      <c r="W151" s="103">
        <v>12</v>
      </c>
      <c r="X151" s="103">
        <f t="shared" si="23"/>
        <v>0</v>
      </c>
      <c r="Y151" s="103">
        <v>0</v>
      </c>
      <c r="Z151" s="103">
        <v>0</v>
      </c>
    </row>
    <row r="152" spans="1:26" ht="28" x14ac:dyDescent="0.35">
      <c r="A152" s="103">
        <v>148</v>
      </c>
      <c r="B152" s="130" t="s">
        <v>861</v>
      </c>
      <c r="C152" s="103">
        <f t="shared" si="16"/>
        <v>83</v>
      </c>
      <c r="D152" s="103">
        <v>185</v>
      </c>
      <c r="E152" s="103">
        <v>268</v>
      </c>
      <c r="F152" s="103">
        <f t="shared" si="17"/>
        <v>13</v>
      </c>
      <c r="G152" s="103">
        <v>26</v>
      </c>
      <c r="H152" s="103">
        <v>39</v>
      </c>
      <c r="I152" s="103">
        <f t="shared" si="18"/>
        <v>0</v>
      </c>
      <c r="J152" s="103">
        <v>0</v>
      </c>
      <c r="K152" s="103">
        <v>0</v>
      </c>
      <c r="L152" s="103">
        <f t="shared" si="19"/>
        <v>17</v>
      </c>
      <c r="M152" s="103">
        <v>41</v>
      </c>
      <c r="N152" s="103">
        <v>58</v>
      </c>
      <c r="O152" s="103">
        <f t="shared" si="20"/>
        <v>0</v>
      </c>
      <c r="P152" s="103">
        <v>0</v>
      </c>
      <c r="Q152" s="103">
        <v>0</v>
      </c>
      <c r="R152" s="103">
        <f t="shared" si="21"/>
        <v>0</v>
      </c>
      <c r="S152" s="103">
        <v>0</v>
      </c>
      <c r="T152" s="103">
        <v>0</v>
      </c>
      <c r="U152" s="103">
        <f t="shared" si="22"/>
        <v>0</v>
      </c>
      <c r="V152" s="103">
        <v>0</v>
      </c>
      <c r="W152" s="103">
        <v>0</v>
      </c>
      <c r="X152" s="103">
        <f t="shared" si="23"/>
        <v>3</v>
      </c>
      <c r="Y152" s="103">
        <v>12</v>
      </c>
      <c r="Z152" s="103">
        <v>15</v>
      </c>
    </row>
    <row r="153" spans="1:26" x14ac:dyDescent="0.35">
      <c r="A153" s="103">
        <v>149</v>
      </c>
      <c r="B153" s="130" t="s">
        <v>218</v>
      </c>
      <c r="C153" s="103">
        <f t="shared" si="16"/>
        <v>126612</v>
      </c>
      <c r="D153" s="103">
        <v>219039</v>
      </c>
      <c r="E153" s="103">
        <v>345651</v>
      </c>
      <c r="F153" s="103">
        <f t="shared" si="17"/>
        <v>17570</v>
      </c>
      <c r="G153" s="103">
        <v>26703</v>
      </c>
      <c r="H153" s="103">
        <v>44273</v>
      </c>
      <c r="I153" s="103">
        <f t="shared" si="18"/>
        <v>8005</v>
      </c>
      <c r="J153" s="103">
        <v>10053</v>
      </c>
      <c r="K153" s="103">
        <v>18058</v>
      </c>
      <c r="L153" s="103">
        <f t="shared" si="19"/>
        <v>51009</v>
      </c>
      <c r="M153" s="103">
        <v>92554</v>
      </c>
      <c r="N153" s="103">
        <v>143563</v>
      </c>
      <c r="O153" s="103">
        <f t="shared" si="20"/>
        <v>314</v>
      </c>
      <c r="P153" s="103">
        <v>276</v>
      </c>
      <c r="Q153" s="103">
        <v>590</v>
      </c>
      <c r="R153" s="103">
        <f t="shared" si="21"/>
        <v>5424</v>
      </c>
      <c r="S153" s="103">
        <v>9956</v>
      </c>
      <c r="T153" s="103">
        <v>15380</v>
      </c>
      <c r="U153" s="103">
        <f t="shared" si="22"/>
        <v>4324</v>
      </c>
      <c r="V153" s="103">
        <v>8666</v>
      </c>
      <c r="W153" s="103">
        <v>12990</v>
      </c>
      <c r="X153" s="103">
        <f t="shared" si="23"/>
        <v>2801</v>
      </c>
      <c r="Y153" s="103">
        <v>4243</v>
      </c>
      <c r="Z153" s="103">
        <v>7044</v>
      </c>
    </row>
    <row r="154" spans="1:26" x14ac:dyDescent="0.35">
      <c r="A154" s="103">
        <v>150</v>
      </c>
      <c r="B154" s="130" t="s">
        <v>219</v>
      </c>
      <c r="C154" s="103">
        <f t="shared" si="16"/>
        <v>38694</v>
      </c>
      <c r="D154" s="103">
        <v>43717</v>
      </c>
      <c r="E154" s="103">
        <v>82411</v>
      </c>
      <c r="F154" s="103">
        <f t="shared" si="17"/>
        <v>3984</v>
      </c>
      <c r="G154" s="103">
        <v>4357</v>
      </c>
      <c r="H154" s="103">
        <v>8341</v>
      </c>
      <c r="I154" s="103">
        <f t="shared" si="18"/>
        <v>1776</v>
      </c>
      <c r="J154" s="103">
        <v>2003</v>
      </c>
      <c r="K154" s="103">
        <v>3779</v>
      </c>
      <c r="L154" s="103">
        <f t="shared" si="19"/>
        <v>11149</v>
      </c>
      <c r="M154" s="103">
        <v>12725</v>
      </c>
      <c r="N154" s="103">
        <v>23874</v>
      </c>
      <c r="O154" s="103">
        <f t="shared" si="20"/>
        <v>83</v>
      </c>
      <c r="P154" s="103">
        <v>65</v>
      </c>
      <c r="Q154" s="103">
        <v>148</v>
      </c>
      <c r="R154" s="103">
        <f t="shared" si="21"/>
        <v>1417</v>
      </c>
      <c r="S154" s="103">
        <v>1589</v>
      </c>
      <c r="T154" s="103">
        <v>3006</v>
      </c>
      <c r="U154" s="103">
        <f t="shared" si="22"/>
        <v>745</v>
      </c>
      <c r="V154" s="103">
        <v>1124</v>
      </c>
      <c r="W154" s="103">
        <v>1869</v>
      </c>
      <c r="X154" s="103">
        <f t="shared" si="23"/>
        <v>1266</v>
      </c>
      <c r="Y154" s="103">
        <v>1258</v>
      </c>
      <c r="Z154" s="103">
        <v>2524</v>
      </c>
    </row>
    <row r="155" spans="1:26" x14ac:dyDescent="0.35">
      <c r="A155" s="103">
        <v>151</v>
      </c>
      <c r="B155" s="130" t="s">
        <v>220</v>
      </c>
      <c r="C155" s="103">
        <f t="shared" si="16"/>
        <v>5523</v>
      </c>
      <c r="D155" s="103">
        <v>12900</v>
      </c>
      <c r="E155" s="103">
        <v>18423</v>
      </c>
      <c r="F155" s="103">
        <f t="shared" si="17"/>
        <v>383</v>
      </c>
      <c r="G155" s="103">
        <v>897</v>
      </c>
      <c r="H155" s="103">
        <v>1280</v>
      </c>
      <c r="I155" s="103">
        <f t="shared" si="18"/>
        <v>122</v>
      </c>
      <c r="J155" s="103">
        <v>245</v>
      </c>
      <c r="K155" s="103">
        <v>367</v>
      </c>
      <c r="L155" s="103">
        <f t="shared" si="19"/>
        <v>1633</v>
      </c>
      <c r="M155" s="103">
        <v>3680</v>
      </c>
      <c r="N155" s="103">
        <v>5313</v>
      </c>
      <c r="O155" s="103">
        <f t="shared" si="20"/>
        <v>3</v>
      </c>
      <c r="P155" s="103">
        <v>4</v>
      </c>
      <c r="Q155" s="103">
        <v>7</v>
      </c>
      <c r="R155" s="103">
        <f t="shared" si="21"/>
        <v>265</v>
      </c>
      <c r="S155" s="103">
        <v>367</v>
      </c>
      <c r="T155" s="103">
        <v>632</v>
      </c>
      <c r="U155" s="103">
        <f t="shared" si="22"/>
        <v>214</v>
      </c>
      <c r="V155" s="103">
        <v>471</v>
      </c>
      <c r="W155" s="103">
        <v>685</v>
      </c>
      <c r="X155" s="103">
        <f t="shared" si="23"/>
        <v>88</v>
      </c>
      <c r="Y155" s="103">
        <v>173</v>
      </c>
      <c r="Z155" s="103">
        <v>261</v>
      </c>
    </row>
    <row r="156" spans="1:26" x14ac:dyDescent="0.35">
      <c r="A156" s="103">
        <v>152</v>
      </c>
      <c r="B156" s="130" t="s">
        <v>221</v>
      </c>
      <c r="C156" s="103">
        <f t="shared" si="16"/>
        <v>83</v>
      </c>
      <c r="D156" s="103">
        <v>212</v>
      </c>
      <c r="E156" s="103">
        <v>295</v>
      </c>
      <c r="F156" s="103">
        <f t="shared" si="17"/>
        <v>30</v>
      </c>
      <c r="G156" s="103">
        <v>32</v>
      </c>
      <c r="H156" s="103">
        <v>62</v>
      </c>
      <c r="I156" s="103">
        <f t="shared" si="18"/>
        <v>4</v>
      </c>
      <c r="J156" s="103">
        <v>8</v>
      </c>
      <c r="K156" s="103">
        <v>12</v>
      </c>
      <c r="L156" s="103">
        <f t="shared" si="19"/>
        <v>27</v>
      </c>
      <c r="M156" s="103">
        <v>61</v>
      </c>
      <c r="N156" s="103">
        <v>88</v>
      </c>
      <c r="O156" s="103">
        <f t="shared" si="20"/>
        <v>0</v>
      </c>
      <c r="P156" s="103">
        <v>0</v>
      </c>
      <c r="Q156" s="103">
        <v>0</v>
      </c>
      <c r="R156" s="103">
        <f t="shared" si="21"/>
        <v>0</v>
      </c>
      <c r="S156" s="103">
        <v>3</v>
      </c>
      <c r="T156" s="103">
        <v>3</v>
      </c>
      <c r="U156" s="103">
        <f t="shared" si="22"/>
        <v>0</v>
      </c>
      <c r="V156" s="103">
        <v>2</v>
      </c>
      <c r="W156" s="103">
        <v>2</v>
      </c>
      <c r="X156" s="103">
        <f t="shared" si="23"/>
        <v>0</v>
      </c>
      <c r="Y156" s="103">
        <v>2</v>
      </c>
      <c r="Z156" s="103">
        <v>2</v>
      </c>
    </row>
    <row r="157" spans="1:26" x14ac:dyDescent="0.35">
      <c r="A157" s="103">
        <v>153</v>
      </c>
      <c r="B157" s="130" t="s">
        <v>222</v>
      </c>
      <c r="C157" s="103">
        <f t="shared" si="16"/>
        <v>1778</v>
      </c>
      <c r="D157" s="103">
        <v>2716</v>
      </c>
      <c r="E157" s="103">
        <v>4494</v>
      </c>
      <c r="F157" s="103">
        <f t="shared" si="17"/>
        <v>178</v>
      </c>
      <c r="G157" s="103">
        <v>267</v>
      </c>
      <c r="H157" s="103">
        <v>445</v>
      </c>
      <c r="I157" s="103">
        <f t="shared" si="18"/>
        <v>47</v>
      </c>
      <c r="J157" s="103">
        <v>82</v>
      </c>
      <c r="K157" s="103">
        <v>129</v>
      </c>
      <c r="L157" s="103">
        <f t="shared" si="19"/>
        <v>376</v>
      </c>
      <c r="M157" s="103">
        <v>410</v>
      </c>
      <c r="N157" s="103">
        <v>786</v>
      </c>
      <c r="O157" s="103">
        <f t="shared" si="20"/>
        <v>5</v>
      </c>
      <c r="P157" s="103">
        <v>9</v>
      </c>
      <c r="Q157" s="103">
        <v>14</v>
      </c>
      <c r="R157" s="103">
        <f t="shared" si="21"/>
        <v>44</v>
      </c>
      <c r="S157" s="103">
        <v>34</v>
      </c>
      <c r="T157" s="103">
        <v>78</v>
      </c>
      <c r="U157" s="103">
        <f t="shared" si="22"/>
        <v>27</v>
      </c>
      <c r="V157" s="103">
        <v>94</v>
      </c>
      <c r="W157" s="103">
        <v>121</v>
      </c>
      <c r="X157" s="103">
        <f t="shared" si="23"/>
        <v>78</v>
      </c>
      <c r="Y157" s="103">
        <v>108</v>
      </c>
      <c r="Z157" s="103">
        <v>186</v>
      </c>
    </row>
    <row r="158" spans="1:26" x14ac:dyDescent="0.35">
      <c r="A158" s="103">
        <v>154</v>
      </c>
      <c r="B158" s="130" t="s">
        <v>223</v>
      </c>
      <c r="C158" s="103">
        <f t="shared" si="16"/>
        <v>17836</v>
      </c>
      <c r="D158" s="103">
        <v>10043</v>
      </c>
      <c r="E158" s="103">
        <v>27879</v>
      </c>
      <c r="F158" s="103">
        <f t="shared" si="17"/>
        <v>3405</v>
      </c>
      <c r="G158" s="103">
        <v>2400</v>
      </c>
      <c r="H158" s="103">
        <v>5805</v>
      </c>
      <c r="I158" s="103">
        <f t="shared" si="18"/>
        <v>916</v>
      </c>
      <c r="J158" s="103">
        <v>383</v>
      </c>
      <c r="K158" s="103">
        <v>1299</v>
      </c>
      <c r="L158" s="103">
        <f t="shared" si="19"/>
        <v>7033</v>
      </c>
      <c r="M158" s="103">
        <v>4396</v>
      </c>
      <c r="N158" s="103">
        <v>11429</v>
      </c>
      <c r="O158" s="103">
        <f t="shared" si="20"/>
        <v>12</v>
      </c>
      <c r="P158" s="103">
        <v>0</v>
      </c>
      <c r="Q158" s="103">
        <v>12</v>
      </c>
      <c r="R158" s="103">
        <f t="shared" si="21"/>
        <v>680</v>
      </c>
      <c r="S158" s="103">
        <v>259</v>
      </c>
      <c r="T158" s="103">
        <v>939</v>
      </c>
      <c r="U158" s="103">
        <f t="shared" si="22"/>
        <v>523</v>
      </c>
      <c r="V158" s="103">
        <v>538</v>
      </c>
      <c r="W158" s="103">
        <v>1061</v>
      </c>
      <c r="X158" s="103">
        <f t="shared" si="23"/>
        <v>264</v>
      </c>
      <c r="Y158" s="103">
        <v>108</v>
      </c>
      <c r="Z158" s="103">
        <v>372</v>
      </c>
    </row>
    <row r="159" spans="1:26" x14ac:dyDescent="0.35">
      <c r="A159" s="103">
        <v>155</v>
      </c>
      <c r="B159" s="130" t="s">
        <v>224</v>
      </c>
      <c r="C159" s="103">
        <f t="shared" si="16"/>
        <v>19829</v>
      </c>
      <c r="D159" s="103">
        <v>40887</v>
      </c>
      <c r="E159" s="103">
        <v>60716</v>
      </c>
      <c r="F159" s="103">
        <f t="shared" si="17"/>
        <v>5287</v>
      </c>
      <c r="G159" s="103">
        <v>9073</v>
      </c>
      <c r="H159" s="103">
        <v>14360</v>
      </c>
      <c r="I159" s="103">
        <f t="shared" si="18"/>
        <v>1689</v>
      </c>
      <c r="J159" s="103">
        <v>3066</v>
      </c>
      <c r="K159" s="103">
        <v>4755</v>
      </c>
      <c r="L159" s="103">
        <f t="shared" si="19"/>
        <v>5783</v>
      </c>
      <c r="M159" s="103">
        <v>11392</v>
      </c>
      <c r="N159" s="103">
        <v>17175</v>
      </c>
      <c r="O159" s="103">
        <f t="shared" si="20"/>
        <v>128</v>
      </c>
      <c r="P159" s="103">
        <v>140</v>
      </c>
      <c r="Q159" s="103">
        <v>268</v>
      </c>
      <c r="R159" s="103">
        <f t="shared" si="21"/>
        <v>782</v>
      </c>
      <c r="S159" s="103">
        <v>1696</v>
      </c>
      <c r="T159" s="103">
        <v>2478</v>
      </c>
      <c r="U159" s="103">
        <f t="shared" si="22"/>
        <v>319</v>
      </c>
      <c r="V159" s="103">
        <v>1483</v>
      </c>
      <c r="W159" s="103">
        <v>1802</v>
      </c>
      <c r="X159" s="103">
        <f t="shared" si="23"/>
        <v>494</v>
      </c>
      <c r="Y159" s="103">
        <v>733</v>
      </c>
      <c r="Z159" s="103">
        <v>1227</v>
      </c>
    </row>
    <row r="160" spans="1:26" x14ac:dyDescent="0.35">
      <c r="A160" s="103">
        <v>156</v>
      </c>
      <c r="B160" s="130" t="s">
        <v>225</v>
      </c>
      <c r="C160" s="103">
        <f t="shared" si="16"/>
        <v>2401</v>
      </c>
      <c r="D160" s="103">
        <v>2558</v>
      </c>
      <c r="E160" s="103">
        <v>4959</v>
      </c>
      <c r="F160" s="103">
        <f t="shared" si="17"/>
        <v>504</v>
      </c>
      <c r="G160" s="103">
        <v>308</v>
      </c>
      <c r="H160" s="103">
        <v>812</v>
      </c>
      <c r="I160" s="103">
        <f t="shared" si="18"/>
        <v>128</v>
      </c>
      <c r="J160" s="103">
        <v>75</v>
      </c>
      <c r="K160" s="103">
        <v>203</v>
      </c>
      <c r="L160" s="103">
        <f t="shared" si="19"/>
        <v>677</v>
      </c>
      <c r="M160" s="103">
        <v>758</v>
      </c>
      <c r="N160" s="103">
        <v>1435</v>
      </c>
      <c r="O160" s="103">
        <f t="shared" si="20"/>
        <v>22</v>
      </c>
      <c r="P160" s="103">
        <v>15</v>
      </c>
      <c r="Q160" s="103">
        <v>37</v>
      </c>
      <c r="R160" s="103">
        <f t="shared" si="21"/>
        <v>28</v>
      </c>
      <c r="S160" s="103">
        <v>51</v>
      </c>
      <c r="T160" s="103">
        <v>79</v>
      </c>
      <c r="U160" s="103">
        <f t="shared" si="22"/>
        <v>39</v>
      </c>
      <c r="V160" s="103">
        <v>71</v>
      </c>
      <c r="W160" s="103">
        <v>110</v>
      </c>
      <c r="X160" s="103">
        <f t="shared" si="23"/>
        <v>61</v>
      </c>
      <c r="Y160" s="103">
        <v>90</v>
      </c>
      <c r="Z160" s="103">
        <v>151</v>
      </c>
    </row>
    <row r="161" spans="1:26" x14ac:dyDescent="0.35">
      <c r="A161" s="103">
        <v>157</v>
      </c>
      <c r="B161" s="130" t="s">
        <v>862</v>
      </c>
      <c r="C161" s="103">
        <f t="shared" si="16"/>
        <v>823</v>
      </c>
      <c r="D161" s="103">
        <v>585</v>
      </c>
      <c r="E161" s="103">
        <v>1408</v>
      </c>
      <c r="F161" s="103">
        <f t="shared" si="17"/>
        <v>155</v>
      </c>
      <c r="G161" s="103">
        <v>120</v>
      </c>
      <c r="H161" s="103">
        <v>275</v>
      </c>
      <c r="I161" s="103">
        <f t="shared" si="18"/>
        <v>36</v>
      </c>
      <c r="J161" s="103">
        <v>40</v>
      </c>
      <c r="K161" s="103">
        <v>76</v>
      </c>
      <c r="L161" s="103">
        <f t="shared" si="19"/>
        <v>65</v>
      </c>
      <c r="M161" s="103">
        <v>43</v>
      </c>
      <c r="N161" s="103">
        <v>108</v>
      </c>
      <c r="O161" s="103">
        <f t="shared" si="20"/>
        <v>4</v>
      </c>
      <c r="P161" s="103">
        <v>0</v>
      </c>
      <c r="Q161" s="103">
        <v>4</v>
      </c>
      <c r="R161" s="103">
        <f t="shared" si="21"/>
        <v>109</v>
      </c>
      <c r="S161" s="103">
        <v>41</v>
      </c>
      <c r="T161" s="103">
        <v>150</v>
      </c>
      <c r="U161" s="103">
        <f t="shared" si="22"/>
        <v>7</v>
      </c>
      <c r="V161" s="103">
        <v>6</v>
      </c>
      <c r="W161" s="103">
        <v>13</v>
      </c>
      <c r="X161" s="103">
        <f t="shared" si="23"/>
        <v>1</v>
      </c>
      <c r="Y161" s="103">
        <v>0</v>
      </c>
      <c r="Z161" s="103">
        <v>1</v>
      </c>
    </row>
    <row r="162" spans="1:26" x14ac:dyDescent="0.35">
      <c r="A162" s="103">
        <v>158</v>
      </c>
      <c r="B162" s="130" t="s">
        <v>863</v>
      </c>
      <c r="C162" s="103">
        <f t="shared" si="16"/>
        <v>116</v>
      </c>
      <c r="D162" s="103">
        <v>682</v>
      </c>
      <c r="E162" s="103">
        <v>798</v>
      </c>
      <c r="F162" s="103">
        <f t="shared" si="17"/>
        <v>12</v>
      </c>
      <c r="G162" s="103">
        <v>38</v>
      </c>
      <c r="H162" s="103">
        <v>50</v>
      </c>
      <c r="I162" s="103">
        <f t="shared" si="18"/>
        <v>1</v>
      </c>
      <c r="J162" s="103">
        <v>21</v>
      </c>
      <c r="K162" s="103">
        <v>22</v>
      </c>
      <c r="L162" s="103">
        <f t="shared" si="19"/>
        <v>37</v>
      </c>
      <c r="M162" s="103">
        <v>156</v>
      </c>
      <c r="N162" s="103">
        <v>193</v>
      </c>
      <c r="O162" s="103">
        <f t="shared" si="20"/>
        <v>0</v>
      </c>
      <c r="P162" s="103">
        <v>2</v>
      </c>
      <c r="Q162" s="103">
        <v>2</v>
      </c>
      <c r="R162" s="103">
        <f t="shared" si="21"/>
        <v>1</v>
      </c>
      <c r="S162" s="103">
        <v>7</v>
      </c>
      <c r="T162" s="103">
        <v>8</v>
      </c>
      <c r="U162" s="103">
        <f t="shared" si="22"/>
        <v>1</v>
      </c>
      <c r="V162" s="103">
        <v>25</v>
      </c>
      <c r="W162" s="103">
        <v>26</v>
      </c>
      <c r="X162" s="103">
        <f t="shared" si="23"/>
        <v>12</v>
      </c>
      <c r="Y162" s="103">
        <v>29</v>
      </c>
      <c r="Z162" s="103">
        <v>41</v>
      </c>
    </row>
    <row r="163" spans="1:26" x14ac:dyDescent="0.35">
      <c r="A163" s="103">
        <v>159</v>
      </c>
      <c r="B163" s="130" t="s">
        <v>864</v>
      </c>
      <c r="C163" s="103">
        <f t="shared" si="16"/>
        <v>782</v>
      </c>
      <c r="D163" s="103">
        <v>701</v>
      </c>
      <c r="E163" s="103">
        <v>1483</v>
      </c>
      <c r="F163" s="103">
        <f t="shared" si="17"/>
        <v>120</v>
      </c>
      <c r="G163" s="103">
        <v>74</v>
      </c>
      <c r="H163" s="103">
        <v>194</v>
      </c>
      <c r="I163" s="103">
        <f t="shared" si="18"/>
        <v>54</v>
      </c>
      <c r="J163" s="103">
        <v>62</v>
      </c>
      <c r="K163" s="103">
        <v>116</v>
      </c>
      <c r="L163" s="103">
        <f t="shared" si="19"/>
        <v>290</v>
      </c>
      <c r="M163" s="103">
        <v>307</v>
      </c>
      <c r="N163" s="103">
        <v>597</v>
      </c>
      <c r="O163" s="103">
        <f t="shared" si="20"/>
        <v>6</v>
      </c>
      <c r="P163" s="103">
        <v>2</v>
      </c>
      <c r="Q163" s="103">
        <v>8</v>
      </c>
      <c r="R163" s="103">
        <f t="shared" si="21"/>
        <v>22</v>
      </c>
      <c r="S163" s="103">
        <v>41</v>
      </c>
      <c r="T163" s="103">
        <v>63</v>
      </c>
      <c r="U163" s="103">
        <f t="shared" si="22"/>
        <v>28</v>
      </c>
      <c r="V163" s="103">
        <v>45</v>
      </c>
      <c r="W163" s="103">
        <v>73</v>
      </c>
      <c r="X163" s="103">
        <f t="shared" si="23"/>
        <v>26</v>
      </c>
      <c r="Y163" s="103">
        <v>21</v>
      </c>
      <c r="Z163" s="103">
        <v>47</v>
      </c>
    </row>
    <row r="164" spans="1:26" x14ac:dyDescent="0.35">
      <c r="A164" s="103">
        <v>160</v>
      </c>
      <c r="B164" s="130" t="s">
        <v>865</v>
      </c>
      <c r="C164" s="103">
        <f t="shared" si="16"/>
        <v>40</v>
      </c>
      <c r="D164" s="103">
        <v>191</v>
      </c>
      <c r="E164" s="103">
        <v>231</v>
      </c>
      <c r="F164" s="103">
        <f t="shared" si="17"/>
        <v>6</v>
      </c>
      <c r="G164" s="103">
        <v>29</v>
      </c>
      <c r="H164" s="103">
        <v>35</v>
      </c>
      <c r="I164" s="103">
        <f t="shared" si="18"/>
        <v>0</v>
      </c>
      <c r="J164" s="103">
        <v>6</v>
      </c>
      <c r="K164" s="103">
        <v>6</v>
      </c>
      <c r="L164" s="103">
        <f t="shared" si="19"/>
        <v>10</v>
      </c>
      <c r="M164" s="103">
        <v>32</v>
      </c>
      <c r="N164" s="103">
        <v>42</v>
      </c>
      <c r="O164" s="103">
        <f t="shared" si="20"/>
        <v>0</v>
      </c>
      <c r="P164" s="103">
        <v>0</v>
      </c>
      <c r="Q164" s="103">
        <v>0</v>
      </c>
      <c r="R164" s="103">
        <f t="shared" si="21"/>
        <v>2</v>
      </c>
      <c r="S164" s="103">
        <v>6</v>
      </c>
      <c r="T164" s="103">
        <v>8</v>
      </c>
      <c r="U164" s="103">
        <f t="shared" si="22"/>
        <v>2</v>
      </c>
      <c r="V164" s="103">
        <v>36</v>
      </c>
      <c r="W164" s="103">
        <v>38</v>
      </c>
      <c r="X164" s="103">
        <f t="shared" si="23"/>
        <v>1</v>
      </c>
      <c r="Y164" s="103">
        <v>2</v>
      </c>
      <c r="Z164" s="103">
        <v>3</v>
      </c>
    </row>
    <row r="165" spans="1:26" ht="28" x14ac:dyDescent="0.35">
      <c r="A165" s="103">
        <v>161</v>
      </c>
      <c r="B165" s="130" t="s">
        <v>226</v>
      </c>
      <c r="C165" s="103">
        <f t="shared" si="16"/>
        <v>2062</v>
      </c>
      <c r="D165" s="103">
        <v>2625</v>
      </c>
      <c r="E165" s="103">
        <v>4687</v>
      </c>
      <c r="F165" s="103">
        <f t="shared" si="17"/>
        <v>166</v>
      </c>
      <c r="G165" s="103">
        <v>192</v>
      </c>
      <c r="H165" s="103">
        <v>358</v>
      </c>
      <c r="I165" s="103">
        <f t="shared" si="18"/>
        <v>48</v>
      </c>
      <c r="J165" s="103">
        <v>53</v>
      </c>
      <c r="K165" s="103">
        <v>101</v>
      </c>
      <c r="L165" s="103">
        <f t="shared" si="19"/>
        <v>385</v>
      </c>
      <c r="M165" s="103">
        <v>533</v>
      </c>
      <c r="N165" s="103">
        <v>918</v>
      </c>
      <c r="O165" s="103">
        <f t="shared" si="20"/>
        <v>2</v>
      </c>
      <c r="P165" s="103">
        <v>0</v>
      </c>
      <c r="Q165" s="103">
        <v>2</v>
      </c>
      <c r="R165" s="103">
        <f t="shared" si="21"/>
        <v>82</v>
      </c>
      <c r="S165" s="103">
        <v>147</v>
      </c>
      <c r="T165" s="103">
        <v>229</v>
      </c>
      <c r="U165" s="103">
        <f t="shared" si="22"/>
        <v>75</v>
      </c>
      <c r="V165" s="103">
        <v>117</v>
      </c>
      <c r="W165" s="103">
        <v>192</v>
      </c>
      <c r="X165" s="103">
        <f t="shared" si="23"/>
        <v>14</v>
      </c>
      <c r="Y165" s="103">
        <v>32</v>
      </c>
      <c r="Z165" s="103">
        <v>46</v>
      </c>
    </row>
    <row r="166" spans="1:26" ht="28" x14ac:dyDescent="0.35">
      <c r="A166" s="103">
        <v>162</v>
      </c>
      <c r="B166" s="130" t="s">
        <v>866</v>
      </c>
      <c r="C166" s="103">
        <f t="shared" si="16"/>
        <v>197</v>
      </c>
      <c r="D166" s="103">
        <v>351</v>
      </c>
      <c r="E166" s="103">
        <v>548</v>
      </c>
      <c r="F166" s="103">
        <f t="shared" si="17"/>
        <v>12</v>
      </c>
      <c r="G166" s="103">
        <v>35</v>
      </c>
      <c r="H166" s="103">
        <v>47</v>
      </c>
      <c r="I166" s="103">
        <f t="shared" si="18"/>
        <v>1</v>
      </c>
      <c r="J166" s="103">
        <v>5</v>
      </c>
      <c r="K166" s="103">
        <v>6</v>
      </c>
      <c r="L166" s="103">
        <f t="shared" si="19"/>
        <v>43</v>
      </c>
      <c r="M166" s="103">
        <v>113</v>
      </c>
      <c r="N166" s="103">
        <v>156</v>
      </c>
      <c r="O166" s="103">
        <f t="shared" si="20"/>
        <v>0</v>
      </c>
      <c r="P166" s="103">
        <v>0</v>
      </c>
      <c r="Q166" s="103">
        <v>0</v>
      </c>
      <c r="R166" s="103">
        <f t="shared" si="21"/>
        <v>2</v>
      </c>
      <c r="S166" s="103">
        <v>7</v>
      </c>
      <c r="T166" s="103">
        <v>9</v>
      </c>
      <c r="U166" s="103">
        <f t="shared" si="22"/>
        <v>1</v>
      </c>
      <c r="V166" s="103">
        <v>5</v>
      </c>
      <c r="W166" s="103">
        <v>6</v>
      </c>
      <c r="X166" s="103">
        <f t="shared" si="23"/>
        <v>1</v>
      </c>
      <c r="Y166" s="103">
        <v>1</v>
      </c>
      <c r="Z166" s="103">
        <v>2</v>
      </c>
    </row>
    <row r="167" spans="1:26" ht="28" x14ac:dyDescent="0.35">
      <c r="A167" s="103">
        <v>163</v>
      </c>
      <c r="B167" s="130" t="s">
        <v>227</v>
      </c>
      <c r="C167" s="103">
        <f t="shared" si="16"/>
        <v>548</v>
      </c>
      <c r="D167" s="103">
        <v>799</v>
      </c>
      <c r="E167" s="103">
        <v>1347</v>
      </c>
      <c r="F167" s="103">
        <f t="shared" si="17"/>
        <v>75</v>
      </c>
      <c r="G167" s="103">
        <v>72</v>
      </c>
      <c r="H167" s="103">
        <v>147</v>
      </c>
      <c r="I167" s="103">
        <f t="shared" si="18"/>
        <v>69</v>
      </c>
      <c r="J167" s="103">
        <v>106</v>
      </c>
      <c r="K167" s="103">
        <v>175</v>
      </c>
      <c r="L167" s="103">
        <f t="shared" si="19"/>
        <v>149</v>
      </c>
      <c r="M167" s="103">
        <v>232</v>
      </c>
      <c r="N167" s="103">
        <v>381</v>
      </c>
      <c r="O167" s="103">
        <f t="shared" si="20"/>
        <v>0</v>
      </c>
      <c r="P167" s="103">
        <v>1</v>
      </c>
      <c r="Q167" s="103">
        <v>1</v>
      </c>
      <c r="R167" s="103">
        <f t="shared" si="21"/>
        <v>49</v>
      </c>
      <c r="S167" s="103">
        <v>74</v>
      </c>
      <c r="T167" s="103">
        <v>123</v>
      </c>
      <c r="U167" s="103">
        <f t="shared" si="22"/>
        <v>14</v>
      </c>
      <c r="V167" s="103">
        <v>30</v>
      </c>
      <c r="W167" s="103">
        <v>44</v>
      </c>
      <c r="X167" s="103">
        <f t="shared" si="23"/>
        <v>6</v>
      </c>
      <c r="Y167" s="103">
        <v>5</v>
      </c>
      <c r="Z167" s="103">
        <v>11</v>
      </c>
    </row>
    <row r="168" spans="1:26" x14ac:dyDescent="0.35">
      <c r="A168" s="103">
        <v>164</v>
      </c>
      <c r="B168" s="130" t="s">
        <v>867</v>
      </c>
      <c r="C168" s="103">
        <f t="shared" si="16"/>
        <v>564</v>
      </c>
      <c r="D168" s="103">
        <v>403</v>
      </c>
      <c r="E168" s="103">
        <v>967</v>
      </c>
      <c r="F168" s="103">
        <f t="shared" si="17"/>
        <v>49</v>
      </c>
      <c r="G168" s="103">
        <v>39</v>
      </c>
      <c r="H168" s="103">
        <v>88</v>
      </c>
      <c r="I168" s="103">
        <f t="shared" si="18"/>
        <v>7</v>
      </c>
      <c r="J168" s="103">
        <v>4</v>
      </c>
      <c r="K168" s="103">
        <v>11</v>
      </c>
      <c r="L168" s="103">
        <f t="shared" si="19"/>
        <v>245</v>
      </c>
      <c r="M168" s="103">
        <v>206</v>
      </c>
      <c r="N168" s="103">
        <v>451</v>
      </c>
      <c r="O168" s="103">
        <f t="shared" si="20"/>
        <v>2</v>
      </c>
      <c r="P168" s="103">
        <v>0</v>
      </c>
      <c r="Q168" s="103">
        <v>2</v>
      </c>
      <c r="R168" s="103">
        <f t="shared" si="21"/>
        <v>37</v>
      </c>
      <c r="S168" s="103">
        <v>23</v>
      </c>
      <c r="T168" s="103">
        <v>60</v>
      </c>
      <c r="U168" s="103">
        <f t="shared" si="22"/>
        <v>5</v>
      </c>
      <c r="V168" s="103">
        <v>7</v>
      </c>
      <c r="W168" s="103">
        <v>12</v>
      </c>
      <c r="X168" s="103">
        <f t="shared" si="23"/>
        <v>11</v>
      </c>
      <c r="Y168" s="103">
        <v>9</v>
      </c>
      <c r="Z168" s="103">
        <v>20</v>
      </c>
    </row>
    <row r="169" spans="1:26" ht="28" x14ac:dyDescent="0.35">
      <c r="A169" s="103">
        <v>165</v>
      </c>
      <c r="B169" s="130" t="s">
        <v>228</v>
      </c>
      <c r="C169" s="103">
        <f t="shared" si="16"/>
        <v>2045</v>
      </c>
      <c r="D169" s="103">
        <v>2012</v>
      </c>
      <c r="E169" s="103">
        <v>4057</v>
      </c>
      <c r="F169" s="103">
        <f t="shared" si="17"/>
        <v>300</v>
      </c>
      <c r="G169" s="103">
        <v>227</v>
      </c>
      <c r="H169" s="103">
        <v>527</v>
      </c>
      <c r="I169" s="103">
        <f t="shared" si="18"/>
        <v>113</v>
      </c>
      <c r="J169" s="103">
        <v>85</v>
      </c>
      <c r="K169" s="103">
        <v>198</v>
      </c>
      <c r="L169" s="103">
        <f t="shared" si="19"/>
        <v>590</v>
      </c>
      <c r="M169" s="103">
        <v>465</v>
      </c>
      <c r="N169" s="103">
        <v>1055</v>
      </c>
      <c r="O169" s="103">
        <f t="shared" si="20"/>
        <v>3</v>
      </c>
      <c r="P169" s="103">
        <v>0</v>
      </c>
      <c r="Q169" s="103">
        <v>3</v>
      </c>
      <c r="R169" s="103">
        <f t="shared" si="21"/>
        <v>137</v>
      </c>
      <c r="S169" s="103">
        <v>139</v>
      </c>
      <c r="T169" s="103">
        <v>276</v>
      </c>
      <c r="U169" s="103">
        <f t="shared" si="22"/>
        <v>62</v>
      </c>
      <c r="V169" s="103">
        <v>70</v>
      </c>
      <c r="W169" s="103">
        <v>132</v>
      </c>
      <c r="X169" s="103">
        <f t="shared" si="23"/>
        <v>61</v>
      </c>
      <c r="Y169" s="103">
        <v>63</v>
      </c>
      <c r="Z169" s="103">
        <v>124</v>
      </c>
    </row>
    <row r="170" spans="1:26" x14ac:dyDescent="0.35">
      <c r="A170" s="103">
        <v>166</v>
      </c>
      <c r="B170" s="130" t="s">
        <v>229</v>
      </c>
      <c r="C170" s="103">
        <f t="shared" si="16"/>
        <v>737</v>
      </c>
      <c r="D170" s="103">
        <v>556</v>
      </c>
      <c r="E170" s="103">
        <v>1293</v>
      </c>
      <c r="F170" s="103">
        <f t="shared" si="17"/>
        <v>178</v>
      </c>
      <c r="G170" s="103">
        <v>94</v>
      </c>
      <c r="H170" s="103">
        <v>272</v>
      </c>
      <c r="I170" s="103">
        <f t="shared" si="18"/>
        <v>128</v>
      </c>
      <c r="J170" s="103">
        <v>49</v>
      </c>
      <c r="K170" s="103">
        <v>177</v>
      </c>
      <c r="L170" s="103">
        <f t="shared" si="19"/>
        <v>168</v>
      </c>
      <c r="M170" s="103">
        <v>121</v>
      </c>
      <c r="N170" s="103">
        <v>289</v>
      </c>
      <c r="O170" s="103">
        <f t="shared" si="20"/>
        <v>0</v>
      </c>
      <c r="P170" s="103">
        <v>0</v>
      </c>
      <c r="Q170" s="103">
        <v>0</v>
      </c>
      <c r="R170" s="103">
        <f t="shared" si="21"/>
        <v>23</v>
      </c>
      <c r="S170" s="103">
        <v>16</v>
      </c>
      <c r="T170" s="103">
        <v>39</v>
      </c>
      <c r="U170" s="103">
        <f t="shared" si="22"/>
        <v>10</v>
      </c>
      <c r="V170" s="103">
        <v>18</v>
      </c>
      <c r="W170" s="103">
        <v>28</v>
      </c>
      <c r="X170" s="103">
        <f t="shared" si="23"/>
        <v>3</v>
      </c>
      <c r="Y170" s="103">
        <v>6</v>
      </c>
      <c r="Z170" s="103">
        <v>9</v>
      </c>
    </row>
    <row r="171" spans="1:26" x14ac:dyDescent="0.35">
      <c r="A171" s="103">
        <v>167</v>
      </c>
      <c r="B171" s="130" t="s">
        <v>230</v>
      </c>
      <c r="C171" s="103">
        <f t="shared" si="16"/>
        <v>664</v>
      </c>
      <c r="D171" s="103">
        <v>701</v>
      </c>
      <c r="E171" s="103">
        <v>1365</v>
      </c>
      <c r="F171" s="103">
        <f t="shared" si="17"/>
        <v>60</v>
      </c>
      <c r="G171" s="103">
        <v>67</v>
      </c>
      <c r="H171" s="103">
        <v>127</v>
      </c>
      <c r="I171" s="103">
        <f t="shared" si="18"/>
        <v>70</v>
      </c>
      <c r="J171" s="103">
        <v>58</v>
      </c>
      <c r="K171" s="103">
        <v>128</v>
      </c>
      <c r="L171" s="103">
        <f t="shared" si="19"/>
        <v>198</v>
      </c>
      <c r="M171" s="103">
        <v>180</v>
      </c>
      <c r="N171" s="103">
        <v>378</v>
      </c>
      <c r="O171" s="103">
        <f t="shared" si="20"/>
        <v>0</v>
      </c>
      <c r="P171" s="103">
        <v>1</v>
      </c>
      <c r="Q171" s="103">
        <v>1</v>
      </c>
      <c r="R171" s="103">
        <f t="shared" si="21"/>
        <v>15</v>
      </c>
      <c r="S171" s="103">
        <v>7</v>
      </c>
      <c r="T171" s="103">
        <v>22</v>
      </c>
      <c r="U171" s="103">
        <f t="shared" si="22"/>
        <v>0</v>
      </c>
      <c r="V171" s="103">
        <v>0</v>
      </c>
      <c r="W171" s="103">
        <v>0</v>
      </c>
      <c r="X171" s="103">
        <f t="shared" si="23"/>
        <v>34</v>
      </c>
      <c r="Y171" s="103">
        <v>41</v>
      </c>
      <c r="Z171" s="103">
        <v>75</v>
      </c>
    </row>
    <row r="172" spans="1:26" ht="28" x14ac:dyDescent="0.35">
      <c r="A172" s="103">
        <v>168</v>
      </c>
      <c r="B172" s="130" t="s">
        <v>231</v>
      </c>
      <c r="C172" s="103">
        <f t="shared" si="16"/>
        <v>1564</v>
      </c>
      <c r="D172" s="103">
        <v>1613</v>
      </c>
      <c r="E172" s="103">
        <v>3177</v>
      </c>
      <c r="F172" s="103">
        <f t="shared" si="17"/>
        <v>374</v>
      </c>
      <c r="G172" s="103">
        <v>308</v>
      </c>
      <c r="H172" s="103">
        <v>682</v>
      </c>
      <c r="I172" s="103">
        <f t="shared" si="18"/>
        <v>177</v>
      </c>
      <c r="J172" s="103">
        <v>178</v>
      </c>
      <c r="K172" s="103">
        <v>355</v>
      </c>
      <c r="L172" s="103">
        <f t="shared" si="19"/>
        <v>606</v>
      </c>
      <c r="M172" s="103">
        <v>613</v>
      </c>
      <c r="N172" s="103">
        <v>1219</v>
      </c>
      <c r="O172" s="103">
        <f t="shared" si="20"/>
        <v>8</v>
      </c>
      <c r="P172" s="103">
        <v>1</v>
      </c>
      <c r="Q172" s="103">
        <v>9</v>
      </c>
      <c r="R172" s="103">
        <f t="shared" si="21"/>
        <v>67</v>
      </c>
      <c r="S172" s="103">
        <v>57</v>
      </c>
      <c r="T172" s="103">
        <v>124</v>
      </c>
      <c r="U172" s="103">
        <f t="shared" si="22"/>
        <v>29</v>
      </c>
      <c r="V172" s="103">
        <v>38</v>
      </c>
      <c r="W172" s="103">
        <v>67</v>
      </c>
      <c r="X172" s="103">
        <f t="shared" si="23"/>
        <v>14</v>
      </c>
      <c r="Y172" s="103">
        <v>30</v>
      </c>
      <c r="Z172" s="103">
        <v>44</v>
      </c>
    </row>
    <row r="173" spans="1:26" x14ac:dyDescent="0.35">
      <c r="A173" s="103">
        <v>169</v>
      </c>
      <c r="B173" s="130" t="s">
        <v>232</v>
      </c>
      <c r="C173" s="103">
        <f t="shared" si="16"/>
        <v>2909</v>
      </c>
      <c r="D173" s="103">
        <v>2402</v>
      </c>
      <c r="E173" s="103">
        <v>5311</v>
      </c>
      <c r="F173" s="103">
        <f t="shared" si="17"/>
        <v>726</v>
      </c>
      <c r="G173" s="103">
        <v>501</v>
      </c>
      <c r="H173" s="103">
        <v>1227</v>
      </c>
      <c r="I173" s="103">
        <f t="shared" si="18"/>
        <v>300</v>
      </c>
      <c r="J173" s="103">
        <v>261</v>
      </c>
      <c r="K173" s="103">
        <v>561</v>
      </c>
      <c r="L173" s="103">
        <f t="shared" si="19"/>
        <v>727</v>
      </c>
      <c r="M173" s="103">
        <v>818</v>
      </c>
      <c r="N173" s="103">
        <v>1545</v>
      </c>
      <c r="O173" s="103">
        <f t="shared" si="20"/>
        <v>6</v>
      </c>
      <c r="P173" s="103">
        <v>7</v>
      </c>
      <c r="Q173" s="103">
        <v>13</v>
      </c>
      <c r="R173" s="103">
        <f t="shared" si="21"/>
        <v>38</v>
      </c>
      <c r="S173" s="103">
        <v>61</v>
      </c>
      <c r="T173" s="103">
        <v>99</v>
      </c>
      <c r="U173" s="103">
        <f t="shared" si="22"/>
        <v>77</v>
      </c>
      <c r="V173" s="103">
        <v>103</v>
      </c>
      <c r="W173" s="103">
        <v>180</v>
      </c>
      <c r="X173" s="103">
        <f t="shared" si="23"/>
        <v>51</v>
      </c>
      <c r="Y173" s="103">
        <v>62</v>
      </c>
      <c r="Z173" s="103">
        <v>113</v>
      </c>
    </row>
    <row r="174" spans="1:26" ht="28" x14ac:dyDescent="0.35">
      <c r="A174" s="103">
        <v>170</v>
      </c>
      <c r="B174" s="130" t="s">
        <v>868</v>
      </c>
      <c r="C174" s="103">
        <f t="shared" si="16"/>
        <v>51</v>
      </c>
      <c r="D174" s="103">
        <v>185</v>
      </c>
      <c r="E174" s="103">
        <v>236</v>
      </c>
      <c r="F174" s="103">
        <f t="shared" si="17"/>
        <v>14</v>
      </c>
      <c r="G174" s="103">
        <v>38</v>
      </c>
      <c r="H174" s="103">
        <v>52</v>
      </c>
      <c r="I174" s="103">
        <f t="shared" si="18"/>
        <v>0</v>
      </c>
      <c r="J174" s="103">
        <v>5</v>
      </c>
      <c r="K174" s="103">
        <v>5</v>
      </c>
      <c r="L174" s="103">
        <f t="shared" si="19"/>
        <v>24</v>
      </c>
      <c r="M174" s="103">
        <v>102</v>
      </c>
      <c r="N174" s="103">
        <v>126</v>
      </c>
      <c r="O174" s="103">
        <f t="shared" si="20"/>
        <v>0</v>
      </c>
      <c r="P174" s="103">
        <v>0</v>
      </c>
      <c r="Q174" s="103">
        <v>0</v>
      </c>
      <c r="R174" s="103">
        <f t="shared" si="21"/>
        <v>0</v>
      </c>
      <c r="S174" s="103">
        <v>1</v>
      </c>
      <c r="T174" s="103">
        <v>1</v>
      </c>
      <c r="U174" s="103">
        <f t="shared" si="22"/>
        <v>4</v>
      </c>
      <c r="V174" s="103">
        <v>48</v>
      </c>
      <c r="W174" s="103">
        <v>52</v>
      </c>
      <c r="X174" s="103">
        <f t="shared" si="23"/>
        <v>0</v>
      </c>
      <c r="Y174" s="103">
        <v>2</v>
      </c>
      <c r="Z174" s="103">
        <v>2</v>
      </c>
    </row>
    <row r="175" spans="1:26" x14ac:dyDescent="0.35">
      <c r="A175" s="103">
        <v>171</v>
      </c>
      <c r="B175" s="130" t="s">
        <v>869</v>
      </c>
      <c r="C175" s="103">
        <f t="shared" si="16"/>
        <v>472</v>
      </c>
      <c r="D175" s="103">
        <v>544</v>
      </c>
      <c r="E175" s="103">
        <v>1016</v>
      </c>
      <c r="F175" s="103">
        <f t="shared" si="17"/>
        <v>76</v>
      </c>
      <c r="G175" s="103">
        <v>57</v>
      </c>
      <c r="H175" s="103">
        <v>133</v>
      </c>
      <c r="I175" s="103">
        <f t="shared" si="18"/>
        <v>36</v>
      </c>
      <c r="J175" s="103">
        <v>26</v>
      </c>
      <c r="K175" s="103">
        <v>62</v>
      </c>
      <c r="L175" s="103">
        <f t="shared" si="19"/>
        <v>97</v>
      </c>
      <c r="M175" s="103">
        <v>85</v>
      </c>
      <c r="N175" s="103">
        <v>182</v>
      </c>
      <c r="O175" s="103">
        <f t="shared" si="20"/>
        <v>2</v>
      </c>
      <c r="P175" s="103">
        <v>1</v>
      </c>
      <c r="Q175" s="103">
        <v>3</v>
      </c>
      <c r="R175" s="103">
        <f t="shared" si="21"/>
        <v>11</v>
      </c>
      <c r="S175" s="103">
        <v>14</v>
      </c>
      <c r="T175" s="103">
        <v>25</v>
      </c>
      <c r="U175" s="103">
        <f t="shared" si="22"/>
        <v>7</v>
      </c>
      <c r="V175" s="103">
        <v>4</v>
      </c>
      <c r="W175" s="103">
        <v>11</v>
      </c>
      <c r="X175" s="103">
        <f t="shared" si="23"/>
        <v>21</v>
      </c>
      <c r="Y175" s="103">
        <v>23</v>
      </c>
      <c r="Z175" s="103">
        <v>44</v>
      </c>
    </row>
    <row r="176" spans="1:26" x14ac:dyDescent="0.35">
      <c r="A176" s="103">
        <v>172</v>
      </c>
      <c r="B176" s="130" t="s">
        <v>870</v>
      </c>
      <c r="C176" s="103">
        <f t="shared" si="16"/>
        <v>20</v>
      </c>
      <c r="D176" s="103">
        <v>25</v>
      </c>
      <c r="E176" s="103">
        <v>45</v>
      </c>
      <c r="F176" s="103">
        <f t="shared" si="17"/>
        <v>0</v>
      </c>
      <c r="G176" s="103">
        <v>0</v>
      </c>
      <c r="H176" s="103">
        <v>0</v>
      </c>
      <c r="I176" s="103">
        <f t="shared" si="18"/>
        <v>0</v>
      </c>
      <c r="J176" s="103">
        <v>0</v>
      </c>
      <c r="K176" s="103">
        <v>0</v>
      </c>
      <c r="L176" s="103">
        <f t="shared" si="19"/>
        <v>1</v>
      </c>
      <c r="M176" s="103">
        <v>1</v>
      </c>
      <c r="N176" s="103">
        <v>2</v>
      </c>
      <c r="O176" s="103">
        <f t="shared" si="20"/>
        <v>0</v>
      </c>
      <c r="P176" s="103">
        <v>0</v>
      </c>
      <c r="Q176" s="103">
        <v>0</v>
      </c>
      <c r="R176" s="103">
        <f t="shared" si="21"/>
        <v>1</v>
      </c>
      <c r="S176" s="103">
        <v>0</v>
      </c>
      <c r="T176" s="103">
        <v>1</v>
      </c>
      <c r="U176" s="103">
        <f t="shared" si="22"/>
        <v>1</v>
      </c>
      <c r="V176" s="103">
        <v>3</v>
      </c>
      <c r="W176" s="103">
        <v>4</v>
      </c>
      <c r="X176" s="103">
        <f t="shared" si="23"/>
        <v>0</v>
      </c>
      <c r="Y176" s="103">
        <v>0</v>
      </c>
      <c r="Z176" s="103">
        <v>0</v>
      </c>
    </row>
    <row r="177" spans="1:26" x14ac:dyDescent="0.35">
      <c r="A177" s="103">
        <v>173</v>
      </c>
      <c r="B177" s="130" t="s">
        <v>233</v>
      </c>
      <c r="C177" s="103">
        <f t="shared" si="16"/>
        <v>3540</v>
      </c>
      <c r="D177" s="103">
        <v>2362</v>
      </c>
      <c r="E177" s="103">
        <v>5902</v>
      </c>
      <c r="F177" s="103">
        <f t="shared" si="17"/>
        <v>544</v>
      </c>
      <c r="G177" s="103">
        <v>419</v>
      </c>
      <c r="H177" s="103">
        <v>963</v>
      </c>
      <c r="I177" s="103">
        <f t="shared" si="18"/>
        <v>256</v>
      </c>
      <c r="J177" s="103">
        <v>166</v>
      </c>
      <c r="K177" s="103">
        <v>422</v>
      </c>
      <c r="L177" s="103">
        <f t="shared" si="19"/>
        <v>563</v>
      </c>
      <c r="M177" s="103">
        <v>416</v>
      </c>
      <c r="N177" s="103">
        <v>979</v>
      </c>
      <c r="O177" s="103">
        <f t="shared" si="20"/>
        <v>1</v>
      </c>
      <c r="P177" s="103">
        <v>0</v>
      </c>
      <c r="Q177" s="103">
        <v>1</v>
      </c>
      <c r="R177" s="103">
        <f t="shared" si="21"/>
        <v>104</v>
      </c>
      <c r="S177" s="103">
        <v>54</v>
      </c>
      <c r="T177" s="103">
        <v>158</v>
      </c>
      <c r="U177" s="103">
        <f t="shared" si="22"/>
        <v>235</v>
      </c>
      <c r="V177" s="103">
        <v>175</v>
      </c>
      <c r="W177" s="103">
        <v>410</v>
      </c>
      <c r="X177" s="103">
        <f t="shared" si="23"/>
        <v>92</v>
      </c>
      <c r="Y177" s="103">
        <v>46</v>
      </c>
      <c r="Z177" s="103">
        <v>138</v>
      </c>
    </row>
    <row r="178" spans="1:26" ht="28" x14ac:dyDescent="0.35">
      <c r="A178" s="103">
        <v>174</v>
      </c>
      <c r="B178" s="130" t="s">
        <v>871</v>
      </c>
      <c r="C178" s="103">
        <f t="shared" si="16"/>
        <v>493</v>
      </c>
      <c r="D178" s="103">
        <v>242</v>
      </c>
      <c r="E178" s="103">
        <v>735</v>
      </c>
      <c r="F178" s="103">
        <f t="shared" si="17"/>
        <v>47</v>
      </c>
      <c r="G178" s="103">
        <v>26</v>
      </c>
      <c r="H178" s="103">
        <v>73</v>
      </c>
      <c r="I178" s="103">
        <f t="shared" si="18"/>
        <v>15</v>
      </c>
      <c r="J178" s="103">
        <v>14</v>
      </c>
      <c r="K178" s="103">
        <v>29</v>
      </c>
      <c r="L178" s="103">
        <f t="shared" si="19"/>
        <v>195</v>
      </c>
      <c r="M178" s="103">
        <v>102</v>
      </c>
      <c r="N178" s="103">
        <v>297</v>
      </c>
      <c r="O178" s="103">
        <f t="shared" si="20"/>
        <v>0</v>
      </c>
      <c r="P178" s="103">
        <v>0</v>
      </c>
      <c r="Q178" s="103">
        <v>0</v>
      </c>
      <c r="R178" s="103">
        <f t="shared" si="21"/>
        <v>0</v>
      </c>
      <c r="S178" s="103">
        <v>1</v>
      </c>
      <c r="T178" s="103">
        <v>1</v>
      </c>
      <c r="U178" s="103">
        <f t="shared" si="22"/>
        <v>10</v>
      </c>
      <c r="V178" s="103">
        <v>6</v>
      </c>
      <c r="W178" s="103">
        <v>16</v>
      </c>
      <c r="X178" s="103">
        <f t="shared" si="23"/>
        <v>0</v>
      </c>
      <c r="Y178" s="103">
        <v>0</v>
      </c>
      <c r="Z178" s="103">
        <v>0</v>
      </c>
    </row>
    <row r="179" spans="1:26" x14ac:dyDescent="0.35">
      <c r="A179" s="103">
        <v>175</v>
      </c>
      <c r="B179" s="130" t="s">
        <v>234</v>
      </c>
      <c r="C179" s="103">
        <f t="shared" si="16"/>
        <v>743</v>
      </c>
      <c r="D179" s="103">
        <v>1012</v>
      </c>
      <c r="E179" s="103">
        <v>1755</v>
      </c>
      <c r="F179" s="103">
        <f t="shared" si="17"/>
        <v>163</v>
      </c>
      <c r="G179" s="103">
        <v>168</v>
      </c>
      <c r="H179" s="103">
        <v>331</v>
      </c>
      <c r="I179" s="103">
        <f t="shared" si="18"/>
        <v>31</v>
      </c>
      <c r="J179" s="103">
        <v>48</v>
      </c>
      <c r="K179" s="103">
        <v>79</v>
      </c>
      <c r="L179" s="103">
        <f t="shared" si="19"/>
        <v>194</v>
      </c>
      <c r="M179" s="103">
        <v>266</v>
      </c>
      <c r="N179" s="103">
        <v>460</v>
      </c>
      <c r="O179" s="103">
        <f t="shared" si="20"/>
        <v>1</v>
      </c>
      <c r="P179" s="103">
        <v>3</v>
      </c>
      <c r="Q179" s="103">
        <v>4</v>
      </c>
      <c r="R179" s="103">
        <f t="shared" si="21"/>
        <v>7</v>
      </c>
      <c r="S179" s="103">
        <v>0</v>
      </c>
      <c r="T179" s="103">
        <v>7</v>
      </c>
      <c r="U179" s="103">
        <f t="shared" si="22"/>
        <v>40</v>
      </c>
      <c r="V179" s="103">
        <v>34</v>
      </c>
      <c r="W179" s="103">
        <v>74</v>
      </c>
      <c r="X179" s="103">
        <f t="shared" si="23"/>
        <v>20</v>
      </c>
      <c r="Y179" s="103">
        <v>26</v>
      </c>
      <c r="Z179" s="103">
        <v>46</v>
      </c>
    </row>
    <row r="180" spans="1:26" x14ac:dyDescent="0.35">
      <c r="A180" s="103">
        <v>176</v>
      </c>
      <c r="B180" s="130" t="s">
        <v>872</v>
      </c>
      <c r="C180" s="103">
        <f t="shared" si="16"/>
        <v>138</v>
      </c>
      <c r="D180" s="103">
        <v>94</v>
      </c>
      <c r="E180" s="103">
        <v>232</v>
      </c>
      <c r="F180" s="103">
        <f t="shared" si="17"/>
        <v>0</v>
      </c>
      <c r="G180" s="103">
        <v>0</v>
      </c>
      <c r="H180" s="103">
        <v>0</v>
      </c>
      <c r="I180" s="103">
        <f t="shared" si="18"/>
        <v>0</v>
      </c>
      <c r="J180" s="103">
        <v>0</v>
      </c>
      <c r="K180" s="103">
        <v>0</v>
      </c>
      <c r="L180" s="103">
        <f t="shared" si="19"/>
        <v>3</v>
      </c>
      <c r="M180" s="103">
        <v>2</v>
      </c>
      <c r="N180" s="103">
        <v>5</v>
      </c>
      <c r="O180" s="103">
        <f t="shared" si="20"/>
        <v>0</v>
      </c>
      <c r="P180" s="103">
        <v>0</v>
      </c>
      <c r="Q180" s="103">
        <v>0</v>
      </c>
      <c r="R180" s="103">
        <f t="shared" si="21"/>
        <v>138</v>
      </c>
      <c r="S180" s="103">
        <v>89</v>
      </c>
      <c r="T180" s="103">
        <v>227</v>
      </c>
      <c r="U180" s="103">
        <f t="shared" si="22"/>
        <v>0</v>
      </c>
      <c r="V180" s="103">
        <v>0</v>
      </c>
      <c r="W180" s="103">
        <v>0</v>
      </c>
      <c r="X180" s="103">
        <f t="shared" si="23"/>
        <v>0</v>
      </c>
      <c r="Y180" s="103">
        <v>0</v>
      </c>
      <c r="Z180" s="103">
        <v>0</v>
      </c>
    </row>
    <row r="181" spans="1:26" x14ac:dyDescent="0.35">
      <c r="A181" s="103">
        <v>177</v>
      </c>
      <c r="B181" s="130" t="s">
        <v>235</v>
      </c>
      <c r="C181" s="103">
        <f t="shared" si="16"/>
        <v>178</v>
      </c>
      <c r="D181" s="103">
        <v>465</v>
      </c>
      <c r="E181" s="103">
        <v>643</v>
      </c>
      <c r="F181" s="103">
        <f t="shared" si="17"/>
        <v>17</v>
      </c>
      <c r="G181" s="103">
        <v>51</v>
      </c>
      <c r="H181" s="103">
        <v>68</v>
      </c>
      <c r="I181" s="103">
        <f t="shared" si="18"/>
        <v>2</v>
      </c>
      <c r="J181" s="103">
        <v>16</v>
      </c>
      <c r="K181" s="103">
        <v>18</v>
      </c>
      <c r="L181" s="103">
        <f t="shared" si="19"/>
        <v>75</v>
      </c>
      <c r="M181" s="103">
        <v>131</v>
      </c>
      <c r="N181" s="103">
        <v>206</v>
      </c>
      <c r="O181" s="103">
        <f t="shared" si="20"/>
        <v>0</v>
      </c>
      <c r="P181" s="103">
        <v>0</v>
      </c>
      <c r="Q181" s="103">
        <v>0</v>
      </c>
      <c r="R181" s="103">
        <f t="shared" si="21"/>
        <v>2</v>
      </c>
      <c r="S181" s="103">
        <v>3</v>
      </c>
      <c r="T181" s="103">
        <v>5</v>
      </c>
      <c r="U181" s="103">
        <f t="shared" si="22"/>
        <v>4</v>
      </c>
      <c r="V181" s="103">
        <v>13</v>
      </c>
      <c r="W181" s="103">
        <v>17</v>
      </c>
      <c r="X181" s="103">
        <f t="shared" si="23"/>
        <v>5</v>
      </c>
      <c r="Y181" s="103">
        <v>4</v>
      </c>
      <c r="Z181" s="103">
        <v>9</v>
      </c>
    </row>
    <row r="182" spans="1:26" x14ac:dyDescent="0.35">
      <c r="A182" s="103">
        <v>178</v>
      </c>
      <c r="B182" s="130" t="s">
        <v>236</v>
      </c>
      <c r="C182" s="103">
        <f t="shared" si="16"/>
        <v>337</v>
      </c>
      <c r="D182" s="103">
        <v>561</v>
      </c>
      <c r="E182" s="103">
        <v>898</v>
      </c>
      <c r="F182" s="103">
        <f t="shared" si="17"/>
        <v>22</v>
      </c>
      <c r="G182" s="103">
        <v>33</v>
      </c>
      <c r="H182" s="103">
        <v>55</v>
      </c>
      <c r="I182" s="103">
        <f t="shared" si="18"/>
        <v>4</v>
      </c>
      <c r="J182" s="103">
        <v>18</v>
      </c>
      <c r="K182" s="103">
        <v>22</v>
      </c>
      <c r="L182" s="103">
        <f t="shared" si="19"/>
        <v>52</v>
      </c>
      <c r="M182" s="103">
        <v>134</v>
      </c>
      <c r="N182" s="103">
        <v>186</v>
      </c>
      <c r="O182" s="103">
        <f t="shared" si="20"/>
        <v>0</v>
      </c>
      <c r="P182" s="103">
        <v>0</v>
      </c>
      <c r="Q182" s="103">
        <v>0</v>
      </c>
      <c r="R182" s="103">
        <f t="shared" si="21"/>
        <v>3</v>
      </c>
      <c r="S182" s="103">
        <v>10</v>
      </c>
      <c r="T182" s="103">
        <v>13</v>
      </c>
      <c r="U182" s="103">
        <f t="shared" si="22"/>
        <v>1</v>
      </c>
      <c r="V182" s="103">
        <v>11</v>
      </c>
      <c r="W182" s="103">
        <v>12</v>
      </c>
      <c r="X182" s="103">
        <f t="shared" si="23"/>
        <v>1</v>
      </c>
      <c r="Y182" s="103">
        <v>0</v>
      </c>
      <c r="Z182" s="103">
        <v>1</v>
      </c>
    </row>
    <row r="183" spans="1:26" x14ac:dyDescent="0.35">
      <c r="A183" s="103">
        <v>179</v>
      </c>
      <c r="B183" s="130" t="s">
        <v>237</v>
      </c>
      <c r="C183" s="103">
        <f t="shared" si="16"/>
        <v>1454</v>
      </c>
      <c r="D183" s="103">
        <v>1588</v>
      </c>
      <c r="E183" s="103">
        <v>3042</v>
      </c>
      <c r="F183" s="103">
        <f t="shared" si="17"/>
        <v>240</v>
      </c>
      <c r="G183" s="103">
        <v>142</v>
      </c>
      <c r="H183" s="103">
        <v>382</v>
      </c>
      <c r="I183" s="103">
        <f t="shared" si="18"/>
        <v>85</v>
      </c>
      <c r="J183" s="103">
        <v>64</v>
      </c>
      <c r="K183" s="103">
        <v>149</v>
      </c>
      <c r="L183" s="103">
        <f t="shared" si="19"/>
        <v>383</v>
      </c>
      <c r="M183" s="103">
        <v>351</v>
      </c>
      <c r="N183" s="103">
        <v>734</v>
      </c>
      <c r="O183" s="103">
        <f t="shared" si="20"/>
        <v>7</v>
      </c>
      <c r="P183" s="103">
        <v>13</v>
      </c>
      <c r="Q183" s="103">
        <v>20</v>
      </c>
      <c r="R183" s="103">
        <f t="shared" si="21"/>
        <v>11</v>
      </c>
      <c r="S183" s="103">
        <v>2</v>
      </c>
      <c r="T183" s="103">
        <v>13</v>
      </c>
      <c r="U183" s="103">
        <f t="shared" si="22"/>
        <v>12</v>
      </c>
      <c r="V183" s="103">
        <v>8</v>
      </c>
      <c r="W183" s="103">
        <v>20</v>
      </c>
      <c r="X183" s="103">
        <f t="shared" si="23"/>
        <v>26</v>
      </c>
      <c r="Y183" s="103">
        <v>25</v>
      </c>
      <c r="Z183" s="103">
        <v>51</v>
      </c>
    </row>
    <row r="184" spans="1:26" x14ac:dyDescent="0.35">
      <c r="A184" s="103">
        <v>180</v>
      </c>
      <c r="B184" s="130" t="s">
        <v>873</v>
      </c>
      <c r="C184" s="103">
        <f t="shared" si="16"/>
        <v>1522</v>
      </c>
      <c r="D184" s="103">
        <v>813</v>
      </c>
      <c r="E184" s="103">
        <v>2335</v>
      </c>
      <c r="F184" s="103">
        <f t="shared" si="17"/>
        <v>197</v>
      </c>
      <c r="G184" s="103">
        <v>109</v>
      </c>
      <c r="H184" s="103">
        <v>306</v>
      </c>
      <c r="I184" s="103">
        <f t="shared" si="18"/>
        <v>143</v>
      </c>
      <c r="J184" s="103">
        <v>60</v>
      </c>
      <c r="K184" s="103">
        <v>203</v>
      </c>
      <c r="L184" s="103">
        <f t="shared" si="19"/>
        <v>480</v>
      </c>
      <c r="M184" s="103">
        <v>263</v>
      </c>
      <c r="N184" s="103">
        <v>743</v>
      </c>
      <c r="O184" s="103">
        <f t="shared" si="20"/>
        <v>2</v>
      </c>
      <c r="P184" s="103">
        <v>1</v>
      </c>
      <c r="Q184" s="103">
        <v>3</v>
      </c>
      <c r="R184" s="103">
        <f t="shared" si="21"/>
        <v>37</v>
      </c>
      <c r="S184" s="103">
        <v>13</v>
      </c>
      <c r="T184" s="103">
        <v>50</v>
      </c>
      <c r="U184" s="103">
        <f t="shared" si="22"/>
        <v>34</v>
      </c>
      <c r="V184" s="103">
        <v>11</v>
      </c>
      <c r="W184" s="103">
        <v>45</v>
      </c>
      <c r="X184" s="103">
        <f t="shared" si="23"/>
        <v>29</v>
      </c>
      <c r="Y184" s="103">
        <v>23</v>
      </c>
      <c r="Z184" s="103">
        <v>52</v>
      </c>
    </row>
    <row r="185" spans="1:26" x14ac:dyDescent="0.35">
      <c r="A185" s="103">
        <v>181</v>
      </c>
      <c r="B185" s="130" t="s">
        <v>238</v>
      </c>
      <c r="C185" s="103">
        <f t="shared" si="16"/>
        <v>7334</v>
      </c>
      <c r="D185" s="103">
        <v>3718</v>
      </c>
      <c r="E185" s="103">
        <v>11052</v>
      </c>
      <c r="F185" s="103">
        <f t="shared" si="17"/>
        <v>1193</v>
      </c>
      <c r="G185" s="103">
        <v>616</v>
      </c>
      <c r="H185" s="103">
        <v>1809</v>
      </c>
      <c r="I185" s="103">
        <f t="shared" si="18"/>
        <v>517</v>
      </c>
      <c r="J185" s="103">
        <v>209</v>
      </c>
      <c r="K185" s="103">
        <v>726</v>
      </c>
      <c r="L185" s="103">
        <f t="shared" si="19"/>
        <v>2360</v>
      </c>
      <c r="M185" s="103">
        <v>1162</v>
      </c>
      <c r="N185" s="103">
        <v>3522</v>
      </c>
      <c r="O185" s="103">
        <f t="shared" si="20"/>
        <v>0</v>
      </c>
      <c r="P185" s="103">
        <v>0</v>
      </c>
      <c r="Q185" s="103">
        <v>0</v>
      </c>
      <c r="R185" s="103">
        <f t="shared" si="21"/>
        <v>280</v>
      </c>
      <c r="S185" s="103">
        <v>94</v>
      </c>
      <c r="T185" s="103">
        <v>374</v>
      </c>
      <c r="U185" s="103">
        <f t="shared" si="22"/>
        <v>158</v>
      </c>
      <c r="V185" s="103">
        <v>84</v>
      </c>
      <c r="W185" s="103">
        <v>242</v>
      </c>
      <c r="X185" s="103">
        <f t="shared" si="23"/>
        <v>160</v>
      </c>
      <c r="Y185" s="103">
        <v>79</v>
      </c>
      <c r="Z185" s="103">
        <v>239</v>
      </c>
    </row>
    <row r="186" spans="1:26" x14ac:dyDescent="0.35">
      <c r="A186" s="103">
        <v>182</v>
      </c>
      <c r="B186" s="130" t="s">
        <v>239</v>
      </c>
      <c r="C186" s="103">
        <f t="shared" si="16"/>
        <v>1144</v>
      </c>
      <c r="D186" s="103">
        <v>2011</v>
      </c>
      <c r="E186" s="103">
        <v>3155</v>
      </c>
      <c r="F186" s="103">
        <f t="shared" si="17"/>
        <v>121</v>
      </c>
      <c r="G186" s="103">
        <v>170</v>
      </c>
      <c r="H186" s="103">
        <v>291</v>
      </c>
      <c r="I186" s="103">
        <f t="shared" si="18"/>
        <v>66</v>
      </c>
      <c r="J186" s="103">
        <v>112</v>
      </c>
      <c r="K186" s="103">
        <v>178</v>
      </c>
      <c r="L186" s="103">
        <f t="shared" si="19"/>
        <v>277</v>
      </c>
      <c r="M186" s="103">
        <v>513</v>
      </c>
      <c r="N186" s="103">
        <v>790</v>
      </c>
      <c r="O186" s="103">
        <f t="shared" si="20"/>
        <v>1</v>
      </c>
      <c r="P186" s="103">
        <v>3</v>
      </c>
      <c r="Q186" s="103">
        <v>4</v>
      </c>
      <c r="R186" s="103">
        <f t="shared" si="21"/>
        <v>46</v>
      </c>
      <c r="S186" s="103">
        <v>110</v>
      </c>
      <c r="T186" s="103">
        <v>156</v>
      </c>
      <c r="U186" s="103">
        <f t="shared" si="22"/>
        <v>39</v>
      </c>
      <c r="V186" s="103">
        <v>91</v>
      </c>
      <c r="W186" s="103">
        <v>130</v>
      </c>
      <c r="X186" s="103">
        <f t="shared" si="23"/>
        <v>19</v>
      </c>
      <c r="Y186" s="103">
        <v>43</v>
      </c>
      <c r="Z186" s="103">
        <v>62</v>
      </c>
    </row>
    <row r="187" spans="1:26" x14ac:dyDescent="0.35">
      <c r="A187" s="103">
        <v>183</v>
      </c>
      <c r="B187" s="130" t="s">
        <v>240</v>
      </c>
      <c r="C187" s="103">
        <f t="shared" si="16"/>
        <v>22</v>
      </c>
      <c r="D187" s="103">
        <v>13</v>
      </c>
      <c r="E187" s="103">
        <v>35</v>
      </c>
      <c r="F187" s="103">
        <f t="shared" si="17"/>
        <v>3</v>
      </c>
      <c r="G187" s="103">
        <v>2</v>
      </c>
      <c r="H187" s="103">
        <v>5</v>
      </c>
      <c r="I187" s="103">
        <f t="shared" si="18"/>
        <v>1</v>
      </c>
      <c r="J187" s="103">
        <v>1</v>
      </c>
      <c r="K187" s="103">
        <v>2</v>
      </c>
      <c r="L187" s="103">
        <f t="shared" si="19"/>
        <v>7</v>
      </c>
      <c r="M187" s="103">
        <v>1</v>
      </c>
      <c r="N187" s="103">
        <v>8</v>
      </c>
      <c r="O187" s="103">
        <f t="shared" si="20"/>
        <v>0</v>
      </c>
      <c r="P187" s="103">
        <v>0</v>
      </c>
      <c r="Q187" s="103">
        <v>0</v>
      </c>
      <c r="R187" s="103">
        <f t="shared" si="21"/>
        <v>1</v>
      </c>
      <c r="S187" s="103">
        <v>0</v>
      </c>
      <c r="T187" s="103">
        <v>1</v>
      </c>
      <c r="U187" s="103">
        <f t="shared" si="22"/>
        <v>2</v>
      </c>
      <c r="V187" s="103">
        <v>1</v>
      </c>
      <c r="W187" s="103">
        <v>3</v>
      </c>
      <c r="X187" s="103">
        <f t="shared" si="23"/>
        <v>1</v>
      </c>
      <c r="Y187" s="103">
        <v>0</v>
      </c>
      <c r="Z187" s="103">
        <v>1</v>
      </c>
    </row>
    <row r="188" spans="1:26" x14ac:dyDescent="0.35">
      <c r="A188" s="103">
        <v>184</v>
      </c>
      <c r="B188" s="130" t="s">
        <v>874</v>
      </c>
      <c r="C188" s="103">
        <f t="shared" si="16"/>
        <v>28</v>
      </c>
      <c r="D188" s="103">
        <v>19</v>
      </c>
      <c r="E188" s="103">
        <v>47</v>
      </c>
      <c r="F188" s="103">
        <f t="shared" si="17"/>
        <v>5</v>
      </c>
      <c r="G188" s="103">
        <v>0</v>
      </c>
      <c r="H188" s="103">
        <v>5</v>
      </c>
      <c r="I188" s="103">
        <f t="shared" si="18"/>
        <v>3</v>
      </c>
      <c r="J188" s="103">
        <v>0</v>
      </c>
      <c r="K188" s="103">
        <v>3</v>
      </c>
      <c r="L188" s="103">
        <f t="shared" si="19"/>
        <v>9</v>
      </c>
      <c r="M188" s="103">
        <v>4</v>
      </c>
      <c r="N188" s="103">
        <v>13</v>
      </c>
      <c r="O188" s="103">
        <f t="shared" si="20"/>
        <v>0</v>
      </c>
      <c r="P188" s="103">
        <v>0</v>
      </c>
      <c r="Q188" s="103">
        <v>0</v>
      </c>
      <c r="R188" s="103">
        <f t="shared" si="21"/>
        <v>3</v>
      </c>
      <c r="S188" s="103">
        <v>1</v>
      </c>
      <c r="T188" s="103">
        <v>4</v>
      </c>
      <c r="U188" s="103">
        <f t="shared" si="22"/>
        <v>0</v>
      </c>
      <c r="V188" s="103">
        <v>0</v>
      </c>
      <c r="W188" s="103">
        <v>0</v>
      </c>
      <c r="X188" s="103">
        <f t="shared" si="23"/>
        <v>1</v>
      </c>
      <c r="Y188" s="103">
        <v>2</v>
      </c>
      <c r="Z188" s="103">
        <v>3</v>
      </c>
    </row>
    <row r="189" spans="1:26" x14ac:dyDescent="0.35">
      <c r="A189" s="103">
        <v>185</v>
      </c>
      <c r="B189" s="130" t="s">
        <v>241</v>
      </c>
      <c r="C189" s="103">
        <f t="shared" si="16"/>
        <v>3255</v>
      </c>
      <c r="D189" s="103">
        <v>6919</v>
      </c>
      <c r="E189" s="103">
        <v>10174</v>
      </c>
      <c r="F189" s="103">
        <f t="shared" si="17"/>
        <v>333</v>
      </c>
      <c r="G189" s="103">
        <v>566</v>
      </c>
      <c r="H189" s="103">
        <v>899</v>
      </c>
      <c r="I189" s="103">
        <f t="shared" si="18"/>
        <v>109</v>
      </c>
      <c r="J189" s="103">
        <v>176</v>
      </c>
      <c r="K189" s="103">
        <v>285</v>
      </c>
      <c r="L189" s="103">
        <f t="shared" si="19"/>
        <v>979</v>
      </c>
      <c r="M189" s="103">
        <v>1705</v>
      </c>
      <c r="N189" s="103">
        <v>2684</v>
      </c>
      <c r="O189" s="103">
        <f t="shared" si="20"/>
        <v>9</v>
      </c>
      <c r="P189" s="103">
        <v>11</v>
      </c>
      <c r="Q189" s="103">
        <v>20</v>
      </c>
      <c r="R189" s="103">
        <f t="shared" si="21"/>
        <v>150</v>
      </c>
      <c r="S189" s="103">
        <v>275</v>
      </c>
      <c r="T189" s="103">
        <v>425</v>
      </c>
      <c r="U189" s="103">
        <f t="shared" si="22"/>
        <v>109</v>
      </c>
      <c r="V189" s="103">
        <v>297</v>
      </c>
      <c r="W189" s="103">
        <v>406</v>
      </c>
      <c r="X189" s="103">
        <f t="shared" si="23"/>
        <v>46</v>
      </c>
      <c r="Y189" s="103">
        <v>157</v>
      </c>
      <c r="Z189" s="103">
        <v>203</v>
      </c>
    </row>
    <row r="190" spans="1:26" x14ac:dyDescent="0.35">
      <c r="A190" s="103">
        <v>186</v>
      </c>
      <c r="B190" s="130" t="s">
        <v>242</v>
      </c>
      <c r="C190" s="103">
        <f t="shared" si="16"/>
        <v>22481</v>
      </c>
      <c r="D190" s="103">
        <v>23594</v>
      </c>
      <c r="E190" s="103">
        <v>46075</v>
      </c>
      <c r="F190" s="103">
        <f t="shared" si="17"/>
        <v>2334</v>
      </c>
      <c r="G190" s="103">
        <v>2798</v>
      </c>
      <c r="H190" s="103">
        <v>5132</v>
      </c>
      <c r="I190" s="103">
        <f t="shared" si="18"/>
        <v>839</v>
      </c>
      <c r="J190" s="103">
        <v>881</v>
      </c>
      <c r="K190" s="103">
        <v>1720</v>
      </c>
      <c r="L190" s="103">
        <f t="shared" si="19"/>
        <v>8628</v>
      </c>
      <c r="M190" s="103">
        <v>9244</v>
      </c>
      <c r="N190" s="103">
        <v>17872</v>
      </c>
      <c r="O190" s="103">
        <f t="shared" si="20"/>
        <v>39</v>
      </c>
      <c r="P190" s="103">
        <v>30</v>
      </c>
      <c r="Q190" s="103">
        <v>69</v>
      </c>
      <c r="R190" s="103">
        <f t="shared" si="21"/>
        <v>1095</v>
      </c>
      <c r="S190" s="103">
        <v>1181</v>
      </c>
      <c r="T190" s="103">
        <v>2276</v>
      </c>
      <c r="U190" s="103">
        <f t="shared" si="22"/>
        <v>315</v>
      </c>
      <c r="V190" s="103">
        <v>426</v>
      </c>
      <c r="W190" s="103">
        <v>741</v>
      </c>
      <c r="X190" s="103">
        <f t="shared" si="23"/>
        <v>661</v>
      </c>
      <c r="Y190" s="103">
        <v>700</v>
      </c>
      <c r="Z190" s="103">
        <v>1361</v>
      </c>
    </row>
    <row r="191" spans="1:26" x14ac:dyDescent="0.35">
      <c r="A191" s="103">
        <v>187</v>
      </c>
      <c r="B191" s="130" t="s">
        <v>243</v>
      </c>
      <c r="C191" s="103">
        <f t="shared" si="16"/>
        <v>1270</v>
      </c>
      <c r="D191" s="103">
        <v>1964</v>
      </c>
      <c r="E191" s="103">
        <v>3234</v>
      </c>
      <c r="F191" s="103">
        <f t="shared" si="17"/>
        <v>245</v>
      </c>
      <c r="G191" s="103">
        <v>206</v>
      </c>
      <c r="H191" s="103">
        <v>451</v>
      </c>
      <c r="I191" s="103">
        <f t="shared" si="18"/>
        <v>53</v>
      </c>
      <c r="J191" s="103">
        <v>64</v>
      </c>
      <c r="K191" s="103">
        <v>117</v>
      </c>
      <c r="L191" s="103">
        <f t="shared" si="19"/>
        <v>409</v>
      </c>
      <c r="M191" s="103">
        <v>778</v>
      </c>
      <c r="N191" s="103">
        <v>1187</v>
      </c>
      <c r="O191" s="103">
        <f t="shared" si="20"/>
        <v>14</v>
      </c>
      <c r="P191" s="103">
        <v>4</v>
      </c>
      <c r="Q191" s="103">
        <v>18</v>
      </c>
      <c r="R191" s="103">
        <f t="shared" si="21"/>
        <v>35</v>
      </c>
      <c r="S191" s="103">
        <v>58</v>
      </c>
      <c r="T191" s="103">
        <v>93</v>
      </c>
      <c r="U191" s="103">
        <f t="shared" si="22"/>
        <v>34</v>
      </c>
      <c r="V191" s="103">
        <v>126</v>
      </c>
      <c r="W191" s="103">
        <v>160</v>
      </c>
      <c r="X191" s="103">
        <f t="shared" si="23"/>
        <v>50</v>
      </c>
      <c r="Y191" s="103">
        <v>41</v>
      </c>
      <c r="Z191" s="103">
        <v>91</v>
      </c>
    </row>
    <row r="192" spans="1:26" x14ac:dyDescent="0.35">
      <c r="A192" s="103">
        <v>188</v>
      </c>
      <c r="B192" s="130" t="s">
        <v>244</v>
      </c>
      <c r="C192" s="103">
        <f t="shared" si="16"/>
        <v>1111</v>
      </c>
      <c r="D192" s="103">
        <v>1087</v>
      </c>
      <c r="E192" s="103">
        <v>2198</v>
      </c>
      <c r="F192" s="103">
        <f t="shared" si="17"/>
        <v>117</v>
      </c>
      <c r="G192" s="103">
        <v>83</v>
      </c>
      <c r="H192" s="103">
        <v>200</v>
      </c>
      <c r="I192" s="103">
        <f t="shared" si="18"/>
        <v>28</v>
      </c>
      <c r="J192" s="103">
        <v>32</v>
      </c>
      <c r="K192" s="103">
        <v>60</v>
      </c>
      <c r="L192" s="103">
        <f t="shared" si="19"/>
        <v>315</v>
      </c>
      <c r="M192" s="103">
        <v>258</v>
      </c>
      <c r="N192" s="103">
        <v>573</v>
      </c>
      <c r="O192" s="103">
        <f t="shared" si="20"/>
        <v>5</v>
      </c>
      <c r="P192" s="103">
        <v>2</v>
      </c>
      <c r="Q192" s="103">
        <v>7</v>
      </c>
      <c r="R192" s="103">
        <f t="shared" si="21"/>
        <v>39</v>
      </c>
      <c r="S192" s="103">
        <v>29</v>
      </c>
      <c r="T192" s="103">
        <v>68</v>
      </c>
      <c r="U192" s="103">
        <f t="shared" si="22"/>
        <v>34</v>
      </c>
      <c r="V192" s="103">
        <v>39</v>
      </c>
      <c r="W192" s="103">
        <v>73</v>
      </c>
      <c r="X192" s="103">
        <f t="shared" si="23"/>
        <v>51</v>
      </c>
      <c r="Y192" s="103">
        <v>29</v>
      </c>
      <c r="Z192" s="103">
        <v>80</v>
      </c>
    </row>
    <row r="193" spans="1:26" x14ac:dyDescent="0.35">
      <c r="A193" s="103">
        <v>189</v>
      </c>
      <c r="B193" s="130" t="s">
        <v>245</v>
      </c>
      <c r="C193" s="103">
        <f t="shared" si="16"/>
        <v>6020</v>
      </c>
      <c r="D193" s="103">
        <v>8304</v>
      </c>
      <c r="E193" s="103">
        <v>14324</v>
      </c>
      <c r="F193" s="103">
        <f t="shared" si="17"/>
        <v>822</v>
      </c>
      <c r="G193" s="103">
        <v>920</v>
      </c>
      <c r="H193" s="103">
        <v>1742</v>
      </c>
      <c r="I193" s="103">
        <f t="shared" si="18"/>
        <v>441</v>
      </c>
      <c r="J193" s="103">
        <v>566</v>
      </c>
      <c r="K193" s="103">
        <v>1007</v>
      </c>
      <c r="L193" s="103">
        <f t="shared" si="19"/>
        <v>2042</v>
      </c>
      <c r="M193" s="103">
        <v>3436</v>
      </c>
      <c r="N193" s="103">
        <v>5478</v>
      </c>
      <c r="O193" s="103">
        <f t="shared" si="20"/>
        <v>18</v>
      </c>
      <c r="P193" s="103">
        <v>17</v>
      </c>
      <c r="Q193" s="103">
        <v>35</v>
      </c>
      <c r="R193" s="103">
        <f t="shared" si="21"/>
        <v>128</v>
      </c>
      <c r="S193" s="103">
        <v>369</v>
      </c>
      <c r="T193" s="103">
        <v>497</v>
      </c>
      <c r="U193" s="103">
        <f t="shared" si="22"/>
        <v>107</v>
      </c>
      <c r="V193" s="103">
        <v>302</v>
      </c>
      <c r="W193" s="103">
        <v>409</v>
      </c>
      <c r="X193" s="103">
        <f t="shared" si="23"/>
        <v>238</v>
      </c>
      <c r="Y193" s="103">
        <v>223</v>
      </c>
      <c r="Z193" s="103">
        <v>461</v>
      </c>
    </row>
    <row r="194" spans="1:26" x14ac:dyDescent="0.35">
      <c r="A194" s="103">
        <v>190</v>
      </c>
      <c r="B194" s="130" t="s">
        <v>246</v>
      </c>
      <c r="C194" s="103">
        <f t="shared" si="16"/>
        <v>13466</v>
      </c>
      <c r="D194" s="103">
        <v>12640</v>
      </c>
      <c r="E194" s="103">
        <v>26106</v>
      </c>
      <c r="F194" s="103">
        <f t="shared" si="17"/>
        <v>1213</v>
      </c>
      <c r="G194" s="103">
        <v>1190</v>
      </c>
      <c r="H194" s="103">
        <v>2403</v>
      </c>
      <c r="I194" s="103">
        <f t="shared" si="18"/>
        <v>574</v>
      </c>
      <c r="J194" s="103">
        <v>558</v>
      </c>
      <c r="K194" s="103">
        <v>1132</v>
      </c>
      <c r="L194" s="103">
        <f t="shared" si="19"/>
        <v>3751</v>
      </c>
      <c r="M194" s="103">
        <v>3493</v>
      </c>
      <c r="N194" s="103">
        <v>7244</v>
      </c>
      <c r="O194" s="103">
        <f t="shared" si="20"/>
        <v>12</v>
      </c>
      <c r="P194" s="103">
        <v>13</v>
      </c>
      <c r="Q194" s="103">
        <v>25</v>
      </c>
      <c r="R194" s="103">
        <f t="shared" si="21"/>
        <v>517</v>
      </c>
      <c r="S194" s="103">
        <v>464</v>
      </c>
      <c r="T194" s="103">
        <v>981</v>
      </c>
      <c r="U194" s="103">
        <f t="shared" si="22"/>
        <v>316</v>
      </c>
      <c r="V194" s="103">
        <v>343</v>
      </c>
      <c r="W194" s="103">
        <v>659</v>
      </c>
      <c r="X194" s="103">
        <f t="shared" si="23"/>
        <v>376</v>
      </c>
      <c r="Y194" s="103">
        <v>255</v>
      </c>
      <c r="Z194" s="103">
        <v>631</v>
      </c>
    </row>
    <row r="195" spans="1:26" x14ac:dyDescent="0.35">
      <c r="A195" s="103">
        <v>191</v>
      </c>
      <c r="B195" s="130" t="s">
        <v>247</v>
      </c>
      <c r="C195" s="103">
        <f t="shared" si="16"/>
        <v>22711</v>
      </c>
      <c r="D195" s="103">
        <v>27362</v>
      </c>
      <c r="E195" s="103">
        <v>50073</v>
      </c>
      <c r="F195" s="103">
        <f t="shared" si="17"/>
        <v>5625</v>
      </c>
      <c r="G195" s="103">
        <v>5674</v>
      </c>
      <c r="H195" s="103">
        <v>11299</v>
      </c>
      <c r="I195" s="103">
        <f t="shared" si="18"/>
        <v>5180</v>
      </c>
      <c r="J195" s="103">
        <v>5614</v>
      </c>
      <c r="K195" s="103">
        <v>10794</v>
      </c>
      <c r="L195" s="103">
        <f t="shared" si="19"/>
        <v>7030</v>
      </c>
      <c r="M195" s="103">
        <v>9149</v>
      </c>
      <c r="N195" s="103">
        <v>16179</v>
      </c>
      <c r="O195" s="103">
        <f t="shared" si="20"/>
        <v>44</v>
      </c>
      <c r="P195" s="103">
        <v>36</v>
      </c>
      <c r="Q195" s="103">
        <v>80</v>
      </c>
      <c r="R195" s="103">
        <f t="shared" si="21"/>
        <v>469</v>
      </c>
      <c r="S195" s="103">
        <v>636</v>
      </c>
      <c r="T195" s="103">
        <v>1105</v>
      </c>
      <c r="U195" s="103">
        <f t="shared" si="22"/>
        <v>1200</v>
      </c>
      <c r="V195" s="103">
        <v>2212</v>
      </c>
      <c r="W195" s="103">
        <v>3412</v>
      </c>
      <c r="X195" s="103">
        <f t="shared" si="23"/>
        <v>309</v>
      </c>
      <c r="Y195" s="103">
        <v>425</v>
      </c>
      <c r="Z195" s="103">
        <v>734</v>
      </c>
    </row>
    <row r="196" spans="1:26" ht="28" x14ac:dyDescent="0.35">
      <c r="A196" s="103">
        <v>192</v>
      </c>
      <c r="B196" s="130" t="s">
        <v>875</v>
      </c>
      <c r="C196" s="103">
        <f t="shared" si="16"/>
        <v>233</v>
      </c>
      <c r="D196" s="103">
        <v>217</v>
      </c>
      <c r="E196" s="103">
        <v>450</v>
      </c>
      <c r="F196" s="103">
        <f t="shared" si="17"/>
        <v>37</v>
      </c>
      <c r="G196" s="103">
        <v>23</v>
      </c>
      <c r="H196" s="103">
        <v>60</v>
      </c>
      <c r="I196" s="103">
        <f t="shared" si="18"/>
        <v>11</v>
      </c>
      <c r="J196" s="103">
        <v>20</v>
      </c>
      <c r="K196" s="103">
        <v>31</v>
      </c>
      <c r="L196" s="103">
        <f t="shared" si="19"/>
        <v>111</v>
      </c>
      <c r="M196" s="103">
        <v>88</v>
      </c>
      <c r="N196" s="103">
        <v>199</v>
      </c>
      <c r="O196" s="103">
        <f t="shared" si="20"/>
        <v>2</v>
      </c>
      <c r="P196" s="103">
        <v>0</v>
      </c>
      <c r="Q196" s="103">
        <v>2</v>
      </c>
      <c r="R196" s="103">
        <f t="shared" si="21"/>
        <v>1</v>
      </c>
      <c r="S196" s="103">
        <v>1</v>
      </c>
      <c r="T196" s="103">
        <v>2</v>
      </c>
      <c r="U196" s="103">
        <f t="shared" si="22"/>
        <v>1</v>
      </c>
      <c r="V196" s="103">
        <v>2</v>
      </c>
      <c r="W196" s="103">
        <v>3</v>
      </c>
      <c r="X196" s="103">
        <f t="shared" si="23"/>
        <v>29</v>
      </c>
      <c r="Y196" s="103">
        <v>15</v>
      </c>
      <c r="Z196" s="103">
        <v>44</v>
      </c>
    </row>
    <row r="197" spans="1:26" x14ac:dyDescent="0.35">
      <c r="A197" s="103">
        <v>193</v>
      </c>
      <c r="B197" s="130" t="s">
        <v>876</v>
      </c>
      <c r="C197" s="103">
        <f t="shared" si="16"/>
        <v>130</v>
      </c>
      <c r="D197" s="103">
        <v>270</v>
      </c>
      <c r="E197" s="103">
        <v>400</v>
      </c>
      <c r="F197" s="103">
        <f t="shared" si="17"/>
        <v>14</v>
      </c>
      <c r="G197" s="103">
        <v>33</v>
      </c>
      <c r="H197" s="103">
        <v>47</v>
      </c>
      <c r="I197" s="103">
        <f t="shared" si="18"/>
        <v>10</v>
      </c>
      <c r="J197" s="103">
        <v>20</v>
      </c>
      <c r="K197" s="103">
        <v>30</v>
      </c>
      <c r="L197" s="103">
        <f t="shared" si="19"/>
        <v>36</v>
      </c>
      <c r="M197" s="103">
        <v>58</v>
      </c>
      <c r="N197" s="103">
        <v>94</v>
      </c>
      <c r="O197" s="103">
        <f t="shared" si="20"/>
        <v>0</v>
      </c>
      <c r="P197" s="103">
        <v>0</v>
      </c>
      <c r="Q197" s="103">
        <v>0</v>
      </c>
      <c r="R197" s="103">
        <f t="shared" si="21"/>
        <v>5</v>
      </c>
      <c r="S197" s="103">
        <v>8</v>
      </c>
      <c r="T197" s="103">
        <v>13</v>
      </c>
      <c r="U197" s="103">
        <f t="shared" si="22"/>
        <v>0</v>
      </c>
      <c r="V197" s="103">
        <v>8</v>
      </c>
      <c r="W197" s="103">
        <v>8</v>
      </c>
      <c r="X197" s="103">
        <f t="shared" si="23"/>
        <v>1</v>
      </c>
      <c r="Y197" s="103">
        <v>11</v>
      </c>
      <c r="Z197" s="103">
        <v>12</v>
      </c>
    </row>
    <row r="198" spans="1:26" ht="28" x14ac:dyDescent="0.35">
      <c r="A198" s="103">
        <v>194</v>
      </c>
      <c r="B198" s="130" t="s">
        <v>877</v>
      </c>
      <c r="C198" s="103">
        <f t="shared" ref="C198:C240" si="24">E198-D198</f>
        <v>26</v>
      </c>
      <c r="D198" s="103">
        <v>30</v>
      </c>
      <c r="E198" s="103">
        <v>56</v>
      </c>
      <c r="F198" s="103">
        <f t="shared" ref="F198:F240" si="25">H198-G198</f>
        <v>2</v>
      </c>
      <c r="G198" s="103">
        <v>3</v>
      </c>
      <c r="H198" s="103">
        <v>5</v>
      </c>
      <c r="I198" s="103">
        <f t="shared" ref="I198:I240" si="26">K198-J198</f>
        <v>0</v>
      </c>
      <c r="J198" s="103">
        <v>0</v>
      </c>
      <c r="K198" s="103">
        <v>0</v>
      </c>
      <c r="L198" s="103">
        <f t="shared" ref="L198:L240" si="27">N198-M198</f>
        <v>13</v>
      </c>
      <c r="M198" s="103">
        <v>8</v>
      </c>
      <c r="N198" s="103">
        <v>21</v>
      </c>
      <c r="O198" s="103">
        <f t="shared" ref="O198:O240" si="28">Q198-P198</f>
        <v>0</v>
      </c>
      <c r="P198" s="103">
        <v>0</v>
      </c>
      <c r="Q198" s="103">
        <v>0</v>
      </c>
      <c r="R198" s="103">
        <f t="shared" ref="R198:R240" si="29">T198-S198</f>
        <v>0</v>
      </c>
      <c r="S198" s="103">
        <v>0</v>
      </c>
      <c r="T198" s="103">
        <v>0</v>
      </c>
      <c r="U198" s="103">
        <f t="shared" ref="U198:U240" si="30">W198-V198</f>
        <v>1</v>
      </c>
      <c r="V198" s="103">
        <v>0</v>
      </c>
      <c r="W198" s="103">
        <v>1</v>
      </c>
      <c r="X198" s="103">
        <f t="shared" ref="X198:X240" si="31">Z198-Y198</f>
        <v>1</v>
      </c>
      <c r="Y198" s="103">
        <v>0</v>
      </c>
      <c r="Z198" s="103">
        <v>1</v>
      </c>
    </row>
    <row r="199" spans="1:26" ht="28" x14ac:dyDescent="0.35">
      <c r="A199" s="103">
        <v>195</v>
      </c>
      <c r="B199" s="130" t="s">
        <v>248</v>
      </c>
      <c r="C199" s="103">
        <f t="shared" si="24"/>
        <v>3399</v>
      </c>
      <c r="D199" s="103">
        <v>12318</v>
      </c>
      <c r="E199" s="103">
        <v>15717</v>
      </c>
      <c r="F199" s="103">
        <f t="shared" si="25"/>
        <v>550</v>
      </c>
      <c r="G199" s="103">
        <v>1994</v>
      </c>
      <c r="H199" s="103">
        <v>2544</v>
      </c>
      <c r="I199" s="103">
        <f t="shared" si="26"/>
        <v>252</v>
      </c>
      <c r="J199" s="103">
        <v>1201</v>
      </c>
      <c r="K199" s="103">
        <v>1453</v>
      </c>
      <c r="L199" s="103">
        <f t="shared" si="27"/>
        <v>1048</v>
      </c>
      <c r="M199" s="103">
        <v>3591</v>
      </c>
      <c r="N199" s="103">
        <v>4639</v>
      </c>
      <c r="O199" s="103">
        <f t="shared" si="28"/>
        <v>4</v>
      </c>
      <c r="P199" s="103">
        <v>3</v>
      </c>
      <c r="Q199" s="103">
        <v>7</v>
      </c>
      <c r="R199" s="103">
        <f t="shared" si="29"/>
        <v>91</v>
      </c>
      <c r="S199" s="103">
        <v>194</v>
      </c>
      <c r="T199" s="103">
        <v>285</v>
      </c>
      <c r="U199" s="103">
        <f t="shared" si="30"/>
        <v>55</v>
      </c>
      <c r="V199" s="103">
        <v>551</v>
      </c>
      <c r="W199" s="103">
        <v>606</v>
      </c>
      <c r="X199" s="103">
        <f t="shared" si="31"/>
        <v>57</v>
      </c>
      <c r="Y199" s="103">
        <v>107</v>
      </c>
      <c r="Z199" s="103">
        <v>164</v>
      </c>
    </row>
    <row r="200" spans="1:26" ht="28" x14ac:dyDescent="0.35">
      <c r="A200" s="103">
        <v>196</v>
      </c>
      <c r="B200" s="130" t="s">
        <v>249</v>
      </c>
      <c r="C200" s="103">
        <f t="shared" si="24"/>
        <v>1071</v>
      </c>
      <c r="D200" s="103">
        <v>758</v>
      </c>
      <c r="E200" s="103">
        <v>1829</v>
      </c>
      <c r="F200" s="103">
        <f t="shared" si="25"/>
        <v>147</v>
      </c>
      <c r="G200" s="103">
        <v>146</v>
      </c>
      <c r="H200" s="103">
        <v>293</v>
      </c>
      <c r="I200" s="103">
        <f t="shared" si="26"/>
        <v>33</v>
      </c>
      <c r="J200" s="103">
        <v>27</v>
      </c>
      <c r="K200" s="103">
        <v>60</v>
      </c>
      <c r="L200" s="103">
        <f t="shared" si="27"/>
        <v>338</v>
      </c>
      <c r="M200" s="103">
        <v>231</v>
      </c>
      <c r="N200" s="103">
        <v>569</v>
      </c>
      <c r="O200" s="103">
        <f t="shared" si="28"/>
        <v>4</v>
      </c>
      <c r="P200" s="103">
        <v>0</v>
      </c>
      <c r="Q200" s="103">
        <v>4</v>
      </c>
      <c r="R200" s="103">
        <f t="shared" si="29"/>
        <v>27</v>
      </c>
      <c r="S200" s="103">
        <v>12</v>
      </c>
      <c r="T200" s="103">
        <v>39</v>
      </c>
      <c r="U200" s="103">
        <f t="shared" si="30"/>
        <v>23</v>
      </c>
      <c r="V200" s="103">
        <v>18</v>
      </c>
      <c r="W200" s="103">
        <v>41</v>
      </c>
      <c r="X200" s="103">
        <f t="shared" si="31"/>
        <v>60</v>
      </c>
      <c r="Y200" s="103">
        <v>31</v>
      </c>
      <c r="Z200" s="103">
        <v>91</v>
      </c>
    </row>
    <row r="201" spans="1:26" ht="42" x14ac:dyDescent="0.35">
      <c r="A201" s="103">
        <v>197</v>
      </c>
      <c r="B201" s="130" t="s">
        <v>878</v>
      </c>
      <c r="C201" s="103">
        <f t="shared" si="24"/>
        <v>235</v>
      </c>
      <c r="D201" s="103">
        <v>111</v>
      </c>
      <c r="E201" s="103">
        <v>346</v>
      </c>
      <c r="F201" s="103">
        <f t="shared" si="25"/>
        <v>19</v>
      </c>
      <c r="G201" s="103">
        <v>5</v>
      </c>
      <c r="H201" s="103">
        <v>24</v>
      </c>
      <c r="I201" s="103">
        <f t="shared" si="26"/>
        <v>6</v>
      </c>
      <c r="J201" s="103">
        <v>6</v>
      </c>
      <c r="K201" s="103">
        <v>12</v>
      </c>
      <c r="L201" s="103">
        <f t="shared" si="27"/>
        <v>71</v>
      </c>
      <c r="M201" s="103">
        <v>43</v>
      </c>
      <c r="N201" s="103">
        <v>114</v>
      </c>
      <c r="O201" s="103">
        <f t="shared" si="28"/>
        <v>0</v>
      </c>
      <c r="P201" s="103">
        <v>0</v>
      </c>
      <c r="Q201" s="103">
        <v>0</v>
      </c>
      <c r="R201" s="103">
        <f t="shared" si="29"/>
        <v>6</v>
      </c>
      <c r="S201" s="103">
        <v>0</v>
      </c>
      <c r="T201" s="103">
        <v>6</v>
      </c>
      <c r="U201" s="103">
        <f t="shared" si="30"/>
        <v>3</v>
      </c>
      <c r="V201" s="103">
        <v>0</v>
      </c>
      <c r="W201" s="103">
        <v>3</v>
      </c>
      <c r="X201" s="103">
        <f t="shared" si="31"/>
        <v>15</v>
      </c>
      <c r="Y201" s="103">
        <v>3</v>
      </c>
      <c r="Z201" s="103">
        <v>18</v>
      </c>
    </row>
    <row r="202" spans="1:26" ht="28" x14ac:dyDescent="0.35">
      <c r="A202" s="103">
        <v>198</v>
      </c>
      <c r="B202" s="130" t="s">
        <v>250</v>
      </c>
      <c r="C202" s="103">
        <f t="shared" si="24"/>
        <v>91</v>
      </c>
      <c r="D202" s="103">
        <v>146</v>
      </c>
      <c r="E202" s="103">
        <v>237</v>
      </c>
      <c r="F202" s="103">
        <f t="shared" si="25"/>
        <v>14</v>
      </c>
      <c r="G202" s="103">
        <v>17</v>
      </c>
      <c r="H202" s="103">
        <v>31</v>
      </c>
      <c r="I202" s="103">
        <f t="shared" si="26"/>
        <v>12</v>
      </c>
      <c r="J202" s="103">
        <v>18</v>
      </c>
      <c r="K202" s="103">
        <v>30</v>
      </c>
      <c r="L202" s="103">
        <f t="shared" si="27"/>
        <v>33</v>
      </c>
      <c r="M202" s="103">
        <v>39</v>
      </c>
      <c r="N202" s="103">
        <v>72</v>
      </c>
      <c r="O202" s="103">
        <f t="shared" si="28"/>
        <v>0</v>
      </c>
      <c r="P202" s="103">
        <v>0</v>
      </c>
      <c r="Q202" s="103">
        <v>0</v>
      </c>
      <c r="R202" s="103">
        <f t="shared" si="29"/>
        <v>5</v>
      </c>
      <c r="S202" s="103">
        <v>11</v>
      </c>
      <c r="T202" s="103">
        <v>16</v>
      </c>
      <c r="U202" s="103">
        <f t="shared" si="30"/>
        <v>1</v>
      </c>
      <c r="V202" s="103">
        <v>4</v>
      </c>
      <c r="W202" s="103">
        <v>5</v>
      </c>
      <c r="X202" s="103">
        <f t="shared" si="31"/>
        <v>3</v>
      </c>
      <c r="Y202" s="103">
        <v>2</v>
      </c>
      <c r="Z202" s="103">
        <v>5</v>
      </c>
    </row>
    <row r="203" spans="1:26" ht="28" x14ac:dyDescent="0.35">
      <c r="A203" s="103">
        <v>199</v>
      </c>
      <c r="B203" s="130" t="s">
        <v>251</v>
      </c>
      <c r="C203" s="103">
        <f t="shared" si="24"/>
        <v>192</v>
      </c>
      <c r="D203" s="103">
        <v>272</v>
      </c>
      <c r="E203" s="103">
        <v>464</v>
      </c>
      <c r="F203" s="103">
        <f t="shared" si="25"/>
        <v>20</v>
      </c>
      <c r="G203" s="103">
        <v>30</v>
      </c>
      <c r="H203" s="103">
        <v>50</v>
      </c>
      <c r="I203" s="103">
        <f t="shared" si="26"/>
        <v>3</v>
      </c>
      <c r="J203" s="103">
        <v>8</v>
      </c>
      <c r="K203" s="103">
        <v>11</v>
      </c>
      <c r="L203" s="103">
        <f t="shared" si="27"/>
        <v>89</v>
      </c>
      <c r="M203" s="103">
        <v>89</v>
      </c>
      <c r="N203" s="103">
        <v>178</v>
      </c>
      <c r="O203" s="103">
        <f t="shared" si="28"/>
        <v>0</v>
      </c>
      <c r="P203" s="103">
        <v>0</v>
      </c>
      <c r="Q203" s="103">
        <v>0</v>
      </c>
      <c r="R203" s="103">
        <f t="shared" si="29"/>
        <v>16</v>
      </c>
      <c r="S203" s="103">
        <v>18</v>
      </c>
      <c r="T203" s="103">
        <v>34</v>
      </c>
      <c r="U203" s="103">
        <f t="shared" si="30"/>
        <v>2</v>
      </c>
      <c r="V203" s="103">
        <v>5</v>
      </c>
      <c r="W203" s="103">
        <v>7</v>
      </c>
      <c r="X203" s="103">
        <f t="shared" si="31"/>
        <v>2</v>
      </c>
      <c r="Y203" s="103">
        <v>5</v>
      </c>
      <c r="Z203" s="103">
        <v>7</v>
      </c>
    </row>
    <row r="204" spans="1:26" ht="28" x14ac:dyDescent="0.35">
      <c r="A204" s="103">
        <v>200</v>
      </c>
      <c r="B204" s="130" t="s">
        <v>252</v>
      </c>
      <c r="C204" s="103">
        <f t="shared" si="24"/>
        <v>393</v>
      </c>
      <c r="D204" s="103">
        <v>702</v>
      </c>
      <c r="E204" s="103">
        <v>1095</v>
      </c>
      <c r="F204" s="103">
        <f t="shared" si="25"/>
        <v>64</v>
      </c>
      <c r="G204" s="103">
        <v>79</v>
      </c>
      <c r="H204" s="103">
        <v>143</v>
      </c>
      <c r="I204" s="103">
        <f t="shared" si="26"/>
        <v>5</v>
      </c>
      <c r="J204" s="103">
        <v>13</v>
      </c>
      <c r="K204" s="103">
        <v>18</v>
      </c>
      <c r="L204" s="103">
        <f t="shared" si="27"/>
        <v>115</v>
      </c>
      <c r="M204" s="103">
        <v>236</v>
      </c>
      <c r="N204" s="103">
        <v>351</v>
      </c>
      <c r="O204" s="103">
        <f t="shared" si="28"/>
        <v>0</v>
      </c>
      <c r="P204" s="103">
        <v>0</v>
      </c>
      <c r="Q204" s="103">
        <v>0</v>
      </c>
      <c r="R204" s="103">
        <f t="shared" si="29"/>
        <v>31</v>
      </c>
      <c r="S204" s="103">
        <v>77</v>
      </c>
      <c r="T204" s="103">
        <v>108</v>
      </c>
      <c r="U204" s="103">
        <f t="shared" si="30"/>
        <v>3</v>
      </c>
      <c r="V204" s="103">
        <v>22</v>
      </c>
      <c r="W204" s="103">
        <v>25</v>
      </c>
      <c r="X204" s="103">
        <f t="shared" si="31"/>
        <v>7</v>
      </c>
      <c r="Y204" s="103">
        <v>34</v>
      </c>
      <c r="Z204" s="103">
        <v>41</v>
      </c>
    </row>
    <row r="205" spans="1:26" ht="28" x14ac:dyDescent="0.35">
      <c r="A205" s="103">
        <v>201</v>
      </c>
      <c r="B205" s="130" t="s">
        <v>879</v>
      </c>
      <c r="C205" s="103">
        <f t="shared" si="24"/>
        <v>31</v>
      </c>
      <c r="D205" s="103">
        <v>53</v>
      </c>
      <c r="E205" s="103">
        <v>84</v>
      </c>
      <c r="F205" s="103">
        <f t="shared" si="25"/>
        <v>5</v>
      </c>
      <c r="G205" s="103">
        <v>6</v>
      </c>
      <c r="H205" s="103">
        <v>11</v>
      </c>
      <c r="I205" s="103">
        <f t="shared" si="26"/>
        <v>2</v>
      </c>
      <c r="J205" s="103">
        <v>1</v>
      </c>
      <c r="K205" s="103">
        <v>3</v>
      </c>
      <c r="L205" s="103">
        <f t="shared" si="27"/>
        <v>5</v>
      </c>
      <c r="M205" s="103">
        <v>20</v>
      </c>
      <c r="N205" s="103">
        <v>25</v>
      </c>
      <c r="O205" s="103">
        <f t="shared" si="28"/>
        <v>0</v>
      </c>
      <c r="P205" s="103">
        <v>0</v>
      </c>
      <c r="Q205" s="103">
        <v>0</v>
      </c>
      <c r="R205" s="103">
        <f t="shared" si="29"/>
        <v>1</v>
      </c>
      <c r="S205" s="103">
        <v>4</v>
      </c>
      <c r="T205" s="103">
        <v>5</v>
      </c>
      <c r="U205" s="103">
        <f t="shared" si="30"/>
        <v>1</v>
      </c>
      <c r="V205" s="103">
        <v>1</v>
      </c>
      <c r="W205" s="103">
        <v>2</v>
      </c>
      <c r="X205" s="103">
        <f t="shared" si="31"/>
        <v>1</v>
      </c>
      <c r="Y205" s="103">
        <v>0</v>
      </c>
      <c r="Z205" s="103">
        <v>1</v>
      </c>
    </row>
    <row r="206" spans="1:26" ht="28" x14ac:dyDescent="0.35">
      <c r="A206" s="103">
        <v>202</v>
      </c>
      <c r="B206" s="130" t="s">
        <v>253</v>
      </c>
      <c r="C206" s="103">
        <f t="shared" si="24"/>
        <v>69</v>
      </c>
      <c r="D206" s="103">
        <v>123</v>
      </c>
      <c r="E206" s="103">
        <v>192</v>
      </c>
      <c r="F206" s="103">
        <f t="shared" si="25"/>
        <v>4</v>
      </c>
      <c r="G206" s="103">
        <v>10</v>
      </c>
      <c r="H206" s="103">
        <v>14</v>
      </c>
      <c r="I206" s="103">
        <f t="shared" si="26"/>
        <v>0</v>
      </c>
      <c r="J206" s="103">
        <v>3</v>
      </c>
      <c r="K206" s="103">
        <v>3</v>
      </c>
      <c r="L206" s="103">
        <f t="shared" si="27"/>
        <v>22</v>
      </c>
      <c r="M206" s="103">
        <v>31</v>
      </c>
      <c r="N206" s="103">
        <v>53</v>
      </c>
      <c r="O206" s="103">
        <f t="shared" si="28"/>
        <v>0</v>
      </c>
      <c r="P206" s="103">
        <v>0</v>
      </c>
      <c r="Q206" s="103">
        <v>0</v>
      </c>
      <c r="R206" s="103">
        <f t="shared" si="29"/>
        <v>4</v>
      </c>
      <c r="S206" s="103">
        <v>13</v>
      </c>
      <c r="T206" s="103">
        <v>17</v>
      </c>
      <c r="U206" s="103">
        <f t="shared" si="30"/>
        <v>2</v>
      </c>
      <c r="V206" s="103">
        <v>3</v>
      </c>
      <c r="W206" s="103">
        <v>5</v>
      </c>
      <c r="X206" s="103">
        <f t="shared" si="31"/>
        <v>2</v>
      </c>
      <c r="Y206" s="103">
        <v>4</v>
      </c>
      <c r="Z206" s="103">
        <v>6</v>
      </c>
    </row>
    <row r="207" spans="1:26" ht="28" x14ac:dyDescent="0.35">
      <c r="A207" s="103">
        <v>203</v>
      </c>
      <c r="B207" s="130" t="s">
        <v>880</v>
      </c>
      <c r="C207" s="103">
        <f t="shared" si="24"/>
        <v>97</v>
      </c>
      <c r="D207" s="103">
        <v>170</v>
      </c>
      <c r="E207" s="103">
        <v>267</v>
      </c>
      <c r="F207" s="103">
        <f t="shared" si="25"/>
        <v>12</v>
      </c>
      <c r="G207" s="103">
        <v>20</v>
      </c>
      <c r="H207" s="103">
        <v>32</v>
      </c>
      <c r="I207" s="103">
        <f t="shared" si="26"/>
        <v>6</v>
      </c>
      <c r="J207" s="103">
        <v>17</v>
      </c>
      <c r="K207" s="103">
        <v>23</v>
      </c>
      <c r="L207" s="103">
        <f t="shared" si="27"/>
        <v>34</v>
      </c>
      <c r="M207" s="103">
        <v>55</v>
      </c>
      <c r="N207" s="103">
        <v>89</v>
      </c>
      <c r="O207" s="103">
        <f t="shared" si="28"/>
        <v>0</v>
      </c>
      <c r="P207" s="103">
        <v>0</v>
      </c>
      <c r="Q207" s="103">
        <v>0</v>
      </c>
      <c r="R207" s="103">
        <f t="shared" si="29"/>
        <v>0</v>
      </c>
      <c r="S207" s="103">
        <v>0</v>
      </c>
      <c r="T207" s="103">
        <v>0</v>
      </c>
      <c r="U207" s="103">
        <f t="shared" si="30"/>
        <v>0</v>
      </c>
      <c r="V207" s="103">
        <v>0</v>
      </c>
      <c r="W207" s="103">
        <v>0</v>
      </c>
      <c r="X207" s="103">
        <f t="shared" si="31"/>
        <v>10</v>
      </c>
      <c r="Y207" s="103">
        <v>5</v>
      </c>
      <c r="Z207" s="103">
        <v>15</v>
      </c>
    </row>
    <row r="208" spans="1:26" x14ac:dyDescent="0.35">
      <c r="A208" s="103">
        <v>204</v>
      </c>
      <c r="B208" s="130" t="s">
        <v>254</v>
      </c>
      <c r="C208" s="103">
        <f t="shared" si="24"/>
        <v>345735</v>
      </c>
      <c r="D208" s="103">
        <v>533785</v>
      </c>
      <c r="E208" s="103">
        <v>879520</v>
      </c>
      <c r="F208" s="103">
        <f t="shared" si="25"/>
        <v>49225</v>
      </c>
      <c r="G208" s="103">
        <v>67312</v>
      </c>
      <c r="H208" s="103">
        <v>116537</v>
      </c>
      <c r="I208" s="103">
        <f t="shared" si="26"/>
        <v>21432</v>
      </c>
      <c r="J208" s="103">
        <v>28497</v>
      </c>
      <c r="K208" s="103">
        <v>49929</v>
      </c>
      <c r="L208" s="103">
        <f t="shared" si="27"/>
        <v>143136</v>
      </c>
      <c r="M208" s="103">
        <v>232867</v>
      </c>
      <c r="N208" s="103">
        <v>376003</v>
      </c>
      <c r="O208" s="103">
        <f t="shared" si="28"/>
        <v>598</v>
      </c>
      <c r="P208" s="103">
        <v>599</v>
      </c>
      <c r="Q208" s="103">
        <v>1197</v>
      </c>
      <c r="R208" s="103">
        <f t="shared" si="29"/>
        <v>11520</v>
      </c>
      <c r="S208" s="103">
        <v>23133</v>
      </c>
      <c r="T208" s="103">
        <v>34653</v>
      </c>
      <c r="U208" s="103">
        <f t="shared" si="30"/>
        <v>7667</v>
      </c>
      <c r="V208" s="103">
        <v>18522</v>
      </c>
      <c r="W208" s="103">
        <v>26189</v>
      </c>
      <c r="X208" s="103">
        <f t="shared" si="31"/>
        <v>10542</v>
      </c>
      <c r="Y208" s="103">
        <v>13833</v>
      </c>
      <c r="Z208" s="103">
        <v>24375</v>
      </c>
    </row>
    <row r="209" spans="1:26" x14ac:dyDescent="0.35">
      <c r="A209" s="103">
        <v>205</v>
      </c>
      <c r="B209" s="130" t="s">
        <v>255</v>
      </c>
      <c r="C209" s="103">
        <f t="shared" si="24"/>
        <v>440</v>
      </c>
      <c r="D209" s="103">
        <v>871</v>
      </c>
      <c r="E209" s="103">
        <v>1311</v>
      </c>
      <c r="F209" s="103">
        <f t="shared" si="25"/>
        <v>43</v>
      </c>
      <c r="G209" s="103">
        <v>135</v>
      </c>
      <c r="H209" s="103">
        <v>178</v>
      </c>
      <c r="I209" s="103">
        <f t="shared" si="26"/>
        <v>40</v>
      </c>
      <c r="J209" s="103">
        <v>36</v>
      </c>
      <c r="K209" s="103">
        <v>76</v>
      </c>
      <c r="L209" s="103">
        <f t="shared" si="27"/>
        <v>143</v>
      </c>
      <c r="M209" s="103">
        <v>352</v>
      </c>
      <c r="N209" s="103">
        <v>495</v>
      </c>
      <c r="O209" s="103">
        <f t="shared" si="28"/>
        <v>0</v>
      </c>
      <c r="P209" s="103">
        <v>0</v>
      </c>
      <c r="Q209" s="103">
        <v>0</v>
      </c>
      <c r="R209" s="103">
        <f t="shared" si="29"/>
        <v>27</v>
      </c>
      <c r="S209" s="103">
        <v>54</v>
      </c>
      <c r="T209" s="103">
        <v>81</v>
      </c>
      <c r="U209" s="103">
        <f t="shared" si="30"/>
        <v>37</v>
      </c>
      <c r="V209" s="103">
        <v>53</v>
      </c>
      <c r="W209" s="103">
        <v>90</v>
      </c>
      <c r="X209" s="103">
        <f t="shared" si="31"/>
        <v>20</v>
      </c>
      <c r="Y209" s="103">
        <v>43</v>
      </c>
      <c r="Z209" s="103">
        <v>63</v>
      </c>
    </row>
    <row r="210" spans="1:26" x14ac:dyDescent="0.35">
      <c r="A210" s="103">
        <v>206</v>
      </c>
      <c r="B210" s="130" t="s">
        <v>256</v>
      </c>
      <c r="C210" s="103">
        <f t="shared" si="24"/>
        <v>81266</v>
      </c>
      <c r="D210" s="103">
        <v>34541</v>
      </c>
      <c r="E210" s="103">
        <v>115807</v>
      </c>
      <c r="F210" s="103">
        <f t="shared" si="25"/>
        <v>10221</v>
      </c>
      <c r="G210" s="103">
        <v>4533</v>
      </c>
      <c r="H210" s="103">
        <v>14754</v>
      </c>
      <c r="I210" s="103">
        <f t="shared" si="26"/>
        <v>3477</v>
      </c>
      <c r="J210" s="103">
        <v>1519</v>
      </c>
      <c r="K210" s="103">
        <v>4996</v>
      </c>
      <c r="L210" s="103">
        <f t="shared" si="27"/>
        <v>23393</v>
      </c>
      <c r="M210" s="103">
        <v>10831</v>
      </c>
      <c r="N210" s="103">
        <v>34224</v>
      </c>
      <c r="O210" s="103">
        <f t="shared" si="28"/>
        <v>194</v>
      </c>
      <c r="P210" s="103">
        <v>29</v>
      </c>
      <c r="Q210" s="103">
        <v>223</v>
      </c>
      <c r="R210" s="103">
        <f t="shared" si="29"/>
        <v>3484</v>
      </c>
      <c r="S210" s="103">
        <v>1591</v>
      </c>
      <c r="T210" s="103">
        <v>5075</v>
      </c>
      <c r="U210" s="103">
        <f t="shared" si="30"/>
        <v>1706</v>
      </c>
      <c r="V210" s="103">
        <v>1251</v>
      </c>
      <c r="W210" s="103">
        <v>2957</v>
      </c>
      <c r="X210" s="103">
        <f t="shared" si="31"/>
        <v>3805</v>
      </c>
      <c r="Y210" s="103">
        <v>1088</v>
      </c>
      <c r="Z210" s="103">
        <v>4893</v>
      </c>
    </row>
    <row r="211" spans="1:26" ht="28" x14ac:dyDescent="0.35">
      <c r="A211" s="103">
        <v>207</v>
      </c>
      <c r="B211" s="130" t="s">
        <v>881</v>
      </c>
      <c r="C211" s="103">
        <f t="shared" si="24"/>
        <v>42</v>
      </c>
      <c r="D211" s="103">
        <v>14</v>
      </c>
      <c r="E211" s="103">
        <v>56</v>
      </c>
      <c r="F211" s="103">
        <f t="shared" si="25"/>
        <v>8</v>
      </c>
      <c r="G211" s="103">
        <v>1</v>
      </c>
      <c r="H211" s="103">
        <v>9</v>
      </c>
      <c r="I211" s="103">
        <f t="shared" si="26"/>
        <v>0</v>
      </c>
      <c r="J211" s="103">
        <v>0</v>
      </c>
      <c r="K211" s="103">
        <v>0</v>
      </c>
      <c r="L211" s="103">
        <f t="shared" si="27"/>
        <v>8</v>
      </c>
      <c r="M211" s="103">
        <v>3</v>
      </c>
      <c r="N211" s="103">
        <v>11</v>
      </c>
      <c r="O211" s="103">
        <f t="shared" si="28"/>
        <v>0</v>
      </c>
      <c r="P211" s="103">
        <v>0</v>
      </c>
      <c r="Q211" s="103">
        <v>0</v>
      </c>
      <c r="R211" s="103">
        <f t="shared" si="29"/>
        <v>0</v>
      </c>
      <c r="S211" s="103">
        <v>0</v>
      </c>
      <c r="T211" s="103">
        <v>0</v>
      </c>
      <c r="U211" s="103">
        <f t="shared" si="30"/>
        <v>0</v>
      </c>
      <c r="V211" s="103">
        <v>0</v>
      </c>
      <c r="W211" s="103">
        <v>0</v>
      </c>
      <c r="X211" s="103">
        <f t="shared" si="31"/>
        <v>4</v>
      </c>
      <c r="Y211" s="103">
        <v>1</v>
      </c>
      <c r="Z211" s="103">
        <v>5</v>
      </c>
    </row>
    <row r="212" spans="1:26" x14ac:dyDescent="0.35">
      <c r="A212" s="103">
        <v>208</v>
      </c>
      <c r="B212" s="130" t="s">
        <v>882</v>
      </c>
      <c r="C212" s="103">
        <f t="shared" si="24"/>
        <v>92</v>
      </c>
      <c r="D212" s="103">
        <v>60</v>
      </c>
      <c r="E212" s="103">
        <v>152</v>
      </c>
      <c r="F212" s="103">
        <f t="shared" si="25"/>
        <v>9</v>
      </c>
      <c r="G212" s="103">
        <v>3</v>
      </c>
      <c r="H212" s="103">
        <v>12</v>
      </c>
      <c r="I212" s="103">
        <f t="shared" si="26"/>
        <v>3</v>
      </c>
      <c r="J212" s="103">
        <v>0</v>
      </c>
      <c r="K212" s="103">
        <v>3</v>
      </c>
      <c r="L212" s="103">
        <f t="shared" si="27"/>
        <v>21</v>
      </c>
      <c r="M212" s="103">
        <v>11</v>
      </c>
      <c r="N212" s="103">
        <v>32</v>
      </c>
      <c r="O212" s="103">
        <f t="shared" si="28"/>
        <v>0</v>
      </c>
      <c r="P212" s="103">
        <v>0</v>
      </c>
      <c r="Q212" s="103">
        <v>0</v>
      </c>
      <c r="R212" s="103">
        <f t="shared" si="29"/>
        <v>0</v>
      </c>
      <c r="S212" s="103">
        <v>0</v>
      </c>
      <c r="T212" s="103">
        <v>0</v>
      </c>
      <c r="U212" s="103">
        <f t="shared" si="30"/>
        <v>1</v>
      </c>
      <c r="V212" s="103">
        <v>0</v>
      </c>
      <c r="W212" s="103">
        <v>1</v>
      </c>
      <c r="X212" s="103">
        <f t="shared" si="31"/>
        <v>1</v>
      </c>
      <c r="Y212" s="103">
        <v>0</v>
      </c>
      <c r="Z212" s="103">
        <v>1</v>
      </c>
    </row>
    <row r="213" spans="1:26" x14ac:dyDescent="0.35">
      <c r="A213" s="103">
        <v>209</v>
      </c>
      <c r="B213" s="130" t="s">
        <v>257</v>
      </c>
      <c r="C213" s="103">
        <f t="shared" si="24"/>
        <v>255</v>
      </c>
      <c r="D213" s="103">
        <v>261</v>
      </c>
      <c r="E213" s="103">
        <v>516</v>
      </c>
      <c r="F213" s="103">
        <f t="shared" si="25"/>
        <v>42</v>
      </c>
      <c r="G213" s="103">
        <v>30</v>
      </c>
      <c r="H213" s="103">
        <v>72</v>
      </c>
      <c r="I213" s="103">
        <f t="shared" si="26"/>
        <v>16</v>
      </c>
      <c r="J213" s="103">
        <v>7</v>
      </c>
      <c r="K213" s="103">
        <v>23</v>
      </c>
      <c r="L213" s="103">
        <f t="shared" si="27"/>
        <v>62</v>
      </c>
      <c r="M213" s="103">
        <v>60</v>
      </c>
      <c r="N213" s="103">
        <v>122</v>
      </c>
      <c r="O213" s="103">
        <f t="shared" si="28"/>
        <v>0</v>
      </c>
      <c r="P213" s="103">
        <v>0</v>
      </c>
      <c r="Q213" s="103">
        <v>0</v>
      </c>
      <c r="R213" s="103">
        <f t="shared" si="29"/>
        <v>1</v>
      </c>
      <c r="S213" s="103">
        <v>0</v>
      </c>
      <c r="T213" s="103">
        <v>1</v>
      </c>
      <c r="U213" s="103">
        <f t="shared" si="30"/>
        <v>0</v>
      </c>
      <c r="V213" s="103">
        <v>2</v>
      </c>
      <c r="W213" s="103">
        <v>2</v>
      </c>
      <c r="X213" s="103">
        <f t="shared" si="31"/>
        <v>3</v>
      </c>
      <c r="Y213" s="103">
        <v>5</v>
      </c>
      <c r="Z213" s="103">
        <v>8</v>
      </c>
    </row>
    <row r="214" spans="1:26" x14ac:dyDescent="0.35">
      <c r="A214" s="103">
        <v>210</v>
      </c>
      <c r="B214" s="130" t="s">
        <v>883</v>
      </c>
      <c r="C214" s="103">
        <f t="shared" si="24"/>
        <v>2219</v>
      </c>
      <c r="D214" s="103">
        <v>1879</v>
      </c>
      <c r="E214" s="103">
        <v>4098</v>
      </c>
      <c r="F214" s="103">
        <f t="shared" si="25"/>
        <v>260</v>
      </c>
      <c r="G214" s="103">
        <v>206</v>
      </c>
      <c r="H214" s="103">
        <v>466</v>
      </c>
      <c r="I214" s="103">
        <f t="shared" si="26"/>
        <v>154</v>
      </c>
      <c r="J214" s="103">
        <v>202</v>
      </c>
      <c r="K214" s="103">
        <v>356</v>
      </c>
      <c r="L214" s="103">
        <f t="shared" si="27"/>
        <v>726</v>
      </c>
      <c r="M214" s="103">
        <v>653</v>
      </c>
      <c r="N214" s="103">
        <v>1379</v>
      </c>
      <c r="O214" s="103">
        <f t="shared" si="28"/>
        <v>4</v>
      </c>
      <c r="P214" s="103">
        <v>5</v>
      </c>
      <c r="Q214" s="103">
        <v>9</v>
      </c>
      <c r="R214" s="103">
        <f t="shared" si="29"/>
        <v>82</v>
      </c>
      <c r="S214" s="103">
        <v>72</v>
      </c>
      <c r="T214" s="103">
        <v>154</v>
      </c>
      <c r="U214" s="103">
        <f t="shared" si="30"/>
        <v>48</v>
      </c>
      <c r="V214" s="103">
        <v>37</v>
      </c>
      <c r="W214" s="103">
        <v>85</v>
      </c>
      <c r="X214" s="103">
        <f t="shared" si="31"/>
        <v>106</v>
      </c>
      <c r="Y214" s="103">
        <v>57</v>
      </c>
      <c r="Z214" s="103">
        <v>163</v>
      </c>
    </row>
    <row r="215" spans="1:26" x14ac:dyDescent="0.35">
      <c r="A215" s="103">
        <v>211</v>
      </c>
      <c r="B215" s="130" t="s">
        <v>258</v>
      </c>
      <c r="C215" s="103">
        <f t="shared" si="24"/>
        <v>738</v>
      </c>
      <c r="D215" s="103">
        <v>1003</v>
      </c>
      <c r="E215" s="103">
        <v>1741</v>
      </c>
      <c r="F215" s="103">
        <f t="shared" si="25"/>
        <v>80</v>
      </c>
      <c r="G215" s="103">
        <v>83</v>
      </c>
      <c r="H215" s="103">
        <v>163</v>
      </c>
      <c r="I215" s="103">
        <f t="shared" si="26"/>
        <v>26</v>
      </c>
      <c r="J215" s="103">
        <v>24</v>
      </c>
      <c r="K215" s="103">
        <v>50</v>
      </c>
      <c r="L215" s="103">
        <f t="shared" si="27"/>
        <v>202</v>
      </c>
      <c r="M215" s="103">
        <v>330</v>
      </c>
      <c r="N215" s="103">
        <v>532</v>
      </c>
      <c r="O215" s="103">
        <f t="shared" si="28"/>
        <v>0</v>
      </c>
      <c r="P215" s="103">
        <v>1</v>
      </c>
      <c r="Q215" s="103">
        <v>1</v>
      </c>
      <c r="R215" s="103">
        <f t="shared" si="29"/>
        <v>50</v>
      </c>
      <c r="S215" s="103">
        <v>77</v>
      </c>
      <c r="T215" s="103">
        <v>127</v>
      </c>
      <c r="U215" s="103">
        <f t="shared" si="30"/>
        <v>61</v>
      </c>
      <c r="V215" s="103">
        <v>84</v>
      </c>
      <c r="W215" s="103">
        <v>145</v>
      </c>
      <c r="X215" s="103">
        <f t="shared" si="31"/>
        <v>17</v>
      </c>
      <c r="Y215" s="103">
        <v>38</v>
      </c>
      <c r="Z215" s="103">
        <v>55</v>
      </c>
    </row>
    <row r="216" spans="1:26" ht="28" x14ac:dyDescent="0.35">
      <c r="A216" s="103">
        <v>212</v>
      </c>
      <c r="B216" s="130" t="s">
        <v>884</v>
      </c>
      <c r="C216" s="103">
        <f t="shared" si="24"/>
        <v>52</v>
      </c>
      <c r="D216" s="103">
        <v>59</v>
      </c>
      <c r="E216" s="103">
        <v>111</v>
      </c>
      <c r="F216" s="103">
        <f t="shared" si="25"/>
        <v>12</v>
      </c>
      <c r="G216" s="103">
        <v>4</v>
      </c>
      <c r="H216" s="103">
        <v>16</v>
      </c>
      <c r="I216" s="103">
        <f t="shared" si="26"/>
        <v>2</v>
      </c>
      <c r="J216" s="103">
        <v>1</v>
      </c>
      <c r="K216" s="103">
        <v>3</v>
      </c>
      <c r="L216" s="103">
        <f t="shared" si="27"/>
        <v>14</v>
      </c>
      <c r="M216" s="103">
        <v>11</v>
      </c>
      <c r="N216" s="103">
        <v>25</v>
      </c>
      <c r="O216" s="103">
        <f t="shared" si="28"/>
        <v>0</v>
      </c>
      <c r="P216" s="103">
        <v>0</v>
      </c>
      <c r="Q216" s="103">
        <v>0</v>
      </c>
      <c r="R216" s="103">
        <f t="shared" si="29"/>
        <v>0</v>
      </c>
      <c r="S216" s="103">
        <v>2</v>
      </c>
      <c r="T216" s="103">
        <v>2</v>
      </c>
      <c r="U216" s="103">
        <f t="shared" si="30"/>
        <v>0</v>
      </c>
      <c r="V216" s="103">
        <v>0</v>
      </c>
      <c r="W216" s="103">
        <v>0</v>
      </c>
      <c r="X216" s="103">
        <f t="shared" si="31"/>
        <v>1</v>
      </c>
      <c r="Y216" s="103">
        <v>4</v>
      </c>
      <c r="Z216" s="103">
        <v>5</v>
      </c>
    </row>
    <row r="217" spans="1:26" x14ac:dyDescent="0.35">
      <c r="A217" s="103">
        <v>213</v>
      </c>
      <c r="B217" s="130" t="s">
        <v>259</v>
      </c>
      <c r="C217" s="103">
        <f t="shared" si="24"/>
        <v>477</v>
      </c>
      <c r="D217" s="103">
        <v>482</v>
      </c>
      <c r="E217" s="103">
        <v>959</v>
      </c>
      <c r="F217" s="103">
        <f t="shared" si="25"/>
        <v>75</v>
      </c>
      <c r="G217" s="103">
        <v>45</v>
      </c>
      <c r="H217" s="103">
        <v>120</v>
      </c>
      <c r="I217" s="103">
        <f t="shared" si="26"/>
        <v>36</v>
      </c>
      <c r="J217" s="103">
        <v>13</v>
      </c>
      <c r="K217" s="103">
        <v>49</v>
      </c>
      <c r="L217" s="103">
        <f t="shared" si="27"/>
        <v>199</v>
      </c>
      <c r="M217" s="103">
        <v>206</v>
      </c>
      <c r="N217" s="103">
        <v>405</v>
      </c>
      <c r="O217" s="103">
        <f t="shared" si="28"/>
        <v>1</v>
      </c>
      <c r="P217" s="103">
        <v>2</v>
      </c>
      <c r="Q217" s="103">
        <v>3</v>
      </c>
      <c r="R217" s="103">
        <f t="shared" si="29"/>
        <v>16</v>
      </c>
      <c r="S217" s="103">
        <v>29</v>
      </c>
      <c r="T217" s="103">
        <v>45</v>
      </c>
      <c r="U217" s="103">
        <f t="shared" si="30"/>
        <v>81</v>
      </c>
      <c r="V217" s="103">
        <v>114</v>
      </c>
      <c r="W217" s="103">
        <v>195</v>
      </c>
      <c r="X217" s="103">
        <f t="shared" si="31"/>
        <v>14</v>
      </c>
      <c r="Y217" s="103">
        <v>11</v>
      </c>
      <c r="Z217" s="103">
        <v>25</v>
      </c>
    </row>
    <row r="218" spans="1:26" ht="28" x14ac:dyDescent="0.35">
      <c r="A218" s="103">
        <v>214</v>
      </c>
      <c r="B218" s="130" t="s">
        <v>260</v>
      </c>
      <c r="C218" s="103">
        <f t="shared" si="24"/>
        <v>1537</v>
      </c>
      <c r="D218" s="103">
        <v>1060</v>
      </c>
      <c r="E218" s="103">
        <v>2597</v>
      </c>
      <c r="F218" s="103">
        <f t="shared" si="25"/>
        <v>316</v>
      </c>
      <c r="G218" s="103">
        <v>216</v>
      </c>
      <c r="H218" s="103">
        <v>532</v>
      </c>
      <c r="I218" s="103">
        <f t="shared" si="26"/>
        <v>213</v>
      </c>
      <c r="J218" s="103">
        <v>165</v>
      </c>
      <c r="K218" s="103">
        <v>378</v>
      </c>
      <c r="L218" s="103">
        <f t="shared" si="27"/>
        <v>267</v>
      </c>
      <c r="M218" s="103">
        <v>205</v>
      </c>
      <c r="N218" s="103">
        <v>472</v>
      </c>
      <c r="O218" s="103">
        <f t="shared" si="28"/>
        <v>4</v>
      </c>
      <c r="P218" s="103">
        <v>2</v>
      </c>
      <c r="Q218" s="103">
        <v>6</v>
      </c>
      <c r="R218" s="103">
        <f t="shared" si="29"/>
        <v>94</v>
      </c>
      <c r="S218" s="103">
        <v>54</v>
      </c>
      <c r="T218" s="103">
        <v>148</v>
      </c>
      <c r="U218" s="103">
        <f t="shared" si="30"/>
        <v>41</v>
      </c>
      <c r="V218" s="103">
        <v>35</v>
      </c>
      <c r="W218" s="103">
        <v>76</v>
      </c>
      <c r="X218" s="103">
        <f t="shared" si="31"/>
        <v>54</v>
      </c>
      <c r="Y218" s="103">
        <v>48</v>
      </c>
      <c r="Z218" s="103">
        <v>102</v>
      </c>
    </row>
    <row r="219" spans="1:26" x14ac:dyDescent="0.35">
      <c r="A219" s="103">
        <v>215</v>
      </c>
      <c r="B219" s="130" t="s">
        <v>885</v>
      </c>
      <c r="C219" s="103">
        <f t="shared" si="24"/>
        <v>395</v>
      </c>
      <c r="D219" s="103">
        <v>215</v>
      </c>
      <c r="E219" s="103">
        <v>610</v>
      </c>
      <c r="F219" s="103">
        <f t="shared" si="25"/>
        <v>71</v>
      </c>
      <c r="G219" s="103">
        <v>23</v>
      </c>
      <c r="H219" s="103">
        <v>94</v>
      </c>
      <c r="I219" s="103">
        <f t="shared" si="26"/>
        <v>17</v>
      </c>
      <c r="J219" s="103">
        <v>12</v>
      </c>
      <c r="K219" s="103">
        <v>29</v>
      </c>
      <c r="L219" s="103">
        <f t="shared" si="27"/>
        <v>101</v>
      </c>
      <c r="M219" s="103">
        <v>40</v>
      </c>
      <c r="N219" s="103">
        <v>141</v>
      </c>
      <c r="O219" s="103">
        <f t="shared" si="28"/>
        <v>1</v>
      </c>
      <c r="P219" s="103">
        <v>0</v>
      </c>
      <c r="Q219" s="103">
        <v>1</v>
      </c>
      <c r="R219" s="103">
        <f t="shared" si="29"/>
        <v>22</v>
      </c>
      <c r="S219" s="103">
        <v>7</v>
      </c>
      <c r="T219" s="103">
        <v>29</v>
      </c>
      <c r="U219" s="103">
        <f t="shared" si="30"/>
        <v>9</v>
      </c>
      <c r="V219" s="103">
        <v>1</v>
      </c>
      <c r="W219" s="103">
        <v>10</v>
      </c>
      <c r="X219" s="103">
        <f t="shared" si="31"/>
        <v>8</v>
      </c>
      <c r="Y219" s="103">
        <v>1</v>
      </c>
      <c r="Z219" s="103">
        <v>9</v>
      </c>
    </row>
    <row r="220" spans="1:26" x14ac:dyDescent="0.35">
      <c r="A220" s="103">
        <v>216</v>
      </c>
      <c r="B220" s="130" t="s">
        <v>886</v>
      </c>
      <c r="C220" s="103">
        <f t="shared" si="24"/>
        <v>182</v>
      </c>
      <c r="D220" s="103">
        <v>121</v>
      </c>
      <c r="E220" s="103">
        <v>303</v>
      </c>
      <c r="F220" s="103">
        <f t="shared" si="25"/>
        <v>38</v>
      </c>
      <c r="G220" s="103">
        <v>17</v>
      </c>
      <c r="H220" s="103">
        <v>55</v>
      </c>
      <c r="I220" s="103">
        <f t="shared" si="26"/>
        <v>34</v>
      </c>
      <c r="J220" s="103">
        <v>36</v>
      </c>
      <c r="K220" s="103">
        <v>70</v>
      </c>
      <c r="L220" s="103">
        <f t="shared" si="27"/>
        <v>80</v>
      </c>
      <c r="M220" s="103">
        <v>53</v>
      </c>
      <c r="N220" s="103">
        <v>133</v>
      </c>
      <c r="O220" s="103">
        <f t="shared" si="28"/>
        <v>0</v>
      </c>
      <c r="P220" s="103">
        <v>0</v>
      </c>
      <c r="Q220" s="103">
        <v>0</v>
      </c>
      <c r="R220" s="103">
        <f t="shared" si="29"/>
        <v>0</v>
      </c>
      <c r="S220" s="103">
        <v>0</v>
      </c>
      <c r="T220" s="103">
        <v>0</v>
      </c>
      <c r="U220" s="103">
        <f t="shared" si="30"/>
        <v>0</v>
      </c>
      <c r="V220" s="103">
        <v>0</v>
      </c>
      <c r="W220" s="103">
        <v>0</v>
      </c>
      <c r="X220" s="103">
        <f t="shared" si="31"/>
        <v>0</v>
      </c>
      <c r="Y220" s="103">
        <v>0</v>
      </c>
      <c r="Z220" s="103">
        <v>0</v>
      </c>
    </row>
    <row r="221" spans="1:26" ht="28" x14ac:dyDescent="0.35">
      <c r="A221" s="103">
        <v>217</v>
      </c>
      <c r="B221" s="130" t="s">
        <v>261</v>
      </c>
      <c r="C221" s="103">
        <f t="shared" si="24"/>
        <v>10</v>
      </c>
      <c r="D221" s="103">
        <v>4</v>
      </c>
      <c r="E221" s="103">
        <v>14</v>
      </c>
      <c r="F221" s="103">
        <f t="shared" si="25"/>
        <v>0</v>
      </c>
      <c r="G221" s="103">
        <v>0</v>
      </c>
      <c r="H221" s="103">
        <v>0</v>
      </c>
      <c r="I221" s="103">
        <f t="shared" si="26"/>
        <v>0</v>
      </c>
      <c r="J221" s="103">
        <v>0</v>
      </c>
      <c r="K221" s="103">
        <v>0</v>
      </c>
      <c r="L221" s="103">
        <f t="shared" si="27"/>
        <v>0</v>
      </c>
      <c r="M221" s="103">
        <v>0</v>
      </c>
      <c r="N221" s="103">
        <v>0</v>
      </c>
      <c r="O221" s="103">
        <f t="shared" si="28"/>
        <v>0</v>
      </c>
      <c r="P221" s="103">
        <v>0</v>
      </c>
      <c r="Q221" s="103">
        <v>0</v>
      </c>
      <c r="R221" s="103">
        <f t="shared" si="29"/>
        <v>0</v>
      </c>
      <c r="S221" s="103">
        <v>0</v>
      </c>
      <c r="T221" s="103">
        <v>0</v>
      </c>
      <c r="U221" s="103">
        <f t="shared" si="30"/>
        <v>0</v>
      </c>
      <c r="V221" s="103">
        <v>0</v>
      </c>
      <c r="W221" s="103">
        <v>0</v>
      </c>
      <c r="X221" s="103">
        <f t="shared" si="31"/>
        <v>0</v>
      </c>
      <c r="Y221" s="103">
        <v>0</v>
      </c>
      <c r="Z221" s="103">
        <v>0</v>
      </c>
    </row>
    <row r="222" spans="1:26" ht="28" x14ac:dyDescent="0.35">
      <c r="A222" s="103">
        <v>218</v>
      </c>
      <c r="B222" s="130" t="s">
        <v>887</v>
      </c>
      <c r="C222" s="103">
        <f t="shared" si="24"/>
        <v>336</v>
      </c>
      <c r="D222" s="103">
        <v>148</v>
      </c>
      <c r="E222" s="103">
        <v>484</v>
      </c>
      <c r="F222" s="103">
        <f t="shared" si="25"/>
        <v>0</v>
      </c>
      <c r="G222" s="103">
        <v>0</v>
      </c>
      <c r="H222" s="103">
        <v>0</v>
      </c>
      <c r="I222" s="103">
        <f t="shared" si="26"/>
        <v>0</v>
      </c>
      <c r="J222" s="103">
        <v>0</v>
      </c>
      <c r="K222" s="103">
        <v>0</v>
      </c>
      <c r="L222" s="103">
        <f t="shared" si="27"/>
        <v>4</v>
      </c>
      <c r="M222" s="103">
        <v>4</v>
      </c>
      <c r="N222" s="103">
        <v>8</v>
      </c>
      <c r="O222" s="103">
        <f t="shared" si="28"/>
        <v>0</v>
      </c>
      <c r="P222" s="103">
        <v>0</v>
      </c>
      <c r="Q222" s="103">
        <v>0</v>
      </c>
      <c r="R222" s="103">
        <f t="shared" si="29"/>
        <v>0</v>
      </c>
      <c r="S222" s="103">
        <v>1</v>
      </c>
      <c r="T222" s="103">
        <v>1</v>
      </c>
      <c r="U222" s="103">
        <f t="shared" si="30"/>
        <v>0</v>
      </c>
      <c r="V222" s="103">
        <v>0</v>
      </c>
      <c r="W222" s="103">
        <v>0</v>
      </c>
      <c r="X222" s="103">
        <f t="shared" si="31"/>
        <v>4</v>
      </c>
      <c r="Y222" s="103">
        <v>0</v>
      </c>
      <c r="Z222" s="103">
        <v>4</v>
      </c>
    </row>
    <row r="223" spans="1:26" ht="28" x14ac:dyDescent="0.35">
      <c r="A223" s="103">
        <v>219</v>
      </c>
      <c r="B223" s="130" t="s">
        <v>888</v>
      </c>
      <c r="C223" s="103">
        <f t="shared" si="24"/>
        <v>11143</v>
      </c>
      <c r="D223" s="103">
        <v>7338</v>
      </c>
      <c r="E223" s="103">
        <v>18481</v>
      </c>
      <c r="F223" s="103">
        <f t="shared" si="25"/>
        <v>687</v>
      </c>
      <c r="G223" s="103">
        <v>447</v>
      </c>
      <c r="H223" s="103">
        <v>1134</v>
      </c>
      <c r="I223" s="103">
        <f t="shared" si="26"/>
        <v>343</v>
      </c>
      <c r="J223" s="103">
        <v>395</v>
      </c>
      <c r="K223" s="103">
        <v>738</v>
      </c>
      <c r="L223" s="103">
        <f t="shared" si="27"/>
        <v>2179</v>
      </c>
      <c r="M223" s="103">
        <v>1136</v>
      </c>
      <c r="N223" s="103">
        <v>3315</v>
      </c>
      <c r="O223" s="103">
        <f t="shared" si="28"/>
        <v>1</v>
      </c>
      <c r="P223" s="103">
        <v>0</v>
      </c>
      <c r="Q223" s="103">
        <v>1</v>
      </c>
      <c r="R223" s="103">
        <f t="shared" si="29"/>
        <v>232</v>
      </c>
      <c r="S223" s="103">
        <v>140</v>
      </c>
      <c r="T223" s="103">
        <v>372</v>
      </c>
      <c r="U223" s="103">
        <f t="shared" si="30"/>
        <v>438</v>
      </c>
      <c r="V223" s="103">
        <v>398</v>
      </c>
      <c r="W223" s="103">
        <v>836</v>
      </c>
      <c r="X223" s="103">
        <f t="shared" si="31"/>
        <v>110</v>
      </c>
      <c r="Y223" s="103">
        <v>45</v>
      </c>
      <c r="Z223" s="103">
        <v>155</v>
      </c>
    </row>
    <row r="224" spans="1:26" ht="28" x14ac:dyDescent="0.35">
      <c r="A224" s="103">
        <v>220</v>
      </c>
      <c r="B224" s="130" t="s">
        <v>262</v>
      </c>
      <c r="C224" s="103">
        <f t="shared" si="24"/>
        <v>2236</v>
      </c>
      <c r="D224" s="103">
        <v>1194</v>
      </c>
      <c r="E224" s="103">
        <v>3430</v>
      </c>
      <c r="F224" s="103">
        <f t="shared" si="25"/>
        <v>462</v>
      </c>
      <c r="G224" s="103">
        <v>193</v>
      </c>
      <c r="H224" s="103">
        <v>655</v>
      </c>
      <c r="I224" s="103">
        <f t="shared" si="26"/>
        <v>187</v>
      </c>
      <c r="J224" s="103">
        <v>146</v>
      </c>
      <c r="K224" s="103">
        <v>333</v>
      </c>
      <c r="L224" s="103">
        <f t="shared" si="27"/>
        <v>599</v>
      </c>
      <c r="M224" s="103">
        <v>264</v>
      </c>
      <c r="N224" s="103">
        <v>863</v>
      </c>
      <c r="O224" s="103">
        <f t="shared" si="28"/>
        <v>24</v>
      </c>
      <c r="P224" s="103">
        <v>3</v>
      </c>
      <c r="Q224" s="103">
        <v>27</v>
      </c>
      <c r="R224" s="103">
        <f t="shared" si="29"/>
        <v>12</v>
      </c>
      <c r="S224" s="103">
        <v>1</v>
      </c>
      <c r="T224" s="103">
        <v>13</v>
      </c>
      <c r="U224" s="103">
        <f t="shared" si="30"/>
        <v>7</v>
      </c>
      <c r="V224" s="103">
        <v>4</v>
      </c>
      <c r="W224" s="103">
        <v>11</v>
      </c>
      <c r="X224" s="103">
        <f t="shared" si="31"/>
        <v>71</v>
      </c>
      <c r="Y224" s="103">
        <v>13</v>
      </c>
      <c r="Z224" s="103">
        <v>84</v>
      </c>
    </row>
    <row r="225" spans="1:26" x14ac:dyDescent="0.35">
      <c r="A225" s="103">
        <v>221</v>
      </c>
      <c r="B225" s="130" t="s">
        <v>263</v>
      </c>
      <c r="C225" s="103">
        <f t="shared" si="24"/>
        <v>84308</v>
      </c>
      <c r="D225" s="103">
        <v>75496</v>
      </c>
      <c r="E225" s="103">
        <v>159804</v>
      </c>
      <c r="F225" s="103">
        <f t="shared" si="25"/>
        <v>12207</v>
      </c>
      <c r="G225" s="103">
        <v>11040</v>
      </c>
      <c r="H225" s="103">
        <v>23247</v>
      </c>
      <c r="I225" s="103">
        <f t="shared" si="26"/>
        <v>6230</v>
      </c>
      <c r="J225" s="103">
        <v>6786</v>
      </c>
      <c r="K225" s="103">
        <v>13016</v>
      </c>
      <c r="L225" s="103">
        <f t="shared" si="27"/>
        <v>25580</v>
      </c>
      <c r="M225" s="103">
        <v>24340</v>
      </c>
      <c r="N225" s="103">
        <v>49920</v>
      </c>
      <c r="O225" s="103">
        <f t="shared" si="28"/>
        <v>262</v>
      </c>
      <c r="P225" s="103">
        <v>127</v>
      </c>
      <c r="Q225" s="103">
        <v>389</v>
      </c>
      <c r="R225" s="103">
        <f t="shared" si="29"/>
        <v>1690</v>
      </c>
      <c r="S225" s="103">
        <v>1376</v>
      </c>
      <c r="T225" s="103">
        <v>3066</v>
      </c>
      <c r="U225" s="103">
        <f t="shared" si="30"/>
        <v>2555</v>
      </c>
      <c r="V225" s="103">
        <v>2483</v>
      </c>
      <c r="W225" s="103">
        <v>5038</v>
      </c>
      <c r="X225" s="103">
        <f t="shared" si="31"/>
        <v>1578</v>
      </c>
      <c r="Y225" s="103">
        <v>1127</v>
      </c>
      <c r="Z225" s="103">
        <v>2705</v>
      </c>
    </row>
    <row r="226" spans="1:26" x14ac:dyDescent="0.35">
      <c r="A226" s="103">
        <v>222</v>
      </c>
      <c r="B226" s="130" t="s">
        <v>889</v>
      </c>
      <c r="C226" s="103">
        <f t="shared" si="24"/>
        <v>47</v>
      </c>
      <c r="D226" s="103">
        <v>77</v>
      </c>
      <c r="E226" s="103">
        <v>124</v>
      </c>
      <c r="F226" s="103">
        <f t="shared" si="25"/>
        <v>5</v>
      </c>
      <c r="G226" s="103">
        <v>9</v>
      </c>
      <c r="H226" s="103">
        <v>14</v>
      </c>
      <c r="I226" s="103">
        <f t="shared" si="26"/>
        <v>16</v>
      </c>
      <c r="J226" s="103">
        <v>16</v>
      </c>
      <c r="K226" s="103">
        <v>32</v>
      </c>
      <c r="L226" s="103">
        <f t="shared" si="27"/>
        <v>7</v>
      </c>
      <c r="M226" s="103">
        <v>21</v>
      </c>
      <c r="N226" s="103">
        <v>28</v>
      </c>
      <c r="O226" s="103">
        <f t="shared" si="28"/>
        <v>0</v>
      </c>
      <c r="P226" s="103">
        <v>0</v>
      </c>
      <c r="Q226" s="103">
        <v>0</v>
      </c>
      <c r="R226" s="103">
        <f t="shared" si="29"/>
        <v>1</v>
      </c>
      <c r="S226" s="103">
        <v>1</v>
      </c>
      <c r="T226" s="103">
        <v>2</v>
      </c>
      <c r="U226" s="103">
        <f t="shared" si="30"/>
        <v>2</v>
      </c>
      <c r="V226" s="103">
        <v>4</v>
      </c>
      <c r="W226" s="103">
        <v>6</v>
      </c>
      <c r="X226" s="103">
        <f t="shared" si="31"/>
        <v>0</v>
      </c>
      <c r="Y226" s="103">
        <v>0</v>
      </c>
      <c r="Z226" s="103">
        <v>0</v>
      </c>
    </row>
    <row r="227" spans="1:26" x14ac:dyDescent="0.35">
      <c r="A227" s="103">
        <v>223</v>
      </c>
      <c r="B227" s="130" t="s">
        <v>264</v>
      </c>
      <c r="C227" s="103">
        <f t="shared" si="24"/>
        <v>117285</v>
      </c>
      <c r="D227" s="103">
        <v>109814</v>
      </c>
      <c r="E227" s="103">
        <v>227099</v>
      </c>
      <c r="F227" s="103">
        <f t="shared" si="25"/>
        <v>12393</v>
      </c>
      <c r="G227" s="103">
        <v>9153</v>
      </c>
      <c r="H227" s="103">
        <v>21546</v>
      </c>
      <c r="I227" s="103">
        <f t="shared" si="26"/>
        <v>4743</v>
      </c>
      <c r="J227" s="103">
        <v>4169</v>
      </c>
      <c r="K227" s="103">
        <v>8912</v>
      </c>
      <c r="L227" s="103">
        <f t="shared" si="27"/>
        <v>30259</v>
      </c>
      <c r="M227" s="103">
        <v>28247</v>
      </c>
      <c r="N227" s="103">
        <v>58506</v>
      </c>
      <c r="O227" s="103">
        <f t="shared" si="28"/>
        <v>603</v>
      </c>
      <c r="P227" s="103">
        <v>225</v>
      </c>
      <c r="Q227" s="103">
        <v>828</v>
      </c>
      <c r="R227" s="103">
        <f t="shared" si="29"/>
        <v>6487</v>
      </c>
      <c r="S227" s="103">
        <v>4535</v>
      </c>
      <c r="T227" s="103">
        <v>11022</v>
      </c>
      <c r="U227" s="103">
        <f t="shared" si="30"/>
        <v>3379</v>
      </c>
      <c r="V227" s="103">
        <v>5791</v>
      </c>
      <c r="W227" s="103">
        <v>9170</v>
      </c>
      <c r="X227" s="103">
        <f t="shared" si="31"/>
        <v>3414</v>
      </c>
      <c r="Y227" s="103">
        <v>2797</v>
      </c>
      <c r="Z227" s="103">
        <v>6211</v>
      </c>
    </row>
    <row r="228" spans="1:26" x14ac:dyDescent="0.35">
      <c r="A228" s="103">
        <v>224</v>
      </c>
      <c r="B228" s="130" t="s">
        <v>265</v>
      </c>
      <c r="C228" s="103">
        <f t="shared" si="24"/>
        <v>15553</v>
      </c>
      <c r="D228" s="103">
        <v>24630</v>
      </c>
      <c r="E228" s="103">
        <v>40183</v>
      </c>
      <c r="F228" s="103">
        <f t="shared" si="25"/>
        <v>1440</v>
      </c>
      <c r="G228" s="103">
        <v>2633</v>
      </c>
      <c r="H228" s="103">
        <v>4073</v>
      </c>
      <c r="I228" s="103">
        <f t="shared" si="26"/>
        <v>514</v>
      </c>
      <c r="J228" s="103">
        <v>731</v>
      </c>
      <c r="K228" s="103">
        <v>1245</v>
      </c>
      <c r="L228" s="103">
        <f t="shared" si="27"/>
        <v>6992</v>
      </c>
      <c r="M228" s="103">
        <v>11446</v>
      </c>
      <c r="N228" s="103">
        <v>18438</v>
      </c>
      <c r="O228" s="103">
        <f t="shared" si="28"/>
        <v>13</v>
      </c>
      <c r="P228" s="103">
        <v>11</v>
      </c>
      <c r="Q228" s="103">
        <v>24</v>
      </c>
      <c r="R228" s="103">
        <f t="shared" si="29"/>
        <v>1672</v>
      </c>
      <c r="S228" s="103">
        <v>2850</v>
      </c>
      <c r="T228" s="103">
        <v>4522</v>
      </c>
      <c r="U228" s="103">
        <f t="shared" si="30"/>
        <v>484</v>
      </c>
      <c r="V228" s="103">
        <v>1039</v>
      </c>
      <c r="W228" s="103">
        <v>1523</v>
      </c>
      <c r="X228" s="103">
        <f t="shared" si="31"/>
        <v>250</v>
      </c>
      <c r="Y228" s="103">
        <v>514</v>
      </c>
      <c r="Z228" s="103">
        <v>764</v>
      </c>
    </row>
    <row r="229" spans="1:26" ht="28" x14ac:dyDescent="0.35">
      <c r="A229" s="103">
        <v>225</v>
      </c>
      <c r="B229" s="130" t="s">
        <v>890</v>
      </c>
      <c r="C229" s="103">
        <f t="shared" si="24"/>
        <v>74</v>
      </c>
      <c r="D229" s="103">
        <v>73</v>
      </c>
      <c r="E229" s="103">
        <v>147</v>
      </c>
      <c r="F229" s="103">
        <f t="shared" si="25"/>
        <v>5</v>
      </c>
      <c r="G229" s="103">
        <v>8</v>
      </c>
      <c r="H229" s="103">
        <v>13</v>
      </c>
      <c r="I229" s="103">
        <f t="shared" si="26"/>
        <v>29</v>
      </c>
      <c r="J229" s="103">
        <v>13</v>
      </c>
      <c r="K229" s="103">
        <v>42</v>
      </c>
      <c r="L229" s="103">
        <f t="shared" si="27"/>
        <v>33</v>
      </c>
      <c r="M229" s="103">
        <v>49</v>
      </c>
      <c r="N229" s="103">
        <v>82</v>
      </c>
      <c r="O229" s="103">
        <f t="shared" si="28"/>
        <v>0</v>
      </c>
      <c r="P229" s="103">
        <v>0</v>
      </c>
      <c r="Q229" s="103">
        <v>0</v>
      </c>
      <c r="R229" s="103">
        <f t="shared" si="29"/>
        <v>0</v>
      </c>
      <c r="S229" s="103">
        <v>0</v>
      </c>
      <c r="T229" s="103">
        <v>0</v>
      </c>
      <c r="U229" s="103">
        <f t="shared" si="30"/>
        <v>0</v>
      </c>
      <c r="V229" s="103">
        <v>0</v>
      </c>
      <c r="W229" s="103">
        <v>0</v>
      </c>
      <c r="X229" s="103">
        <f t="shared" si="31"/>
        <v>0</v>
      </c>
      <c r="Y229" s="103">
        <v>0</v>
      </c>
      <c r="Z229" s="103">
        <v>0</v>
      </c>
    </row>
    <row r="230" spans="1:26" ht="28" x14ac:dyDescent="0.35">
      <c r="A230" s="103">
        <v>226</v>
      </c>
      <c r="B230" s="130" t="s">
        <v>891</v>
      </c>
      <c r="C230" s="103">
        <f t="shared" si="24"/>
        <v>141</v>
      </c>
      <c r="D230" s="103">
        <v>0</v>
      </c>
      <c r="E230" s="103">
        <v>141</v>
      </c>
      <c r="F230" s="103">
        <f t="shared" si="25"/>
        <v>24</v>
      </c>
      <c r="G230" s="103">
        <v>0</v>
      </c>
      <c r="H230" s="103">
        <v>24</v>
      </c>
      <c r="I230" s="103">
        <f t="shared" si="26"/>
        <v>4</v>
      </c>
      <c r="J230" s="103">
        <v>0</v>
      </c>
      <c r="K230" s="103">
        <v>4</v>
      </c>
      <c r="L230" s="103">
        <f t="shared" si="27"/>
        <v>97</v>
      </c>
      <c r="M230" s="103">
        <v>0</v>
      </c>
      <c r="N230" s="103">
        <v>97</v>
      </c>
      <c r="O230" s="103">
        <f t="shared" si="28"/>
        <v>0</v>
      </c>
      <c r="P230" s="103">
        <v>0</v>
      </c>
      <c r="Q230" s="103">
        <v>0</v>
      </c>
      <c r="R230" s="103">
        <f t="shared" si="29"/>
        <v>0</v>
      </c>
      <c r="S230" s="103">
        <v>0</v>
      </c>
      <c r="T230" s="103">
        <v>0</v>
      </c>
      <c r="U230" s="103">
        <f t="shared" si="30"/>
        <v>0</v>
      </c>
      <c r="V230" s="103">
        <v>0</v>
      </c>
      <c r="W230" s="103">
        <v>0</v>
      </c>
      <c r="X230" s="103">
        <f t="shared" si="31"/>
        <v>0</v>
      </c>
      <c r="Y230" s="103">
        <v>0</v>
      </c>
      <c r="Z230" s="103">
        <v>0</v>
      </c>
    </row>
    <row r="231" spans="1:26" x14ac:dyDescent="0.35">
      <c r="A231" s="103">
        <v>227</v>
      </c>
      <c r="B231" s="130" t="s">
        <v>266</v>
      </c>
      <c r="C231" s="103">
        <f t="shared" si="24"/>
        <v>31637</v>
      </c>
      <c r="D231" s="103">
        <v>17343</v>
      </c>
      <c r="E231" s="103">
        <v>48980</v>
      </c>
      <c r="F231" s="103">
        <f t="shared" si="25"/>
        <v>2955</v>
      </c>
      <c r="G231" s="103">
        <v>3240</v>
      </c>
      <c r="H231" s="103">
        <v>6195</v>
      </c>
      <c r="I231" s="103">
        <f t="shared" si="26"/>
        <v>1138</v>
      </c>
      <c r="J231" s="103">
        <v>1246</v>
      </c>
      <c r="K231" s="103">
        <v>2384</v>
      </c>
      <c r="L231" s="103">
        <f t="shared" si="27"/>
        <v>7226</v>
      </c>
      <c r="M231" s="103">
        <v>6503</v>
      </c>
      <c r="N231" s="103">
        <v>13729</v>
      </c>
      <c r="O231" s="103">
        <f t="shared" si="28"/>
        <v>42</v>
      </c>
      <c r="P231" s="103">
        <v>54</v>
      </c>
      <c r="Q231" s="103">
        <v>96</v>
      </c>
      <c r="R231" s="103">
        <f t="shared" si="29"/>
        <v>97</v>
      </c>
      <c r="S231" s="103">
        <v>61</v>
      </c>
      <c r="T231" s="103">
        <v>158</v>
      </c>
      <c r="U231" s="103">
        <f t="shared" si="30"/>
        <v>431</v>
      </c>
      <c r="V231" s="103">
        <v>96</v>
      </c>
      <c r="W231" s="103">
        <v>527</v>
      </c>
      <c r="X231" s="103">
        <f t="shared" si="31"/>
        <v>414</v>
      </c>
      <c r="Y231" s="103">
        <v>151</v>
      </c>
      <c r="Z231" s="103">
        <v>565</v>
      </c>
    </row>
    <row r="232" spans="1:26" x14ac:dyDescent="0.35">
      <c r="A232" s="103">
        <v>228</v>
      </c>
      <c r="B232" s="130" t="s">
        <v>892</v>
      </c>
      <c r="C232" s="103">
        <f t="shared" si="24"/>
        <v>150</v>
      </c>
      <c r="D232" s="103">
        <v>55</v>
      </c>
      <c r="E232" s="103">
        <v>205</v>
      </c>
      <c r="F232" s="103">
        <f t="shared" si="25"/>
        <v>6</v>
      </c>
      <c r="G232" s="103">
        <v>7</v>
      </c>
      <c r="H232" s="103">
        <v>13</v>
      </c>
      <c r="I232" s="103">
        <f t="shared" si="26"/>
        <v>3</v>
      </c>
      <c r="J232" s="103">
        <v>2</v>
      </c>
      <c r="K232" s="103">
        <v>5</v>
      </c>
      <c r="L232" s="103">
        <f t="shared" si="27"/>
        <v>49</v>
      </c>
      <c r="M232" s="103">
        <v>10</v>
      </c>
      <c r="N232" s="103">
        <v>59</v>
      </c>
      <c r="O232" s="103">
        <f t="shared" si="28"/>
        <v>2</v>
      </c>
      <c r="P232" s="103">
        <v>0</v>
      </c>
      <c r="Q232" s="103">
        <v>2</v>
      </c>
      <c r="R232" s="103">
        <f t="shared" si="29"/>
        <v>0</v>
      </c>
      <c r="S232" s="103">
        <v>0</v>
      </c>
      <c r="T232" s="103">
        <v>0</v>
      </c>
      <c r="U232" s="103">
        <f t="shared" si="30"/>
        <v>0</v>
      </c>
      <c r="V232" s="103">
        <v>0</v>
      </c>
      <c r="W232" s="103">
        <v>0</v>
      </c>
      <c r="X232" s="103">
        <f t="shared" si="31"/>
        <v>15</v>
      </c>
      <c r="Y232" s="103">
        <v>6</v>
      </c>
      <c r="Z232" s="103">
        <v>21</v>
      </c>
    </row>
    <row r="233" spans="1:26" x14ac:dyDescent="0.35">
      <c r="A233" s="103">
        <v>229</v>
      </c>
      <c r="B233" s="130" t="s">
        <v>893</v>
      </c>
      <c r="C233" s="103">
        <f t="shared" si="24"/>
        <v>3122</v>
      </c>
      <c r="D233" s="103">
        <v>3894</v>
      </c>
      <c r="E233" s="103">
        <v>7016</v>
      </c>
      <c r="F233" s="103">
        <f t="shared" si="25"/>
        <v>381</v>
      </c>
      <c r="G233" s="103">
        <v>654</v>
      </c>
      <c r="H233" s="103">
        <v>1035</v>
      </c>
      <c r="I233" s="103">
        <f t="shared" si="26"/>
        <v>317</v>
      </c>
      <c r="J233" s="103">
        <v>582</v>
      </c>
      <c r="K233" s="103">
        <v>899</v>
      </c>
      <c r="L233" s="103">
        <f t="shared" si="27"/>
        <v>949</v>
      </c>
      <c r="M233" s="103">
        <v>1570</v>
      </c>
      <c r="N233" s="103">
        <v>2519</v>
      </c>
      <c r="O233" s="103">
        <f t="shared" si="28"/>
        <v>4</v>
      </c>
      <c r="P233" s="103">
        <v>2</v>
      </c>
      <c r="Q233" s="103">
        <v>6</v>
      </c>
      <c r="R233" s="103">
        <f t="shared" si="29"/>
        <v>5</v>
      </c>
      <c r="S233" s="103">
        <v>12</v>
      </c>
      <c r="T233" s="103">
        <v>17</v>
      </c>
      <c r="U233" s="103">
        <f t="shared" si="30"/>
        <v>12</v>
      </c>
      <c r="V233" s="103">
        <v>7</v>
      </c>
      <c r="W233" s="103">
        <v>19</v>
      </c>
      <c r="X233" s="103">
        <f t="shared" si="31"/>
        <v>236</v>
      </c>
      <c r="Y233" s="103">
        <v>128</v>
      </c>
      <c r="Z233" s="103">
        <v>364</v>
      </c>
    </row>
    <row r="234" spans="1:26" x14ac:dyDescent="0.35">
      <c r="A234" s="103">
        <v>230</v>
      </c>
      <c r="B234" s="130" t="s">
        <v>894</v>
      </c>
      <c r="C234" s="103">
        <f t="shared" si="24"/>
        <v>868</v>
      </c>
      <c r="D234" s="103">
        <v>1770</v>
      </c>
      <c r="E234" s="103">
        <v>2638</v>
      </c>
      <c r="F234" s="103">
        <f t="shared" si="25"/>
        <v>69</v>
      </c>
      <c r="G234" s="103">
        <v>151</v>
      </c>
      <c r="H234" s="103">
        <v>220</v>
      </c>
      <c r="I234" s="103">
        <f t="shared" si="26"/>
        <v>26</v>
      </c>
      <c r="J234" s="103">
        <v>59</v>
      </c>
      <c r="K234" s="103">
        <v>85</v>
      </c>
      <c r="L234" s="103">
        <f t="shared" si="27"/>
        <v>328</v>
      </c>
      <c r="M234" s="103">
        <v>661</v>
      </c>
      <c r="N234" s="103">
        <v>989</v>
      </c>
      <c r="O234" s="103">
        <f t="shared" si="28"/>
        <v>1</v>
      </c>
      <c r="P234" s="103">
        <v>1</v>
      </c>
      <c r="Q234" s="103">
        <v>2</v>
      </c>
      <c r="R234" s="103">
        <f t="shared" si="29"/>
        <v>16</v>
      </c>
      <c r="S234" s="103">
        <v>14</v>
      </c>
      <c r="T234" s="103">
        <v>30</v>
      </c>
      <c r="U234" s="103">
        <f t="shared" si="30"/>
        <v>10</v>
      </c>
      <c r="V234" s="103">
        <v>21</v>
      </c>
      <c r="W234" s="103">
        <v>31</v>
      </c>
      <c r="X234" s="103">
        <f t="shared" si="31"/>
        <v>37</v>
      </c>
      <c r="Y234" s="103">
        <v>85</v>
      </c>
      <c r="Z234" s="103">
        <v>122</v>
      </c>
    </row>
    <row r="235" spans="1:26" x14ac:dyDescent="0.35">
      <c r="A235" s="103">
        <v>231</v>
      </c>
      <c r="B235" s="130" t="s">
        <v>895</v>
      </c>
      <c r="C235" s="103">
        <f t="shared" si="24"/>
        <v>64</v>
      </c>
      <c r="D235" s="103">
        <v>29</v>
      </c>
      <c r="E235" s="103">
        <v>93</v>
      </c>
      <c r="F235" s="103">
        <f t="shared" si="25"/>
        <v>3</v>
      </c>
      <c r="G235" s="103">
        <v>0</v>
      </c>
      <c r="H235" s="103">
        <v>3</v>
      </c>
      <c r="I235" s="103">
        <f t="shared" si="26"/>
        <v>0</v>
      </c>
      <c r="J235" s="103">
        <v>0</v>
      </c>
      <c r="K235" s="103">
        <v>0</v>
      </c>
      <c r="L235" s="103">
        <f t="shared" si="27"/>
        <v>11</v>
      </c>
      <c r="M235" s="103">
        <v>5</v>
      </c>
      <c r="N235" s="103">
        <v>16</v>
      </c>
      <c r="O235" s="103">
        <f t="shared" si="28"/>
        <v>0</v>
      </c>
      <c r="P235" s="103">
        <v>0</v>
      </c>
      <c r="Q235" s="103">
        <v>0</v>
      </c>
      <c r="R235" s="103">
        <f t="shared" si="29"/>
        <v>0</v>
      </c>
      <c r="S235" s="103">
        <v>0</v>
      </c>
      <c r="T235" s="103">
        <v>0</v>
      </c>
      <c r="U235" s="103">
        <f t="shared" si="30"/>
        <v>0</v>
      </c>
      <c r="V235" s="103">
        <v>0</v>
      </c>
      <c r="W235" s="103">
        <v>0</v>
      </c>
      <c r="X235" s="103">
        <f t="shared" si="31"/>
        <v>0</v>
      </c>
      <c r="Y235" s="103">
        <v>0</v>
      </c>
      <c r="Z235" s="103">
        <v>0</v>
      </c>
    </row>
    <row r="236" spans="1:26" x14ac:dyDescent="0.35">
      <c r="A236" s="103">
        <v>232</v>
      </c>
      <c r="B236" s="130" t="s">
        <v>896</v>
      </c>
      <c r="C236" s="103">
        <f t="shared" si="24"/>
        <v>9</v>
      </c>
      <c r="D236" s="103">
        <v>9</v>
      </c>
      <c r="E236" s="103">
        <v>18</v>
      </c>
      <c r="F236" s="103">
        <f t="shared" si="25"/>
        <v>2</v>
      </c>
      <c r="G236" s="103">
        <v>1</v>
      </c>
      <c r="H236" s="103">
        <v>3</v>
      </c>
      <c r="I236" s="103">
        <f t="shared" si="26"/>
        <v>0</v>
      </c>
      <c r="J236" s="103">
        <v>1</v>
      </c>
      <c r="K236" s="103">
        <v>1</v>
      </c>
      <c r="L236" s="103">
        <f t="shared" si="27"/>
        <v>2</v>
      </c>
      <c r="M236" s="103">
        <v>2</v>
      </c>
      <c r="N236" s="103">
        <v>4</v>
      </c>
      <c r="O236" s="103">
        <f t="shared" si="28"/>
        <v>0</v>
      </c>
      <c r="P236" s="103">
        <v>0</v>
      </c>
      <c r="Q236" s="103">
        <v>0</v>
      </c>
      <c r="R236" s="103">
        <f t="shared" si="29"/>
        <v>0</v>
      </c>
      <c r="S236" s="103">
        <v>0</v>
      </c>
      <c r="T236" s="103">
        <v>0</v>
      </c>
      <c r="U236" s="103">
        <f t="shared" si="30"/>
        <v>0</v>
      </c>
      <c r="V236" s="103">
        <v>0</v>
      </c>
      <c r="W236" s="103">
        <v>0</v>
      </c>
      <c r="X236" s="103">
        <f t="shared" si="31"/>
        <v>0</v>
      </c>
      <c r="Y236" s="103">
        <v>0</v>
      </c>
      <c r="Z236" s="103">
        <v>0</v>
      </c>
    </row>
    <row r="237" spans="1:26" x14ac:dyDescent="0.35">
      <c r="A237" s="103">
        <v>233</v>
      </c>
      <c r="B237" s="130" t="s">
        <v>267</v>
      </c>
      <c r="C237" s="103">
        <f t="shared" si="24"/>
        <v>380</v>
      </c>
      <c r="D237" s="103">
        <v>151</v>
      </c>
      <c r="E237" s="103">
        <v>531</v>
      </c>
      <c r="F237" s="103">
        <f t="shared" si="25"/>
        <v>18</v>
      </c>
      <c r="G237" s="103">
        <v>9</v>
      </c>
      <c r="H237" s="103">
        <v>27</v>
      </c>
      <c r="I237" s="103">
        <f t="shared" si="26"/>
        <v>10</v>
      </c>
      <c r="J237" s="103">
        <v>3</v>
      </c>
      <c r="K237" s="103">
        <v>13</v>
      </c>
      <c r="L237" s="103">
        <f t="shared" si="27"/>
        <v>58</v>
      </c>
      <c r="M237" s="103">
        <v>39</v>
      </c>
      <c r="N237" s="103">
        <v>97</v>
      </c>
      <c r="O237" s="103">
        <f t="shared" si="28"/>
        <v>0</v>
      </c>
      <c r="P237" s="103">
        <v>0</v>
      </c>
      <c r="Q237" s="103">
        <v>0</v>
      </c>
      <c r="R237" s="103">
        <f t="shared" si="29"/>
        <v>0</v>
      </c>
      <c r="S237" s="103">
        <v>0</v>
      </c>
      <c r="T237" s="103">
        <v>0</v>
      </c>
      <c r="U237" s="103">
        <f t="shared" si="30"/>
        <v>0</v>
      </c>
      <c r="V237" s="103">
        <v>0</v>
      </c>
      <c r="W237" s="103">
        <v>0</v>
      </c>
      <c r="X237" s="103">
        <f t="shared" si="31"/>
        <v>58</v>
      </c>
      <c r="Y237" s="103">
        <v>19</v>
      </c>
      <c r="Z237" s="103">
        <v>77</v>
      </c>
    </row>
    <row r="238" spans="1:26" x14ac:dyDescent="0.35">
      <c r="A238" s="103">
        <v>234</v>
      </c>
      <c r="B238" s="130" t="s">
        <v>897</v>
      </c>
      <c r="C238" s="103">
        <f t="shared" si="24"/>
        <v>247</v>
      </c>
      <c r="D238" s="103">
        <v>97</v>
      </c>
      <c r="E238" s="103">
        <v>344</v>
      </c>
      <c r="F238" s="103">
        <f t="shared" si="25"/>
        <v>74</v>
      </c>
      <c r="G238" s="103">
        <v>39</v>
      </c>
      <c r="H238" s="103">
        <v>113</v>
      </c>
      <c r="I238" s="103">
        <f t="shared" si="26"/>
        <v>6</v>
      </c>
      <c r="J238" s="103">
        <v>3</v>
      </c>
      <c r="K238" s="103">
        <v>9</v>
      </c>
      <c r="L238" s="103">
        <f t="shared" si="27"/>
        <v>115</v>
      </c>
      <c r="M238" s="103">
        <v>35</v>
      </c>
      <c r="N238" s="103">
        <v>150</v>
      </c>
      <c r="O238" s="103">
        <f t="shared" si="28"/>
        <v>0</v>
      </c>
      <c r="P238" s="103">
        <v>0</v>
      </c>
      <c r="Q238" s="103">
        <v>0</v>
      </c>
      <c r="R238" s="103">
        <f t="shared" si="29"/>
        <v>0</v>
      </c>
      <c r="S238" s="103">
        <v>0</v>
      </c>
      <c r="T238" s="103">
        <v>0</v>
      </c>
      <c r="U238" s="103">
        <f t="shared" si="30"/>
        <v>0</v>
      </c>
      <c r="V238" s="103">
        <v>0</v>
      </c>
      <c r="W238" s="103">
        <v>0</v>
      </c>
      <c r="X238" s="103">
        <f t="shared" si="31"/>
        <v>13</v>
      </c>
      <c r="Y238" s="103">
        <v>6</v>
      </c>
      <c r="Z238" s="103">
        <v>19</v>
      </c>
    </row>
    <row r="239" spans="1:26" x14ac:dyDescent="0.35">
      <c r="A239" s="103">
        <v>235</v>
      </c>
      <c r="B239" s="130" t="s">
        <v>898</v>
      </c>
      <c r="C239" s="103">
        <f t="shared" si="24"/>
        <v>1</v>
      </c>
      <c r="D239" s="103">
        <v>0</v>
      </c>
      <c r="E239" s="103">
        <v>1</v>
      </c>
      <c r="F239" s="103">
        <f t="shared" si="25"/>
        <v>0</v>
      </c>
      <c r="G239" s="103">
        <v>0</v>
      </c>
      <c r="H239" s="103">
        <v>0</v>
      </c>
      <c r="I239" s="103">
        <f t="shared" si="26"/>
        <v>0</v>
      </c>
      <c r="J239" s="103">
        <v>0</v>
      </c>
      <c r="K239" s="103">
        <v>0</v>
      </c>
      <c r="L239" s="103">
        <f t="shared" si="27"/>
        <v>0</v>
      </c>
      <c r="M239" s="103">
        <v>0</v>
      </c>
      <c r="N239" s="103">
        <v>0</v>
      </c>
      <c r="O239" s="103">
        <f t="shared" si="28"/>
        <v>0</v>
      </c>
      <c r="P239" s="103">
        <v>0</v>
      </c>
      <c r="Q239" s="103">
        <v>0</v>
      </c>
      <c r="R239" s="103">
        <f t="shared" si="29"/>
        <v>0</v>
      </c>
      <c r="S239" s="103">
        <v>0</v>
      </c>
      <c r="T239" s="103">
        <v>0</v>
      </c>
      <c r="U239" s="103">
        <f t="shared" si="30"/>
        <v>0</v>
      </c>
      <c r="V239" s="103">
        <v>0</v>
      </c>
      <c r="W239" s="103">
        <v>0</v>
      </c>
      <c r="X239" s="103">
        <f t="shared" si="31"/>
        <v>0</v>
      </c>
      <c r="Y239" s="103">
        <v>0</v>
      </c>
      <c r="Z239" s="103">
        <v>0</v>
      </c>
    </row>
    <row r="240" spans="1:26" x14ac:dyDescent="0.35">
      <c r="A240" s="103"/>
      <c r="B240" s="132" t="s">
        <v>12</v>
      </c>
      <c r="C240" s="105">
        <f t="shared" si="24"/>
        <v>19598094</v>
      </c>
      <c r="D240" s="105">
        <v>18900528</v>
      </c>
      <c r="E240" s="105">
        <v>38498622</v>
      </c>
      <c r="F240" s="105">
        <f t="shared" si="25"/>
        <v>3046408</v>
      </c>
      <c r="G240" s="105">
        <v>2986648</v>
      </c>
      <c r="H240" s="105">
        <v>6033056</v>
      </c>
      <c r="I240" s="105">
        <f t="shared" si="26"/>
        <v>1210987</v>
      </c>
      <c r="J240" s="105">
        <v>1282471</v>
      </c>
      <c r="K240" s="105">
        <v>2493458</v>
      </c>
      <c r="L240" s="105">
        <f t="shared" si="27"/>
        <v>7731973</v>
      </c>
      <c r="M240" s="105">
        <v>7537154</v>
      </c>
      <c r="N240" s="105">
        <v>15269127</v>
      </c>
      <c r="O240" s="105">
        <f t="shared" si="28"/>
        <v>41548</v>
      </c>
      <c r="P240" s="105">
        <v>28368</v>
      </c>
      <c r="Q240" s="105">
        <v>69916</v>
      </c>
      <c r="R240" s="105">
        <f t="shared" si="29"/>
        <v>1010303</v>
      </c>
      <c r="S240" s="105">
        <v>1017969</v>
      </c>
      <c r="T240" s="105">
        <v>2028272</v>
      </c>
      <c r="U240" s="105">
        <f t="shared" si="30"/>
        <v>454902</v>
      </c>
      <c r="V240" s="105">
        <v>525022</v>
      </c>
      <c r="W240" s="105">
        <v>979924</v>
      </c>
      <c r="X240" s="105">
        <f t="shared" si="31"/>
        <v>400995</v>
      </c>
      <c r="Y240" s="105">
        <v>340481</v>
      </c>
      <c r="Z240" s="105">
        <v>741476</v>
      </c>
    </row>
  </sheetData>
  <mergeCells count="14">
    <mergeCell ref="O2:Q2"/>
    <mergeCell ref="R2:T2"/>
    <mergeCell ref="U2:W2"/>
    <mergeCell ref="X2:Z2"/>
    <mergeCell ref="A1:B1"/>
    <mergeCell ref="C1:H1"/>
    <mergeCell ref="I1:Q1"/>
    <mergeCell ref="R1:Z1"/>
    <mergeCell ref="A2:A3"/>
    <mergeCell ref="B2:B3"/>
    <mergeCell ref="C2:E2"/>
    <mergeCell ref="F2:H2"/>
    <mergeCell ref="I2:K2"/>
    <mergeCell ref="L2:N2"/>
  </mergeCells>
  <pageMargins left="0.51181102362204722" right="0.39370078740157483" top="0.51181102362204722" bottom="0.39370078740157483" header="0.15748031496062992" footer="7.874015748031496E-2"/>
  <pageSetup paperSize="9" scale="65" firstPageNumber="40" pageOrder="overThenDown" orientation="portrait" useFirstPageNumber="1" r:id="rId1"/>
  <headerFooter>
    <oddFooter>&amp;LAISHE 2021-22&amp;CT-11a</oddFooter>
  </headerFooter>
  <rowBreaks count="1" manualBreakCount="1">
    <brk id="54" max="25" man="1"/>
  </rowBreaks>
  <colBreaks count="2" manualBreakCount="2">
    <brk id="8" max="80" man="1"/>
    <brk id="17" max="8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ABC9-4052-4A88-BE47-199DA045DF01}">
  <sheetPr codeName="Sheet19">
    <tabColor rgb="FF92D050"/>
  </sheetPr>
  <dimension ref="A1:Z76"/>
  <sheetViews>
    <sheetView view="pageBreakPreview" topLeftCell="B1" zoomScale="85" zoomScaleSheetLayoutView="85" workbookViewId="0">
      <pane ySplit="4" topLeftCell="A5" activePane="bottomLeft" state="frozen"/>
      <selection activeCell="S20" sqref="S20"/>
      <selection pane="bottomLeft" activeCell="B5" sqref="B5"/>
    </sheetView>
  </sheetViews>
  <sheetFormatPr defaultColWidth="9.26953125" defaultRowHeight="14" x14ac:dyDescent="0.35"/>
  <cols>
    <col min="1" max="1" width="4.1796875" style="134" bestFit="1" customWidth="1"/>
    <col min="2" max="2" width="65.453125" style="106" bestFit="1" customWidth="1"/>
    <col min="3" max="8" width="11.26953125" style="134" customWidth="1"/>
    <col min="9" max="17" width="8.26953125" style="134" customWidth="1"/>
    <col min="18" max="26" width="8.1796875" style="134" customWidth="1"/>
    <col min="27" max="16384" width="9.26953125" style="104"/>
  </cols>
  <sheetData>
    <row r="1" spans="1:26" s="159" customFormat="1" ht="45" customHeight="1" x14ac:dyDescent="0.35">
      <c r="A1" s="780" t="s">
        <v>1027</v>
      </c>
      <c r="B1" s="780"/>
      <c r="C1" s="785" t="s">
        <v>1040</v>
      </c>
      <c r="D1" s="786"/>
      <c r="E1" s="786"/>
      <c r="F1" s="786"/>
      <c r="G1" s="786"/>
      <c r="H1" s="786"/>
      <c r="I1" s="785" t="str">
        <f>C1</f>
        <v>Program-Wise Enrolment Analysis for Diverse Social Groups in Distance Mode (Based on Actual Responses)</v>
      </c>
      <c r="J1" s="785"/>
      <c r="K1" s="785"/>
      <c r="L1" s="785"/>
      <c r="M1" s="785"/>
      <c r="N1" s="785"/>
      <c r="O1" s="785"/>
      <c r="P1" s="785"/>
      <c r="Q1" s="785"/>
      <c r="R1" s="785" t="str">
        <f>C1</f>
        <v>Program-Wise Enrolment Analysis for Diverse Social Groups in Distance Mode (Based on Actual Responses)</v>
      </c>
      <c r="S1" s="785"/>
      <c r="T1" s="785"/>
      <c r="U1" s="785"/>
      <c r="V1" s="785"/>
      <c r="W1" s="785"/>
      <c r="X1" s="785"/>
      <c r="Y1" s="785"/>
      <c r="Z1" s="785"/>
    </row>
    <row r="2" spans="1:26" s="478" customFormat="1" ht="14.5" x14ac:dyDescent="0.35">
      <c r="A2" s="787" t="s">
        <v>49</v>
      </c>
      <c r="B2" s="788" t="s">
        <v>814</v>
      </c>
      <c r="C2" s="789" t="s">
        <v>574</v>
      </c>
      <c r="D2" s="789"/>
      <c r="E2" s="789"/>
      <c r="F2" s="789" t="s">
        <v>566</v>
      </c>
      <c r="G2" s="789"/>
      <c r="H2" s="789"/>
      <c r="I2" s="789" t="s">
        <v>567</v>
      </c>
      <c r="J2" s="789"/>
      <c r="K2" s="789"/>
      <c r="L2" s="789" t="s">
        <v>568</v>
      </c>
      <c r="M2" s="789"/>
      <c r="N2" s="789"/>
      <c r="O2" s="778" t="s">
        <v>121</v>
      </c>
      <c r="P2" s="778"/>
      <c r="Q2" s="778"/>
      <c r="R2" s="778" t="s">
        <v>122</v>
      </c>
      <c r="S2" s="778"/>
      <c r="T2" s="778"/>
      <c r="U2" s="778" t="s">
        <v>123</v>
      </c>
      <c r="V2" s="778"/>
      <c r="W2" s="778"/>
      <c r="X2" s="778" t="s">
        <v>124</v>
      </c>
      <c r="Y2" s="778"/>
      <c r="Z2" s="778"/>
    </row>
    <row r="3" spans="1:26" s="479" customFormat="1" ht="14.5" x14ac:dyDescent="0.35">
      <c r="A3" s="787"/>
      <c r="B3" s="788"/>
      <c r="C3" s="327" t="s">
        <v>93</v>
      </c>
      <c r="D3" s="327" t="s">
        <v>94</v>
      </c>
      <c r="E3" s="327" t="s">
        <v>54</v>
      </c>
      <c r="F3" s="327" t="s">
        <v>93</v>
      </c>
      <c r="G3" s="327" t="s">
        <v>94</v>
      </c>
      <c r="H3" s="327" t="s">
        <v>54</v>
      </c>
      <c r="I3" s="327" t="s">
        <v>93</v>
      </c>
      <c r="J3" s="327" t="s">
        <v>94</v>
      </c>
      <c r="K3" s="327" t="s">
        <v>54</v>
      </c>
      <c r="L3" s="327" t="s">
        <v>93</v>
      </c>
      <c r="M3" s="327" t="s">
        <v>94</v>
      </c>
      <c r="N3" s="327" t="s">
        <v>54</v>
      </c>
      <c r="O3" s="289" t="s">
        <v>93</v>
      </c>
      <c r="P3" s="289" t="s">
        <v>94</v>
      </c>
      <c r="Q3" s="289" t="s">
        <v>54</v>
      </c>
      <c r="R3" s="289" t="s">
        <v>93</v>
      </c>
      <c r="S3" s="289" t="s">
        <v>94</v>
      </c>
      <c r="T3" s="289" t="s">
        <v>54</v>
      </c>
      <c r="U3" s="289" t="s">
        <v>93</v>
      </c>
      <c r="V3" s="289" t="s">
        <v>94</v>
      </c>
      <c r="W3" s="289" t="s">
        <v>54</v>
      </c>
      <c r="X3" s="289" t="s">
        <v>93</v>
      </c>
      <c r="Y3" s="289" t="s">
        <v>94</v>
      </c>
      <c r="Z3" s="289" t="s">
        <v>54</v>
      </c>
    </row>
    <row r="4" spans="1:26" s="324" customFormat="1" ht="11.5" x14ac:dyDescent="0.25">
      <c r="A4" s="329">
        <v>1</v>
      </c>
      <c r="B4" s="329">
        <v>2</v>
      </c>
      <c r="C4" s="102">
        <v>3</v>
      </c>
      <c r="D4" s="102">
        <v>4</v>
      </c>
      <c r="E4" s="102">
        <v>5</v>
      </c>
      <c r="F4" s="102">
        <v>6</v>
      </c>
      <c r="G4" s="102">
        <v>7</v>
      </c>
      <c r="H4" s="102">
        <v>8</v>
      </c>
      <c r="I4" s="102">
        <v>9</v>
      </c>
      <c r="J4" s="102">
        <v>10</v>
      </c>
      <c r="K4" s="102">
        <v>11</v>
      </c>
      <c r="L4" s="102">
        <v>12</v>
      </c>
      <c r="M4" s="102">
        <v>13</v>
      </c>
      <c r="N4" s="102">
        <v>14</v>
      </c>
      <c r="O4" s="102">
        <v>15</v>
      </c>
      <c r="P4" s="102">
        <v>16</v>
      </c>
      <c r="Q4" s="102">
        <v>17</v>
      </c>
      <c r="R4" s="102">
        <v>18</v>
      </c>
      <c r="S4" s="102">
        <v>19</v>
      </c>
      <c r="T4" s="102">
        <v>20</v>
      </c>
      <c r="U4" s="102">
        <v>21</v>
      </c>
      <c r="V4" s="102">
        <v>22</v>
      </c>
      <c r="W4" s="102">
        <v>23</v>
      </c>
      <c r="X4" s="102">
        <v>24</v>
      </c>
      <c r="Y4" s="102">
        <v>25</v>
      </c>
      <c r="Z4" s="102">
        <v>26</v>
      </c>
    </row>
    <row r="5" spans="1:26" ht="25.5" customHeight="1" x14ac:dyDescent="0.3">
      <c r="A5" s="330">
        <v>1</v>
      </c>
      <c r="B5" s="331" t="s">
        <v>815</v>
      </c>
      <c r="C5" s="634"/>
      <c r="D5" s="647">
        <v>1650</v>
      </c>
      <c r="E5" s="647">
        <v>1678</v>
      </c>
      <c r="F5" s="634">
        <f>H5-G5</f>
        <v>0</v>
      </c>
      <c r="G5" s="647">
        <v>659</v>
      </c>
      <c r="H5" s="647">
        <v>659</v>
      </c>
      <c r="I5" s="647"/>
      <c r="J5" s="647">
        <v>405</v>
      </c>
      <c r="K5" s="647">
        <v>405</v>
      </c>
      <c r="L5" s="647"/>
      <c r="M5" s="647">
        <v>215</v>
      </c>
      <c r="N5" s="647">
        <v>215</v>
      </c>
      <c r="O5" s="634">
        <f t="shared" ref="O5:O70" si="0">Q5-P5</f>
        <v>0</v>
      </c>
      <c r="P5" s="647">
        <v>60</v>
      </c>
      <c r="Q5" s="647">
        <v>60</v>
      </c>
      <c r="R5" s="634">
        <f>T5-S5</f>
        <v>0</v>
      </c>
      <c r="S5" s="647">
        <v>2</v>
      </c>
      <c r="T5" s="647">
        <v>2</v>
      </c>
      <c r="U5" s="634">
        <f>W5-V5</f>
        <v>0</v>
      </c>
      <c r="V5" s="647">
        <v>56</v>
      </c>
      <c r="W5" s="647">
        <v>56</v>
      </c>
      <c r="X5" s="634">
        <f>Z5-Y5</f>
        <v>0</v>
      </c>
      <c r="Y5" s="647">
        <v>25</v>
      </c>
      <c r="Z5" s="647">
        <v>25</v>
      </c>
    </row>
    <row r="6" spans="1:26" ht="25.5" customHeight="1" x14ac:dyDescent="0.3">
      <c r="A6" s="330">
        <v>2</v>
      </c>
      <c r="B6" s="331" t="s">
        <v>125</v>
      </c>
      <c r="C6" s="634">
        <f>E6-D6</f>
        <v>0</v>
      </c>
      <c r="D6" s="647">
        <v>3</v>
      </c>
      <c r="E6" s="647">
        <v>3</v>
      </c>
      <c r="F6" s="634">
        <f t="shared" ref="F6:F69" si="1">H6-G6</f>
        <v>0</v>
      </c>
      <c r="G6" s="647">
        <v>0</v>
      </c>
      <c r="H6" s="647">
        <v>0</v>
      </c>
      <c r="I6" s="634">
        <f>K6-J6</f>
        <v>0</v>
      </c>
      <c r="J6" s="647">
        <v>0</v>
      </c>
      <c r="K6" s="647">
        <v>0</v>
      </c>
      <c r="L6" s="634">
        <f>N6-M6</f>
        <v>0</v>
      </c>
      <c r="M6" s="647">
        <v>0</v>
      </c>
      <c r="N6" s="647">
        <v>0</v>
      </c>
      <c r="O6" s="634">
        <f t="shared" si="0"/>
        <v>0</v>
      </c>
      <c r="P6" s="647">
        <v>0</v>
      </c>
      <c r="Q6" s="647">
        <v>0</v>
      </c>
      <c r="R6" s="634">
        <f>T6-S6</f>
        <v>0</v>
      </c>
      <c r="S6" s="647">
        <v>0</v>
      </c>
      <c r="T6" s="647">
        <v>0</v>
      </c>
      <c r="U6" s="634">
        <f>W6-V6</f>
        <v>0</v>
      </c>
      <c r="V6" s="647">
        <v>0</v>
      </c>
      <c r="W6" s="647">
        <v>0</v>
      </c>
      <c r="X6" s="634">
        <f>Z6-Y6</f>
        <v>0</v>
      </c>
      <c r="Y6" s="647">
        <v>0</v>
      </c>
      <c r="Z6" s="647">
        <v>0</v>
      </c>
    </row>
    <row r="7" spans="1:26" ht="25.5" customHeight="1" x14ac:dyDescent="0.3">
      <c r="A7" s="330">
        <v>3</v>
      </c>
      <c r="B7" s="331" t="s">
        <v>130</v>
      </c>
      <c r="C7" s="634">
        <f t="shared" ref="C7:C70" si="2">E7-D7</f>
        <v>132559</v>
      </c>
      <c r="D7" s="647">
        <v>109509</v>
      </c>
      <c r="E7" s="647">
        <v>242068</v>
      </c>
      <c r="F7" s="634">
        <f t="shared" si="1"/>
        <v>12901</v>
      </c>
      <c r="G7" s="647">
        <v>10186</v>
      </c>
      <c r="H7" s="647">
        <v>23087</v>
      </c>
      <c r="I7" s="634">
        <f t="shared" ref="I7:I70" si="3">K7-J7</f>
        <v>6538</v>
      </c>
      <c r="J7" s="647">
        <v>6120</v>
      </c>
      <c r="K7" s="647">
        <v>12658</v>
      </c>
      <c r="L7" s="634">
        <f t="shared" ref="L7:L70" si="4">N7-M7</f>
        <v>44103</v>
      </c>
      <c r="M7" s="647">
        <v>31469</v>
      </c>
      <c r="N7" s="647">
        <v>75572</v>
      </c>
      <c r="O7" s="634">
        <f t="shared" si="0"/>
        <v>380</v>
      </c>
      <c r="P7" s="647">
        <v>175</v>
      </c>
      <c r="Q7" s="647">
        <v>555</v>
      </c>
      <c r="R7" s="634">
        <f t="shared" ref="R7:R70" si="5">T7-S7</f>
        <v>219</v>
      </c>
      <c r="S7" s="647">
        <v>118</v>
      </c>
      <c r="T7" s="647">
        <v>337</v>
      </c>
      <c r="U7" s="634">
        <f t="shared" ref="U7:U70" si="6">W7-V7</f>
        <v>41</v>
      </c>
      <c r="V7" s="647">
        <v>47</v>
      </c>
      <c r="W7" s="647">
        <v>88</v>
      </c>
      <c r="X7" s="634">
        <f t="shared" ref="X7:X70" si="7">Z7-Y7</f>
        <v>1956</v>
      </c>
      <c r="Y7" s="647">
        <v>1179</v>
      </c>
      <c r="Z7" s="647">
        <v>3135</v>
      </c>
    </row>
    <row r="8" spans="1:26" ht="25.5" customHeight="1" x14ac:dyDescent="0.3">
      <c r="A8" s="330">
        <v>4</v>
      </c>
      <c r="B8" s="331" t="s">
        <v>131</v>
      </c>
      <c r="C8" s="634">
        <f t="shared" si="2"/>
        <v>1020769</v>
      </c>
      <c r="D8" s="647">
        <v>732840</v>
      </c>
      <c r="E8" s="647">
        <v>1753609</v>
      </c>
      <c r="F8" s="634">
        <f t="shared" si="1"/>
        <v>184065</v>
      </c>
      <c r="G8" s="647">
        <v>128997</v>
      </c>
      <c r="H8" s="647">
        <v>313062</v>
      </c>
      <c r="I8" s="634">
        <f t="shared" si="3"/>
        <v>54723</v>
      </c>
      <c r="J8" s="647">
        <v>45296</v>
      </c>
      <c r="K8" s="647">
        <v>100019</v>
      </c>
      <c r="L8" s="634">
        <f t="shared" si="4"/>
        <v>295555</v>
      </c>
      <c r="M8" s="647">
        <v>215031</v>
      </c>
      <c r="N8" s="647">
        <v>510586</v>
      </c>
      <c r="O8" s="634">
        <f t="shared" si="0"/>
        <v>4508</v>
      </c>
      <c r="P8" s="647">
        <v>2375</v>
      </c>
      <c r="Q8" s="647">
        <v>6883</v>
      </c>
      <c r="R8" s="634">
        <f t="shared" si="5"/>
        <v>36934</v>
      </c>
      <c r="S8" s="647">
        <v>29400</v>
      </c>
      <c r="T8" s="647">
        <v>66334</v>
      </c>
      <c r="U8" s="634">
        <f t="shared" si="6"/>
        <v>7656</v>
      </c>
      <c r="V8" s="647">
        <v>7121</v>
      </c>
      <c r="W8" s="647">
        <v>14777</v>
      </c>
      <c r="X8" s="634">
        <f t="shared" si="7"/>
        <v>4344</v>
      </c>
      <c r="Y8" s="647">
        <v>6422</v>
      </c>
      <c r="Z8" s="647">
        <v>10766</v>
      </c>
    </row>
    <row r="9" spans="1:26" ht="25.5" customHeight="1" x14ac:dyDescent="0.3">
      <c r="A9" s="330">
        <v>5</v>
      </c>
      <c r="B9" s="331" t="s">
        <v>137</v>
      </c>
      <c r="C9" s="634">
        <f t="shared" si="2"/>
        <v>31812</v>
      </c>
      <c r="D9" s="647">
        <v>11969</v>
      </c>
      <c r="E9" s="647">
        <v>43781</v>
      </c>
      <c r="F9" s="634">
        <f t="shared" si="1"/>
        <v>2403</v>
      </c>
      <c r="G9" s="647">
        <v>1049</v>
      </c>
      <c r="H9" s="647">
        <v>3452</v>
      </c>
      <c r="I9" s="634">
        <f t="shared" si="3"/>
        <v>297</v>
      </c>
      <c r="J9" s="647">
        <v>176</v>
      </c>
      <c r="K9" s="647">
        <v>473</v>
      </c>
      <c r="L9" s="634">
        <f t="shared" si="4"/>
        <v>12248</v>
      </c>
      <c r="M9" s="647">
        <v>5425</v>
      </c>
      <c r="N9" s="647">
        <v>17673</v>
      </c>
      <c r="O9" s="634">
        <f t="shared" si="0"/>
        <v>58</v>
      </c>
      <c r="P9" s="647">
        <v>15</v>
      </c>
      <c r="Q9" s="647">
        <v>73</v>
      </c>
      <c r="R9" s="634">
        <f t="shared" si="5"/>
        <v>1489</v>
      </c>
      <c r="S9" s="647">
        <v>673</v>
      </c>
      <c r="T9" s="647">
        <v>2162</v>
      </c>
      <c r="U9" s="634">
        <f t="shared" si="6"/>
        <v>402</v>
      </c>
      <c r="V9" s="647">
        <v>202</v>
      </c>
      <c r="W9" s="647">
        <v>604</v>
      </c>
      <c r="X9" s="634">
        <f t="shared" si="7"/>
        <v>125</v>
      </c>
      <c r="Y9" s="647">
        <v>146</v>
      </c>
      <c r="Z9" s="647">
        <v>271</v>
      </c>
    </row>
    <row r="10" spans="1:26" ht="25.5" customHeight="1" x14ac:dyDescent="0.3">
      <c r="A10" s="330">
        <v>6</v>
      </c>
      <c r="B10" s="331" t="s">
        <v>139</v>
      </c>
      <c r="C10" s="634">
        <f t="shared" si="2"/>
        <v>47</v>
      </c>
      <c r="D10" s="647">
        <v>28</v>
      </c>
      <c r="E10" s="647">
        <v>75</v>
      </c>
      <c r="F10" s="634">
        <f t="shared" si="1"/>
        <v>7</v>
      </c>
      <c r="G10" s="647">
        <v>5</v>
      </c>
      <c r="H10" s="647">
        <v>12</v>
      </c>
      <c r="I10" s="634">
        <f t="shared" si="3"/>
        <v>1</v>
      </c>
      <c r="J10" s="647">
        <v>2</v>
      </c>
      <c r="K10" s="647">
        <v>3</v>
      </c>
      <c r="L10" s="634">
        <f t="shared" si="4"/>
        <v>24</v>
      </c>
      <c r="M10" s="647">
        <v>11</v>
      </c>
      <c r="N10" s="647">
        <v>35</v>
      </c>
      <c r="O10" s="634">
        <f t="shared" si="0"/>
        <v>0</v>
      </c>
      <c r="P10" s="647">
        <v>0</v>
      </c>
      <c r="Q10" s="647">
        <v>0</v>
      </c>
      <c r="R10" s="634">
        <f t="shared" si="5"/>
        <v>0</v>
      </c>
      <c r="S10" s="647">
        <v>0</v>
      </c>
      <c r="T10" s="647">
        <v>0</v>
      </c>
      <c r="U10" s="634">
        <f t="shared" si="6"/>
        <v>0</v>
      </c>
      <c r="V10" s="647">
        <v>0</v>
      </c>
      <c r="W10" s="647">
        <v>0</v>
      </c>
      <c r="X10" s="634">
        <f t="shared" si="7"/>
        <v>0</v>
      </c>
      <c r="Y10" s="647">
        <v>0</v>
      </c>
      <c r="Z10" s="647">
        <v>0</v>
      </c>
    </row>
    <row r="11" spans="1:26" ht="25.5" customHeight="1" x14ac:dyDescent="0.3">
      <c r="A11" s="330">
        <v>7</v>
      </c>
      <c r="B11" s="331" t="s">
        <v>141</v>
      </c>
      <c r="C11" s="632">
        <f t="shared" si="2"/>
        <v>44577</v>
      </c>
      <c r="D11" s="647">
        <v>12990</v>
      </c>
      <c r="E11" s="647">
        <v>57567</v>
      </c>
      <c r="F11" s="634">
        <f t="shared" si="1"/>
        <v>4348</v>
      </c>
      <c r="G11" s="647">
        <v>1250</v>
      </c>
      <c r="H11" s="647">
        <v>5598</v>
      </c>
      <c r="I11" s="634">
        <f t="shared" si="3"/>
        <v>815</v>
      </c>
      <c r="J11" s="647">
        <v>294</v>
      </c>
      <c r="K11" s="647">
        <v>1109</v>
      </c>
      <c r="L11" s="634">
        <f t="shared" si="4"/>
        <v>11630</v>
      </c>
      <c r="M11" s="647">
        <v>3869</v>
      </c>
      <c r="N11" s="647">
        <v>15499</v>
      </c>
      <c r="O11" s="634">
        <f t="shared" si="0"/>
        <v>145</v>
      </c>
      <c r="P11" s="647">
        <v>12</v>
      </c>
      <c r="Q11" s="647">
        <v>157</v>
      </c>
      <c r="R11" s="634">
        <f t="shared" si="5"/>
        <v>632</v>
      </c>
      <c r="S11" s="647">
        <v>293</v>
      </c>
      <c r="T11" s="647">
        <v>925</v>
      </c>
      <c r="U11" s="634">
        <f t="shared" si="6"/>
        <v>259</v>
      </c>
      <c r="V11" s="647">
        <v>125</v>
      </c>
      <c r="W11" s="647">
        <v>384</v>
      </c>
      <c r="X11" s="634">
        <f t="shared" si="7"/>
        <v>729</v>
      </c>
      <c r="Y11" s="647">
        <v>314</v>
      </c>
      <c r="Z11" s="647">
        <v>1043</v>
      </c>
    </row>
    <row r="12" spans="1:26" ht="25.5" customHeight="1" x14ac:dyDescent="0.3">
      <c r="A12" s="330">
        <v>8</v>
      </c>
      <c r="B12" s="331" t="s">
        <v>143</v>
      </c>
      <c r="C12" s="634">
        <f t="shared" si="2"/>
        <v>14578</v>
      </c>
      <c r="D12" s="647">
        <v>11586</v>
      </c>
      <c r="E12" s="647">
        <v>26164</v>
      </c>
      <c r="F12" s="634">
        <f t="shared" si="1"/>
        <v>1144</v>
      </c>
      <c r="G12" s="647">
        <v>677</v>
      </c>
      <c r="H12" s="647">
        <v>1821</v>
      </c>
      <c r="I12" s="634">
        <f t="shared" si="3"/>
        <v>50</v>
      </c>
      <c r="J12" s="647">
        <v>17</v>
      </c>
      <c r="K12" s="647">
        <v>67</v>
      </c>
      <c r="L12" s="634">
        <f t="shared" si="4"/>
        <v>1778</v>
      </c>
      <c r="M12" s="647">
        <v>1287</v>
      </c>
      <c r="N12" s="647">
        <v>3065</v>
      </c>
      <c r="O12" s="634">
        <f t="shared" si="0"/>
        <v>16</v>
      </c>
      <c r="P12" s="647">
        <v>6</v>
      </c>
      <c r="Q12" s="647">
        <v>22</v>
      </c>
      <c r="R12" s="634">
        <f t="shared" si="5"/>
        <v>0</v>
      </c>
      <c r="S12" s="647">
        <v>0</v>
      </c>
      <c r="T12" s="647">
        <v>0</v>
      </c>
      <c r="U12" s="634">
        <f t="shared" si="6"/>
        <v>0</v>
      </c>
      <c r="V12" s="647">
        <v>0</v>
      </c>
      <c r="W12" s="647">
        <v>0</v>
      </c>
      <c r="X12" s="634">
        <f t="shared" si="7"/>
        <v>0</v>
      </c>
      <c r="Y12" s="647">
        <v>0</v>
      </c>
      <c r="Z12" s="647">
        <v>0</v>
      </c>
    </row>
    <row r="13" spans="1:26" ht="25.5" customHeight="1" x14ac:dyDescent="0.3">
      <c r="A13" s="330">
        <v>9</v>
      </c>
      <c r="B13" s="331" t="s">
        <v>144</v>
      </c>
      <c r="C13" s="634">
        <f t="shared" si="2"/>
        <v>245761</v>
      </c>
      <c r="D13" s="647">
        <v>153370</v>
      </c>
      <c r="E13" s="647">
        <v>399131</v>
      </c>
      <c r="F13" s="634">
        <f t="shared" si="1"/>
        <v>26876</v>
      </c>
      <c r="G13" s="647">
        <v>15783</v>
      </c>
      <c r="H13" s="647">
        <v>42659</v>
      </c>
      <c r="I13" s="634">
        <f t="shared" si="3"/>
        <v>5765</v>
      </c>
      <c r="J13" s="647">
        <v>3075</v>
      </c>
      <c r="K13" s="647">
        <v>8840</v>
      </c>
      <c r="L13" s="634">
        <f t="shared" si="4"/>
        <v>80621</v>
      </c>
      <c r="M13" s="647">
        <v>53530</v>
      </c>
      <c r="N13" s="647">
        <v>134151</v>
      </c>
      <c r="O13" s="634">
        <f t="shared" si="0"/>
        <v>454</v>
      </c>
      <c r="P13" s="647">
        <v>241</v>
      </c>
      <c r="Q13" s="647">
        <v>695</v>
      </c>
      <c r="R13" s="634">
        <f t="shared" si="5"/>
        <v>6389</v>
      </c>
      <c r="S13" s="647">
        <v>4166</v>
      </c>
      <c r="T13" s="647">
        <v>10555</v>
      </c>
      <c r="U13" s="634">
        <f t="shared" si="6"/>
        <v>2113</v>
      </c>
      <c r="V13" s="647">
        <v>1993</v>
      </c>
      <c r="W13" s="647">
        <v>4106</v>
      </c>
      <c r="X13" s="634">
        <f t="shared" si="7"/>
        <v>882</v>
      </c>
      <c r="Y13" s="647">
        <v>1479</v>
      </c>
      <c r="Z13" s="647">
        <v>2361</v>
      </c>
    </row>
    <row r="14" spans="1:26" ht="25.5" customHeight="1" x14ac:dyDescent="0.3">
      <c r="A14" s="330">
        <v>10</v>
      </c>
      <c r="B14" s="331" t="s">
        <v>149</v>
      </c>
      <c r="C14" s="634">
        <f t="shared" si="2"/>
        <v>14908</v>
      </c>
      <c r="D14" s="647">
        <v>14902</v>
      </c>
      <c r="E14" s="647">
        <v>29810</v>
      </c>
      <c r="F14" s="634">
        <f t="shared" si="1"/>
        <v>2136</v>
      </c>
      <c r="G14" s="647">
        <v>1739</v>
      </c>
      <c r="H14" s="647">
        <v>3875</v>
      </c>
      <c r="I14" s="634">
        <f t="shared" si="3"/>
        <v>1140</v>
      </c>
      <c r="J14" s="647">
        <v>844</v>
      </c>
      <c r="K14" s="647">
        <v>1984</v>
      </c>
      <c r="L14" s="634">
        <f t="shared" si="4"/>
        <v>5086</v>
      </c>
      <c r="M14" s="647">
        <v>4345</v>
      </c>
      <c r="N14" s="647">
        <v>9431</v>
      </c>
      <c r="O14" s="634">
        <f t="shared" si="0"/>
        <v>269</v>
      </c>
      <c r="P14" s="647">
        <v>162</v>
      </c>
      <c r="Q14" s="647">
        <v>431</v>
      </c>
      <c r="R14" s="634">
        <f t="shared" si="5"/>
        <v>1869</v>
      </c>
      <c r="S14" s="647">
        <v>3653</v>
      </c>
      <c r="T14" s="647">
        <v>5522</v>
      </c>
      <c r="U14" s="634">
        <f t="shared" si="6"/>
        <v>144</v>
      </c>
      <c r="V14" s="647">
        <v>230</v>
      </c>
      <c r="W14" s="647">
        <v>374</v>
      </c>
      <c r="X14" s="634">
        <f t="shared" si="7"/>
        <v>363</v>
      </c>
      <c r="Y14" s="647">
        <v>181</v>
      </c>
      <c r="Z14" s="647">
        <v>544</v>
      </c>
    </row>
    <row r="15" spans="1:26" ht="25.5" customHeight="1" x14ac:dyDescent="0.3">
      <c r="A15" s="330">
        <v>11</v>
      </c>
      <c r="B15" s="331" t="s">
        <v>151</v>
      </c>
      <c r="C15" s="634">
        <f t="shared" si="2"/>
        <v>415</v>
      </c>
      <c r="D15" s="647">
        <v>1203</v>
      </c>
      <c r="E15" s="647">
        <v>1618</v>
      </c>
      <c r="F15" s="634">
        <f t="shared" si="1"/>
        <v>66</v>
      </c>
      <c r="G15" s="647">
        <v>91</v>
      </c>
      <c r="H15" s="647">
        <v>157</v>
      </c>
      <c r="I15" s="634">
        <f t="shared" si="3"/>
        <v>3</v>
      </c>
      <c r="J15" s="647">
        <v>7</v>
      </c>
      <c r="K15" s="647">
        <v>10</v>
      </c>
      <c r="L15" s="634">
        <f t="shared" si="4"/>
        <v>180</v>
      </c>
      <c r="M15" s="647">
        <v>597</v>
      </c>
      <c r="N15" s="647">
        <v>777</v>
      </c>
      <c r="O15" s="634">
        <f t="shared" si="0"/>
        <v>3</v>
      </c>
      <c r="P15" s="647">
        <v>1</v>
      </c>
      <c r="Q15" s="647">
        <v>4</v>
      </c>
      <c r="R15" s="634">
        <f t="shared" si="5"/>
        <v>3</v>
      </c>
      <c r="S15" s="647">
        <v>5</v>
      </c>
      <c r="T15" s="647">
        <v>8</v>
      </c>
      <c r="U15" s="634">
        <f t="shared" si="6"/>
        <v>10</v>
      </c>
      <c r="V15" s="647">
        <v>28</v>
      </c>
      <c r="W15" s="647">
        <v>38</v>
      </c>
      <c r="X15" s="634">
        <f t="shared" si="7"/>
        <v>0</v>
      </c>
      <c r="Y15" s="647">
        <v>0</v>
      </c>
      <c r="Z15" s="647">
        <v>0</v>
      </c>
    </row>
    <row r="16" spans="1:26" ht="25.5" customHeight="1" x14ac:dyDescent="0.3">
      <c r="A16" s="330">
        <v>12</v>
      </c>
      <c r="B16" s="331" t="s">
        <v>153</v>
      </c>
      <c r="C16" s="634">
        <f t="shared" si="2"/>
        <v>15393</v>
      </c>
      <c r="D16" s="647">
        <v>4411</v>
      </c>
      <c r="E16" s="647">
        <v>19804</v>
      </c>
      <c r="F16" s="634">
        <f t="shared" si="1"/>
        <v>1387</v>
      </c>
      <c r="G16" s="647">
        <v>436</v>
      </c>
      <c r="H16" s="647">
        <v>1823</v>
      </c>
      <c r="I16" s="634">
        <f t="shared" si="3"/>
        <v>400</v>
      </c>
      <c r="J16" s="647">
        <v>214</v>
      </c>
      <c r="K16" s="647">
        <v>614</v>
      </c>
      <c r="L16" s="634">
        <f t="shared" si="4"/>
        <v>3484</v>
      </c>
      <c r="M16" s="647">
        <v>798</v>
      </c>
      <c r="N16" s="647">
        <v>4282</v>
      </c>
      <c r="O16" s="634">
        <f t="shared" si="0"/>
        <v>64</v>
      </c>
      <c r="P16" s="647">
        <v>6</v>
      </c>
      <c r="Q16" s="647">
        <v>70</v>
      </c>
      <c r="R16" s="634">
        <f t="shared" si="5"/>
        <v>1</v>
      </c>
      <c r="S16" s="647">
        <v>0</v>
      </c>
      <c r="T16" s="647">
        <v>1</v>
      </c>
      <c r="U16" s="634">
        <f t="shared" si="6"/>
        <v>0</v>
      </c>
      <c r="V16" s="647">
        <v>0</v>
      </c>
      <c r="W16" s="647">
        <v>0</v>
      </c>
      <c r="X16" s="634">
        <f t="shared" si="7"/>
        <v>662</v>
      </c>
      <c r="Y16" s="647">
        <v>138</v>
      </c>
      <c r="Z16" s="647">
        <v>800</v>
      </c>
    </row>
    <row r="17" spans="1:26" ht="25.5" customHeight="1" x14ac:dyDescent="0.3">
      <c r="A17" s="330">
        <v>13</v>
      </c>
      <c r="B17" s="331" t="s">
        <v>154</v>
      </c>
      <c r="C17" s="634">
        <f t="shared" si="2"/>
        <v>108</v>
      </c>
      <c r="D17" s="647">
        <v>85</v>
      </c>
      <c r="E17" s="647">
        <v>193</v>
      </c>
      <c r="F17" s="634">
        <f t="shared" si="1"/>
        <v>6</v>
      </c>
      <c r="G17" s="647">
        <v>0</v>
      </c>
      <c r="H17" s="647">
        <v>6</v>
      </c>
      <c r="I17" s="634">
        <f t="shared" si="3"/>
        <v>0</v>
      </c>
      <c r="J17" s="647">
        <v>0</v>
      </c>
      <c r="K17" s="647">
        <v>0</v>
      </c>
      <c r="L17" s="634">
        <f t="shared" si="4"/>
        <v>23</v>
      </c>
      <c r="M17" s="647">
        <v>38</v>
      </c>
      <c r="N17" s="647">
        <v>61</v>
      </c>
      <c r="O17" s="634">
        <f t="shared" si="0"/>
        <v>0</v>
      </c>
      <c r="P17" s="647">
        <v>0</v>
      </c>
      <c r="Q17" s="647">
        <v>0</v>
      </c>
      <c r="R17" s="634">
        <f t="shared" si="5"/>
        <v>0</v>
      </c>
      <c r="S17" s="647">
        <v>0</v>
      </c>
      <c r="T17" s="647">
        <v>0</v>
      </c>
      <c r="U17" s="634">
        <f t="shared" si="6"/>
        <v>0</v>
      </c>
      <c r="V17" s="647">
        <v>0</v>
      </c>
      <c r="W17" s="647">
        <v>0</v>
      </c>
      <c r="X17" s="634">
        <f t="shared" si="7"/>
        <v>0</v>
      </c>
      <c r="Y17" s="647">
        <v>0</v>
      </c>
      <c r="Z17" s="647">
        <v>0</v>
      </c>
    </row>
    <row r="18" spans="1:26" ht="25.5" customHeight="1" x14ac:dyDescent="0.3">
      <c r="A18" s="330">
        <v>14</v>
      </c>
      <c r="B18" s="331" t="s">
        <v>156</v>
      </c>
      <c r="C18" s="634">
        <f t="shared" si="2"/>
        <v>7043</v>
      </c>
      <c r="D18" s="647">
        <v>2693</v>
      </c>
      <c r="E18" s="647">
        <v>9736</v>
      </c>
      <c r="F18" s="634">
        <f t="shared" si="1"/>
        <v>241</v>
      </c>
      <c r="G18" s="647">
        <v>149</v>
      </c>
      <c r="H18" s="647">
        <v>390</v>
      </c>
      <c r="I18" s="634">
        <f t="shared" si="3"/>
        <v>259</v>
      </c>
      <c r="J18" s="647">
        <v>147</v>
      </c>
      <c r="K18" s="647">
        <v>406</v>
      </c>
      <c r="L18" s="634">
        <f t="shared" si="4"/>
        <v>945</v>
      </c>
      <c r="M18" s="647">
        <v>384</v>
      </c>
      <c r="N18" s="647">
        <v>1329</v>
      </c>
      <c r="O18" s="634">
        <f t="shared" si="0"/>
        <v>19</v>
      </c>
      <c r="P18" s="647">
        <v>8</v>
      </c>
      <c r="Q18" s="647">
        <v>27</v>
      </c>
      <c r="R18" s="634">
        <f t="shared" si="5"/>
        <v>1</v>
      </c>
      <c r="S18" s="647">
        <v>2</v>
      </c>
      <c r="T18" s="647">
        <v>3</v>
      </c>
      <c r="U18" s="634">
        <f t="shared" si="6"/>
        <v>0</v>
      </c>
      <c r="V18" s="647">
        <v>0</v>
      </c>
      <c r="W18" s="647">
        <v>0</v>
      </c>
      <c r="X18" s="634">
        <f t="shared" si="7"/>
        <v>64</v>
      </c>
      <c r="Y18" s="647">
        <v>27</v>
      </c>
      <c r="Z18" s="647">
        <v>91</v>
      </c>
    </row>
    <row r="19" spans="1:26" ht="25.5" customHeight="1" x14ac:dyDescent="0.3">
      <c r="A19" s="330">
        <v>15</v>
      </c>
      <c r="B19" s="331" t="s">
        <v>829</v>
      </c>
      <c r="C19" s="634">
        <f t="shared" si="2"/>
        <v>78</v>
      </c>
      <c r="D19" s="647">
        <v>44</v>
      </c>
      <c r="E19" s="647">
        <v>122</v>
      </c>
      <c r="F19" s="634">
        <f t="shared" si="1"/>
        <v>2</v>
      </c>
      <c r="G19" s="647">
        <v>2</v>
      </c>
      <c r="H19" s="647">
        <v>4</v>
      </c>
      <c r="I19" s="634">
        <f t="shared" si="3"/>
        <v>3</v>
      </c>
      <c r="J19" s="647">
        <v>2</v>
      </c>
      <c r="K19" s="647">
        <v>5</v>
      </c>
      <c r="L19" s="634">
        <f t="shared" si="4"/>
        <v>30</v>
      </c>
      <c r="M19" s="647">
        <v>12</v>
      </c>
      <c r="N19" s="647">
        <v>42</v>
      </c>
      <c r="O19" s="634">
        <f t="shared" si="0"/>
        <v>0</v>
      </c>
      <c r="P19" s="647">
        <v>0</v>
      </c>
      <c r="Q19" s="647">
        <v>0</v>
      </c>
      <c r="R19" s="634">
        <f t="shared" si="5"/>
        <v>0</v>
      </c>
      <c r="S19" s="647">
        <v>0</v>
      </c>
      <c r="T19" s="647">
        <v>0</v>
      </c>
      <c r="U19" s="634">
        <f t="shared" si="6"/>
        <v>0</v>
      </c>
      <c r="V19" s="647">
        <v>0</v>
      </c>
      <c r="W19" s="647">
        <v>0</v>
      </c>
      <c r="X19" s="634">
        <f t="shared" si="7"/>
        <v>0</v>
      </c>
      <c r="Y19" s="647">
        <v>0</v>
      </c>
      <c r="Z19" s="647">
        <v>0</v>
      </c>
    </row>
    <row r="20" spans="1:26" ht="25.5" customHeight="1" x14ac:dyDescent="0.3">
      <c r="A20" s="330">
        <v>16</v>
      </c>
      <c r="B20" s="331" t="s">
        <v>158</v>
      </c>
      <c r="C20" s="634">
        <f t="shared" si="2"/>
        <v>235</v>
      </c>
      <c r="D20" s="647">
        <v>57</v>
      </c>
      <c r="E20" s="647">
        <v>292</v>
      </c>
      <c r="F20" s="634">
        <f t="shared" si="1"/>
        <v>31</v>
      </c>
      <c r="G20" s="647">
        <v>5</v>
      </c>
      <c r="H20" s="647">
        <v>36</v>
      </c>
      <c r="I20" s="634">
        <f t="shared" si="3"/>
        <v>19</v>
      </c>
      <c r="J20" s="647">
        <v>5</v>
      </c>
      <c r="K20" s="647">
        <v>24</v>
      </c>
      <c r="L20" s="634">
        <f t="shared" si="4"/>
        <v>98</v>
      </c>
      <c r="M20" s="647">
        <v>20</v>
      </c>
      <c r="N20" s="647">
        <v>118</v>
      </c>
      <c r="O20" s="634">
        <f t="shared" si="0"/>
        <v>1</v>
      </c>
      <c r="P20" s="647">
        <v>0</v>
      </c>
      <c r="Q20" s="647">
        <v>1</v>
      </c>
      <c r="R20" s="634">
        <f t="shared" si="5"/>
        <v>10</v>
      </c>
      <c r="S20" s="647">
        <v>2</v>
      </c>
      <c r="T20" s="647">
        <v>12</v>
      </c>
      <c r="U20" s="634">
        <f t="shared" si="6"/>
        <v>4</v>
      </c>
      <c r="V20" s="647">
        <v>3</v>
      </c>
      <c r="W20" s="647">
        <v>7</v>
      </c>
      <c r="X20" s="634">
        <f t="shared" si="7"/>
        <v>22</v>
      </c>
      <c r="Y20" s="647">
        <v>4</v>
      </c>
      <c r="Z20" s="647">
        <v>26</v>
      </c>
    </row>
    <row r="21" spans="1:26" ht="25.5" customHeight="1" x14ac:dyDescent="0.3">
      <c r="A21" s="330">
        <v>17</v>
      </c>
      <c r="B21" s="331" t="s">
        <v>159</v>
      </c>
      <c r="C21" s="634">
        <f t="shared" si="2"/>
        <v>257</v>
      </c>
      <c r="D21" s="647">
        <v>135</v>
      </c>
      <c r="E21" s="647">
        <v>392</v>
      </c>
      <c r="F21" s="634">
        <f t="shared" si="1"/>
        <v>87</v>
      </c>
      <c r="G21" s="647">
        <v>31</v>
      </c>
      <c r="H21" s="647">
        <v>118</v>
      </c>
      <c r="I21" s="634">
        <f t="shared" si="3"/>
        <v>1</v>
      </c>
      <c r="J21" s="647">
        <v>3</v>
      </c>
      <c r="K21" s="647">
        <v>4</v>
      </c>
      <c r="L21" s="634">
        <f t="shared" si="4"/>
        <v>47</v>
      </c>
      <c r="M21" s="647">
        <v>28</v>
      </c>
      <c r="N21" s="647">
        <v>75</v>
      </c>
      <c r="O21" s="634">
        <f t="shared" si="0"/>
        <v>0</v>
      </c>
      <c r="P21" s="647">
        <v>0</v>
      </c>
      <c r="Q21" s="647">
        <v>0</v>
      </c>
      <c r="R21" s="634">
        <f t="shared" si="5"/>
        <v>0</v>
      </c>
      <c r="S21" s="647">
        <v>0</v>
      </c>
      <c r="T21" s="647">
        <v>0</v>
      </c>
      <c r="U21" s="634">
        <f t="shared" si="6"/>
        <v>0</v>
      </c>
      <c r="V21" s="647">
        <v>0</v>
      </c>
      <c r="W21" s="647">
        <v>0</v>
      </c>
      <c r="X21" s="634">
        <f t="shared" si="7"/>
        <v>0</v>
      </c>
      <c r="Y21" s="647">
        <v>0</v>
      </c>
      <c r="Z21" s="647">
        <v>0</v>
      </c>
    </row>
    <row r="22" spans="1:26" ht="25.5" customHeight="1" x14ac:dyDescent="0.3">
      <c r="A22" s="330">
        <v>18</v>
      </c>
      <c r="B22" s="331" t="s">
        <v>831</v>
      </c>
      <c r="C22" s="634">
        <f t="shared" si="2"/>
        <v>4907</v>
      </c>
      <c r="D22" s="647">
        <v>5114</v>
      </c>
      <c r="E22" s="647">
        <v>10021</v>
      </c>
      <c r="F22" s="634">
        <f t="shared" si="1"/>
        <v>991</v>
      </c>
      <c r="G22" s="647">
        <v>922</v>
      </c>
      <c r="H22" s="647">
        <v>1913</v>
      </c>
      <c r="I22" s="634">
        <f t="shared" si="3"/>
        <v>320</v>
      </c>
      <c r="J22" s="647">
        <v>222</v>
      </c>
      <c r="K22" s="647">
        <v>542</v>
      </c>
      <c r="L22" s="634">
        <f t="shared" si="4"/>
        <v>1847</v>
      </c>
      <c r="M22" s="647">
        <v>1770</v>
      </c>
      <c r="N22" s="647">
        <v>3617</v>
      </c>
      <c r="O22" s="634">
        <f t="shared" si="0"/>
        <v>54</v>
      </c>
      <c r="P22" s="647">
        <v>23</v>
      </c>
      <c r="Q22" s="647">
        <v>77</v>
      </c>
      <c r="R22" s="634">
        <f t="shared" si="5"/>
        <v>88</v>
      </c>
      <c r="S22" s="647">
        <v>94</v>
      </c>
      <c r="T22" s="647">
        <v>182</v>
      </c>
      <c r="U22" s="634">
        <f t="shared" si="6"/>
        <v>344</v>
      </c>
      <c r="V22" s="647">
        <v>439</v>
      </c>
      <c r="W22" s="647">
        <v>783</v>
      </c>
      <c r="X22" s="634">
        <f t="shared" si="7"/>
        <v>196</v>
      </c>
      <c r="Y22" s="647">
        <v>307</v>
      </c>
      <c r="Z22" s="647">
        <v>503</v>
      </c>
    </row>
    <row r="23" spans="1:26" ht="25.5" customHeight="1" x14ac:dyDescent="0.3">
      <c r="A23" s="330">
        <v>19</v>
      </c>
      <c r="B23" s="331" t="s">
        <v>161</v>
      </c>
      <c r="C23" s="634">
        <f t="shared" si="2"/>
        <v>14310</v>
      </c>
      <c r="D23" s="647">
        <v>13780</v>
      </c>
      <c r="E23" s="647">
        <v>28090</v>
      </c>
      <c r="F23" s="634">
        <f t="shared" si="1"/>
        <v>2586</v>
      </c>
      <c r="G23" s="647">
        <v>2158</v>
      </c>
      <c r="H23" s="647">
        <v>4744</v>
      </c>
      <c r="I23" s="634">
        <f t="shared" si="3"/>
        <v>1319</v>
      </c>
      <c r="J23" s="647">
        <v>1082</v>
      </c>
      <c r="K23" s="647">
        <v>2401</v>
      </c>
      <c r="L23" s="634">
        <f t="shared" si="4"/>
        <v>6020</v>
      </c>
      <c r="M23" s="647">
        <v>5068</v>
      </c>
      <c r="N23" s="647">
        <v>11088</v>
      </c>
      <c r="O23" s="634">
        <f t="shared" si="0"/>
        <v>100</v>
      </c>
      <c r="P23" s="647">
        <v>42</v>
      </c>
      <c r="Q23" s="647">
        <v>142</v>
      </c>
      <c r="R23" s="634">
        <f t="shared" si="5"/>
        <v>236</v>
      </c>
      <c r="S23" s="647">
        <v>167</v>
      </c>
      <c r="T23" s="647">
        <v>403</v>
      </c>
      <c r="U23" s="634">
        <f t="shared" si="6"/>
        <v>27</v>
      </c>
      <c r="V23" s="647">
        <v>35</v>
      </c>
      <c r="W23" s="647">
        <v>62</v>
      </c>
      <c r="X23" s="634">
        <f t="shared" si="7"/>
        <v>303</v>
      </c>
      <c r="Y23" s="647">
        <v>184</v>
      </c>
      <c r="Z23" s="647">
        <v>487</v>
      </c>
    </row>
    <row r="24" spans="1:26" ht="25.5" customHeight="1" x14ac:dyDescent="0.3">
      <c r="A24" s="330">
        <v>20</v>
      </c>
      <c r="B24" s="331" t="s">
        <v>832</v>
      </c>
      <c r="C24" s="634">
        <f t="shared" si="2"/>
        <v>1002</v>
      </c>
      <c r="D24" s="647">
        <v>1971</v>
      </c>
      <c r="E24" s="647">
        <v>2973</v>
      </c>
      <c r="F24" s="634">
        <f t="shared" si="1"/>
        <v>231</v>
      </c>
      <c r="G24" s="647">
        <v>408</v>
      </c>
      <c r="H24" s="647">
        <v>639</v>
      </c>
      <c r="I24" s="634">
        <f t="shared" si="3"/>
        <v>14</v>
      </c>
      <c r="J24" s="647">
        <v>13</v>
      </c>
      <c r="K24" s="647">
        <v>27</v>
      </c>
      <c r="L24" s="634">
        <f t="shared" si="4"/>
        <v>687</v>
      </c>
      <c r="M24" s="647">
        <v>1452</v>
      </c>
      <c r="N24" s="647">
        <v>2139</v>
      </c>
      <c r="O24" s="634">
        <f t="shared" si="0"/>
        <v>21</v>
      </c>
      <c r="P24" s="647">
        <v>9</v>
      </c>
      <c r="Q24" s="647">
        <v>30</v>
      </c>
      <c r="R24" s="634">
        <f t="shared" si="5"/>
        <v>3</v>
      </c>
      <c r="S24" s="647">
        <v>29</v>
      </c>
      <c r="T24" s="647">
        <v>32</v>
      </c>
      <c r="U24" s="634">
        <f t="shared" si="6"/>
        <v>15</v>
      </c>
      <c r="V24" s="647">
        <v>86</v>
      </c>
      <c r="W24" s="647">
        <v>101</v>
      </c>
      <c r="X24" s="634">
        <f t="shared" si="7"/>
        <v>1</v>
      </c>
      <c r="Y24" s="647">
        <v>0</v>
      </c>
      <c r="Z24" s="647">
        <v>1</v>
      </c>
    </row>
    <row r="25" spans="1:26" ht="25.5" customHeight="1" x14ac:dyDescent="0.3">
      <c r="A25" s="330">
        <v>21</v>
      </c>
      <c r="B25" s="331" t="s">
        <v>164</v>
      </c>
      <c r="C25" s="634">
        <f t="shared" si="2"/>
        <v>120</v>
      </c>
      <c r="D25" s="647">
        <v>84</v>
      </c>
      <c r="E25" s="647">
        <v>204</v>
      </c>
      <c r="F25" s="634">
        <f t="shared" si="1"/>
        <v>14</v>
      </c>
      <c r="G25" s="647">
        <v>6</v>
      </c>
      <c r="H25" s="647">
        <v>20</v>
      </c>
      <c r="I25" s="634">
        <f t="shared" si="3"/>
        <v>0</v>
      </c>
      <c r="J25" s="647">
        <v>1</v>
      </c>
      <c r="K25" s="647">
        <v>1</v>
      </c>
      <c r="L25" s="634">
        <f t="shared" si="4"/>
        <v>20</v>
      </c>
      <c r="M25" s="647">
        <v>3</v>
      </c>
      <c r="N25" s="647">
        <v>23</v>
      </c>
      <c r="O25" s="634">
        <f t="shared" si="0"/>
        <v>2</v>
      </c>
      <c r="P25" s="647">
        <v>26</v>
      </c>
      <c r="Q25" s="647">
        <v>28</v>
      </c>
      <c r="R25" s="634">
        <f t="shared" si="5"/>
        <v>0</v>
      </c>
      <c r="S25" s="647">
        <v>0</v>
      </c>
      <c r="T25" s="647">
        <v>0</v>
      </c>
      <c r="U25" s="634">
        <f t="shared" si="6"/>
        <v>0</v>
      </c>
      <c r="V25" s="647">
        <v>0</v>
      </c>
      <c r="W25" s="647">
        <v>0</v>
      </c>
      <c r="X25" s="634">
        <f t="shared" si="7"/>
        <v>0</v>
      </c>
      <c r="Y25" s="647">
        <v>0</v>
      </c>
      <c r="Z25" s="647">
        <v>0</v>
      </c>
    </row>
    <row r="26" spans="1:26" ht="25.5" customHeight="1" x14ac:dyDescent="0.3">
      <c r="A26" s="330">
        <v>22</v>
      </c>
      <c r="B26" s="331" t="s">
        <v>170</v>
      </c>
      <c r="C26" s="634">
        <f t="shared" si="2"/>
        <v>10</v>
      </c>
      <c r="D26" s="647">
        <v>15</v>
      </c>
      <c r="E26" s="647">
        <v>25</v>
      </c>
      <c r="F26" s="634">
        <f t="shared" si="1"/>
        <v>0</v>
      </c>
      <c r="G26" s="647">
        <v>5</v>
      </c>
      <c r="H26" s="647">
        <v>5</v>
      </c>
      <c r="I26" s="634">
        <f t="shared" si="3"/>
        <v>0</v>
      </c>
      <c r="J26" s="647">
        <v>0</v>
      </c>
      <c r="K26" s="647">
        <v>0</v>
      </c>
      <c r="L26" s="634">
        <f t="shared" si="4"/>
        <v>5</v>
      </c>
      <c r="M26" s="647">
        <v>5</v>
      </c>
      <c r="N26" s="647">
        <v>10</v>
      </c>
      <c r="O26" s="634">
        <f t="shared" si="0"/>
        <v>0</v>
      </c>
      <c r="P26" s="647">
        <v>0</v>
      </c>
      <c r="Q26" s="647">
        <v>0</v>
      </c>
      <c r="R26" s="634">
        <f t="shared" si="5"/>
        <v>0</v>
      </c>
      <c r="S26" s="647">
        <v>0</v>
      </c>
      <c r="T26" s="647">
        <v>0</v>
      </c>
      <c r="U26" s="634">
        <f t="shared" si="6"/>
        <v>0</v>
      </c>
      <c r="V26" s="647">
        <v>0</v>
      </c>
      <c r="W26" s="647">
        <v>0</v>
      </c>
      <c r="X26" s="634">
        <f t="shared" si="7"/>
        <v>0</v>
      </c>
      <c r="Y26" s="647">
        <v>0</v>
      </c>
      <c r="Z26" s="647">
        <v>0</v>
      </c>
    </row>
    <row r="27" spans="1:26" ht="25.5" customHeight="1" x14ac:dyDescent="0.3">
      <c r="A27" s="330">
        <v>23</v>
      </c>
      <c r="B27" s="331" t="s">
        <v>175</v>
      </c>
      <c r="C27" s="634">
        <f t="shared" si="2"/>
        <v>141</v>
      </c>
      <c r="D27" s="647">
        <v>101</v>
      </c>
      <c r="E27" s="647">
        <v>242</v>
      </c>
      <c r="F27" s="634">
        <f t="shared" si="1"/>
        <v>23</v>
      </c>
      <c r="G27" s="647">
        <v>11</v>
      </c>
      <c r="H27" s="647">
        <v>34</v>
      </c>
      <c r="I27" s="634">
        <f t="shared" si="3"/>
        <v>5</v>
      </c>
      <c r="J27" s="647">
        <v>4</v>
      </c>
      <c r="K27" s="647">
        <v>9</v>
      </c>
      <c r="L27" s="634">
        <f t="shared" si="4"/>
        <v>81</v>
      </c>
      <c r="M27" s="647">
        <v>53</v>
      </c>
      <c r="N27" s="647">
        <v>134</v>
      </c>
      <c r="O27" s="634">
        <f t="shared" si="0"/>
        <v>0</v>
      </c>
      <c r="P27" s="647">
        <v>0</v>
      </c>
      <c r="Q27" s="647">
        <v>0</v>
      </c>
      <c r="R27" s="634">
        <f t="shared" si="5"/>
        <v>1</v>
      </c>
      <c r="S27" s="647">
        <v>0</v>
      </c>
      <c r="T27" s="647">
        <v>1</v>
      </c>
      <c r="U27" s="634">
        <f t="shared" si="6"/>
        <v>0</v>
      </c>
      <c r="V27" s="647">
        <v>0</v>
      </c>
      <c r="W27" s="647">
        <v>0</v>
      </c>
      <c r="X27" s="634">
        <f t="shared" si="7"/>
        <v>15</v>
      </c>
      <c r="Y27" s="647">
        <v>7</v>
      </c>
      <c r="Z27" s="647">
        <v>22</v>
      </c>
    </row>
    <row r="28" spans="1:26" ht="25.5" customHeight="1" x14ac:dyDescent="0.3">
      <c r="A28" s="330">
        <v>24</v>
      </c>
      <c r="B28" s="331" t="s">
        <v>178</v>
      </c>
      <c r="C28" s="634">
        <f t="shared" si="2"/>
        <v>9708</v>
      </c>
      <c r="D28" s="647">
        <v>6923</v>
      </c>
      <c r="E28" s="647">
        <v>16631</v>
      </c>
      <c r="F28" s="634">
        <f t="shared" si="1"/>
        <v>1237</v>
      </c>
      <c r="G28" s="647">
        <v>985</v>
      </c>
      <c r="H28" s="647">
        <v>2222</v>
      </c>
      <c r="I28" s="634">
        <f t="shared" si="3"/>
        <v>1306</v>
      </c>
      <c r="J28" s="647">
        <v>818</v>
      </c>
      <c r="K28" s="647">
        <v>2124</v>
      </c>
      <c r="L28" s="634">
        <f t="shared" si="4"/>
        <v>3418</v>
      </c>
      <c r="M28" s="647">
        <v>2399</v>
      </c>
      <c r="N28" s="647">
        <v>5817</v>
      </c>
      <c r="O28" s="634">
        <f t="shared" si="0"/>
        <v>15</v>
      </c>
      <c r="P28" s="647">
        <v>8</v>
      </c>
      <c r="Q28" s="647">
        <v>23</v>
      </c>
      <c r="R28" s="634">
        <f t="shared" si="5"/>
        <v>42</v>
      </c>
      <c r="S28" s="647">
        <v>35</v>
      </c>
      <c r="T28" s="647">
        <v>77</v>
      </c>
      <c r="U28" s="634">
        <f t="shared" si="6"/>
        <v>28</v>
      </c>
      <c r="V28" s="647">
        <v>36</v>
      </c>
      <c r="W28" s="647">
        <v>64</v>
      </c>
      <c r="X28" s="634">
        <f t="shared" si="7"/>
        <v>52</v>
      </c>
      <c r="Y28" s="647">
        <v>36</v>
      </c>
      <c r="Z28" s="647">
        <v>88</v>
      </c>
    </row>
    <row r="29" spans="1:26" ht="25.5" customHeight="1" x14ac:dyDescent="0.3">
      <c r="A29" s="330">
        <v>25</v>
      </c>
      <c r="B29" s="331" t="s">
        <v>180</v>
      </c>
      <c r="C29" s="634">
        <f t="shared" si="2"/>
        <v>883</v>
      </c>
      <c r="D29" s="647">
        <v>1163</v>
      </c>
      <c r="E29" s="647">
        <v>2046</v>
      </c>
      <c r="F29" s="634">
        <f t="shared" si="1"/>
        <v>106</v>
      </c>
      <c r="G29" s="647">
        <v>135</v>
      </c>
      <c r="H29" s="647">
        <v>241</v>
      </c>
      <c r="I29" s="634">
        <f t="shared" si="3"/>
        <v>40</v>
      </c>
      <c r="J29" s="647">
        <v>28</v>
      </c>
      <c r="K29" s="647">
        <v>68</v>
      </c>
      <c r="L29" s="634">
        <f t="shared" si="4"/>
        <v>256</v>
      </c>
      <c r="M29" s="647">
        <v>305</v>
      </c>
      <c r="N29" s="647">
        <v>561</v>
      </c>
      <c r="O29" s="634">
        <f t="shared" si="0"/>
        <v>1</v>
      </c>
      <c r="P29" s="647">
        <v>0</v>
      </c>
      <c r="Q29" s="647">
        <v>1</v>
      </c>
      <c r="R29" s="634">
        <f t="shared" si="5"/>
        <v>123</v>
      </c>
      <c r="S29" s="647">
        <v>63</v>
      </c>
      <c r="T29" s="647">
        <v>186</v>
      </c>
      <c r="U29" s="634">
        <f t="shared" si="6"/>
        <v>59</v>
      </c>
      <c r="V29" s="647">
        <v>31</v>
      </c>
      <c r="W29" s="647">
        <v>90</v>
      </c>
      <c r="X29" s="634">
        <f t="shared" si="7"/>
        <v>78</v>
      </c>
      <c r="Y29" s="647">
        <v>77</v>
      </c>
      <c r="Z29" s="647">
        <v>155</v>
      </c>
    </row>
    <row r="30" spans="1:26" ht="25.5" customHeight="1" x14ac:dyDescent="0.3">
      <c r="A30" s="330">
        <v>26</v>
      </c>
      <c r="B30" s="331" t="s">
        <v>181</v>
      </c>
      <c r="C30" s="634">
        <f t="shared" si="2"/>
        <v>949</v>
      </c>
      <c r="D30" s="647">
        <v>924</v>
      </c>
      <c r="E30" s="647">
        <v>1873</v>
      </c>
      <c r="F30" s="634">
        <f t="shared" si="1"/>
        <v>90</v>
      </c>
      <c r="G30" s="647">
        <v>147</v>
      </c>
      <c r="H30" s="647">
        <v>237</v>
      </c>
      <c r="I30" s="634">
        <f t="shared" si="3"/>
        <v>32</v>
      </c>
      <c r="J30" s="647">
        <v>84</v>
      </c>
      <c r="K30" s="647">
        <v>116</v>
      </c>
      <c r="L30" s="634">
        <f t="shared" si="4"/>
        <v>171</v>
      </c>
      <c r="M30" s="647">
        <v>366</v>
      </c>
      <c r="N30" s="647">
        <v>537</v>
      </c>
      <c r="O30" s="634">
        <f t="shared" si="0"/>
        <v>4</v>
      </c>
      <c r="P30" s="647">
        <v>1</v>
      </c>
      <c r="Q30" s="647">
        <v>5</v>
      </c>
      <c r="R30" s="634">
        <f t="shared" si="5"/>
        <v>3</v>
      </c>
      <c r="S30" s="647">
        <v>7</v>
      </c>
      <c r="T30" s="647">
        <v>10</v>
      </c>
      <c r="U30" s="634">
        <f t="shared" si="6"/>
        <v>0</v>
      </c>
      <c r="V30" s="647">
        <v>2</v>
      </c>
      <c r="W30" s="647">
        <v>2</v>
      </c>
      <c r="X30" s="634">
        <f t="shared" si="7"/>
        <v>12</v>
      </c>
      <c r="Y30" s="647">
        <v>29</v>
      </c>
      <c r="Z30" s="647">
        <v>41</v>
      </c>
    </row>
    <row r="31" spans="1:26" ht="25.5" customHeight="1" x14ac:dyDescent="0.3">
      <c r="A31" s="330">
        <v>27</v>
      </c>
      <c r="B31" s="331" t="s">
        <v>182</v>
      </c>
      <c r="C31" s="634">
        <f t="shared" si="2"/>
        <v>34</v>
      </c>
      <c r="D31" s="647">
        <v>46</v>
      </c>
      <c r="E31" s="647">
        <v>80</v>
      </c>
      <c r="F31" s="634">
        <f t="shared" si="1"/>
        <v>2</v>
      </c>
      <c r="G31" s="647">
        <v>5</v>
      </c>
      <c r="H31" s="647">
        <v>7</v>
      </c>
      <c r="I31" s="634">
        <f t="shared" si="3"/>
        <v>8</v>
      </c>
      <c r="J31" s="647">
        <v>23</v>
      </c>
      <c r="K31" s="647">
        <v>31</v>
      </c>
      <c r="L31" s="634">
        <f t="shared" si="4"/>
        <v>8</v>
      </c>
      <c r="M31" s="647">
        <v>10</v>
      </c>
      <c r="N31" s="647">
        <v>18</v>
      </c>
      <c r="O31" s="634">
        <f t="shared" si="0"/>
        <v>0</v>
      </c>
      <c r="P31" s="647">
        <v>0</v>
      </c>
      <c r="Q31" s="647">
        <v>0</v>
      </c>
      <c r="R31" s="634">
        <f t="shared" si="5"/>
        <v>0</v>
      </c>
      <c r="S31" s="647">
        <v>0</v>
      </c>
      <c r="T31" s="647">
        <v>0</v>
      </c>
      <c r="U31" s="634">
        <f t="shared" si="6"/>
        <v>0</v>
      </c>
      <c r="V31" s="647">
        <v>0</v>
      </c>
      <c r="W31" s="647">
        <v>0</v>
      </c>
      <c r="X31" s="634">
        <f t="shared" si="7"/>
        <v>0</v>
      </c>
      <c r="Y31" s="647">
        <v>0</v>
      </c>
      <c r="Z31" s="647">
        <v>0</v>
      </c>
    </row>
    <row r="32" spans="1:26" ht="25.5" customHeight="1" x14ac:dyDescent="0.3">
      <c r="A32" s="330">
        <v>28</v>
      </c>
      <c r="B32" s="331" t="s">
        <v>183</v>
      </c>
      <c r="C32" s="634">
        <f t="shared" si="2"/>
        <v>110175</v>
      </c>
      <c r="D32" s="647">
        <v>71890</v>
      </c>
      <c r="E32" s="647">
        <v>182065</v>
      </c>
      <c r="F32" s="634">
        <f t="shared" si="1"/>
        <v>15089</v>
      </c>
      <c r="G32" s="647">
        <v>9847</v>
      </c>
      <c r="H32" s="647">
        <v>24936</v>
      </c>
      <c r="I32" s="634">
        <f t="shared" si="3"/>
        <v>5746</v>
      </c>
      <c r="J32" s="647">
        <v>5043</v>
      </c>
      <c r="K32" s="647">
        <v>10789</v>
      </c>
      <c r="L32" s="634">
        <f t="shared" si="4"/>
        <v>41244</v>
      </c>
      <c r="M32" s="647">
        <v>27180</v>
      </c>
      <c r="N32" s="647">
        <v>68424</v>
      </c>
      <c r="O32" s="634">
        <f t="shared" si="0"/>
        <v>408</v>
      </c>
      <c r="P32" s="647">
        <v>148</v>
      </c>
      <c r="Q32" s="647">
        <v>556</v>
      </c>
      <c r="R32" s="634">
        <f t="shared" si="5"/>
        <v>5118</v>
      </c>
      <c r="S32" s="647">
        <v>3893</v>
      </c>
      <c r="T32" s="647">
        <v>9011</v>
      </c>
      <c r="U32" s="634">
        <f t="shared" si="6"/>
        <v>529</v>
      </c>
      <c r="V32" s="647">
        <v>326</v>
      </c>
      <c r="W32" s="647">
        <v>855</v>
      </c>
      <c r="X32" s="634">
        <f t="shared" si="7"/>
        <v>784</v>
      </c>
      <c r="Y32" s="647">
        <v>699</v>
      </c>
      <c r="Z32" s="647">
        <v>1483</v>
      </c>
    </row>
    <row r="33" spans="1:26" ht="25.5" customHeight="1" x14ac:dyDescent="0.3">
      <c r="A33" s="330">
        <v>29</v>
      </c>
      <c r="B33" s="331" t="s">
        <v>191</v>
      </c>
      <c r="C33" s="634">
        <f t="shared" si="2"/>
        <v>566</v>
      </c>
      <c r="D33" s="647">
        <v>301</v>
      </c>
      <c r="E33" s="647">
        <v>867</v>
      </c>
      <c r="F33" s="634">
        <f t="shared" si="1"/>
        <v>54</v>
      </c>
      <c r="G33" s="647">
        <v>30</v>
      </c>
      <c r="H33" s="647">
        <v>84</v>
      </c>
      <c r="I33" s="634">
        <f t="shared" si="3"/>
        <v>25</v>
      </c>
      <c r="J33" s="647">
        <v>15</v>
      </c>
      <c r="K33" s="647">
        <v>40</v>
      </c>
      <c r="L33" s="634">
        <f t="shared" si="4"/>
        <v>100</v>
      </c>
      <c r="M33" s="647">
        <v>39</v>
      </c>
      <c r="N33" s="647">
        <v>139</v>
      </c>
      <c r="O33" s="634">
        <f t="shared" si="0"/>
        <v>2</v>
      </c>
      <c r="P33" s="647">
        <v>1</v>
      </c>
      <c r="Q33" s="647">
        <v>3</v>
      </c>
      <c r="R33" s="634">
        <f t="shared" si="5"/>
        <v>0</v>
      </c>
      <c r="S33" s="647">
        <v>0</v>
      </c>
      <c r="T33" s="647">
        <v>0</v>
      </c>
      <c r="U33" s="634">
        <f t="shared" si="6"/>
        <v>0</v>
      </c>
      <c r="V33" s="647">
        <v>0</v>
      </c>
      <c r="W33" s="647">
        <v>0</v>
      </c>
      <c r="X33" s="634">
        <f t="shared" si="7"/>
        <v>11</v>
      </c>
      <c r="Y33" s="647">
        <v>8</v>
      </c>
      <c r="Z33" s="647">
        <v>19</v>
      </c>
    </row>
    <row r="34" spans="1:26" ht="25.5" customHeight="1" x14ac:dyDescent="0.3">
      <c r="A34" s="330">
        <v>30</v>
      </c>
      <c r="B34" s="331" t="s">
        <v>193</v>
      </c>
      <c r="C34" s="634">
        <f t="shared" si="2"/>
        <v>12471</v>
      </c>
      <c r="D34" s="647">
        <v>9707</v>
      </c>
      <c r="E34" s="647">
        <v>22178</v>
      </c>
      <c r="F34" s="634">
        <f t="shared" si="1"/>
        <v>1767</v>
      </c>
      <c r="G34" s="647">
        <v>1183</v>
      </c>
      <c r="H34" s="647">
        <v>2950</v>
      </c>
      <c r="I34" s="634">
        <f t="shared" si="3"/>
        <v>240</v>
      </c>
      <c r="J34" s="647">
        <v>225</v>
      </c>
      <c r="K34" s="647">
        <v>465</v>
      </c>
      <c r="L34" s="634">
        <f t="shared" si="4"/>
        <v>5236</v>
      </c>
      <c r="M34" s="647">
        <v>3942</v>
      </c>
      <c r="N34" s="647">
        <v>9178</v>
      </c>
      <c r="O34" s="634">
        <f t="shared" si="0"/>
        <v>89</v>
      </c>
      <c r="P34" s="647">
        <v>33</v>
      </c>
      <c r="Q34" s="647">
        <v>122</v>
      </c>
      <c r="R34" s="634">
        <f t="shared" si="5"/>
        <v>467</v>
      </c>
      <c r="S34" s="647">
        <v>485</v>
      </c>
      <c r="T34" s="647">
        <v>952</v>
      </c>
      <c r="U34" s="634">
        <f t="shared" si="6"/>
        <v>111</v>
      </c>
      <c r="V34" s="647">
        <v>184</v>
      </c>
      <c r="W34" s="647">
        <v>295</v>
      </c>
      <c r="X34" s="634">
        <f t="shared" si="7"/>
        <v>62</v>
      </c>
      <c r="Y34" s="647">
        <v>88</v>
      </c>
      <c r="Z34" s="647">
        <v>150</v>
      </c>
    </row>
    <row r="35" spans="1:26" ht="25.5" customHeight="1" x14ac:dyDescent="0.3">
      <c r="A35" s="330">
        <v>31</v>
      </c>
      <c r="B35" s="331" t="s">
        <v>194</v>
      </c>
      <c r="C35" s="634">
        <f t="shared" si="2"/>
        <v>1288</v>
      </c>
      <c r="D35" s="647">
        <v>1497</v>
      </c>
      <c r="E35" s="647">
        <v>2785</v>
      </c>
      <c r="F35" s="634">
        <f t="shared" si="1"/>
        <v>171</v>
      </c>
      <c r="G35" s="647">
        <v>219</v>
      </c>
      <c r="H35" s="647">
        <v>390</v>
      </c>
      <c r="I35" s="634">
        <f t="shared" si="3"/>
        <v>189</v>
      </c>
      <c r="J35" s="647">
        <v>202</v>
      </c>
      <c r="K35" s="647">
        <v>391</v>
      </c>
      <c r="L35" s="634">
        <f t="shared" si="4"/>
        <v>453</v>
      </c>
      <c r="M35" s="647">
        <v>512</v>
      </c>
      <c r="N35" s="647">
        <v>965</v>
      </c>
      <c r="O35" s="634">
        <f t="shared" si="0"/>
        <v>4</v>
      </c>
      <c r="P35" s="647">
        <v>3</v>
      </c>
      <c r="Q35" s="647">
        <v>7</v>
      </c>
      <c r="R35" s="634">
        <f t="shared" si="5"/>
        <v>0</v>
      </c>
      <c r="S35" s="647">
        <v>0</v>
      </c>
      <c r="T35" s="647">
        <v>0</v>
      </c>
      <c r="U35" s="634">
        <f t="shared" si="6"/>
        <v>4</v>
      </c>
      <c r="V35" s="647">
        <v>3</v>
      </c>
      <c r="W35" s="647">
        <v>7</v>
      </c>
      <c r="X35" s="634">
        <f t="shared" si="7"/>
        <v>45</v>
      </c>
      <c r="Y35" s="647">
        <v>77</v>
      </c>
      <c r="Z35" s="647">
        <v>122</v>
      </c>
    </row>
    <row r="36" spans="1:26" ht="25.5" customHeight="1" x14ac:dyDescent="0.3">
      <c r="A36" s="330">
        <v>32</v>
      </c>
      <c r="B36" s="331" t="s">
        <v>847</v>
      </c>
      <c r="C36" s="634">
        <f t="shared" si="2"/>
        <v>3222</v>
      </c>
      <c r="D36" s="647">
        <v>3813</v>
      </c>
      <c r="E36" s="647">
        <v>7035</v>
      </c>
      <c r="F36" s="634">
        <f t="shared" si="1"/>
        <v>441</v>
      </c>
      <c r="G36" s="647">
        <v>522</v>
      </c>
      <c r="H36" s="647">
        <v>963</v>
      </c>
      <c r="I36" s="634">
        <f t="shared" si="3"/>
        <v>588</v>
      </c>
      <c r="J36" s="647">
        <v>809</v>
      </c>
      <c r="K36" s="647">
        <v>1397</v>
      </c>
      <c r="L36" s="634">
        <f t="shared" si="4"/>
        <v>1344</v>
      </c>
      <c r="M36" s="647">
        <v>1594</v>
      </c>
      <c r="N36" s="647">
        <v>2938</v>
      </c>
      <c r="O36" s="634">
        <f t="shared" si="0"/>
        <v>58</v>
      </c>
      <c r="P36" s="647">
        <v>29</v>
      </c>
      <c r="Q36" s="647">
        <v>87</v>
      </c>
      <c r="R36" s="634">
        <f t="shared" si="5"/>
        <v>2</v>
      </c>
      <c r="S36" s="647">
        <v>3</v>
      </c>
      <c r="T36" s="647">
        <v>5</v>
      </c>
      <c r="U36" s="634">
        <f t="shared" si="6"/>
        <v>0</v>
      </c>
      <c r="V36" s="647">
        <v>4</v>
      </c>
      <c r="W36" s="647">
        <v>4</v>
      </c>
      <c r="X36" s="634">
        <f t="shared" si="7"/>
        <v>26</v>
      </c>
      <c r="Y36" s="647">
        <v>21</v>
      </c>
      <c r="Z36" s="647">
        <v>47</v>
      </c>
    </row>
    <row r="37" spans="1:26" ht="25.5" customHeight="1" x14ac:dyDescent="0.3">
      <c r="A37" s="330">
        <v>33</v>
      </c>
      <c r="B37" s="331" t="s">
        <v>849</v>
      </c>
      <c r="C37" s="634">
        <f t="shared" si="2"/>
        <v>29</v>
      </c>
      <c r="D37" s="647">
        <v>111</v>
      </c>
      <c r="E37" s="647">
        <v>140</v>
      </c>
      <c r="F37" s="634">
        <f t="shared" si="1"/>
        <v>8</v>
      </c>
      <c r="G37" s="647">
        <v>15</v>
      </c>
      <c r="H37" s="647">
        <v>23</v>
      </c>
      <c r="I37" s="634">
        <f t="shared" si="3"/>
        <v>2</v>
      </c>
      <c r="J37" s="647">
        <v>8</v>
      </c>
      <c r="K37" s="647">
        <v>10</v>
      </c>
      <c r="L37" s="634">
        <f t="shared" si="4"/>
        <v>14</v>
      </c>
      <c r="M37" s="647">
        <v>39</v>
      </c>
      <c r="N37" s="647">
        <v>53</v>
      </c>
      <c r="O37" s="634">
        <f t="shared" si="0"/>
        <v>0</v>
      </c>
      <c r="P37" s="647">
        <v>0</v>
      </c>
      <c r="Q37" s="647">
        <v>0</v>
      </c>
      <c r="R37" s="634">
        <f t="shared" si="5"/>
        <v>1</v>
      </c>
      <c r="S37" s="647">
        <v>1</v>
      </c>
      <c r="T37" s="647">
        <v>2</v>
      </c>
      <c r="U37" s="634">
        <f t="shared" si="6"/>
        <v>3</v>
      </c>
      <c r="V37" s="647">
        <v>9</v>
      </c>
      <c r="W37" s="647">
        <v>12</v>
      </c>
      <c r="X37" s="634">
        <f t="shared" si="7"/>
        <v>0</v>
      </c>
      <c r="Y37" s="647">
        <v>0</v>
      </c>
      <c r="Z37" s="647">
        <v>0</v>
      </c>
    </row>
    <row r="38" spans="1:26" ht="25.5" customHeight="1" x14ac:dyDescent="0.3">
      <c r="A38" s="330">
        <v>34</v>
      </c>
      <c r="B38" s="331" t="s">
        <v>196</v>
      </c>
      <c r="C38" s="634">
        <f t="shared" si="2"/>
        <v>3</v>
      </c>
      <c r="D38" s="647">
        <v>41</v>
      </c>
      <c r="E38" s="647">
        <v>44</v>
      </c>
      <c r="F38" s="634">
        <f t="shared" si="1"/>
        <v>0</v>
      </c>
      <c r="G38" s="647">
        <v>3</v>
      </c>
      <c r="H38" s="647">
        <v>3</v>
      </c>
      <c r="I38" s="634">
        <f t="shared" si="3"/>
        <v>0</v>
      </c>
      <c r="J38" s="647">
        <v>0</v>
      </c>
      <c r="K38" s="647">
        <v>0</v>
      </c>
      <c r="L38" s="634">
        <f t="shared" si="4"/>
        <v>0</v>
      </c>
      <c r="M38" s="647">
        <v>0</v>
      </c>
      <c r="N38" s="647">
        <v>0</v>
      </c>
      <c r="O38" s="634">
        <f t="shared" si="0"/>
        <v>0</v>
      </c>
      <c r="P38" s="647">
        <v>0</v>
      </c>
      <c r="Q38" s="647">
        <v>0</v>
      </c>
      <c r="R38" s="634">
        <f t="shared" si="5"/>
        <v>0</v>
      </c>
      <c r="S38" s="647">
        <v>3</v>
      </c>
      <c r="T38" s="647">
        <v>3</v>
      </c>
      <c r="U38" s="634">
        <f t="shared" si="6"/>
        <v>0</v>
      </c>
      <c r="V38" s="647">
        <v>11</v>
      </c>
      <c r="W38" s="647">
        <v>11</v>
      </c>
      <c r="X38" s="634">
        <f t="shared" si="7"/>
        <v>0</v>
      </c>
      <c r="Y38" s="647">
        <v>0</v>
      </c>
      <c r="Z38" s="647">
        <v>0</v>
      </c>
    </row>
    <row r="39" spans="1:26" ht="25.5" customHeight="1" x14ac:dyDescent="0.3">
      <c r="A39" s="330">
        <v>35</v>
      </c>
      <c r="B39" s="331" t="s">
        <v>197</v>
      </c>
      <c r="C39" s="634">
        <f t="shared" si="2"/>
        <v>791</v>
      </c>
      <c r="D39" s="647">
        <v>449</v>
      </c>
      <c r="E39" s="647">
        <v>1240</v>
      </c>
      <c r="F39" s="634">
        <f t="shared" si="1"/>
        <v>108</v>
      </c>
      <c r="G39" s="647">
        <v>55</v>
      </c>
      <c r="H39" s="647">
        <v>163</v>
      </c>
      <c r="I39" s="634">
        <f t="shared" si="3"/>
        <v>20</v>
      </c>
      <c r="J39" s="647">
        <v>11</v>
      </c>
      <c r="K39" s="647">
        <v>31</v>
      </c>
      <c r="L39" s="634">
        <f t="shared" si="4"/>
        <v>330</v>
      </c>
      <c r="M39" s="647">
        <v>155</v>
      </c>
      <c r="N39" s="647">
        <v>485</v>
      </c>
      <c r="O39" s="634">
        <f t="shared" si="0"/>
        <v>0</v>
      </c>
      <c r="P39" s="647">
        <v>0</v>
      </c>
      <c r="Q39" s="647">
        <v>0</v>
      </c>
      <c r="R39" s="634">
        <f t="shared" si="5"/>
        <v>4</v>
      </c>
      <c r="S39" s="647">
        <v>3</v>
      </c>
      <c r="T39" s="647">
        <v>7</v>
      </c>
      <c r="U39" s="634">
        <f t="shared" si="6"/>
        <v>0</v>
      </c>
      <c r="V39" s="647">
        <v>0</v>
      </c>
      <c r="W39" s="647">
        <v>0</v>
      </c>
      <c r="X39" s="634">
        <f t="shared" si="7"/>
        <v>67</v>
      </c>
      <c r="Y39" s="647">
        <v>30</v>
      </c>
      <c r="Z39" s="647">
        <v>97</v>
      </c>
    </row>
    <row r="40" spans="1:26" ht="25.5" customHeight="1" x14ac:dyDescent="0.3">
      <c r="A40" s="330">
        <v>36</v>
      </c>
      <c r="B40" s="331" t="s">
        <v>851</v>
      </c>
      <c r="C40" s="634">
        <f t="shared" si="2"/>
        <v>2134</v>
      </c>
      <c r="D40" s="647">
        <v>1870</v>
      </c>
      <c r="E40" s="647">
        <v>4004</v>
      </c>
      <c r="F40" s="634">
        <f t="shared" si="1"/>
        <v>444</v>
      </c>
      <c r="G40" s="647">
        <v>439</v>
      </c>
      <c r="H40" s="647">
        <v>883</v>
      </c>
      <c r="I40" s="634">
        <f t="shared" si="3"/>
        <v>509</v>
      </c>
      <c r="J40" s="647">
        <v>481</v>
      </c>
      <c r="K40" s="647">
        <v>990</v>
      </c>
      <c r="L40" s="634">
        <f t="shared" si="4"/>
        <v>635</v>
      </c>
      <c r="M40" s="647">
        <v>518</v>
      </c>
      <c r="N40" s="647">
        <v>1153</v>
      </c>
      <c r="O40" s="634">
        <f t="shared" si="0"/>
        <v>0</v>
      </c>
      <c r="P40" s="647">
        <v>0</v>
      </c>
      <c r="Q40" s="647">
        <v>0</v>
      </c>
      <c r="R40" s="634">
        <f t="shared" si="5"/>
        <v>1</v>
      </c>
      <c r="S40" s="647">
        <v>0</v>
      </c>
      <c r="T40" s="647">
        <v>1</v>
      </c>
      <c r="U40" s="634">
        <f t="shared" si="6"/>
        <v>0</v>
      </c>
      <c r="V40" s="647">
        <v>0</v>
      </c>
      <c r="W40" s="647">
        <v>0</v>
      </c>
      <c r="X40" s="634">
        <f t="shared" si="7"/>
        <v>4</v>
      </c>
      <c r="Y40" s="647">
        <v>0</v>
      </c>
      <c r="Z40" s="647">
        <v>4</v>
      </c>
    </row>
    <row r="41" spans="1:26" ht="25.5" customHeight="1" x14ac:dyDescent="0.3">
      <c r="A41" s="330">
        <v>37</v>
      </c>
      <c r="B41" s="331" t="s">
        <v>852</v>
      </c>
      <c r="C41" s="634">
        <f t="shared" si="2"/>
        <v>11</v>
      </c>
      <c r="D41" s="647">
        <v>7</v>
      </c>
      <c r="E41" s="647">
        <v>18</v>
      </c>
      <c r="F41" s="634">
        <f t="shared" si="1"/>
        <v>0</v>
      </c>
      <c r="G41" s="647">
        <v>0</v>
      </c>
      <c r="H41" s="647">
        <v>0</v>
      </c>
      <c r="I41" s="634">
        <f t="shared" si="3"/>
        <v>0</v>
      </c>
      <c r="J41" s="647">
        <v>0</v>
      </c>
      <c r="K41" s="647">
        <v>0</v>
      </c>
      <c r="L41" s="634">
        <f t="shared" si="4"/>
        <v>0</v>
      </c>
      <c r="M41" s="647">
        <v>0</v>
      </c>
      <c r="N41" s="647">
        <v>0</v>
      </c>
      <c r="O41" s="634">
        <f t="shared" si="0"/>
        <v>0</v>
      </c>
      <c r="P41" s="647">
        <v>0</v>
      </c>
      <c r="Q41" s="647">
        <v>0</v>
      </c>
      <c r="R41" s="634">
        <f t="shared" si="5"/>
        <v>0</v>
      </c>
      <c r="S41" s="647">
        <v>0</v>
      </c>
      <c r="T41" s="647">
        <v>0</v>
      </c>
      <c r="U41" s="634">
        <f t="shared" si="6"/>
        <v>10</v>
      </c>
      <c r="V41" s="647">
        <v>0</v>
      </c>
      <c r="W41" s="647">
        <v>10</v>
      </c>
      <c r="X41" s="634">
        <f t="shared" si="7"/>
        <v>0</v>
      </c>
      <c r="Y41" s="647">
        <v>0</v>
      </c>
      <c r="Z41" s="647">
        <v>0</v>
      </c>
    </row>
    <row r="42" spans="1:26" ht="25.5" customHeight="1" x14ac:dyDescent="0.3">
      <c r="A42" s="330">
        <v>38</v>
      </c>
      <c r="B42" s="331" t="s">
        <v>200</v>
      </c>
      <c r="C42" s="634">
        <f t="shared" si="2"/>
        <v>42456</v>
      </c>
      <c r="D42" s="647">
        <v>46168</v>
      </c>
      <c r="E42" s="647">
        <v>88624</v>
      </c>
      <c r="F42" s="634">
        <f t="shared" si="1"/>
        <v>5839</v>
      </c>
      <c r="G42" s="647">
        <v>7563</v>
      </c>
      <c r="H42" s="647">
        <v>13402</v>
      </c>
      <c r="I42" s="634">
        <f t="shared" si="3"/>
        <v>2366</v>
      </c>
      <c r="J42" s="647">
        <v>2272</v>
      </c>
      <c r="K42" s="647">
        <v>4638</v>
      </c>
      <c r="L42" s="634">
        <f t="shared" si="4"/>
        <v>15820</v>
      </c>
      <c r="M42" s="647">
        <v>13197</v>
      </c>
      <c r="N42" s="647">
        <v>29017</v>
      </c>
      <c r="O42" s="634">
        <f t="shared" si="0"/>
        <v>203</v>
      </c>
      <c r="P42" s="647">
        <v>60</v>
      </c>
      <c r="Q42" s="647">
        <v>263</v>
      </c>
      <c r="R42" s="634">
        <f t="shared" si="5"/>
        <v>711</v>
      </c>
      <c r="S42" s="647">
        <v>411</v>
      </c>
      <c r="T42" s="647">
        <v>1122</v>
      </c>
      <c r="U42" s="634">
        <f t="shared" si="6"/>
        <v>392</v>
      </c>
      <c r="V42" s="647">
        <v>363</v>
      </c>
      <c r="W42" s="647">
        <v>755</v>
      </c>
      <c r="X42" s="634">
        <f t="shared" si="7"/>
        <v>1125</v>
      </c>
      <c r="Y42" s="647">
        <v>1036</v>
      </c>
      <c r="Z42" s="647">
        <v>2161</v>
      </c>
    </row>
    <row r="43" spans="1:26" ht="25.5" customHeight="1" x14ac:dyDescent="0.3">
      <c r="A43" s="330">
        <v>39</v>
      </c>
      <c r="B43" s="331" t="s">
        <v>853</v>
      </c>
      <c r="C43" s="634">
        <f t="shared" si="2"/>
        <v>1034</v>
      </c>
      <c r="D43" s="647">
        <v>266</v>
      </c>
      <c r="E43" s="647">
        <v>1300</v>
      </c>
      <c r="F43" s="634">
        <f t="shared" si="1"/>
        <v>36</v>
      </c>
      <c r="G43" s="647">
        <v>5</v>
      </c>
      <c r="H43" s="647">
        <v>41</v>
      </c>
      <c r="I43" s="634">
        <f t="shared" si="3"/>
        <v>5</v>
      </c>
      <c r="J43" s="647">
        <v>0</v>
      </c>
      <c r="K43" s="647">
        <v>5</v>
      </c>
      <c r="L43" s="634">
        <f t="shared" si="4"/>
        <v>84</v>
      </c>
      <c r="M43" s="647">
        <v>11</v>
      </c>
      <c r="N43" s="647">
        <v>95</v>
      </c>
      <c r="O43" s="634">
        <f t="shared" si="0"/>
        <v>2</v>
      </c>
      <c r="P43" s="647">
        <v>0</v>
      </c>
      <c r="Q43" s="647">
        <v>2</v>
      </c>
      <c r="R43" s="634">
        <f t="shared" si="5"/>
        <v>0</v>
      </c>
      <c r="S43" s="647">
        <v>0</v>
      </c>
      <c r="T43" s="647">
        <v>0</v>
      </c>
      <c r="U43" s="634">
        <f t="shared" si="6"/>
        <v>0</v>
      </c>
      <c r="V43" s="647">
        <v>0</v>
      </c>
      <c r="W43" s="647">
        <v>0</v>
      </c>
      <c r="X43" s="634">
        <f t="shared" si="7"/>
        <v>4</v>
      </c>
      <c r="Y43" s="647">
        <v>0</v>
      </c>
      <c r="Z43" s="647">
        <v>4</v>
      </c>
    </row>
    <row r="44" spans="1:26" ht="25.5" customHeight="1" x14ac:dyDescent="0.3">
      <c r="A44" s="330">
        <v>40</v>
      </c>
      <c r="B44" s="331" t="s">
        <v>202</v>
      </c>
      <c r="C44" s="634">
        <f t="shared" si="2"/>
        <v>1992</v>
      </c>
      <c r="D44" s="647">
        <v>4357</v>
      </c>
      <c r="E44" s="647">
        <v>6349</v>
      </c>
      <c r="F44" s="634">
        <f t="shared" si="1"/>
        <v>452</v>
      </c>
      <c r="G44" s="647">
        <v>1294</v>
      </c>
      <c r="H44" s="647">
        <v>1746</v>
      </c>
      <c r="I44" s="634">
        <f t="shared" si="3"/>
        <v>268</v>
      </c>
      <c r="J44" s="647">
        <v>627</v>
      </c>
      <c r="K44" s="647">
        <v>895</v>
      </c>
      <c r="L44" s="634">
        <f t="shared" si="4"/>
        <v>372</v>
      </c>
      <c r="M44" s="647">
        <v>901</v>
      </c>
      <c r="N44" s="647">
        <v>1273</v>
      </c>
      <c r="O44" s="634">
        <f t="shared" si="0"/>
        <v>0</v>
      </c>
      <c r="P44" s="647">
        <v>0</v>
      </c>
      <c r="Q44" s="647">
        <v>0</v>
      </c>
      <c r="R44" s="634">
        <f t="shared" si="5"/>
        <v>4</v>
      </c>
      <c r="S44" s="647">
        <v>1</v>
      </c>
      <c r="T44" s="647">
        <v>5</v>
      </c>
      <c r="U44" s="634">
        <f t="shared" si="6"/>
        <v>0</v>
      </c>
      <c r="V44" s="647">
        <v>50</v>
      </c>
      <c r="W44" s="647">
        <v>50</v>
      </c>
      <c r="X44" s="634">
        <f t="shared" si="7"/>
        <v>67</v>
      </c>
      <c r="Y44" s="647">
        <v>120</v>
      </c>
      <c r="Z44" s="647">
        <v>187</v>
      </c>
    </row>
    <row r="45" spans="1:26" ht="25.5" customHeight="1" x14ac:dyDescent="0.3">
      <c r="A45" s="330">
        <v>41</v>
      </c>
      <c r="B45" s="331" t="s">
        <v>856</v>
      </c>
      <c r="C45" s="634">
        <f t="shared" si="2"/>
        <v>1952</v>
      </c>
      <c r="D45" s="647">
        <v>1187</v>
      </c>
      <c r="E45" s="647">
        <v>3139</v>
      </c>
      <c r="F45" s="634">
        <f t="shared" si="1"/>
        <v>230</v>
      </c>
      <c r="G45" s="647">
        <v>45</v>
      </c>
      <c r="H45" s="647">
        <v>275</v>
      </c>
      <c r="I45" s="634">
        <f t="shared" si="3"/>
        <v>25</v>
      </c>
      <c r="J45" s="647">
        <v>1</v>
      </c>
      <c r="K45" s="647">
        <v>26</v>
      </c>
      <c r="L45" s="634">
        <f t="shared" si="4"/>
        <v>1095</v>
      </c>
      <c r="M45" s="647">
        <v>913</v>
      </c>
      <c r="N45" s="647">
        <v>2008</v>
      </c>
      <c r="O45" s="634">
        <f t="shared" si="0"/>
        <v>14</v>
      </c>
      <c r="P45" s="647">
        <v>3</v>
      </c>
      <c r="Q45" s="647">
        <v>17</v>
      </c>
      <c r="R45" s="634">
        <f t="shared" si="5"/>
        <v>58</v>
      </c>
      <c r="S45" s="647">
        <v>22</v>
      </c>
      <c r="T45" s="647">
        <v>80</v>
      </c>
      <c r="U45" s="634">
        <f t="shared" si="6"/>
        <v>2</v>
      </c>
      <c r="V45" s="647">
        <v>0</v>
      </c>
      <c r="W45" s="647">
        <v>2</v>
      </c>
      <c r="X45" s="634">
        <f t="shared" si="7"/>
        <v>0</v>
      </c>
      <c r="Y45" s="647">
        <v>0</v>
      </c>
      <c r="Z45" s="647">
        <v>0</v>
      </c>
    </row>
    <row r="46" spans="1:26" ht="25.5" customHeight="1" x14ac:dyDescent="0.3">
      <c r="A46" s="330">
        <v>42</v>
      </c>
      <c r="B46" s="331" t="s">
        <v>204</v>
      </c>
      <c r="C46" s="634">
        <f t="shared" si="2"/>
        <v>203</v>
      </c>
      <c r="D46" s="647">
        <v>59</v>
      </c>
      <c r="E46" s="647">
        <v>262</v>
      </c>
      <c r="F46" s="634">
        <f t="shared" si="1"/>
        <v>23</v>
      </c>
      <c r="G46" s="647">
        <v>3</v>
      </c>
      <c r="H46" s="647">
        <v>26</v>
      </c>
      <c r="I46" s="634">
        <f t="shared" si="3"/>
        <v>1</v>
      </c>
      <c r="J46" s="647">
        <v>0</v>
      </c>
      <c r="K46" s="647">
        <v>1</v>
      </c>
      <c r="L46" s="634">
        <f t="shared" si="4"/>
        <v>159</v>
      </c>
      <c r="M46" s="647">
        <v>49</v>
      </c>
      <c r="N46" s="647">
        <v>208</v>
      </c>
      <c r="O46" s="634">
        <f t="shared" si="0"/>
        <v>0</v>
      </c>
      <c r="P46" s="647">
        <v>0</v>
      </c>
      <c r="Q46" s="647">
        <v>0</v>
      </c>
      <c r="R46" s="634">
        <f t="shared" si="5"/>
        <v>5</v>
      </c>
      <c r="S46" s="647">
        <v>7</v>
      </c>
      <c r="T46" s="647">
        <v>12</v>
      </c>
      <c r="U46" s="634">
        <f t="shared" si="6"/>
        <v>0</v>
      </c>
      <c r="V46" s="647">
        <v>0</v>
      </c>
      <c r="W46" s="647">
        <v>0</v>
      </c>
      <c r="X46" s="634">
        <f t="shared" si="7"/>
        <v>0</v>
      </c>
      <c r="Y46" s="647">
        <v>0</v>
      </c>
      <c r="Z46" s="647">
        <v>0</v>
      </c>
    </row>
    <row r="47" spans="1:26" ht="25.5" customHeight="1" x14ac:dyDescent="0.3">
      <c r="A47" s="330">
        <v>43</v>
      </c>
      <c r="B47" s="331" t="s">
        <v>207</v>
      </c>
      <c r="C47" s="634">
        <f t="shared" si="2"/>
        <v>359</v>
      </c>
      <c r="D47" s="647">
        <v>176</v>
      </c>
      <c r="E47" s="647">
        <v>535</v>
      </c>
      <c r="F47" s="634">
        <f t="shared" si="1"/>
        <v>46</v>
      </c>
      <c r="G47" s="647">
        <v>34</v>
      </c>
      <c r="H47" s="647">
        <v>80</v>
      </c>
      <c r="I47" s="634">
        <f t="shared" si="3"/>
        <v>1</v>
      </c>
      <c r="J47" s="647">
        <v>1</v>
      </c>
      <c r="K47" s="647">
        <v>2</v>
      </c>
      <c r="L47" s="634">
        <f t="shared" si="4"/>
        <v>218</v>
      </c>
      <c r="M47" s="647">
        <v>106</v>
      </c>
      <c r="N47" s="647">
        <v>324</v>
      </c>
      <c r="O47" s="634">
        <f t="shared" si="0"/>
        <v>4</v>
      </c>
      <c r="P47" s="647">
        <v>1</v>
      </c>
      <c r="Q47" s="647">
        <v>5</v>
      </c>
      <c r="R47" s="634">
        <f t="shared" si="5"/>
        <v>23</v>
      </c>
      <c r="S47" s="647">
        <v>7</v>
      </c>
      <c r="T47" s="647">
        <v>30</v>
      </c>
      <c r="U47" s="634">
        <f t="shared" si="6"/>
        <v>22</v>
      </c>
      <c r="V47" s="647">
        <v>22</v>
      </c>
      <c r="W47" s="647">
        <v>44</v>
      </c>
      <c r="X47" s="634">
        <f t="shared" si="7"/>
        <v>0</v>
      </c>
      <c r="Y47" s="647">
        <v>0</v>
      </c>
      <c r="Z47" s="647">
        <v>0</v>
      </c>
    </row>
    <row r="48" spans="1:26" ht="25.5" customHeight="1" x14ac:dyDescent="0.3">
      <c r="A48" s="330">
        <v>44</v>
      </c>
      <c r="B48" s="331" t="s">
        <v>208</v>
      </c>
      <c r="C48" s="634">
        <f t="shared" si="2"/>
        <v>651</v>
      </c>
      <c r="D48" s="647">
        <v>346</v>
      </c>
      <c r="E48" s="647">
        <v>997</v>
      </c>
      <c r="F48" s="634">
        <f t="shared" si="1"/>
        <v>56</v>
      </c>
      <c r="G48" s="647">
        <v>33</v>
      </c>
      <c r="H48" s="647">
        <v>89</v>
      </c>
      <c r="I48" s="634">
        <f t="shared" si="3"/>
        <v>6</v>
      </c>
      <c r="J48" s="647">
        <v>1</v>
      </c>
      <c r="K48" s="647">
        <v>7</v>
      </c>
      <c r="L48" s="634">
        <f t="shared" si="4"/>
        <v>169</v>
      </c>
      <c r="M48" s="647">
        <v>68</v>
      </c>
      <c r="N48" s="647">
        <v>237</v>
      </c>
      <c r="O48" s="634">
        <f t="shared" si="0"/>
        <v>1</v>
      </c>
      <c r="P48" s="647">
        <v>0</v>
      </c>
      <c r="Q48" s="647">
        <v>1</v>
      </c>
      <c r="R48" s="634">
        <f t="shared" si="5"/>
        <v>21</v>
      </c>
      <c r="S48" s="647">
        <v>3</v>
      </c>
      <c r="T48" s="647">
        <v>24</v>
      </c>
      <c r="U48" s="634">
        <f t="shared" si="6"/>
        <v>31</v>
      </c>
      <c r="V48" s="647">
        <v>7</v>
      </c>
      <c r="W48" s="647">
        <v>38</v>
      </c>
      <c r="X48" s="634">
        <f t="shared" si="7"/>
        <v>3</v>
      </c>
      <c r="Y48" s="647">
        <v>1</v>
      </c>
      <c r="Z48" s="647">
        <v>4</v>
      </c>
    </row>
    <row r="49" spans="1:26" ht="25.5" customHeight="1" x14ac:dyDescent="0.3">
      <c r="A49" s="330">
        <v>45</v>
      </c>
      <c r="B49" s="331" t="s">
        <v>210</v>
      </c>
      <c r="C49" s="634">
        <f t="shared" si="2"/>
        <v>353959</v>
      </c>
      <c r="D49" s="647">
        <v>498484</v>
      </c>
      <c r="E49" s="647">
        <v>852443</v>
      </c>
      <c r="F49" s="634">
        <f t="shared" si="1"/>
        <v>56272</v>
      </c>
      <c r="G49" s="647">
        <v>71625</v>
      </c>
      <c r="H49" s="647">
        <v>127897</v>
      </c>
      <c r="I49" s="634">
        <f t="shared" si="3"/>
        <v>24589</v>
      </c>
      <c r="J49" s="647">
        <v>30584</v>
      </c>
      <c r="K49" s="647">
        <v>55173</v>
      </c>
      <c r="L49" s="634">
        <f t="shared" si="4"/>
        <v>116853</v>
      </c>
      <c r="M49" s="647">
        <v>144945</v>
      </c>
      <c r="N49" s="647">
        <v>261798</v>
      </c>
      <c r="O49" s="634">
        <f t="shared" si="0"/>
        <v>2532</v>
      </c>
      <c r="P49" s="647">
        <v>1685</v>
      </c>
      <c r="Q49" s="647">
        <v>4217</v>
      </c>
      <c r="R49" s="634">
        <f t="shared" si="5"/>
        <v>17678</v>
      </c>
      <c r="S49" s="647">
        <v>22996</v>
      </c>
      <c r="T49" s="647">
        <v>40674</v>
      </c>
      <c r="U49" s="634">
        <f t="shared" si="6"/>
        <v>2533</v>
      </c>
      <c r="V49" s="647">
        <v>5513</v>
      </c>
      <c r="W49" s="647">
        <v>8046</v>
      </c>
      <c r="X49" s="634">
        <f t="shared" si="7"/>
        <v>7996</v>
      </c>
      <c r="Y49" s="647">
        <v>12782</v>
      </c>
      <c r="Z49" s="647">
        <v>20778</v>
      </c>
    </row>
    <row r="50" spans="1:26" ht="25.5" customHeight="1" x14ac:dyDescent="0.3">
      <c r="A50" s="330">
        <v>46</v>
      </c>
      <c r="B50" s="331" t="s">
        <v>212</v>
      </c>
      <c r="C50" s="634">
        <f t="shared" si="2"/>
        <v>97887</v>
      </c>
      <c r="D50" s="647">
        <v>75334</v>
      </c>
      <c r="E50" s="647">
        <v>173221</v>
      </c>
      <c r="F50" s="634">
        <f t="shared" si="1"/>
        <v>9143</v>
      </c>
      <c r="G50" s="647">
        <v>7621</v>
      </c>
      <c r="H50" s="647">
        <v>16764</v>
      </c>
      <c r="I50" s="634">
        <f t="shared" si="3"/>
        <v>997</v>
      </c>
      <c r="J50" s="647">
        <v>676</v>
      </c>
      <c r="K50" s="647">
        <v>1673</v>
      </c>
      <c r="L50" s="634">
        <f t="shared" si="4"/>
        <v>37707</v>
      </c>
      <c r="M50" s="647">
        <v>30404</v>
      </c>
      <c r="N50" s="647">
        <v>68111</v>
      </c>
      <c r="O50" s="634">
        <f t="shared" si="0"/>
        <v>182</v>
      </c>
      <c r="P50" s="647">
        <v>82</v>
      </c>
      <c r="Q50" s="647">
        <v>264</v>
      </c>
      <c r="R50" s="634">
        <f t="shared" si="5"/>
        <v>891</v>
      </c>
      <c r="S50" s="647">
        <v>459</v>
      </c>
      <c r="T50" s="647">
        <v>1350</v>
      </c>
      <c r="U50" s="634">
        <f t="shared" si="6"/>
        <v>659</v>
      </c>
      <c r="V50" s="647">
        <v>474</v>
      </c>
      <c r="W50" s="647">
        <v>1133</v>
      </c>
      <c r="X50" s="634">
        <f t="shared" si="7"/>
        <v>570</v>
      </c>
      <c r="Y50" s="647">
        <v>1493</v>
      </c>
      <c r="Z50" s="647">
        <v>2063</v>
      </c>
    </row>
    <row r="51" spans="1:26" ht="25.5" customHeight="1" x14ac:dyDescent="0.3">
      <c r="A51" s="330">
        <v>47</v>
      </c>
      <c r="B51" s="331" t="s">
        <v>216</v>
      </c>
      <c r="C51" s="634">
        <f t="shared" si="2"/>
        <v>19375</v>
      </c>
      <c r="D51" s="647">
        <v>11551</v>
      </c>
      <c r="E51" s="647">
        <v>30926</v>
      </c>
      <c r="F51" s="634">
        <f t="shared" si="1"/>
        <v>1065</v>
      </c>
      <c r="G51" s="647">
        <v>709</v>
      </c>
      <c r="H51" s="647">
        <v>1774</v>
      </c>
      <c r="I51" s="634">
        <f t="shared" si="3"/>
        <v>211</v>
      </c>
      <c r="J51" s="647">
        <v>74</v>
      </c>
      <c r="K51" s="647">
        <v>285</v>
      </c>
      <c r="L51" s="634">
        <f t="shared" si="4"/>
        <v>6439</v>
      </c>
      <c r="M51" s="647">
        <v>4736</v>
      </c>
      <c r="N51" s="647">
        <v>11175</v>
      </c>
      <c r="O51" s="634">
        <f t="shared" si="0"/>
        <v>23</v>
      </c>
      <c r="P51" s="647">
        <v>10</v>
      </c>
      <c r="Q51" s="647">
        <v>33</v>
      </c>
      <c r="R51" s="634">
        <f t="shared" si="5"/>
        <v>128</v>
      </c>
      <c r="S51" s="647">
        <v>52</v>
      </c>
      <c r="T51" s="647">
        <v>180</v>
      </c>
      <c r="U51" s="634">
        <f t="shared" si="6"/>
        <v>90</v>
      </c>
      <c r="V51" s="647">
        <v>60</v>
      </c>
      <c r="W51" s="647">
        <v>150</v>
      </c>
      <c r="X51" s="634">
        <f t="shared" si="7"/>
        <v>308</v>
      </c>
      <c r="Y51" s="647">
        <v>199</v>
      </c>
      <c r="Z51" s="647">
        <v>507</v>
      </c>
    </row>
    <row r="52" spans="1:26" ht="25.5" customHeight="1" x14ac:dyDescent="0.3">
      <c r="A52" s="330">
        <v>48</v>
      </c>
      <c r="B52" s="331" t="s">
        <v>218</v>
      </c>
      <c r="C52" s="634">
        <f t="shared" si="2"/>
        <v>50635</v>
      </c>
      <c r="D52" s="647">
        <v>84666</v>
      </c>
      <c r="E52" s="647">
        <v>135301</v>
      </c>
      <c r="F52" s="634">
        <f t="shared" si="1"/>
        <v>5385</v>
      </c>
      <c r="G52" s="647">
        <v>7585</v>
      </c>
      <c r="H52" s="647">
        <v>12970</v>
      </c>
      <c r="I52" s="634">
        <f t="shared" si="3"/>
        <v>1565</v>
      </c>
      <c r="J52" s="647">
        <v>1782</v>
      </c>
      <c r="K52" s="647">
        <v>3347</v>
      </c>
      <c r="L52" s="634">
        <f t="shared" si="4"/>
        <v>15525</v>
      </c>
      <c r="M52" s="647">
        <v>26143</v>
      </c>
      <c r="N52" s="647">
        <v>41668</v>
      </c>
      <c r="O52" s="634">
        <f t="shared" si="0"/>
        <v>179</v>
      </c>
      <c r="P52" s="647">
        <v>141</v>
      </c>
      <c r="Q52" s="647">
        <v>320</v>
      </c>
      <c r="R52" s="634">
        <f t="shared" si="5"/>
        <v>1250</v>
      </c>
      <c r="S52" s="647">
        <v>1515</v>
      </c>
      <c r="T52" s="647">
        <v>2765</v>
      </c>
      <c r="U52" s="634">
        <f t="shared" si="6"/>
        <v>917</v>
      </c>
      <c r="V52" s="647">
        <v>976</v>
      </c>
      <c r="W52" s="647">
        <v>1893</v>
      </c>
      <c r="X52" s="634">
        <f t="shared" si="7"/>
        <v>689</v>
      </c>
      <c r="Y52" s="647">
        <v>3144</v>
      </c>
      <c r="Z52" s="647">
        <v>3833</v>
      </c>
    </row>
    <row r="53" spans="1:26" ht="25.5" customHeight="1" x14ac:dyDescent="0.3">
      <c r="A53" s="330">
        <v>49</v>
      </c>
      <c r="B53" s="331" t="s">
        <v>225</v>
      </c>
      <c r="C53" s="634">
        <f t="shared" si="2"/>
        <v>103</v>
      </c>
      <c r="D53" s="647">
        <v>654</v>
      </c>
      <c r="E53" s="647">
        <v>757</v>
      </c>
      <c r="F53" s="634">
        <f t="shared" si="1"/>
        <v>12</v>
      </c>
      <c r="G53" s="647">
        <v>50</v>
      </c>
      <c r="H53" s="647">
        <v>62</v>
      </c>
      <c r="I53" s="634">
        <f t="shared" si="3"/>
        <v>1</v>
      </c>
      <c r="J53" s="647">
        <v>1</v>
      </c>
      <c r="K53" s="647">
        <v>2</v>
      </c>
      <c r="L53" s="634">
        <f t="shared" si="4"/>
        <v>26</v>
      </c>
      <c r="M53" s="647">
        <v>188</v>
      </c>
      <c r="N53" s="647">
        <v>214</v>
      </c>
      <c r="O53" s="634">
        <f t="shared" si="0"/>
        <v>0</v>
      </c>
      <c r="P53" s="647">
        <v>1</v>
      </c>
      <c r="Q53" s="647">
        <v>1</v>
      </c>
      <c r="R53" s="634">
        <f t="shared" si="5"/>
        <v>0</v>
      </c>
      <c r="S53" s="647">
        <v>0</v>
      </c>
      <c r="T53" s="647">
        <v>0</v>
      </c>
      <c r="U53" s="634">
        <f t="shared" si="6"/>
        <v>0</v>
      </c>
      <c r="V53" s="647">
        <v>0</v>
      </c>
      <c r="W53" s="647">
        <v>0</v>
      </c>
      <c r="X53" s="634">
        <f t="shared" si="7"/>
        <v>0</v>
      </c>
      <c r="Y53" s="647">
        <v>0</v>
      </c>
      <c r="Z53" s="647">
        <v>0</v>
      </c>
    </row>
    <row r="54" spans="1:26" ht="25.5" customHeight="1" x14ac:dyDescent="0.3">
      <c r="A54" s="330">
        <v>50</v>
      </c>
      <c r="B54" s="331" t="s">
        <v>226</v>
      </c>
      <c r="C54" s="634">
        <f t="shared" si="2"/>
        <v>680</v>
      </c>
      <c r="D54" s="647">
        <v>389</v>
      </c>
      <c r="E54" s="647">
        <v>1069</v>
      </c>
      <c r="F54" s="634">
        <f t="shared" si="1"/>
        <v>88</v>
      </c>
      <c r="G54" s="647">
        <v>41</v>
      </c>
      <c r="H54" s="647">
        <v>129</v>
      </c>
      <c r="I54" s="634">
        <f t="shared" si="3"/>
        <v>19</v>
      </c>
      <c r="J54" s="647">
        <v>15</v>
      </c>
      <c r="K54" s="647">
        <v>34</v>
      </c>
      <c r="L54" s="634">
        <f t="shared" si="4"/>
        <v>107</v>
      </c>
      <c r="M54" s="647">
        <v>62</v>
      </c>
      <c r="N54" s="647">
        <v>169</v>
      </c>
      <c r="O54" s="634">
        <f t="shared" si="0"/>
        <v>6</v>
      </c>
      <c r="P54" s="647">
        <v>1</v>
      </c>
      <c r="Q54" s="647">
        <v>7</v>
      </c>
      <c r="R54" s="634">
        <f t="shared" si="5"/>
        <v>0</v>
      </c>
      <c r="S54" s="647">
        <v>0</v>
      </c>
      <c r="T54" s="647">
        <v>0</v>
      </c>
      <c r="U54" s="634">
        <f t="shared" si="6"/>
        <v>0</v>
      </c>
      <c r="V54" s="647">
        <v>0</v>
      </c>
      <c r="W54" s="647">
        <v>0</v>
      </c>
      <c r="X54" s="634">
        <f t="shared" si="7"/>
        <v>5</v>
      </c>
      <c r="Y54" s="647">
        <v>6</v>
      </c>
      <c r="Z54" s="647">
        <v>11</v>
      </c>
    </row>
    <row r="55" spans="1:26" ht="25.5" customHeight="1" x14ac:dyDescent="0.3">
      <c r="A55" s="330">
        <v>51</v>
      </c>
      <c r="B55" s="331" t="s">
        <v>227</v>
      </c>
      <c r="C55" s="634">
        <f t="shared" si="2"/>
        <v>89</v>
      </c>
      <c r="D55" s="647">
        <v>67</v>
      </c>
      <c r="E55" s="647">
        <v>156</v>
      </c>
      <c r="F55" s="634">
        <f t="shared" si="1"/>
        <v>8</v>
      </c>
      <c r="G55" s="647">
        <v>4</v>
      </c>
      <c r="H55" s="647">
        <v>12</v>
      </c>
      <c r="I55" s="634">
        <f t="shared" si="3"/>
        <v>0</v>
      </c>
      <c r="J55" s="647">
        <v>0</v>
      </c>
      <c r="K55" s="647">
        <v>0</v>
      </c>
      <c r="L55" s="634">
        <f t="shared" si="4"/>
        <v>54</v>
      </c>
      <c r="M55" s="647">
        <v>34</v>
      </c>
      <c r="N55" s="647">
        <v>88</v>
      </c>
      <c r="O55" s="634">
        <f t="shared" si="0"/>
        <v>0</v>
      </c>
      <c r="P55" s="647">
        <v>1</v>
      </c>
      <c r="Q55" s="647">
        <v>1</v>
      </c>
      <c r="R55" s="634">
        <f t="shared" si="5"/>
        <v>1</v>
      </c>
      <c r="S55" s="647">
        <v>0</v>
      </c>
      <c r="T55" s="647">
        <v>1</v>
      </c>
      <c r="U55" s="634">
        <f t="shared" si="6"/>
        <v>0</v>
      </c>
      <c r="V55" s="647">
        <v>0</v>
      </c>
      <c r="W55" s="647">
        <v>0</v>
      </c>
      <c r="X55" s="634">
        <f t="shared" si="7"/>
        <v>0</v>
      </c>
      <c r="Y55" s="647">
        <v>0</v>
      </c>
      <c r="Z55" s="647">
        <v>0</v>
      </c>
    </row>
    <row r="56" spans="1:26" ht="25.5" customHeight="1" x14ac:dyDescent="0.3">
      <c r="A56" s="330">
        <v>52</v>
      </c>
      <c r="B56" s="331" t="s">
        <v>228</v>
      </c>
      <c r="C56" s="634">
        <f t="shared" si="2"/>
        <v>738</v>
      </c>
      <c r="D56" s="647">
        <v>340</v>
      </c>
      <c r="E56" s="647">
        <v>1078</v>
      </c>
      <c r="F56" s="634">
        <f t="shared" si="1"/>
        <v>90</v>
      </c>
      <c r="G56" s="647">
        <v>26</v>
      </c>
      <c r="H56" s="647">
        <v>116</v>
      </c>
      <c r="I56" s="634">
        <f t="shared" si="3"/>
        <v>6</v>
      </c>
      <c r="J56" s="647">
        <v>3</v>
      </c>
      <c r="K56" s="647">
        <v>9</v>
      </c>
      <c r="L56" s="634">
        <f t="shared" si="4"/>
        <v>221</v>
      </c>
      <c r="M56" s="647">
        <v>74</v>
      </c>
      <c r="N56" s="647">
        <v>295</v>
      </c>
      <c r="O56" s="634">
        <f t="shared" si="0"/>
        <v>0</v>
      </c>
      <c r="P56" s="647">
        <v>0</v>
      </c>
      <c r="Q56" s="647">
        <v>0</v>
      </c>
      <c r="R56" s="634">
        <f t="shared" si="5"/>
        <v>5</v>
      </c>
      <c r="S56" s="647">
        <v>1</v>
      </c>
      <c r="T56" s="647">
        <v>6</v>
      </c>
      <c r="U56" s="634">
        <f t="shared" si="6"/>
        <v>10</v>
      </c>
      <c r="V56" s="647">
        <v>7</v>
      </c>
      <c r="W56" s="647">
        <v>17</v>
      </c>
      <c r="X56" s="634">
        <f t="shared" si="7"/>
        <v>16</v>
      </c>
      <c r="Y56" s="647">
        <v>5</v>
      </c>
      <c r="Z56" s="647">
        <v>21</v>
      </c>
    </row>
    <row r="57" spans="1:26" ht="25.5" customHeight="1" x14ac:dyDescent="0.3">
      <c r="A57" s="330">
        <v>53</v>
      </c>
      <c r="B57" s="331" t="s">
        <v>229</v>
      </c>
      <c r="C57" s="634">
        <f t="shared" si="2"/>
        <v>697</v>
      </c>
      <c r="D57" s="647">
        <v>172</v>
      </c>
      <c r="E57" s="647">
        <v>869</v>
      </c>
      <c r="F57" s="634">
        <f t="shared" si="1"/>
        <v>113</v>
      </c>
      <c r="G57" s="647">
        <v>27</v>
      </c>
      <c r="H57" s="647">
        <v>140</v>
      </c>
      <c r="I57" s="634">
        <f t="shared" si="3"/>
        <v>30</v>
      </c>
      <c r="J57" s="647">
        <v>7</v>
      </c>
      <c r="K57" s="647">
        <v>37</v>
      </c>
      <c r="L57" s="634">
        <f t="shared" si="4"/>
        <v>297</v>
      </c>
      <c r="M57" s="647">
        <v>61</v>
      </c>
      <c r="N57" s="647">
        <v>358</v>
      </c>
      <c r="O57" s="634">
        <f t="shared" si="0"/>
        <v>9</v>
      </c>
      <c r="P57" s="647">
        <v>1</v>
      </c>
      <c r="Q57" s="647">
        <v>10</v>
      </c>
      <c r="R57" s="634">
        <f t="shared" si="5"/>
        <v>45</v>
      </c>
      <c r="S57" s="647">
        <v>10</v>
      </c>
      <c r="T57" s="647">
        <v>55</v>
      </c>
      <c r="U57" s="634">
        <f t="shared" si="6"/>
        <v>14</v>
      </c>
      <c r="V57" s="647">
        <v>4</v>
      </c>
      <c r="W57" s="647">
        <v>18</v>
      </c>
      <c r="X57" s="634">
        <f t="shared" si="7"/>
        <v>2</v>
      </c>
      <c r="Y57" s="647">
        <v>0</v>
      </c>
      <c r="Z57" s="647">
        <v>2</v>
      </c>
    </row>
    <row r="58" spans="1:26" ht="25.5" customHeight="1" x14ac:dyDescent="0.3">
      <c r="A58" s="330">
        <v>54</v>
      </c>
      <c r="B58" s="331" t="s">
        <v>231</v>
      </c>
      <c r="C58" s="634">
        <f t="shared" si="2"/>
        <v>1639</v>
      </c>
      <c r="D58" s="647">
        <v>1943</v>
      </c>
      <c r="E58" s="647">
        <v>3582</v>
      </c>
      <c r="F58" s="634">
        <f t="shared" si="1"/>
        <v>278</v>
      </c>
      <c r="G58" s="647">
        <v>275</v>
      </c>
      <c r="H58" s="647">
        <v>553</v>
      </c>
      <c r="I58" s="634">
        <f t="shared" si="3"/>
        <v>70</v>
      </c>
      <c r="J58" s="647">
        <v>96</v>
      </c>
      <c r="K58" s="647">
        <v>166</v>
      </c>
      <c r="L58" s="634">
        <f t="shared" si="4"/>
        <v>559</v>
      </c>
      <c r="M58" s="647">
        <v>554</v>
      </c>
      <c r="N58" s="647">
        <v>1113</v>
      </c>
      <c r="O58" s="634">
        <f t="shared" si="0"/>
        <v>5</v>
      </c>
      <c r="P58" s="647">
        <v>4</v>
      </c>
      <c r="Q58" s="647">
        <v>9</v>
      </c>
      <c r="R58" s="634">
        <f t="shared" si="5"/>
        <v>13</v>
      </c>
      <c r="S58" s="647">
        <v>16</v>
      </c>
      <c r="T58" s="647">
        <v>29</v>
      </c>
      <c r="U58" s="634">
        <f t="shared" si="6"/>
        <v>10</v>
      </c>
      <c r="V58" s="647">
        <v>31</v>
      </c>
      <c r="W58" s="647">
        <v>41</v>
      </c>
      <c r="X58" s="634">
        <f t="shared" si="7"/>
        <v>27</v>
      </c>
      <c r="Y58" s="647">
        <v>59</v>
      </c>
      <c r="Z58" s="647">
        <v>86</v>
      </c>
    </row>
    <row r="59" spans="1:26" ht="25.5" customHeight="1" x14ac:dyDescent="0.3">
      <c r="A59" s="330">
        <v>55</v>
      </c>
      <c r="B59" s="331" t="s">
        <v>232</v>
      </c>
      <c r="C59" s="634">
        <f t="shared" si="2"/>
        <v>1018</v>
      </c>
      <c r="D59" s="647">
        <v>1066</v>
      </c>
      <c r="E59" s="647">
        <v>2084</v>
      </c>
      <c r="F59" s="634">
        <f t="shared" si="1"/>
        <v>169</v>
      </c>
      <c r="G59" s="647">
        <v>173</v>
      </c>
      <c r="H59" s="647">
        <v>342</v>
      </c>
      <c r="I59" s="634">
        <f t="shared" si="3"/>
        <v>65</v>
      </c>
      <c r="J59" s="647">
        <v>55</v>
      </c>
      <c r="K59" s="647">
        <v>120</v>
      </c>
      <c r="L59" s="634">
        <f t="shared" si="4"/>
        <v>501</v>
      </c>
      <c r="M59" s="647">
        <v>483</v>
      </c>
      <c r="N59" s="647">
        <v>984</v>
      </c>
      <c r="O59" s="634">
        <f t="shared" si="0"/>
        <v>30</v>
      </c>
      <c r="P59" s="647">
        <v>14</v>
      </c>
      <c r="Q59" s="647">
        <v>44</v>
      </c>
      <c r="R59" s="634">
        <f t="shared" si="5"/>
        <v>59</v>
      </c>
      <c r="S59" s="647">
        <v>37</v>
      </c>
      <c r="T59" s="647">
        <v>96</v>
      </c>
      <c r="U59" s="634">
        <f t="shared" si="6"/>
        <v>30</v>
      </c>
      <c r="V59" s="647">
        <v>48</v>
      </c>
      <c r="W59" s="647">
        <v>78</v>
      </c>
      <c r="X59" s="634">
        <f t="shared" si="7"/>
        <v>51</v>
      </c>
      <c r="Y59" s="647">
        <v>36</v>
      </c>
      <c r="Z59" s="647">
        <v>87</v>
      </c>
    </row>
    <row r="60" spans="1:26" ht="25.5" customHeight="1" x14ac:dyDescent="0.3">
      <c r="A60" s="330">
        <v>56</v>
      </c>
      <c r="B60" s="331" t="s">
        <v>869</v>
      </c>
      <c r="C60" s="634">
        <f t="shared" si="2"/>
        <v>1193</v>
      </c>
      <c r="D60" s="647">
        <v>1360</v>
      </c>
      <c r="E60" s="647">
        <v>2553</v>
      </c>
      <c r="F60" s="634">
        <f t="shared" si="1"/>
        <v>94</v>
      </c>
      <c r="G60" s="647">
        <v>78</v>
      </c>
      <c r="H60" s="647">
        <v>172</v>
      </c>
      <c r="I60" s="634">
        <f t="shared" si="3"/>
        <v>44</v>
      </c>
      <c r="J60" s="647">
        <v>33</v>
      </c>
      <c r="K60" s="647">
        <v>77</v>
      </c>
      <c r="L60" s="634">
        <f t="shared" si="4"/>
        <v>216</v>
      </c>
      <c r="M60" s="647">
        <v>213</v>
      </c>
      <c r="N60" s="647">
        <v>429</v>
      </c>
      <c r="O60" s="634">
        <f t="shared" si="0"/>
        <v>3</v>
      </c>
      <c r="P60" s="647">
        <v>1</v>
      </c>
      <c r="Q60" s="647">
        <v>4</v>
      </c>
      <c r="R60" s="634">
        <f t="shared" si="5"/>
        <v>0</v>
      </c>
      <c r="S60" s="647">
        <v>0</v>
      </c>
      <c r="T60" s="647">
        <v>0</v>
      </c>
      <c r="U60" s="634">
        <f t="shared" si="6"/>
        <v>0</v>
      </c>
      <c r="V60" s="647">
        <v>0</v>
      </c>
      <c r="W60" s="647">
        <v>0</v>
      </c>
      <c r="X60" s="634">
        <f t="shared" si="7"/>
        <v>36</v>
      </c>
      <c r="Y60" s="647">
        <v>21</v>
      </c>
      <c r="Z60" s="647">
        <v>57</v>
      </c>
    </row>
    <row r="61" spans="1:26" ht="25.5" customHeight="1" x14ac:dyDescent="0.3">
      <c r="A61" s="330">
        <v>57</v>
      </c>
      <c r="B61" s="331" t="s">
        <v>233</v>
      </c>
      <c r="C61" s="634">
        <f t="shared" si="2"/>
        <v>5264</v>
      </c>
      <c r="D61" s="647">
        <v>1862</v>
      </c>
      <c r="E61" s="647">
        <v>7126</v>
      </c>
      <c r="F61" s="634">
        <f t="shared" si="1"/>
        <v>289</v>
      </c>
      <c r="G61" s="647">
        <v>167</v>
      </c>
      <c r="H61" s="647">
        <v>456</v>
      </c>
      <c r="I61" s="634">
        <f t="shared" si="3"/>
        <v>51</v>
      </c>
      <c r="J61" s="647">
        <v>33</v>
      </c>
      <c r="K61" s="647">
        <v>84</v>
      </c>
      <c r="L61" s="634">
        <f t="shared" si="4"/>
        <v>720</v>
      </c>
      <c r="M61" s="647">
        <v>358</v>
      </c>
      <c r="N61" s="647">
        <v>1078</v>
      </c>
      <c r="O61" s="634">
        <f t="shared" si="0"/>
        <v>12</v>
      </c>
      <c r="P61" s="647">
        <v>0</v>
      </c>
      <c r="Q61" s="647">
        <v>12</v>
      </c>
      <c r="R61" s="634">
        <f t="shared" si="5"/>
        <v>1</v>
      </c>
      <c r="S61" s="647">
        <v>0</v>
      </c>
      <c r="T61" s="647">
        <v>1</v>
      </c>
      <c r="U61" s="634">
        <f t="shared" si="6"/>
        <v>7</v>
      </c>
      <c r="V61" s="647">
        <v>7</v>
      </c>
      <c r="W61" s="647">
        <v>14</v>
      </c>
      <c r="X61" s="634">
        <f t="shared" si="7"/>
        <v>0</v>
      </c>
      <c r="Y61" s="647">
        <v>1</v>
      </c>
      <c r="Z61" s="647">
        <v>1</v>
      </c>
    </row>
    <row r="62" spans="1:26" ht="25.5" customHeight="1" x14ac:dyDescent="0.3">
      <c r="A62" s="330">
        <v>58</v>
      </c>
      <c r="B62" s="331" t="s">
        <v>237</v>
      </c>
      <c r="C62" s="634">
        <f t="shared" si="2"/>
        <v>86</v>
      </c>
      <c r="D62" s="647">
        <v>58</v>
      </c>
      <c r="E62" s="647">
        <v>144</v>
      </c>
      <c r="F62" s="634">
        <f t="shared" si="1"/>
        <v>16</v>
      </c>
      <c r="G62" s="647">
        <v>9</v>
      </c>
      <c r="H62" s="647">
        <v>25</v>
      </c>
      <c r="I62" s="634">
        <f t="shared" si="3"/>
        <v>0</v>
      </c>
      <c r="J62" s="647">
        <v>0</v>
      </c>
      <c r="K62" s="647">
        <v>0</v>
      </c>
      <c r="L62" s="634">
        <f t="shared" si="4"/>
        <v>13</v>
      </c>
      <c r="M62" s="647">
        <v>3</v>
      </c>
      <c r="N62" s="647">
        <v>16</v>
      </c>
      <c r="O62" s="634">
        <f t="shared" si="0"/>
        <v>4</v>
      </c>
      <c r="P62" s="647">
        <v>0</v>
      </c>
      <c r="Q62" s="647">
        <v>4</v>
      </c>
      <c r="R62" s="634">
        <f t="shared" si="5"/>
        <v>0</v>
      </c>
      <c r="S62" s="647">
        <v>0</v>
      </c>
      <c r="T62" s="647">
        <v>0</v>
      </c>
      <c r="U62" s="634">
        <f t="shared" si="6"/>
        <v>2</v>
      </c>
      <c r="V62" s="647">
        <v>2</v>
      </c>
      <c r="W62" s="647">
        <v>4</v>
      </c>
      <c r="X62" s="634">
        <f t="shared" si="7"/>
        <v>2</v>
      </c>
      <c r="Y62" s="647">
        <v>0</v>
      </c>
      <c r="Z62" s="647">
        <v>2</v>
      </c>
    </row>
    <row r="63" spans="1:26" ht="25.5" customHeight="1" x14ac:dyDescent="0.3">
      <c r="A63" s="330">
        <v>59</v>
      </c>
      <c r="B63" s="331" t="s">
        <v>874</v>
      </c>
      <c r="C63" s="634">
        <f t="shared" si="2"/>
        <v>15</v>
      </c>
      <c r="D63" s="647">
        <v>5</v>
      </c>
      <c r="E63" s="647">
        <v>20</v>
      </c>
      <c r="F63" s="634">
        <f t="shared" si="1"/>
        <v>3</v>
      </c>
      <c r="G63" s="647">
        <v>0</v>
      </c>
      <c r="H63" s="647">
        <v>3</v>
      </c>
      <c r="I63" s="634">
        <f t="shared" si="3"/>
        <v>0</v>
      </c>
      <c r="J63" s="647">
        <v>0</v>
      </c>
      <c r="K63" s="647">
        <v>0</v>
      </c>
      <c r="L63" s="634">
        <f t="shared" si="4"/>
        <v>4</v>
      </c>
      <c r="M63" s="647">
        <v>1</v>
      </c>
      <c r="N63" s="647">
        <v>5</v>
      </c>
      <c r="O63" s="634">
        <f t="shared" si="0"/>
        <v>0</v>
      </c>
      <c r="P63" s="647">
        <v>0</v>
      </c>
      <c r="Q63" s="647">
        <v>0</v>
      </c>
      <c r="R63" s="634">
        <f t="shared" si="5"/>
        <v>2</v>
      </c>
      <c r="S63" s="647">
        <v>0</v>
      </c>
      <c r="T63" s="647">
        <v>2</v>
      </c>
      <c r="U63" s="634">
        <f t="shared" si="6"/>
        <v>0</v>
      </c>
      <c r="V63" s="647">
        <v>0</v>
      </c>
      <c r="W63" s="647">
        <v>0</v>
      </c>
      <c r="X63" s="634">
        <f t="shared" si="7"/>
        <v>0</v>
      </c>
      <c r="Y63" s="647">
        <v>0</v>
      </c>
      <c r="Z63" s="647">
        <v>0</v>
      </c>
    </row>
    <row r="64" spans="1:26" ht="25.5" customHeight="1" x14ac:dyDescent="0.3">
      <c r="A64" s="330">
        <v>60</v>
      </c>
      <c r="B64" s="331" t="s">
        <v>245</v>
      </c>
      <c r="C64" s="634">
        <f t="shared" si="2"/>
        <v>95</v>
      </c>
      <c r="D64" s="647">
        <v>27</v>
      </c>
      <c r="E64" s="647">
        <v>122</v>
      </c>
      <c r="F64" s="634">
        <f t="shared" si="1"/>
        <v>6</v>
      </c>
      <c r="G64" s="647">
        <v>0</v>
      </c>
      <c r="H64" s="647">
        <v>6</v>
      </c>
      <c r="I64" s="634">
        <f t="shared" si="3"/>
        <v>0</v>
      </c>
      <c r="J64" s="647">
        <v>0</v>
      </c>
      <c r="K64" s="647">
        <v>0</v>
      </c>
      <c r="L64" s="634">
        <f t="shared" si="4"/>
        <v>48</v>
      </c>
      <c r="M64" s="647">
        <v>5</v>
      </c>
      <c r="N64" s="647">
        <v>53</v>
      </c>
      <c r="O64" s="634">
        <f t="shared" si="0"/>
        <v>0</v>
      </c>
      <c r="P64" s="647">
        <v>0</v>
      </c>
      <c r="Q64" s="647">
        <v>0</v>
      </c>
      <c r="R64" s="634">
        <f t="shared" si="5"/>
        <v>5</v>
      </c>
      <c r="S64" s="647">
        <v>1</v>
      </c>
      <c r="T64" s="647">
        <v>6</v>
      </c>
      <c r="U64" s="634">
        <f t="shared" si="6"/>
        <v>3</v>
      </c>
      <c r="V64" s="647">
        <v>0</v>
      </c>
      <c r="W64" s="647">
        <v>3</v>
      </c>
      <c r="X64" s="634">
        <f t="shared" si="7"/>
        <v>0</v>
      </c>
      <c r="Y64" s="647">
        <v>0</v>
      </c>
      <c r="Z64" s="647">
        <v>0</v>
      </c>
    </row>
    <row r="65" spans="1:26" ht="25.5" customHeight="1" x14ac:dyDescent="0.3">
      <c r="A65" s="330">
        <v>61</v>
      </c>
      <c r="B65" s="331" t="s">
        <v>247</v>
      </c>
      <c r="C65" s="634">
        <f t="shared" si="2"/>
        <v>13893</v>
      </c>
      <c r="D65" s="647">
        <v>17236</v>
      </c>
      <c r="E65" s="647">
        <v>31129</v>
      </c>
      <c r="F65" s="634">
        <f t="shared" si="1"/>
        <v>2003</v>
      </c>
      <c r="G65" s="647">
        <v>2861</v>
      </c>
      <c r="H65" s="647">
        <v>4864</v>
      </c>
      <c r="I65" s="634">
        <f t="shared" si="3"/>
        <v>1785</v>
      </c>
      <c r="J65" s="647">
        <v>1822</v>
      </c>
      <c r="K65" s="647">
        <v>3607</v>
      </c>
      <c r="L65" s="634">
        <f t="shared" si="4"/>
        <v>4775</v>
      </c>
      <c r="M65" s="647">
        <v>5220</v>
      </c>
      <c r="N65" s="647">
        <v>9995</v>
      </c>
      <c r="O65" s="634">
        <f t="shared" si="0"/>
        <v>55</v>
      </c>
      <c r="P65" s="647">
        <v>58</v>
      </c>
      <c r="Q65" s="647">
        <v>113</v>
      </c>
      <c r="R65" s="634">
        <f t="shared" si="5"/>
        <v>73</v>
      </c>
      <c r="S65" s="647">
        <v>166</v>
      </c>
      <c r="T65" s="647">
        <v>239</v>
      </c>
      <c r="U65" s="634">
        <f t="shared" si="6"/>
        <v>16</v>
      </c>
      <c r="V65" s="647">
        <v>22</v>
      </c>
      <c r="W65" s="647">
        <v>38</v>
      </c>
      <c r="X65" s="634">
        <f t="shared" si="7"/>
        <v>106</v>
      </c>
      <c r="Y65" s="647">
        <v>144</v>
      </c>
      <c r="Z65" s="647">
        <v>250</v>
      </c>
    </row>
    <row r="66" spans="1:26" ht="25.5" customHeight="1" x14ac:dyDescent="0.3">
      <c r="A66" s="330">
        <v>62</v>
      </c>
      <c r="B66" s="331" t="s">
        <v>248</v>
      </c>
      <c r="C66" s="634">
        <f t="shared" si="2"/>
        <v>10</v>
      </c>
      <c r="D66" s="647">
        <v>15</v>
      </c>
      <c r="E66" s="647">
        <v>25</v>
      </c>
      <c r="F66" s="634">
        <f t="shared" si="1"/>
        <v>0</v>
      </c>
      <c r="G66" s="647">
        <v>0</v>
      </c>
      <c r="H66" s="647">
        <v>0</v>
      </c>
      <c r="I66" s="634">
        <f t="shared" si="3"/>
        <v>0</v>
      </c>
      <c r="J66" s="647">
        <v>0</v>
      </c>
      <c r="K66" s="647">
        <v>0</v>
      </c>
      <c r="L66" s="634">
        <f t="shared" si="4"/>
        <v>0</v>
      </c>
      <c r="M66" s="647">
        <v>0</v>
      </c>
      <c r="N66" s="647">
        <v>0</v>
      </c>
      <c r="O66" s="634">
        <f t="shared" si="0"/>
        <v>0</v>
      </c>
      <c r="P66" s="647">
        <v>0</v>
      </c>
      <c r="Q66" s="647">
        <v>0</v>
      </c>
      <c r="R66" s="634">
        <f t="shared" si="5"/>
        <v>0</v>
      </c>
      <c r="S66" s="647">
        <v>0</v>
      </c>
      <c r="T66" s="647">
        <v>0</v>
      </c>
      <c r="U66" s="634">
        <f t="shared" si="6"/>
        <v>0</v>
      </c>
      <c r="V66" s="647">
        <v>0</v>
      </c>
      <c r="W66" s="647">
        <v>0</v>
      </c>
      <c r="X66" s="634">
        <f t="shared" si="7"/>
        <v>0</v>
      </c>
      <c r="Y66" s="647">
        <v>0</v>
      </c>
      <c r="Z66" s="647">
        <v>0</v>
      </c>
    </row>
    <row r="67" spans="1:26" ht="25.5" customHeight="1" x14ac:dyDescent="0.3">
      <c r="A67" s="330">
        <v>63</v>
      </c>
      <c r="B67" s="331" t="s">
        <v>254</v>
      </c>
      <c r="C67" s="634">
        <f t="shared" si="2"/>
        <v>51981</v>
      </c>
      <c r="D67" s="647">
        <v>63985</v>
      </c>
      <c r="E67" s="647">
        <v>115966</v>
      </c>
      <c r="F67" s="634">
        <f t="shared" si="1"/>
        <v>6704</v>
      </c>
      <c r="G67" s="647">
        <v>7069</v>
      </c>
      <c r="H67" s="647">
        <v>13773</v>
      </c>
      <c r="I67" s="634">
        <f t="shared" si="3"/>
        <v>2871</v>
      </c>
      <c r="J67" s="647">
        <v>2610</v>
      </c>
      <c r="K67" s="647">
        <v>5481</v>
      </c>
      <c r="L67" s="634">
        <f t="shared" si="4"/>
        <v>22037</v>
      </c>
      <c r="M67" s="647">
        <v>28086</v>
      </c>
      <c r="N67" s="647">
        <v>50123</v>
      </c>
      <c r="O67" s="634">
        <f t="shared" si="0"/>
        <v>217</v>
      </c>
      <c r="P67" s="647">
        <v>136</v>
      </c>
      <c r="Q67" s="647">
        <v>353</v>
      </c>
      <c r="R67" s="634">
        <f t="shared" si="5"/>
        <v>1706</v>
      </c>
      <c r="S67" s="647">
        <v>1654</v>
      </c>
      <c r="T67" s="647">
        <v>3360</v>
      </c>
      <c r="U67" s="634">
        <f t="shared" si="6"/>
        <v>436</v>
      </c>
      <c r="V67" s="647">
        <v>761</v>
      </c>
      <c r="W67" s="647">
        <v>1197</v>
      </c>
      <c r="X67" s="634">
        <f t="shared" si="7"/>
        <v>925</v>
      </c>
      <c r="Y67" s="647">
        <v>2717</v>
      </c>
      <c r="Z67" s="647">
        <v>3642</v>
      </c>
    </row>
    <row r="68" spans="1:26" ht="25.5" customHeight="1" x14ac:dyDescent="0.3">
      <c r="A68" s="330">
        <v>64</v>
      </c>
      <c r="B68" s="331" t="s">
        <v>255</v>
      </c>
      <c r="C68" s="634">
        <f t="shared" si="2"/>
        <v>652</v>
      </c>
      <c r="D68" s="647">
        <v>651</v>
      </c>
      <c r="E68" s="647">
        <v>1303</v>
      </c>
      <c r="F68" s="634">
        <f t="shared" si="1"/>
        <v>67</v>
      </c>
      <c r="G68" s="647">
        <v>50</v>
      </c>
      <c r="H68" s="647">
        <v>117</v>
      </c>
      <c r="I68" s="634">
        <f t="shared" si="3"/>
        <v>8</v>
      </c>
      <c r="J68" s="647">
        <v>6</v>
      </c>
      <c r="K68" s="647">
        <v>14</v>
      </c>
      <c r="L68" s="634">
        <f t="shared" si="4"/>
        <v>313</v>
      </c>
      <c r="M68" s="647">
        <v>307</v>
      </c>
      <c r="N68" s="647">
        <v>620</v>
      </c>
      <c r="O68" s="634">
        <f t="shared" si="0"/>
        <v>7</v>
      </c>
      <c r="P68" s="647">
        <v>3</v>
      </c>
      <c r="Q68" s="647">
        <v>10</v>
      </c>
      <c r="R68" s="634">
        <f t="shared" si="5"/>
        <v>30</v>
      </c>
      <c r="S68" s="647">
        <v>56</v>
      </c>
      <c r="T68" s="647">
        <v>86</v>
      </c>
      <c r="U68" s="634">
        <f t="shared" si="6"/>
        <v>2</v>
      </c>
      <c r="V68" s="647">
        <v>3</v>
      </c>
      <c r="W68" s="647">
        <v>5</v>
      </c>
      <c r="X68" s="634">
        <f t="shared" si="7"/>
        <v>0</v>
      </c>
      <c r="Y68" s="647">
        <v>0</v>
      </c>
      <c r="Z68" s="647">
        <v>0</v>
      </c>
    </row>
    <row r="69" spans="1:26" ht="25.5" customHeight="1" x14ac:dyDescent="0.3">
      <c r="A69" s="330">
        <v>65</v>
      </c>
      <c r="B69" s="331" t="s">
        <v>256</v>
      </c>
      <c r="C69" s="634">
        <f t="shared" si="2"/>
        <v>412</v>
      </c>
      <c r="D69" s="647">
        <v>78</v>
      </c>
      <c r="E69" s="647">
        <v>490</v>
      </c>
      <c r="F69" s="634">
        <f t="shared" si="1"/>
        <v>8</v>
      </c>
      <c r="G69" s="647">
        <v>0</v>
      </c>
      <c r="H69" s="647">
        <v>8</v>
      </c>
      <c r="I69" s="634">
        <f t="shared" si="3"/>
        <v>1</v>
      </c>
      <c r="J69" s="647">
        <v>0</v>
      </c>
      <c r="K69" s="647">
        <v>1</v>
      </c>
      <c r="L69" s="634">
        <f t="shared" si="4"/>
        <v>83</v>
      </c>
      <c r="M69" s="647">
        <v>10</v>
      </c>
      <c r="N69" s="647">
        <v>93</v>
      </c>
      <c r="O69" s="634">
        <f t="shared" si="0"/>
        <v>0</v>
      </c>
      <c r="P69" s="647">
        <v>0</v>
      </c>
      <c r="Q69" s="647">
        <v>0</v>
      </c>
      <c r="R69" s="634">
        <f t="shared" si="5"/>
        <v>0</v>
      </c>
      <c r="S69" s="647">
        <v>0</v>
      </c>
      <c r="T69" s="647">
        <v>0</v>
      </c>
      <c r="U69" s="634">
        <f t="shared" si="6"/>
        <v>0</v>
      </c>
      <c r="V69" s="647">
        <v>0</v>
      </c>
      <c r="W69" s="647">
        <v>0</v>
      </c>
      <c r="X69" s="634">
        <f t="shared" si="7"/>
        <v>1</v>
      </c>
      <c r="Y69" s="647">
        <v>0</v>
      </c>
      <c r="Z69" s="647">
        <v>1</v>
      </c>
    </row>
    <row r="70" spans="1:26" ht="25.5" customHeight="1" x14ac:dyDescent="0.3">
      <c r="A70" s="330">
        <v>66</v>
      </c>
      <c r="B70" s="331" t="s">
        <v>884</v>
      </c>
      <c r="C70" s="634">
        <f t="shared" si="2"/>
        <v>299</v>
      </c>
      <c r="D70" s="647">
        <v>318</v>
      </c>
      <c r="E70" s="647">
        <v>617</v>
      </c>
      <c r="F70" s="634">
        <f t="shared" ref="F70:F76" si="8">H70-G70</f>
        <v>73</v>
      </c>
      <c r="G70" s="647">
        <v>104</v>
      </c>
      <c r="H70" s="647">
        <v>177</v>
      </c>
      <c r="I70" s="634">
        <f t="shared" si="3"/>
        <v>4</v>
      </c>
      <c r="J70" s="647">
        <v>3</v>
      </c>
      <c r="K70" s="647">
        <v>7</v>
      </c>
      <c r="L70" s="634">
        <f t="shared" si="4"/>
        <v>26</v>
      </c>
      <c r="M70" s="647">
        <v>28</v>
      </c>
      <c r="N70" s="647">
        <v>54</v>
      </c>
      <c r="O70" s="634">
        <f t="shared" si="0"/>
        <v>2</v>
      </c>
      <c r="P70" s="647">
        <v>2</v>
      </c>
      <c r="Q70" s="647">
        <v>4</v>
      </c>
      <c r="R70" s="634">
        <f t="shared" si="5"/>
        <v>13</v>
      </c>
      <c r="S70" s="647">
        <v>0</v>
      </c>
      <c r="T70" s="647">
        <v>13</v>
      </c>
      <c r="U70" s="634">
        <f t="shared" si="6"/>
        <v>0</v>
      </c>
      <c r="V70" s="647">
        <v>0</v>
      </c>
      <c r="W70" s="647">
        <v>0</v>
      </c>
      <c r="X70" s="634">
        <f t="shared" si="7"/>
        <v>0</v>
      </c>
      <c r="Y70" s="647">
        <v>0</v>
      </c>
      <c r="Z70" s="647">
        <v>0</v>
      </c>
    </row>
    <row r="71" spans="1:26" ht="25.5" customHeight="1" x14ac:dyDescent="0.3">
      <c r="A71" s="330">
        <v>67</v>
      </c>
      <c r="B71" s="331" t="s">
        <v>260</v>
      </c>
      <c r="C71" s="634">
        <f t="shared" ref="C71:C76" si="9">E71-D71</f>
        <v>1797</v>
      </c>
      <c r="D71" s="647">
        <v>1302</v>
      </c>
      <c r="E71" s="647">
        <v>3099</v>
      </c>
      <c r="F71" s="634">
        <f t="shared" si="8"/>
        <v>141</v>
      </c>
      <c r="G71" s="647">
        <v>90</v>
      </c>
      <c r="H71" s="647">
        <v>231</v>
      </c>
      <c r="I71" s="634">
        <f t="shared" ref="I71:I76" si="10">K71-J71</f>
        <v>118</v>
      </c>
      <c r="J71" s="647">
        <v>152</v>
      </c>
      <c r="K71" s="647">
        <v>270</v>
      </c>
      <c r="L71" s="634">
        <f t="shared" ref="L71:L76" si="11">N71-M71</f>
        <v>347</v>
      </c>
      <c r="M71" s="647">
        <v>223</v>
      </c>
      <c r="N71" s="647">
        <v>570</v>
      </c>
      <c r="O71" s="634">
        <f t="shared" ref="O71:O76" si="12">Q71-P71</f>
        <v>7</v>
      </c>
      <c r="P71" s="647">
        <v>0</v>
      </c>
      <c r="Q71" s="647">
        <v>7</v>
      </c>
      <c r="R71" s="634">
        <f t="shared" ref="R71:R76" si="13">T71-S71</f>
        <v>13</v>
      </c>
      <c r="S71" s="647">
        <v>1</v>
      </c>
      <c r="T71" s="647">
        <v>14</v>
      </c>
      <c r="U71" s="634">
        <f t="shared" ref="U71:U76" si="14">W71-V71</f>
        <v>6</v>
      </c>
      <c r="V71" s="647">
        <v>3</v>
      </c>
      <c r="W71" s="647">
        <v>9</v>
      </c>
      <c r="X71" s="634">
        <f t="shared" ref="X71:X76" si="15">Z71-Y71</f>
        <v>30</v>
      </c>
      <c r="Y71" s="647">
        <v>13</v>
      </c>
      <c r="Z71" s="647">
        <v>43</v>
      </c>
    </row>
    <row r="72" spans="1:26" ht="25.5" customHeight="1" x14ac:dyDescent="0.3">
      <c r="A72" s="330">
        <v>68</v>
      </c>
      <c r="B72" s="331" t="s">
        <v>888</v>
      </c>
      <c r="C72" s="634">
        <f t="shared" si="9"/>
        <v>238</v>
      </c>
      <c r="D72" s="647">
        <v>102</v>
      </c>
      <c r="E72" s="647">
        <v>340</v>
      </c>
      <c r="F72" s="634">
        <f t="shared" si="8"/>
        <v>0</v>
      </c>
      <c r="G72" s="647">
        <v>0</v>
      </c>
      <c r="H72" s="647">
        <v>0</v>
      </c>
      <c r="I72" s="634">
        <f t="shared" si="10"/>
        <v>0</v>
      </c>
      <c r="J72" s="647">
        <v>0</v>
      </c>
      <c r="K72" s="647">
        <v>0</v>
      </c>
      <c r="L72" s="634">
        <f t="shared" si="11"/>
        <v>0</v>
      </c>
      <c r="M72" s="647">
        <v>0</v>
      </c>
      <c r="N72" s="647">
        <v>0</v>
      </c>
      <c r="O72" s="634">
        <f t="shared" si="12"/>
        <v>0</v>
      </c>
      <c r="P72" s="647">
        <v>0</v>
      </c>
      <c r="Q72" s="647">
        <v>0</v>
      </c>
      <c r="R72" s="634">
        <f t="shared" si="13"/>
        <v>0</v>
      </c>
      <c r="S72" s="647">
        <v>0</v>
      </c>
      <c r="T72" s="647">
        <v>0</v>
      </c>
      <c r="U72" s="634">
        <f t="shared" si="14"/>
        <v>10</v>
      </c>
      <c r="V72" s="647">
        <v>8</v>
      </c>
      <c r="W72" s="647">
        <v>18</v>
      </c>
      <c r="X72" s="634">
        <f t="shared" si="15"/>
        <v>0</v>
      </c>
      <c r="Y72" s="647">
        <v>0</v>
      </c>
      <c r="Z72" s="647">
        <v>0</v>
      </c>
    </row>
    <row r="73" spans="1:26" ht="25.5" customHeight="1" x14ac:dyDescent="0.3">
      <c r="A73" s="330">
        <v>69</v>
      </c>
      <c r="B73" s="331" t="s">
        <v>263</v>
      </c>
      <c r="C73" s="634">
        <f t="shared" si="9"/>
        <v>31031</v>
      </c>
      <c r="D73" s="647">
        <v>21949</v>
      </c>
      <c r="E73" s="647">
        <v>52980</v>
      </c>
      <c r="F73" s="634">
        <f t="shared" si="8"/>
        <v>2629</v>
      </c>
      <c r="G73" s="647">
        <v>1546</v>
      </c>
      <c r="H73" s="647">
        <v>4175</v>
      </c>
      <c r="I73" s="634">
        <f t="shared" si="10"/>
        <v>904</v>
      </c>
      <c r="J73" s="647">
        <v>671</v>
      </c>
      <c r="K73" s="647">
        <v>1575</v>
      </c>
      <c r="L73" s="634">
        <f t="shared" si="11"/>
        <v>6488</v>
      </c>
      <c r="M73" s="647">
        <v>4034</v>
      </c>
      <c r="N73" s="647">
        <v>10522</v>
      </c>
      <c r="O73" s="634">
        <f t="shared" si="12"/>
        <v>45</v>
      </c>
      <c r="P73" s="647">
        <v>18</v>
      </c>
      <c r="Q73" s="647">
        <v>63</v>
      </c>
      <c r="R73" s="634">
        <f t="shared" si="13"/>
        <v>460</v>
      </c>
      <c r="S73" s="647">
        <v>508</v>
      </c>
      <c r="T73" s="647">
        <v>968</v>
      </c>
      <c r="U73" s="634">
        <f t="shared" si="14"/>
        <v>63</v>
      </c>
      <c r="V73" s="647">
        <v>42</v>
      </c>
      <c r="W73" s="647">
        <v>105</v>
      </c>
      <c r="X73" s="634">
        <f t="shared" si="15"/>
        <v>570</v>
      </c>
      <c r="Y73" s="647">
        <v>311</v>
      </c>
      <c r="Z73" s="647">
        <v>881</v>
      </c>
    </row>
    <row r="74" spans="1:26" ht="25.5" customHeight="1" x14ac:dyDescent="0.3">
      <c r="A74" s="330">
        <v>70</v>
      </c>
      <c r="B74" s="331" t="s">
        <v>264</v>
      </c>
      <c r="C74" s="634">
        <f t="shared" si="9"/>
        <v>27</v>
      </c>
      <c r="D74" s="647">
        <v>4</v>
      </c>
      <c r="E74" s="647">
        <v>31</v>
      </c>
      <c r="F74" s="634">
        <f t="shared" si="8"/>
        <v>0</v>
      </c>
      <c r="G74" s="647">
        <v>0</v>
      </c>
      <c r="H74" s="647">
        <v>0</v>
      </c>
      <c r="I74" s="634">
        <f t="shared" si="10"/>
        <v>0</v>
      </c>
      <c r="J74" s="647">
        <v>0</v>
      </c>
      <c r="K74" s="647">
        <v>0</v>
      </c>
      <c r="L74" s="634">
        <f t="shared" si="11"/>
        <v>0</v>
      </c>
      <c r="M74" s="647">
        <v>0</v>
      </c>
      <c r="N74" s="647">
        <v>0</v>
      </c>
      <c r="O74" s="634">
        <f t="shared" si="12"/>
        <v>0</v>
      </c>
      <c r="P74" s="647">
        <v>0</v>
      </c>
      <c r="Q74" s="647">
        <v>0</v>
      </c>
      <c r="R74" s="634">
        <f t="shared" si="13"/>
        <v>0</v>
      </c>
      <c r="S74" s="647">
        <v>0</v>
      </c>
      <c r="T74" s="647">
        <v>0</v>
      </c>
      <c r="U74" s="634">
        <f t="shared" si="14"/>
        <v>0</v>
      </c>
      <c r="V74" s="647">
        <v>0</v>
      </c>
      <c r="W74" s="647">
        <v>0</v>
      </c>
      <c r="X74" s="634">
        <f t="shared" si="15"/>
        <v>0</v>
      </c>
      <c r="Y74" s="647">
        <v>0</v>
      </c>
      <c r="Z74" s="647">
        <v>0</v>
      </c>
    </row>
    <row r="75" spans="1:26" ht="25.5" customHeight="1" x14ac:dyDescent="0.3">
      <c r="A75" s="330">
        <v>71</v>
      </c>
      <c r="B75" s="331" t="s">
        <v>266</v>
      </c>
      <c r="C75" s="634">
        <f t="shared" si="9"/>
        <v>4</v>
      </c>
      <c r="D75" s="647">
        <v>3</v>
      </c>
      <c r="E75" s="647">
        <v>7</v>
      </c>
      <c r="F75" s="634">
        <f t="shared" si="8"/>
        <v>1</v>
      </c>
      <c r="G75" s="647">
        <v>0</v>
      </c>
      <c r="H75" s="647">
        <v>1</v>
      </c>
      <c r="I75" s="634">
        <f t="shared" si="10"/>
        <v>0</v>
      </c>
      <c r="J75" s="647">
        <v>0</v>
      </c>
      <c r="K75" s="647">
        <v>0</v>
      </c>
      <c r="L75" s="634">
        <f t="shared" si="11"/>
        <v>1</v>
      </c>
      <c r="M75" s="647">
        <v>0</v>
      </c>
      <c r="N75" s="647">
        <v>1</v>
      </c>
      <c r="O75" s="634">
        <f t="shared" si="12"/>
        <v>0</v>
      </c>
      <c r="P75" s="647">
        <v>0</v>
      </c>
      <c r="Q75" s="647">
        <v>0</v>
      </c>
      <c r="R75" s="634">
        <f t="shared" si="13"/>
        <v>0</v>
      </c>
      <c r="S75" s="647">
        <v>0</v>
      </c>
      <c r="T75" s="647">
        <v>0</v>
      </c>
      <c r="U75" s="634">
        <f t="shared" si="14"/>
        <v>0</v>
      </c>
      <c r="V75" s="647">
        <v>0</v>
      </c>
      <c r="W75" s="647">
        <v>0</v>
      </c>
      <c r="X75" s="634">
        <f t="shared" si="15"/>
        <v>0</v>
      </c>
      <c r="Y75" s="647">
        <v>0</v>
      </c>
      <c r="Z75" s="647">
        <v>0</v>
      </c>
    </row>
    <row r="76" spans="1:26" ht="25.5" customHeight="1" x14ac:dyDescent="0.3">
      <c r="A76" s="330"/>
      <c r="B76" s="331" t="s">
        <v>12</v>
      </c>
      <c r="C76" s="634">
        <f t="shared" si="9"/>
        <v>2373786</v>
      </c>
      <c r="D76" s="647">
        <v>2013462</v>
      </c>
      <c r="E76" s="647">
        <v>4387248</v>
      </c>
      <c r="F76" s="634">
        <f t="shared" si="8"/>
        <v>350401</v>
      </c>
      <c r="G76" s="647">
        <v>287241</v>
      </c>
      <c r="H76" s="647">
        <v>637642</v>
      </c>
      <c r="I76" s="634">
        <f t="shared" si="10"/>
        <v>116388</v>
      </c>
      <c r="J76" s="647">
        <v>107201</v>
      </c>
      <c r="K76" s="647">
        <v>223589</v>
      </c>
      <c r="L76" s="634">
        <f t="shared" si="11"/>
        <v>748998</v>
      </c>
      <c r="M76" s="647">
        <v>623886</v>
      </c>
      <c r="N76" s="647">
        <v>1372884</v>
      </c>
      <c r="O76" s="634">
        <f t="shared" si="12"/>
        <v>10217</v>
      </c>
      <c r="P76" s="647">
        <v>5606</v>
      </c>
      <c r="Q76" s="647">
        <v>15823</v>
      </c>
      <c r="R76" s="634">
        <f t="shared" si="13"/>
        <v>76831</v>
      </c>
      <c r="S76" s="647">
        <v>71020</v>
      </c>
      <c r="T76" s="647">
        <v>147851</v>
      </c>
      <c r="U76" s="634">
        <f t="shared" si="14"/>
        <v>17014</v>
      </c>
      <c r="V76" s="647">
        <v>19374</v>
      </c>
      <c r="W76" s="647">
        <v>36388</v>
      </c>
      <c r="X76" s="634">
        <f t="shared" si="15"/>
        <v>23336</v>
      </c>
      <c r="Y76" s="647">
        <v>33566</v>
      </c>
      <c r="Z76" s="647">
        <v>56902</v>
      </c>
    </row>
  </sheetData>
  <mergeCells count="14">
    <mergeCell ref="O2:Q2"/>
    <mergeCell ref="R2:T2"/>
    <mergeCell ref="U2:W2"/>
    <mergeCell ref="X2:Z2"/>
    <mergeCell ref="A1:B1"/>
    <mergeCell ref="C1:H1"/>
    <mergeCell ref="I1:Q1"/>
    <mergeCell ref="R1:Z1"/>
    <mergeCell ref="A2:A3"/>
    <mergeCell ref="B2:B3"/>
    <mergeCell ref="C2:E2"/>
    <mergeCell ref="F2:H2"/>
    <mergeCell ref="I2:K2"/>
    <mergeCell ref="L2:N2"/>
  </mergeCells>
  <pageMargins left="0.59055118110236227" right="0.35433070866141736" top="0.39370078740157483" bottom="0.39370078740157483" header="0.31496062992125984" footer="0.19685039370078741"/>
  <pageSetup paperSize="9" scale="64" firstPageNumber="40" orientation="portrait" r:id="rId1"/>
  <headerFooter>
    <oddFooter>&amp;L&amp;"Arial,Italic"&amp;9AISHE 2022-23&amp;RT-11b</oddFooter>
  </headerFooter>
  <rowBreaks count="1" manualBreakCount="1">
    <brk id="48" max="25" man="1"/>
  </rowBreaks>
  <colBreaks count="2" manualBreakCount="2">
    <brk id="8" max="80" man="1"/>
    <brk id="17" max="80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595D-7458-4F1F-B1AF-504146AD1C1B}">
  <sheetPr codeName="Sheet20">
    <tabColor rgb="FFFFFF00"/>
  </sheetPr>
  <dimension ref="A1:Z81"/>
  <sheetViews>
    <sheetView view="pageBreakPreview" topLeftCell="B1" zoomScale="85" zoomScaleSheetLayoutView="85" workbookViewId="0">
      <pane ySplit="4" topLeftCell="A11" activePane="bottomLeft" state="frozen"/>
      <selection activeCell="Z240" sqref="Z240"/>
      <selection pane="bottomLeft" activeCell="Z240" sqref="Z240"/>
    </sheetView>
  </sheetViews>
  <sheetFormatPr defaultColWidth="9.26953125" defaultRowHeight="14" x14ac:dyDescent="0.35"/>
  <cols>
    <col min="1" max="1" width="6.7265625" style="134" bestFit="1" customWidth="1"/>
    <col min="2" max="2" width="35.54296875" style="106" customWidth="1"/>
    <col min="3" max="8" width="15.7265625" style="134" customWidth="1"/>
    <col min="9" max="14" width="12.453125" style="134" customWidth="1"/>
    <col min="15" max="17" width="9.26953125" style="134"/>
    <col min="18" max="26" width="11.54296875" style="134" customWidth="1"/>
    <col min="27" max="16384" width="9.26953125" style="104"/>
  </cols>
  <sheetData>
    <row r="1" spans="1:26" s="159" customFormat="1" ht="33" customHeight="1" x14ac:dyDescent="0.35">
      <c r="A1" s="784" t="s">
        <v>939</v>
      </c>
      <c r="B1" s="784"/>
      <c r="C1" s="785" t="s">
        <v>942</v>
      </c>
      <c r="D1" s="786"/>
      <c r="E1" s="786"/>
      <c r="F1" s="786"/>
      <c r="G1" s="786"/>
      <c r="H1" s="786"/>
      <c r="I1" s="785" t="s">
        <v>942</v>
      </c>
      <c r="J1" s="785"/>
      <c r="K1" s="785"/>
      <c r="L1" s="785"/>
      <c r="M1" s="785"/>
      <c r="N1" s="785"/>
      <c r="O1" s="785"/>
      <c r="P1" s="785"/>
      <c r="Q1" s="785"/>
      <c r="R1" s="785" t="s">
        <v>941</v>
      </c>
      <c r="S1" s="785"/>
      <c r="T1" s="785"/>
      <c r="U1" s="785"/>
      <c r="V1" s="785"/>
      <c r="W1" s="785"/>
      <c r="X1" s="785"/>
      <c r="Y1" s="785"/>
      <c r="Z1" s="785"/>
    </row>
    <row r="2" spans="1:26" s="326" customFormat="1" ht="28.5" customHeight="1" x14ac:dyDescent="0.35">
      <c r="A2" s="787" t="s">
        <v>49</v>
      </c>
      <c r="B2" s="788" t="s">
        <v>814</v>
      </c>
      <c r="C2" s="789" t="s">
        <v>574</v>
      </c>
      <c r="D2" s="789"/>
      <c r="E2" s="789"/>
      <c r="F2" s="789" t="s">
        <v>566</v>
      </c>
      <c r="G2" s="789"/>
      <c r="H2" s="789"/>
      <c r="I2" s="789" t="s">
        <v>567</v>
      </c>
      <c r="J2" s="789"/>
      <c r="K2" s="789"/>
      <c r="L2" s="789" t="s">
        <v>568</v>
      </c>
      <c r="M2" s="789"/>
      <c r="N2" s="789"/>
      <c r="O2" s="778" t="s">
        <v>121</v>
      </c>
      <c r="P2" s="778"/>
      <c r="Q2" s="778"/>
      <c r="R2" s="778" t="s">
        <v>122</v>
      </c>
      <c r="S2" s="778"/>
      <c r="T2" s="778"/>
      <c r="U2" s="778" t="s">
        <v>123</v>
      </c>
      <c r="V2" s="778"/>
      <c r="W2" s="778"/>
      <c r="X2" s="778" t="s">
        <v>124</v>
      </c>
      <c r="Y2" s="778"/>
      <c r="Z2" s="778"/>
    </row>
    <row r="3" spans="1:26" s="328" customFormat="1" ht="18" customHeight="1" x14ac:dyDescent="0.35">
      <c r="A3" s="787"/>
      <c r="B3" s="788"/>
      <c r="C3" s="327" t="s">
        <v>93</v>
      </c>
      <c r="D3" s="327" t="s">
        <v>94</v>
      </c>
      <c r="E3" s="327" t="s">
        <v>54</v>
      </c>
      <c r="F3" s="327" t="s">
        <v>93</v>
      </c>
      <c r="G3" s="327" t="s">
        <v>94</v>
      </c>
      <c r="H3" s="327" t="s">
        <v>54</v>
      </c>
      <c r="I3" s="327" t="s">
        <v>93</v>
      </c>
      <c r="J3" s="327" t="s">
        <v>94</v>
      </c>
      <c r="K3" s="327" t="s">
        <v>54</v>
      </c>
      <c r="L3" s="327" t="s">
        <v>93</v>
      </c>
      <c r="M3" s="327" t="s">
        <v>94</v>
      </c>
      <c r="N3" s="327" t="s">
        <v>54</v>
      </c>
      <c r="O3" s="289" t="s">
        <v>93</v>
      </c>
      <c r="P3" s="289" t="s">
        <v>94</v>
      </c>
      <c r="Q3" s="289" t="s">
        <v>54</v>
      </c>
      <c r="R3" s="289" t="s">
        <v>93</v>
      </c>
      <c r="S3" s="289" t="s">
        <v>94</v>
      </c>
      <c r="T3" s="289" t="s">
        <v>54</v>
      </c>
      <c r="U3" s="289" t="s">
        <v>93</v>
      </c>
      <c r="V3" s="289" t="s">
        <v>94</v>
      </c>
      <c r="W3" s="289" t="s">
        <v>54</v>
      </c>
      <c r="X3" s="289" t="s">
        <v>93</v>
      </c>
      <c r="Y3" s="289" t="s">
        <v>94</v>
      </c>
      <c r="Z3" s="289" t="s">
        <v>54</v>
      </c>
    </row>
    <row r="4" spans="1:26" s="324" customFormat="1" ht="11.5" x14ac:dyDescent="0.35">
      <c r="A4" s="102">
        <v>1</v>
      </c>
      <c r="B4" s="102">
        <v>2</v>
      </c>
      <c r="C4" s="102">
        <v>3</v>
      </c>
      <c r="D4" s="102">
        <v>4</v>
      </c>
      <c r="E4" s="102">
        <v>5</v>
      </c>
      <c r="F4" s="102">
        <v>6</v>
      </c>
      <c r="G4" s="102">
        <v>7</v>
      </c>
      <c r="H4" s="102">
        <v>8</v>
      </c>
      <c r="I4" s="102">
        <v>9</v>
      </c>
      <c r="J4" s="102">
        <v>10</v>
      </c>
      <c r="K4" s="102">
        <v>11</v>
      </c>
      <c r="L4" s="102">
        <v>12</v>
      </c>
      <c r="M4" s="102">
        <v>13</v>
      </c>
      <c r="N4" s="102">
        <v>14</v>
      </c>
      <c r="O4" s="102">
        <v>15</v>
      </c>
      <c r="P4" s="102">
        <v>16</v>
      </c>
      <c r="Q4" s="102">
        <v>17</v>
      </c>
      <c r="R4" s="102">
        <v>18</v>
      </c>
      <c r="S4" s="102">
        <v>19</v>
      </c>
      <c r="T4" s="102">
        <v>20</v>
      </c>
      <c r="U4" s="102">
        <v>21</v>
      </c>
      <c r="V4" s="102">
        <v>22</v>
      </c>
      <c r="W4" s="102">
        <v>23</v>
      </c>
      <c r="X4" s="102">
        <v>24</v>
      </c>
      <c r="Y4" s="102">
        <v>25</v>
      </c>
      <c r="Z4" s="102">
        <v>26</v>
      </c>
    </row>
    <row r="5" spans="1:26" x14ac:dyDescent="0.35">
      <c r="A5" s="103">
        <v>1</v>
      </c>
      <c r="B5" s="130" t="s">
        <v>125</v>
      </c>
      <c r="C5" s="103">
        <v>31</v>
      </c>
      <c r="D5" s="290">
        <v>4</v>
      </c>
      <c r="E5" s="290">
        <v>35</v>
      </c>
      <c r="F5" s="103">
        <v>0</v>
      </c>
      <c r="G5" s="290">
        <v>0</v>
      </c>
      <c r="H5" s="290">
        <v>0</v>
      </c>
      <c r="I5" s="103">
        <v>0</v>
      </c>
      <c r="J5" s="290">
        <v>0</v>
      </c>
      <c r="K5" s="290">
        <v>0</v>
      </c>
      <c r="L5" s="103">
        <v>4</v>
      </c>
      <c r="M5" s="290">
        <v>1</v>
      </c>
      <c r="N5" s="290">
        <v>5</v>
      </c>
      <c r="O5" s="103">
        <v>0</v>
      </c>
      <c r="P5" s="290">
        <v>0</v>
      </c>
      <c r="Q5" s="290">
        <v>0</v>
      </c>
      <c r="R5" s="103">
        <v>0</v>
      </c>
      <c r="S5" s="290">
        <v>0</v>
      </c>
      <c r="T5" s="290">
        <v>0</v>
      </c>
      <c r="U5" s="103">
        <v>0</v>
      </c>
      <c r="V5" s="290">
        <v>0</v>
      </c>
      <c r="W5" s="290">
        <v>0</v>
      </c>
      <c r="X5" s="103">
        <v>4</v>
      </c>
      <c r="Y5" s="290">
        <v>0</v>
      </c>
      <c r="Z5" s="290">
        <v>4</v>
      </c>
    </row>
    <row r="6" spans="1:26" x14ac:dyDescent="0.35">
      <c r="A6" s="103">
        <v>2</v>
      </c>
      <c r="B6" s="130" t="s">
        <v>130</v>
      </c>
      <c r="C6" s="103">
        <v>852</v>
      </c>
      <c r="D6" s="290">
        <v>897</v>
      </c>
      <c r="E6" s="290">
        <v>1749</v>
      </c>
      <c r="F6" s="103">
        <v>4</v>
      </c>
      <c r="G6" s="290">
        <v>3</v>
      </c>
      <c r="H6" s="290">
        <v>7</v>
      </c>
      <c r="I6" s="103">
        <v>0</v>
      </c>
      <c r="J6" s="290">
        <v>0</v>
      </c>
      <c r="K6" s="290">
        <v>0</v>
      </c>
      <c r="L6" s="103">
        <v>240</v>
      </c>
      <c r="M6" s="290">
        <v>88</v>
      </c>
      <c r="N6" s="290">
        <v>328</v>
      </c>
      <c r="O6" s="103">
        <v>0</v>
      </c>
      <c r="P6" s="290">
        <v>0</v>
      </c>
      <c r="Q6" s="290">
        <v>0</v>
      </c>
      <c r="R6" s="103">
        <v>2</v>
      </c>
      <c r="S6" s="290">
        <v>1</v>
      </c>
      <c r="T6" s="290">
        <v>3</v>
      </c>
      <c r="U6" s="103">
        <v>0</v>
      </c>
      <c r="V6" s="290">
        <v>0</v>
      </c>
      <c r="W6" s="290">
        <v>0</v>
      </c>
      <c r="X6" s="103">
        <v>0</v>
      </c>
      <c r="Y6" s="290">
        <v>0</v>
      </c>
      <c r="Z6" s="290">
        <v>0</v>
      </c>
    </row>
    <row r="7" spans="1:26" x14ac:dyDescent="0.35">
      <c r="A7" s="103">
        <v>3</v>
      </c>
      <c r="B7" s="130" t="s">
        <v>131</v>
      </c>
      <c r="C7" s="103">
        <v>223272</v>
      </c>
      <c r="D7" s="290">
        <v>183022</v>
      </c>
      <c r="E7" s="290">
        <v>406294</v>
      </c>
      <c r="F7" s="103">
        <v>36247</v>
      </c>
      <c r="G7" s="290">
        <v>24737</v>
      </c>
      <c r="H7" s="290">
        <v>60984</v>
      </c>
      <c r="I7" s="103">
        <v>31964</v>
      </c>
      <c r="J7" s="290">
        <v>25997</v>
      </c>
      <c r="K7" s="290">
        <v>57961</v>
      </c>
      <c r="L7" s="103">
        <v>114858</v>
      </c>
      <c r="M7" s="290">
        <v>88675</v>
      </c>
      <c r="N7" s="290">
        <v>203533</v>
      </c>
      <c r="O7" s="103">
        <v>292</v>
      </c>
      <c r="P7" s="290">
        <v>104</v>
      </c>
      <c r="Q7" s="290">
        <v>396</v>
      </c>
      <c r="R7" s="103">
        <v>1624</v>
      </c>
      <c r="S7" s="290">
        <v>1999</v>
      </c>
      <c r="T7" s="290">
        <v>3623</v>
      </c>
      <c r="U7" s="103">
        <v>260</v>
      </c>
      <c r="V7" s="290">
        <v>2592</v>
      </c>
      <c r="W7" s="290">
        <v>2852</v>
      </c>
      <c r="X7" s="103">
        <v>1264</v>
      </c>
      <c r="Y7" s="290">
        <v>870</v>
      </c>
      <c r="Z7" s="290">
        <v>2134</v>
      </c>
    </row>
    <row r="8" spans="1:26" ht="28" x14ac:dyDescent="0.35">
      <c r="A8" s="103">
        <v>4</v>
      </c>
      <c r="B8" s="130" t="s">
        <v>137</v>
      </c>
      <c r="C8" s="103">
        <v>738</v>
      </c>
      <c r="D8" s="290">
        <v>443</v>
      </c>
      <c r="E8" s="290">
        <v>1181</v>
      </c>
      <c r="F8" s="103">
        <v>5</v>
      </c>
      <c r="G8" s="290">
        <v>11</v>
      </c>
      <c r="H8" s="290">
        <v>16</v>
      </c>
      <c r="I8" s="103">
        <v>0</v>
      </c>
      <c r="J8" s="290">
        <v>1</v>
      </c>
      <c r="K8" s="290">
        <v>1</v>
      </c>
      <c r="L8" s="103">
        <v>584</v>
      </c>
      <c r="M8" s="290">
        <v>394</v>
      </c>
      <c r="N8" s="290">
        <v>978</v>
      </c>
      <c r="O8" s="103">
        <v>6</v>
      </c>
      <c r="P8" s="290">
        <v>6</v>
      </c>
      <c r="Q8" s="290">
        <v>12</v>
      </c>
      <c r="R8" s="103">
        <v>387</v>
      </c>
      <c r="S8" s="290">
        <v>209</v>
      </c>
      <c r="T8" s="290">
        <v>596</v>
      </c>
      <c r="U8" s="103">
        <v>10</v>
      </c>
      <c r="V8" s="290">
        <v>6</v>
      </c>
      <c r="W8" s="290">
        <v>16</v>
      </c>
      <c r="X8" s="103">
        <v>1</v>
      </c>
      <c r="Y8" s="290">
        <v>0</v>
      </c>
      <c r="Z8" s="290">
        <v>1</v>
      </c>
    </row>
    <row r="9" spans="1:26" ht="28" x14ac:dyDescent="0.35">
      <c r="A9" s="103">
        <v>5</v>
      </c>
      <c r="B9" s="130" t="s">
        <v>141</v>
      </c>
      <c r="C9" s="103">
        <v>64</v>
      </c>
      <c r="D9" s="290">
        <v>17</v>
      </c>
      <c r="E9" s="290">
        <v>81</v>
      </c>
      <c r="F9" s="103">
        <v>0</v>
      </c>
      <c r="G9" s="290">
        <v>0</v>
      </c>
      <c r="H9" s="290">
        <v>0</v>
      </c>
      <c r="I9" s="103">
        <v>0</v>
      </c>
      <c r="J9" s="290">
        <v>0</v>
      </c>
      <c r="K9" s="290">
        <v>0</v>
      </c>
      <c r="L9" s="103">
        <v>0</v>
      </c>
      <c r="M9" s="290">
        <v>0</v>
      </c>
      <c r="N9" s="290">
        <v>0</v>
      </c>
      <c r="O9" s="103">
        <v>0</v>
      </c>
      <c r="P9" s="290">
        <v>0</v>
      </c>
      <c r="Q9" s="290">
        <v>0</v>
      </c>
      <c r="R9" s="103">
        <v>0</v>
      </c>
      <c r="S9" s="290">
        <v>0</v>
      </c>
      <c r="T9" s="290">
        <v>0</v>
      </c>
      <c r="U9" s="103">
        <v>0</v>
      </c>
      <c r="V9" s="290">
        <v>0</v>
      </c>
      <c r="W9" s="290">
        <v>0</v>
      </c>
      <c r="X9" s="103">
        <v>0</v>
      </c>
      <c r="Y9" s="290">
        <v>0</v>
      </c>
      <c r="Z9" s="290">
        <v>0</v>
      </c>
    </row>
    <row r="10" spans="1:26" x14ac:dyDescent="0.35">
      <c r="A10" s="103">
        <v>6</v>
      </c>
      <c r="B10" s="130" t="s">
        <v>144</v>
      </c>
      <c r="C10" s="103">
        <v>29886</v>
      </c>
      <c r="D10" s="290">
        <v>22820</v>
      </c>
      <c r="E10" s="290">
        <v>52706</v>
      </c>
      <c r="F10" s="103">
        <v>2492</v>
      </c>
      <c r="G10" s="290">
        <v>1552</v>
      </c>
      <c r="H10" s="290">
        <v>4044</v>
      </c>
      <c r="I10" s="103">
        <v>1858</v>
      </c>
      <c r="J10" s="290">
        <v>1233</v>
      </c>
      <c r="K10" s="290">
        <v>3091</v>
      </c>
      <c r="L10" s="103">
        <v>13476</v>
      </c>
      <c r="M10" s="290">
        <v>10687</v>
      </c>
      <c r="N10" s="290">
        <v>24163</v>
      </c>
      <c r="O10" s="103">
        <v>49</v>
      </c>
      <c r="P10" s="290">
        <v>28</v>
      </c>
      <c r="Q10" s="290">
        <v>77</v>
      </c>
      <c r="R10" s="103">
        <v>1699</v>
      </c>
      <c r="S10" s="290">
        <v>1816</v>
      </c>
      <c r="T10" s="290">
        <v>3515</v>
      </c>
      <c r="U10" s="103">
        <v>77</v>
      </c>
      <c r="V10" s="290">
        <v>53</v>
      </c>
      <c r="W10" s="290">
        <v>130</v>
      </c>
      <c r="X10" s="103">
        <v>258</v>
      </c>
      <c r="Y10" s="290">
        <v>183</v>
      </c>
      <c r="Z10" s="290">
        <v>441</v>
      </c>
    </row>
    <row r="11" spans="1:26" ht="28" x14ac:dyDescent="0.35">
      <c r="A11" s="103">
        <v>7</v>
      </c>
      <c r="B11" s="130" t="s">
        <v>156</v>
      </c>
      <c r="C11" s="103">
        <v>1</v>
      </c>
      <c r="D11" s="290">
        <v>0</v>
      </c>
      <c r="E11" s="290">
        <v>1</v>
      </c>
      <c r="F11" s="103">
        <v>0</v>
      </c>
      <c r="G11" s="290">
        <v>0</v>
      </c>
      <c r="H11" s="290">
        <v>0</v>
      </c>
      <c r="I11" s="103">
        <v>0</v>
      </c>
      <c r="J11" s="290">
        <v>0</v>
      </c>
      <c r="K11" s="290">
        <v>0</v>
      </c>
      <c r="L11" s="103">
        <v>0</v>
      </c>
      <c r="M11" s="290">
        <v>0</v>
      </c>
      <c r="N11" s="290">
        <v>0</v>
      </c>
      <c r="O11" s="103">
        <v>0</v>
      </c>
      <c r="P11" s="290">
        <v>0</v>
      </c>
      <c r="Q11" s="290">
        <v>0</v>
      </c>
      <c r="R11" s="103">
        <v>0</v>
      </c>
      <c r="S11" s="290">
        <v>0</v>
      </c>
      <c r="T11" s="290">
        <v>0</v>
      </c>
      <c r="U11" s="103">
        <v>0</v>
      </c>
      <c r="V11" s="290">
        <v>0</v>
      </c>
      <c r="W11" s="290">
        <v>0</v>
      </c>
      <c r="X11" s="103">
        <v>0</v>
      </c>
      <c r="Y11" s="290">
        <v>0</v>
      </c>
      <c r="Z11" s="290">
        <v>0</v>
      </c>
    </row>
    <row r="12" spans="1:26" ht="28" x14ac:dyDescent="0.35">
      <c r="A12" s="103">
        <v>8</v>
      </c>
      <c r="B12" s="130" t="s">
        <v>831</v>
      </c>
      <c r="C12" s="103">
        <v>0</v>
      </c>
      <c r="D12" s="290">
        <v>0</v>
      </c>
      <c r="E12" s="290">
        <v>0</v>
      </c>
      <c r="F12" s="103">
        <v>0</v>
      </c>
      <c r="G12" s="290">
        <v>0</v>
      </c>
      <c r="H12" s="290">
        <v>0</v>
      </c>
      <c r="I12" s="103">
        <v>0</v>
      </c>
      <c r="J12" s="290">
        <v>0</v>
      </c>
      <c r="K12" s="290">
        <v>0</v>
      </c>
      <c r="L12" s="103">
        <v>0</v>
      </c>
      <c r="M12" s="290">
        <v>0</v>
      </c>
      <c r="N12" s="290">
        <v>0</v>
      </c>
      <c r="O12" s="103">
        <v>0</v>
      </c>
      <c r="P12" s="290">
        <v>0</v>
      </c>
      <c r="Q12" s="290">
        <v>0</v>
      </c>
      <c r="R12" s="103">
        <v>0</v>
      </c>
      <c r="S12" s="290">
        <v>0</v>
      </c>
      <c r="T12" s="290">
        <v>0</v>
      </c>
      <c r="U12" s="103">
        <v>0</v>
      </c>
      <c r="V12" s="290">
        <v>0</v>
      </c>
      <c r="W12" s="290">
        <v>0</v>
      </c>
      <c r="X12" s="103">
        <v>0</v>
      </c>
      <c r="Y12" s="290">
        <v>0</v>
      </c>
      <c r="Z12" s="290">
        <v>0</v>
      </c>
    </row>
    <row r="13" spans="1:26" x14ac:dyDescent="0.35">
      <c r="A13" s="103">
        <v>9</v>
      </c>
      <c r="B13" s="130" t="s">
        <v>832</v>
      </c>
      <c r="C13" s="103">
        <v>358</v>
      </c>
      <c r="D13" s="290">
        <v>1380</v>
      </c>
      <c r="E13" s="290">
        <v>1738</v>
      </c>
      <c r="F13" s="103">
        <v>5</v>
      </c>
      <c r="G13" s="290">
        <v>16</v>
      </c>
      <c r="H13" s="290">
        <v>21</v>
      </c>
      <c r="I13" s="103">
        <v>3</v>
      </c>
      <c r="J13" s="290">
        <v>24</v>
      </c>
      <c r="K13" s="290">
        <v>27</v>
      </c>
      <c r="L13" s="103">
        <v>298</v>
      </c>
      <c r="M13" s="290">
        <v>1257</v>
      </c>
      <c r="N13" s="290">
        <v>1555</v>
      </c>
      <c r="O13" s="103">
        <v>0</v>
      </c>
      <c r="P13" s="290">
        <v>0</v>
      </c>
      <c r="Q13" s="290">
        <v>0</v>
      </c>
      <c r="R13" s="103">
        <v>183</v>
      </c>
      <c r="S13" s="290">
        <v>902</v>
      </c>
      <c r="T13" s="290">
        <v>1085</v>
      </c>
      <c r="U13" s="103">
        <v>0</v>
      </c>
      <c r="V13" s="290">
        <v>0</v>
      </c>
      <c r="W13" s="290">
        <v>0</v>
      </c>
      <c r="X13" s="103">
        <v>0</v>
      </c>
      <c r="Y13" s="290">
        <v>0</v>
      </c>
      <c r="Z13" s="290">
        <v>0</v>
      </c>
    </row>
    <row r="14" spans="1:26" x14ac:dyDescent="0.35">
      <c r="A14" s="103">
        <v>10</v>
      </c>
      <c r="B14" s="130" t="s">
        <v>178</v>
      </c>
      <c r="C14" s="103">
        <v>79</v>
      </c>
      <c r="D14" s="290">
        <v>75</v>
      </c>
      <c r="E14" s="290">
        <v>154</v>
      </c>
      <c r="F14" s="103">
        <v>10</v>
      </c>
      <c r="G14" s="290">
        <v>10</v>
      </c>
      <c r="H14" s="290">
        <v>20</v>
      </c>
      <c r="I14" s="103">
        <v>3</v>
      </c>
      <c r="J14" s="290">
        <v>10</v>
      </c>
      <c r="K14" s="290">
        <v>13</v>
      </c>
      <c r="L14" s="103">
        <v>39</v>
      </c>
      <c r="M14" s="290">
        <v>33</v>
      </c>
      <c r="N14" s="290">
        <v>72</v>
      </c>
      <c r="O14" s="103">
        <v>0</v>
      </c>
      <c r="P14" s="290">
        <v>0</v>
      </c>
      <c r="Q14" s="290">
        <v>0</v>
      </c>
      <c r="R14" s="103">
        <v>0</v>
      </c>
      <c r="S14" s="290">
        <v>0</v>
      </c>
      <c r="T14" s="290">
        <v>0</v>
      </c>
      <c r="U14" s="103">
        <v>0</v>
      </c>
      <c r="V14" s="290">
        <v>0</v>
      </c>
      <c r="W14" s="290">
        <v>0</v>
      </c>
      <c r="X14" s="103">
        <v>0</v>
      </c>
      <c r="Y14" s="290">
        <v>0</v>
      </c>
      <c r="Z14" s="290">
        <v>0</v>
      </c>
    </row>
    <row r="15" spans="1:26" x14ac:dyDescent="0.35">
      <c r="A15" s="103">
        <v>11</v>
      </c>
      <c r="B15" s="130" t="s">
        <v>183</v>
      </c>
      <c r="C15" s="103">
        <v>31376</v>
      </c>
      <c r="D15" s="290">
        <v>33323</v>
      </c>
      <c r="E15" s="290">
        <v>64699</v>
      </c>
      <c r="F15" s="103">
        <v>4219</v>
      </c>
      <c r="G15" s="290">
        <v>4145</v>
      </c>
      <c r="H15" s="290">
        <v>8364</v>
      </c>
      <c r="I15" s="103">
        <v>6600</v>
      </c>
      <c r="J15" s="290">
        <v>8249</v>
      </c>
      <c r="K15" s="290">
        <v>14849</v>
      </c>
      <c r="L15" s="103">
        <v>14920</v>
      </c>
      <c r="M15" s="290">
        <v>15635</v>
      </c>
      <c r="N15" s="290">
        <v>30555</v>
      </c>
      <c r="O15" s="103">
        <v>7</v>
      </c>
      <c r="P15" s="290">
        <v>30</v>
      </c>
      <c r="Q15" s="290">
        <v>37</v>
      </c>
      <c r="R15" s="103">
        <v>16</v>
      </c>
      <c r="S15" s="290">
        <v>42</v>
      </c>
      <c r="T15" s="290">
        <v>58</v>
      </c>
      <c r="U15" s="103">
        <v>1</v>
      </c>
      <c r="V15" s="290">
        <v>2</v>
      </c>
      <c r="W15" s="290">
        <v>3</v>
      </c>
      <c r="X15" s="103">
        <v>168</v>
      </c>
      <c r="Y15" s="290">
        <v>123</v>
      </c>
      <c r="Z15" s="290">
        <v>291</v>
      </c>
    </row>
    <row r="16" spans="1:26" x14ac:dyDescent="0.35">
      <c r="A16" s="103">
        <v>12</v>
      </c>
      <c r="B16" s="130" t="s">
        <v>193</v>
      </c>
      <c r="C16" s="103">
        <v>119</v>
      </c>
      <c r="D16" s="290">
        <v>373</v>
      </c>
      <c r="E16" s="290">
        <v>492</v>
      </c>
      <c r="F16" s="103">
        <v>0</v>
      </c>
      <c r="G16" s="290">
        <v>1</v>
      </c>
      <c r="H16" s="290">
        <v>1</v>
      </c>
      <c r="I16" s="103">
        <v>1</v>
      </c>
      <c r="J16" s="290">
        <v>0</v>
      </c>
      <c r="K16" s="290">
        <v>1</v>
      </c>
      <c r="L16" s="103">
        <v>118</v>
      </c>
      <c r="M16" s="290">
        <v>371</v>
      </c>
      <c r="N16" s="290">
        <v>489</v>
      </c>
      <c r="O16" s="103">
        <v>0</v>
      </c>
      <c r="P16" s="290">
        <v>34</v>
      </c>
      <c r="Q16" s="290">
        <v>34</v>
      </c>
      <c r="R16" s="103">
        <v>118</v>
      </c>
      <c r="S16" s="290">
        <v>370</v>
      </c>
      <c r="T16" s="290">
        <v>488</v>
      </c>
      <c r="U16" s="103">
        <v>0</v>
      </c>
      <c r="V16" s="290">
        <v>0</v>
      </c>
      <c r="W16" s="290">
        <v>0</v>
      </c>
      <c r="X16" s="103">
        <v>0</v>
      </c>
      <c r="Y16" s="290">
        <v>0</v>
      </c>
      <c r="Z16" s="290">
        <v>0</v>
      </c>
    </row>
    <row r="17" spans="1:26" x14ac:dyDescent="0.35">
      <c r="A17" s="103">
        <v>13</v>
      </c>
      <c r="B17" s="130" t="s">
        <v>200</v>
      </c>
      <c r="C17" s="103">
        <v>2</v>
      </c>
      <c r="D17" s="290">
        <v>1</v>
      </c>
      <c r="E17" s="290">
        <v>3</v>
      </c>
      <c r="F17" s="103">
        <v>0</v>
      </c>
      <c r="G17" s="290">
        <v>0</v>
      </c>
      <c r="H17" s="290">
        <v>0</v>
      </c>
      <c r="I17" s="103">
        <v>0</v>
      </c>
      <c r="J17" s="290">
        <v>0</v>
      </c>
      <c r="K17" s="290">
        <v>0</v>
      </c>
      <c r="L17" s="103">
        <v>1</v>
      </c>
      <c r="M17" s="290">
        <v>0</v>
      </c>
      <c r="N17" s="290">
        <v>1</v>
      </c>
      <c r="O17" s="103">
        <v>0</v>
      </c>
      <c r="P17" s="290">
        <v>0</v>
      </c>
      <c r="Q17" s="290">
        <v>0</v>
      </c>
      <c r="R17" s="103">
        <v>0</v>
      </c>
      <c r="S17" s="290">
        <v>0</v>
      </c>
      <c r="T17" s="290">
        <v>0</v>
      </c>
      <c r="U17" s="103">
        <v>0</v>
      </c>
      <c r="V17" s="290">
        <v>0</v>
      </c>
      <c r="W17" s="290">
        <v>0</v>
      </c>
      <c r="X17" s="103">
        <v>0</v>
      </c>
      <c r="Y17" s="290">
        <v>0</v>
      </c>
      <c r="Z17" s="290">
        <v>0</v>
      </c>
    </row>
    <row r="18" spans="1:26" x14ac:dyDescent="0.35">
      <c r="A18" s="103">
        <v>14</v>
      </c>
      <c r="B18" s="130" t="s">
        <v>208</v>
      </c>
      <c r="C18" s="103">
        <v>17</v>
      </c>
      <c r="D18" s="290">
        <v>17</v>
      </c>
      <c r="E18" s="290">
        <v>34</v>
      </c>
      <c r="F18" s="103">
        <v>0</v>
      </c>
      <c r="G18" s="290">
        <v>0</v>
      </c>
      <c r="H18" s="290">
        <v>0</v>
      </c>
      <c r="I18" s="103">
        <v>0</v>
      </c>
      <c r="J18" s="290">
        <v>0</v>
      </c>
      <c r="K18" s="290">
        <v>0</v>
      </c>
      <c r="L18" s="103">
        <v>0</v>
      </c>
      <c r="M18" s="290">
        <v>0</v>
      </c>
      <c r="N18" s="290">
        <v>0</v>
      </c>
      <c r="O18" s="103">
        <v>0</v>
      </c>
      <c r="P18" s="290">
        <v>0</v>
      </c>
      <c r="Q18" s="290">
        <v>0</v>
      </c>
      <c r="R18" s="103">
        <v>0</v>
      </c>
      <c r="S18" s="290">
        <v>0</v>
      </c>
      <c r="T18" s="290">
        <v>0</v>
      </c>
      <c r="U18" s="103">
        <v>0</v>
      </c>
      <c r="V18" s="290">
        <v>0</v>
      </c>
      <c r="W18" s="290">
        <v>0</v>
      </c>
      <c r="X18" s="103">
        <v>0</v>
      </c>
      <c r="Y18" s="290">
        <v>0</v>
      </c>
      <c r="Z18" s="290">
        <v>0</v>
      </c>
    </row>
    <row r="19" spans="1:26" x14ac:dyDescent="0.35">
      <c r="A19" s="103">
        <v>15</v>
      </c>
      <c r="B19" s="130" t="s">
        <v>210</v>
      </c>
      <c r="C19" s="103">
        <v>86932</v>
      </c>
      <c r="D19" s="290">
        <v>118445</v>
      </c>
      <c r="E19" s="290">
        <v>205377</v>
      </c>
      <c r="F19" s="103">
        <v>15538</v>
      </c>
      <c r="G19" s="290">
        <v>16005</v>
      </c>
      <c r="H19" s="290">
        <v>31543</v>
      </c>
      <c r="I19" s="103">
        <v>11553</v>
      </c>
      <c r="J19" s="290">
        <v>16078</v>
      </c>
      <c r="K19" s="290">
        <v>27631</v>
      </c>
      <c r="L19" s="103">
        <v>41136</v>
      </c>
      <c r="M19" s="290">
        <v>51051</v>
      </c>
      <c r="N19" s="290">
        <v>92187</v>
      </c>
      <c r="O19" s="103">
        <v>236</v>
      </c>
      <c r="P19" s="290">
        <v>38</v>
      </c>
      <c r="Q19" s="290">
        <v>274</v>
      </c>
      <c r="R19" s="103">
        <v>343</v>
      </c>
      <c r="S19" s="290">
        <v>397</v>
      </c>
      <c r="T19" s="290">
        <v>740</v>
      </c>
      <c r="U19" s="103">
        <v>104</v>
      </c>
      <c r="V19" s="290">
        <v>1059</v>
      </c>
      <c r="W19" s="290">
        <v>1163</v>
      </c>
      <c r="X19" s="103">
        <v>623</v>
      </c>
      <c r="Y19" s="290">
        <v>796</v>
      </c>
      <c r="Z19" s="290">
        <v>1419</v>
      </c>
    </row>
    <row r="20" spans="1:26" ht="28" x14ac:dyDescent="0.35">
      <c r="A20" s="103">
        <v>16</v>
      </c>
      <c r="B20" s="130" t="s">
        <v>212</v>
      </c>
      <c r="C20" s="103">
        <v>42</v>
      </c>
      <c r="D20" s="290">
        <v>22</v>
      </c>
      <c r="E20" s="290">
        <v>64</v>
      </c>
      <c r="F20" s="103">
        <v>0</v>
      </c>
      <c r="G20" s="290">
        <v>0</v>
      </c>
      <c r="H20" s="290">
        <v>0</v>
      </c>
      <c r="I20" s="103">
        <v>0</v>
      </c>
      <c r="J20" s="290">
        <v>0</v>
      </c>
      <c r="K20" s="290">
        <v>0</v>
      </c>
      <c r="L20" s="103">
        <v>0</v>
      </c>
      <c r="M20" s="290">
        <v>0</v>
      </c>
      <c r="N20" s="290">
        <v>0</v>
      </c>
      <c r="O20" s="103">
        <v>0</v>
      </c>
      <c r="P20" s="290">
        <v>0</v>
      </c>
      <c r="Q20" s="290">
        <v>0</v>
      </c>
      <c r="R20" s="103">
        <v>0</v>
      </c>
      <c r="S20" s="290">
        <v>0</v>
      </c>
      <c r="T20" s="290">
        <v>0</v>
      </c>
      <c r="U20" s="103">
        <v>0</v>
      </c>
      <c r="V20" s="290">
        <v>0</v>
      </c>
      <c r="W20" s="290">
        <v>0</v>
      </c>
      <c r="X20" s="103">
        <v>0</v>
      </c>
      <c r="Y20" s="290">
        <v>0</v>
      </c>
      <c r="Z20" s="290">
        <v>0</v>
      </c>
    </row>
    <row r="21" spans="1:26" x14ac:dyDescent="0.35">
      <c r="A21" s="103">
        <v>17</v>
      </c>
      <c r="B21" s="130" t="s">
        <v>218</v>
      </c>
      <c r="C21" s="103">
        <v>14499</v>
      </c>
      <c r="D21" s="290">
        <v>19300</v>
      </c>
      <c r="E21" s="290">
        <v>33799</v>
      </c>
      <c r="F21" s="103">
        <v>1235</v>
      </c>
      <c r="G21" s="290">
        <v>1191</v>
      </c>
      <c r="H21" s="290">
        <v>2426</v>
      </c>
      <c r="I21" s="103">
        <v>750</v>
      </c>
      <c r="J21" s="290">
        <v>863</v>
      </c>
      <c r="K21" s="290">
        <v>1613</v>
      </c>
      <c r="L21" s="103">
        <v>5995</v>
      </c>
      <c r="M21" s="290">
        <v>7036</v>
      </c>
      <c r="N21" s="290">
        <v>13031</v>
      </c>
      <c r="O21" s="103">
        <v>15</v>
      </c>
      <c r="P21" s="290">
        <v>2</v>
      </c>
      <c r="Q21" s="290">
        <v>17</v>
      </c>
      <c r="R21" s="103">
        <v>233</v>
      </c>
      <c r="S21" s="290">
        <v>84</v>
      </c>
      <c r="T21" s="290">
        <v>317</v>
      </c>
      <c r="U21" s="103">
        <v>10</v>
      </c>
      <c r="V21" s="290">
        <v>6</v>
      </c>
      <c r="W21" s="290">
        <v>16</v>
      </c>
      <c r="X21" s="103">
        <v>153</v>
      </c>
      <c r="Y21" s="290">
        <v>146</v>
      </c>
      <c r="Z21" s="290">
        <v>299</v>
      </c>
    </row>
    <row r="22" spans="1:26" ht="28" x14ac:dyDescent="0.35">
      <c r="A22" s="103">
        <v>18</v>
      </c>
      <c r="B22" s="130" t="s">
        <v>226</v>
      </c>
      <c r="C22" s="103">
        <v>0</v>
      </c>
      <c r="D22" s="290">
        <v>1</v>
      </c>
      <c r="E22" s="290">
        <v>1</v>
      </c>
      <c r="F22" s="103">
        <v>0</v>
      </c>
      <c r="G22" s="290">
        <v>0</v>
      </c>
      <c r="H22" s="290">
        <v>0</v>
      </c>
      <c r="I22" s="103">
        <v>0</v>
      </c>
      <c r="J22" s="290">
        <v>0</v>
      </c>
      <c r="K22" s="290">
        <v>0</v>
      </c>
      <c r="L22" s="103">
        <v>0</v>
      </c>
      <c r="M22" s="290">
        <v>0</v>
      </c>
      <c r="N22" s="290">
        <v>0</v>
      </c>
      <c r="O22" s="103">
        <v>0</v>
      </c>
      <c r="P22" s="290">
        <v>0</v>
      </c>
      <c r="Q22" s="290">
        <v>0</v>
      </c>
      <c r="R22" s="103">
        <v>0</v>
      </c>
      <c r="S22" s="290">
        <v>0</v>
      </c>
      <c r="T22" s="290">
        <v>0</v>
      </c>
      <c r="U22" s="103">
        <v>0</v>
      </c>
      <c r="V22" s="290">
        <v>0</v>
      </c>
      <c r="W22" s="290">
        <v>0</v>
      </c>
      <c r="X22" s="103">
        <v>0</v>
      </c>
      <c r="Y22" s="290">
        <v>0</v>
      </c>
      <c r="Z22" s="290">
        <v>0</v>
      </c>
    </row>
    <row r="23" spans="1:26" ht="28" x14ac:dyDescent="0.35">
      <c r="A23" s="103">
        <v>19</v>
      </c>
      <c r="B23" s="130" t="s">
        <v>231</v>
      </c>
      <c r="C23" s="103">
        <v>1</v>
      </c>
      <c r="D23" s="290">
        <v>1</v>
      </c>
      <c r="E23" s="290">
        <v>2</v>
      </c>
      <c r="F23" s="103">
        <v>0</v>
      </c>
      <c r="G23" s="290">
        <v>0</v>
      </c>
      <c r="H23" s="290">
        <v>0</v>
      </c>
      <c r="I23" s="103">
        <v>0</v>
      </c>
      <c r="J23" s="290">
        <v>0</v>
      </c>
      <c r="K23" s="290">
        <v>0</v>
      </c>
      <c r="L23" s="103">
        <v>0</v>
      </c>
      <c r="M23" s="290">
        <v>0</v>
      </c>
      <c r="N23" s="290">
        <v>0</v>
      </c>
      <c r="O23" s="103">
        <v>0</v>
      </c>
      <c r="P23" s="290">
        <v>0</v>
      </c>
      <c r="Q23" s="290">
        <v>0</v>
      </c>
      <c r="R23" s="103">
        <v>0</v>
      </c>
      <c r="S23" s="290">
        <v>0</v>
      </c>
      <c r="T23" s="290">
        <v>0</v>
      </c>
      <c r="U23" s="103">
        <v>0</v>
      </c>
      <c r="V23" s="290">
        <v>0</v>
      </c>
      <c r="W23" s="290">
        <v>0</v>
      </c>
      <c r="X23" s="103">
        <v>0</v>
      </c>
      <c r="Y23" s="290">
        <v>0</v>
      </c>
      <c r="Z23" s="290">
        <v>0</v>
      </c>
    </row>
    <row r="24" spans="1:26" x14ac:dyDescent="0.35">
      <c r="A24" s="103">
        <v>20</v>
      </c>
      <c r="B24" s="130" t="s">
        <v>239</v>
      </c>
      <c r="C24" s="103">
        <v>1</v>
      </c>
      <c r="D24" s="290">
        <v>4</v>
      </c>
      <c r="E24" s="290">
        <v>5</v>
      </c>
      <c r="F24" s="103">
        <v>0</v>
      </c>
      <c r="G24" s="290">
        <v>0</v>
      </c>
      <c r="H24" s="290">
        <v>0</v>
      </c>
      <c r="I24" s="103">
        <v>0</v>
      </c>
      <c r="J24" s="290">
        <v>0</v>
      </c>
      <c r="K24" s="290">
        <v>0</v>
      </c>
      <c r="L24" s="103">
        <v>0</v>
      </c>
      <c r="M24" s="290">
        <v>0</v>
      </c>
      <c r="N24" s="290">
        <v>0</v>
      </c>
      <c r="O24" s="103">
        <v>0</v>
      </c>
      <c r="P24" s="290">
        <v>0</v>
      </c>
      <c r="Q24" s="290">
        <v>0</v>
      </c>
      <c r="R24" s="103">
        <v>0</v>
      </c>
      <c r="S24" s="290">
        <v>0</v>
      </c>
      <c r="T24" s="290">
        <v>0</v>
      </c>
      <c r="U24" s="103">
        <v>0</v>
      </c>
      <c r="V24" s="290">
        <v>0</v>
      </c>
      <c r="W24" s="290">
        <v>0</v>
      </c>
      <c r="X24" s="103">
        <v>0</v>
      </c>
      <c r="Y24" s="290">
        <v>0</v>
      </c>
      <c r="Z24" s="290">
        <v>0</v>
      </c>
    </row>
    <row r="25" spans="1:26" x14ac:dyDescent="0.35">
      <c r="A25" s="103">
        <v>21</v>
      </c>
      <c r="B25" s="130" t="s">
        <v>247</v>
      </c>
      <c r="C25" s="103">
        <v>21</v>
      </c>
      <c r="D25" s="290">
        <v>10</v>
      </c>
      <c r="E25" s="290">
        <v>31</v>
      </c>
      <c r="F25" s="103">
        <v>0</v>
      </c>
      <c r="G25" s="290">
        <v>0</v>
      </c>
      <c r="H25" s="290">
        <v>0</v>
      </c>
      <c r="I25" s="103">
        <v>0</v>
      </c>
      <c r="J25" s="290">
        <v>0</v>
      </c>
      <c r="K25" s="290">
        <v>0</v>
      </c>
      <c r="L25" s="103">
        <v>0</v>
      </c>
      <c r="M25" s="290">
        <v>0</v>
      </c>
      <c r="N25" s="290">
        <v>0</v>
      </c>
      <c r="O25" s="103">
        <v>0</v>
      </c>
      <c r="P25" s="290">
        <v>0</v>
      </c>
      <c r="Q25" s="290">
        <v>0</v>
      </c>
      <c r="R25" s="103">
        <v>0</v>
      </c>
      <c r="S25" s="290">
        <v>0</v>
      </c>
      <c r="T25" s="290">
        <v>0</v>
      </c>
      <c r="U25" s="103">
        <v>0</v>
      </c>
      <c r="V25" s="290">
        <v>0</v>
      </c>
      <c r="W25" s="290">
        <v>0</v>
      </c>
      <c r="X25" s="103">
        <v>0</v>
      </c>
      <c r="Y25" s="290">
        <v>0</v>
      </c>
      <c r="Z25" s="290">
        <v>0</v>
      </c>
    </row>
    <row r="26" spans="1:26" x14ac:dyDescent="0.35">
      <c r="A26" s="103">
        <v>22</v>
      </c>
      <c r="B26" s="130" t="s">
        <v>254</v>
      </c>
      <c r="C26" s="103">
        <v>4232</v>
      </c>
      <c r="D26" s="290">
        <v>3330</v>
      </c>
      <c r="E26" s="290">
        <v>7562</v>
      </c>
      <c r="F26" s="103">
        <v>617</v>
      </c>
      <c r="G26" s="290">
        <v>319</v>
      </c>
      <c r="H26" s="290">
        <v>936</v>
      </c>
      <c r="I26" s="103">
        <v>385</v>
      </c>
      <c r="J26" s="290">
        <v>223</v>
      </c>
      <c r="K26" s="290">
        <v>608</v>
      </c>
      <c r="L26" s="103">
        <v>2147</v>
      </c>
      <c r="M26" s="290">
        <v>1586</v>
      </c>
      <c r="N26" s="290">
        <v>3733</v>
      </c>
      <c r="O26" s="103">
        <v>1</v>
      </c>
      <c r="P26" s="290">
        <v>0</v>
      </c>
      <c r="Q26" s="290">
        <v>1</v>
      </c>
      <c r="R26" s="103">
        <v>5</v>
      </c>
      <c r="S26" s="290">
        <v>1</v>
      </c>
      <c r="T26" s="290">
        <v>6</v>
      </c>
      <c r="U26" s="103">
        <v>1</v>
      </c>
      <c r="V26" s="290">
        <v>0</v>
      </c>
      <c r="W26" s="290">
        <v>1</v>
      </c>
      <c r="X26" s="103">
        <v>65</v>
      </c>
      <c r="Y26" s="290">
        <v>49</v>
      </c>
      <c r="Z26" s="290">
        <v>114</v>
      </c>
    </row>
    <row r="27" spans="1:26" x14ac:dyDescent="0.35">
      <c r="A27" s="103">
        <v>23</v>
      </c>
      <c r="B27" s="130" t="s">
        <v>263</v>
      </c>
      <c r="C27" s="103">
        <v>1</v>
      </c>
      <c r="D27" s="290">
        <v>1</v>
      </c>
      <c r="E27" s="290">
        <v>2</v>
      </c>
      <c r="F27" s="103">
        <v>0</v>
      </c>
      <c r="G27" s="290">
        <v>0</v>
      </c>
      <c r="H27" s="290">
        <v>0</v>
      </c>
      <c r="I27" s="103">
        <v>0</v>
      </c>
      <c r="J27" s="290">
        <v>0</v>
      </c>
      <c r="K27" s="290">
        <v>0</v>
      </c>
      <c r="L27" s="103">
        <v>0</v>
      </c>
      <c r="M27" s="290">
        <v>0</v>
      </c>
      <c r="N27" s="290">
        <v>0</v>
      </c>
      <c r="O27" s="103">
        <v>0</v>
      </c>
      <c r="P27" s="290">
        <v>0</v>
      </c>
      <c r="Q27" s="290">
        <v>0</v>
      </c>
      <c r="R27" s="103">
        <v>0</v>
      </c>
      <c r="S27" s="290">
        <v>1</v>
      </c>
      <c r="T27" s="290">
        <v>1</v>
      </c>
      <c r="U27" s="103">
        <v>0</v>
      </c>
      <c r="V27" s="290">
        <v>0</v>
      </c>
      <c r="W27" s="290">
        <v>0</v>
      </c>
      <c r="X27" s="103">
        <v>0</v>
      </c>
      <c r="Y27" s="290">
        <v>0</v>
      </c>
      <c r="Z27" s="290">
        <v>0</v>
      </c>
    </row>
    <row r="28" spans="1:26" x14ac:dyDescent="0.35">
      <c r="A28" s="103">
        <v>24</v>
      </c>
      <c r="B28" s="130" t="s">
        <v>266</v>
      </c>
      <c r="C28" s="103">
        <v>102</v>
      </c>
      <c r="D28" s="290">
        <v>48</v>
      </c>
      <c r="E28" s="290">
        <v>150</v>
      </c>
      <c r="F28" s="103">
        <v>1</v>
      </c>
      <c r="G28" s="290">
        <v>0</v>
      </c>
      <c r="H28" s="290">
        <v>1</v>
      </c>
      <c r="I28" s="103">
        <v>0</v>
      </c>
      <c r="J28" s="290">
        <v>1</v>
      </c>
      <c r="K28" s="290">
        <v>1</v>
      </c>
      <c r="L28" s="103">
        <v>8</v>
      </c>
      <c r="M28" s="290">
        <v>7</v>
      </c>
      <c r="N28" s="290">
        <v>15</v>
      </c>
      <c r="O28" s="103">
        <v>0</v>
      </c>
      <c r="P28" s="290">
        <v>0</v>
      </c>
      <c r="Q28" s="290">
        <v>0</v>
      </c>
      <c r="R28" s="103">
        <v>0</v>
      </c>
      <c r="S28" s="290">
        <v>0</v>
      </c>
      <c r="T28" s="290">
        <v>0</v>
      </c>
      <c r="U28" s="103">
        <v>0</v>
      </c>
      <c r="V28" s="290">
        <v>0</v>
      </c>
      <c r="W28" s="290">
        <v>0</v>
      </c>
      <c r="X28" s="103">
        <v>0</v>
      </c>
      <c r="Y28" s="290">
        <v>1</v>
      </c>
      <c r="Z28" s="290">
        <v>1</v>
      </c>
    </row>
    <row r="29" spans="1:26" x14ac:dyDescent="0.35">
      <c r="A29" s="103"/>
      <c r="B29" s="130" t="s">
        <v>12</v>
      </c>
      <c r="C29" s="103">
        <v>392626</v>
      </c>
      <c r="D29" s="290">
        <v>383534</v>
      </c>
      <c r="E29" s="290">
        <v>776160</v>
      </c>
      <c r="F29" s="103">
        <v>60373</v>
      </c>
      <c r="G29" s="290">
        <v>47990</v>
      </c>
      <c r="H29" s="290">
        <v>108363</v>
      </c>
      <c r="I29" s="103">
        <v>53117</v>
      </c>
      <c r="J29" s="290">
        <v>52679</v>
      </c>
      <c r="K29" s="290">
        <v>105796</v>
      </c>
      <c r="L29" s="103">
        <v>193824</v>
      </c>
      <c r="M29" s="290">
        <v>176821</v>
      </c>
      <c r="N29" s="290">
        <v>370645</v>
      </c>
      <c r="O29" s="103">
        <v>606</v>
      </c>
      <c r="P29" s="290">
        <v>242</v>
      </c>
      <c r="Q29" s="290">
        <v>848</v>
      </c>
      <c r="R29" s="103">
        <v>4610</v>
      </c>
      <c r="S29" s="290">
        <v>5822</v>
      </c>
      <c r="T29" s="290">
        <v>10432</v>
      </c>
      <c r="U29" s="103">
        <v>463</v>
      </c>
      <c r="V29" s="290">
        <v>3718</v>
      </c>
      <c r="W29" s="290">
        <v>4181</v>
      </c>
      <c r="X29" s="103">
        <v>2536</v>
      </c>
      <c r="Y29" s="290">
        <v>2168</v>
      </c>
      <c r="Z29" s="290">
        <v>4704</v>
      </c>
    </row>
    <row r="30" spans="1:26" x14ac:dyDescent="0.35">
      <c r="A30" s="103"/>
      <c r="B30" s="13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</row>
    <row r="31" spans="1:26" x14ac:dyDescent="0.35">
      <c r="A31" s="103"/>
      <c r="B31" s="13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</row>
    <row r="32" spans="1:26" x14ac:dyDescent="0.35">
      <c r="A32" s="103"/>
      <c r="B32" s="13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</row>
    <row r="33" spans="1:26" x14ac:dyDescent="0.35">
      <c r="A33" s="103"/>
      <c r="B33" s="13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</row>
    <row r="34" spans="1:26" x14ac:dyDescent="0.35">
      <c r="A34" s="103"/>
      <c r="B34" s="13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  <c r="Z34" s="290"/>
    </row>
    <row r="35" spans="1:26" x14ac:dyDescent="0.35">
      <c r="A35" s="103"/>
      <c r="B35" s="13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</row>
    <row r="36" spans="1:26" x14ac:dyDescent="0.35">
      <c r="A36" s="103"/>
      <c r="B36" s="13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</row>
    <row r="37" spans="1:26" x14ac:dyDescent="0.35">
      <c r="A37" s="103"/>
      <c r="B37" s="13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</row>
    <row r="38" spans="1:26" x14ac:dyDescent="0.35">
      <c r="A38" s="103"/>
      <c r="B38" s="13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</row>
    <row r="39" spans="1:26" x14ac:dyDescent="0.35">
      <c r="A39" s="103"/>
      <c r="B39" s="13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</row>
    <row r="40" spans="1:26" x14ac:dyDescent="0.35">
      <c r="A40" s="103"/>
      <c r="B40" s="13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</row>
    <row r="41" spans="1:26" x14ac:dyDescent="0.35">
      <c r="A41" s="103"/>
      <c r="B41" s="13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</row>
    <row r="42" spans="1:26" x14ac:dyDescent="0.35">
      <c r="A42" s="103"/>
      <c r="B42" s="13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</row>
    <row r="43" spans="1:26" x14ac:dyDescent="0.35">
      <c r="A43" s="103"/>
      <c r="B43" s="13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</row>
    <row r="44" spans="1:26" ht="16.5" customHeight="1" x14ac:dyDescent="0.35">
      <c r="A44" s="103"/>
      <c r="B44" s="13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</row>
    <row r="45" spans="1:26" ht="16.5" customHeight="1" x14ac:dyDescent="0.35">
      <c r="A45" s="103"/>
      <c r="B45" s="13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</row>
    <row r="46" spans="1:26" x14ac:dyDescent="0.35">
      <c r="A46" s="103"/>
      <c r="B46" s="13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</row>
    <row r="47" spans="1:26" ht="16.5" customHeight="1" x14ac:dyDescent="0.35">
      <c r="A47" s="103"/>
      <c r="B47" s="13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</row>
    <row r="48" spans="1:26" x14ac:dyDescent="0.35">
      <c r="A48" s="103"/>
      <c r="B48" s="13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0"/>
      <c r="W48" s="290"/>
      <c r="X48" s="290"/>
      <c r="Y48" s="290"/>
      <c r="Z48" s="290"/>
    </row>
    <row r="49" spans="1:26" x14ac:dyDescent="0.35">
      <c r="A49" s="103"/>
      <c r="B49" s="13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0"/>
      <c r="Y49" s="290"/>
      <c r="Z49" s="290"/>
    </row>
    <row r="50" spans="1:26" x14ac:dyDescent="0.35">
      <c r="A50" s="103"/>
      <c r="B50" s="13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</row>
    <row r="51" spans="1:26" x14ac:dyDescent="0.35">
      <c r="A51" s="103"/>
      <c r="B51" s="13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</row>
    <row r="52" spans="1:26" x14ac:dyDescent="0.35">
      <c r="A52" s="103"/>
      <c r="B52" s="13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</row>
    <row r="53" spans="1:26" x14ac:dyDescent="0.35">
      <c r="A53" s="103"/>
      <c r="B53" s="13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90"/>
      <c r="Z53" s="290"/>
    </row>
    <row r="54" spans="1:26" x14ac:dyDescent="0.35">
      <c r="A54" s="103"/>
      <c r="B54" s="13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</row>
    <row r="55" spans="1:26" x14ac:dyDescent="0.35">
      <c r="A55" s="103"/>
      <c r="B55" s="13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</row>
    <row r="56" spans="1:26" x14ac:dyDescent="0.35">
      <c r="A56" s="103"/>
      <c r="B56" s="13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</row>
    <row r="57" spans="1:26" x14ac:dyDescent="0.35">
      <c r="A57" s="103"/>
      <c r="B57" s="13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</row>
    <row r="58" spans="1:26" x14ac:dyDescent="0.35">
      <c r="A58" s="103"/>
      <c r="B58" s="13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</row>
    <row r="59" spans="1:26" x14ac:dyDescent="0.35">
      <c r="A59" s="103"/>
      <c r="B59" s="13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</row>
    <row r="60" spans="1:26" x14ac:dyDescent="0.35">
      <c r="A60" s="103"/>
      <c r="B60" s="13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</row>
    <row r="61" spans="1:26" x14ac:dyDescent="0.35">
      <c r="A61" s="103"/>
      <c r="B61" s="13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</row>
    <row r="62" spans="1:26" x14ac:dyDescent="0.35">
      <c r="A62" s="103"/>
      <c r="B62" s="13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</row>
    <row r="63" spans="1:26" x14ac:dyDescent="0.35">
      <c r="A63" s="103"/>
      <c r="B63" s="13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</row>
    <row r="64" spans="1:26" x14ac:dyDescent="0.35">
      <c r="A64" s="103"/>
      <c r="B64" s="13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</row>
    <row r="65" spans="1:26" x14ac:dyDescent="0.35">
      <c r="A65" s="103"/>
      <c r="B65" s="13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Y65" s="290"/>
      <c r="Z65" s="290"/>
    </row>
    <row r="66" spans="1:26" x14ac:dyDescent="0.35">
      <c r="A66" s="103"/>
      <c r="B66" s="13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0"/>
      <c r="U66" s="290"/>
      <c r="V66" s="290"/>
      <c r="W66" s="290"/>
      <c r="X66" s="290"/>
      <c r="Y66" s="290"/>
      <c r="Z66" s="290"/>
    </row>
    <row r="67" spans="1:26" x14ac:dyDescent="0.35">
      <c r="A67" s="103"/>
      <c r="B67" s="13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</row>
    <row r="68" spans="1:26" x14ac:dyDescent="0.35">
      <c r="A68" s="103"/>
      <c r="B68" s="13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</row>
    <row r="69" spans="1:26" x14ac:dyDescent="0.35">
      <c r="A69" s="103"/>
      <c r="B69" s="13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</row>
    <row r="70" spans="1:26" x14ac:dyDescent="0.35">
      <c r="A70" s="103"/>
      <c r="B70" s="13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0"/>
      <c r="Z70" s="290"/>
    </row>
    <row r="71" spans="1:26" x14ac:dyDescent="0.35">
      <c r="A71" s="103"/>
      <c r="B71" s="13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0"/>
      <c r="S71" s="290"/>
      <c r="T71" s="290"/>
      <c r="U71" s="290"/>
      <c r="V71" s="290"/>
      <c r="W71" s="290"/>
      <c r="X71" s="290"/>
      <c r="Y71" s="290"/>
      <c r="Z71" s="290"/>
    </row>
    <row r="72" spans="1:26" x14ac:dyDescent="0.35">
      <c r="A72" s="103"/>
      <c r="B72" s="13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</row>
    <row r="73" spans="1:26" x14ac:dyDescent="0.35">
      <c r="A73" s="103"/>
      <c r="B73" s="13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0"/>
      <c r="U73" s="290"/>
      <c r="V73" s="290"/>
      <c r="W73" s="290"/>
      <c r="X73" s="290"/>
      <c r="Y73" s="290"/>
      <c r="Z73" s="290"/>
    </row>
    <row r="74" spans="1:26" x14ac:dyDescent="0.35">
      <c r="A74" s="103"/>
      <c r="B74" s="13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</row>
    <row r="75" spans="1:26" x14ac:dyDescent="0.35">
      <c r="A75" s="103"/>
      <c r="B75" s="13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</row>
    <row r="76" spans="1:26" x14ac:dyDescent="0.35">
      <c r="A76" s="103"/>
      <c r="B76" s="130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spans="1:26" x14ac:dyDescent="0.35">
      <c r="A77" s="103"/>
      <c r="B77" s="130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spans="1:26" x14ac:dyDescent="0.35">
      <c r="A78" s="103"/>
      <c r="B78" s="130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spans="1:26" x14ac:dyDescent="0.35">
      <c r="A79" s="103"/>
      <c r="B79" s="130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spans="1:26" x14ac:dyDescent="0.35">
      <c r="A80" s="103"/>
      <c r="B80" s="130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spans="1:26" s="115" customFormat="1" x14ac:dyDescent="0.35">
      <c r="A81" s="105"/>
      <c r="B81" s="132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</sheetData>
  <mergeCells count="14">
    <mergeCell ref="O2:Q2"/>
    <mergeCell ref="R2:T2"/>
    <mergeCell ref="U2:W2"/>
    <mergeCell ref="X2:Z2"/>
    <mergeCell ref="A1:B1"/>
    <mergeCell ref="C1:H1"/>
    <mergeCell ref="I1:Q1"/>
    <mergeCell ref="R1:Z1"/>
    <mergeCell ref="A2:A3"/>
    <mergeCell ref="B2:B3"/>
    <mergeCell ref="C2:E2"/>
    <mergeCell ref="F2:H2"/>
    <mergeCell ref="I2:K2"/>
    <mergeCell ref="L2:N2"/>
  </mergeCells>
  <pageMargins left="0.51181102362204722" right="0.39370078740157483" top="0.51181102362204722" bottom="0.39370078740157483" header="0.15748031496062992" footer="7.874015748031496E-2"/>
  <pageSetup paperSize="9" scale="65" firstPageNumber="40" pageOrder="overThenDown" orientation="portrait" useFirstPageNumber="1" r:id="rId1"/>
  <headerFooter>
    <oddFooter>&amp;LAISHE 2021-22&amp;CT-11a</oddFooter>
  </headerFooter>
  <rowBreaks count="1" manualBreakCount="1">
    <brk id="54" max="25" man="1"/>
  </rowBreaks>
  <colBreaks count="2" manualBreakCount="2">
    <brk id="8" max="80" man="1"/>
    <brk id="17" max="8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5B0C-7D14-487B-AA3A-8EF74E5F6135}">
  <sheetPr codeName="Sheet21">
    <tabColor rgb="FFFFFF00"/>
  </sheetPr>
  <dimension ref="A1:Z81"/>
  <sheetViews>
    <sheetView view="pageBreakPreview" topLeftCell="G1" zoomScale="85" zoomScaleSheetLayoutView="85" workbookViewId="0">
      <pane ySplit="4" topLeftCell="A5" activePane="bottomLeft" state="frozen"/>
      <selection activeCell="Z240" sqref="Z240"/>
      <selection pane="bottomLeft" activeCell="Z240" sqref="Z240"/>
    </sheetView>
  </sheetViews>
  <sheetFormatPr defaultColWidth="9.26953125" defaultRowHeight="14" x14ac:dyDescent="0.35"/>
  <cols>
    <col min="1" max="1" width="6.7265625" style="134" bestFit="1" customWidth="1"/>
    <col min="2" max="2" width="35.54296875" style="106" customWidth="1"/>
    <col min="3" max="8" width="15.7265625" style="134" customWidth="1"/>
    <col min="9" max="14" width="12.453125" style="134" customWidth="1"/>
    <col min="15" max="17" width="9.26953125" style="134"/>
    <col min="18" max="26" width="11.54296875" style="134" customWidth="1"/>
    <col min="27" max="16384" width="9.26953125" style="104"/>
  </cols>
  <sheetData>
    <row r="1" spans="1:26" s="159" customFormat="1" ht="33" customHeight="1" x14ac:dyDescent="0.35">
      <c r="A1" s="784" t="s">
        <v>939</v>
      </c>
      <c r="B1" s="784"/>
      <c r="C1" s="785" t="s">
        <v>943</v>
      </c>
      <c r="D1" s="786"/>
      <c r="E1" s="786"/>
      <c r="F1" s="786"/>
      <c r="G1" s="786"/>
      <c r="H1" s="786"/>
      <c r="I1" s="785" t="str">
        <f>C1</f>
        <v>Programme-wise Enrolment - Online Mode
(Based on Actual Response)</v>
      </c>
      <c r="J1" s="785"/>
      <c r="K1" s="785"/>
      <c r="L1" s="785"/>
      <c r="M1" s="785"/>
      <c r="N1" s="785"/>
      <c r="O1" s="785"/>
      <c r="P1" s="785"/>
      <c r="Q1" s="785"/>
      <c r="R1" s="785" t="s">
        <v>941</v>
      </c>
      <c r="S1" s="785"/>
      <c r="T1" s="785"/>
      <c r="U1" s="785"/>
      <c r="V1" s="785"/>
      <c r="W1" s="785"/>
      <c r="X1" s="785"/>
      <c r="Y1" s="785"/>
      <c r="Z1" s="785"/>
    </row>
    <row r="2" spans="1:26" s="326" customFormat="1" ht="28.5" customHeight="1" x14ac:dyDescent="0.35">
      <c r="A2" s="787" t="s">
        <v>49</v>
      </c>
      <c r="B2" s="788" t="s">
        <v>814</v>
      </c>
      <c r="C2" s="789" t="s">
        <v>574</v>
      </c>
      <c r="D2" s="789"/>
      <c r="E2" s="789"/>
      <c r="F2" s="789" t="s">
        <v>566</v>
      </c>
      <c r="G2" s="789"/>
      <c r="H2" s="789"/>
      <c r="I2" s="789" t="s">
        <v>567</v>
      </c>
      <c r="J2" s="789"/>
      <c r="K2" s="789"/>
      <c r="L2" s="789" t="s">
        <v>568</v>
      </c>
      <c r="M2" s="789"/>
      <c r="N2" s="789"/>
      <c r="O2" s="778" t="s">
        <v>121</v>
      </c>
      <c r="P2" s="778"/>
      <c r="Q2" s="778"/>
      <c r="R2" s="778" t="s">
        <v>122</v>
      </c>
      <c r="S2" s="778"/>
      <c r="T2" s="778"/>
      <c r="U2" s="778" t="s">
        <v>123</v>
      </c>
      <c r="V2" s="778"/>
      <c r="W2" s="778"/>
      <c r="X2" s="778" t="s">
        <v>124</v>
      </c>
      <c r="Y2" s="778"/>
      <c r="Z2" s="778"/>
    </row>
    <row r="3" spans="1:26" s="328" customFormat="1" ht="18" customHeight="1" x14ac:dyDescent="0.35">
      <c r="A3" s="787"/>
      <c r="B3" s="788"/>
      <c r="C3" s="327" t="s">
        <v>93</v>
      </c>
      <c r="D3" s="327" t="s">
        <v>94</v>
      </c>
      <c r="E3" s="327" t="s">
        <v>54</v>
      </c>
      <c r="F3" s="327" t="s">
        <v>93</v>
      </c>
      <c r="G3" s="327" t="s">
        <v>94</v>
      </c>
      <c r="H3" s="327" t="s">
        <v>54</v>
      </c>
      <c r="I3" s="327" t="s">
        <v>93</v>
      </c>
      <c r="J3" s="327" t="s">
        <v>94</v>
      </c>
      <c r="K3" s="327" t="s">
        <v>54</v>
      </c>
      <c r="L3" s="327" t="s">
        <v>93</v>
      </c>
      <c r="M3" s="327" t="s">
        <v>94</v>
      </c>
      <c r="N3" s="327" t="s">
        <v>54</v>
      </c>
      <c r="O3" s="289" t="s">
        <v>93</v>
      </c>
      <c r="P3" s="289" t="s">
        <v>94</v>
      </c>
      <c r="Q3" s="289" t="s">
        <v>54</v>
      </c>
      <c r="R3" s="289" t="s">
        <v>93</v>
      </c>
      <c r="S3" s="289" t="s">
        <v>94</v>
      </c>
      <c r="T3" s="289" t="s">
        <v>54</v>
      </c>
      <c r="U3" s="289" t="s">
        <v>93</v>
      </c>
      <c r="V3" s="289" t="s">
        <v>94</v>
      </c>
      <c r="W3" s="289" t="s">
        <v>54</v>
      </c>
      <c r="X3" s="289" t="s">
        <v>93</v>
      </c>
      <c r="Y3" s="289" t="s">
        <v>94</v>
      </c>
      <c r="Z3" s="289" t="s">
        <v>54</v>
      </c>
    </row>
    <row r="4" spans="1:26" s="324" customFormat="1" ht="11.5" x14ac:dyDescent="0.35">
      <c r="A4" s="102">
        <v>1</v>
      </c>
      <c r="B4" s="102">
        <v>2</v>
      </c>
      <c r="C4" s="102">
        <v>3</v>
      </c>
      <c r="D4" s="102">
        <v>4</v>
      </c>
      <c r="E4" s="102">
        <v>5</v>
      </c>
      <c r="F4" s="102">
        <v>6</v>
      </c>
      <c r="G4" s="102">
        <v>7</v>
      </c>
      <c r="H4" s="102">
        <v>8</v>
      </c>
      <c r="I4" s="102">
        <v>9</v>
      </c>
      <c r="J4" s="102">
        <v>10</v>
      </c>
      <c r="K4" s="102">
        <v>11</v>
      </c>
      <c r="L4" s="102">
        <v>12</v>
      </c>
      <c r="M4" s="102">
        <v>13</v>
      </c>
      <c r="N4" s="102">
        <v>14</v>
      </c>
      <c r="O4" s="102">
        <v>15</v>
      </c>
      <c r="P4" s="102">
        <v>16</v>
      </c>
      <c r="Q4" s="102">
        <v>17</v>
      </c>
      <c r="R4" s="102">
        <v>18</v>
      </c>
      <c r="S4" s="102">
        <v>19</v>
      </c>
      <c r="T4" s="102">
        <v>20</v>
      </c>
      <c r="U4" s="102">
        <v>21</v>
      </c>
      <c r="V4" s="102">
        <v>22</v>
      </c>
      <c r="W4" s="102">
        <v>23</v>
      </c>
      <c r="X4" s="102">
        <v>24</v>
      </c>
      <c r="Y4" s="102">
        <v>25</v>
      </c>
      <c r="Z4" s="102">
        <v>26</v>
      </c>
    </row>
    <row r="5" spans="1:26" x14ac:dyDescent="0.35">
      <c r="A5" s="103">
        <v>1</v>
      </c>
      <c r="B5" s="130" t="s">
        <v>130</v>
      </c>
      <c r="C5" s="134">
        <f>E5-D5</f>
        <v>12</v>
      </c>
      <c r="D5" s="290">
        <v>4</v>
      </c>
      <c r="E5" s="290">
        <v>16</v>
      </c>
      <c r="F5" s="134">
        <f>H5-G5</f>
        <v>0</v>
      </c>
      <c r="G5" s="290">
        <v>0</v>
      </c>
      <c r="H5" s="290">
        <v>0</v>
      </c>
      <c r="I5" s="134">
        <f>K5-J5</f>
        <v>0</v>
      </c>
      <c r="J5" s="290">
        <v>0</v>
      </c>
      <c r="K5" s="290">
        <v>0</v>
      </c>
      <c r="L5" s="134">
        <f>N5-M5</f>
        <v>0</v>
      </c>
      <c r="M5" s="290">
        <v>0</v>
      </c>
      <c r="N5" s="290">
        <v>0</v>
      </c>
      <c r="O5" s="134">
        <f>Q5-P5</f>
        <v>0</v>
      </c>
      <c r="P5" s="290">
        <v>0</v>
      </c>
      <c r="Q5" s="290">
        <v>0</v>
      </c>
      <c r="R5" s="134">
        <f>T5-S5</f>
        <v>0</v>
      </c>
      <c r="S5" s="290">
        <v>0</v>
      </c>
      <c r="T5" s="290">
        <v>0</v>
      </c>
      <c r="U5" s="134">
        <f>W5-V5</f>
        <v>0</v>
      </c>
      <c r="V5" s="290">
        <v>0</v>
      </c>
      <c r="W5" s="290">
        <v>0</v>
      </c>
      <c r="X5" s="134">
        <f>Z5-Y5</f>
        <v>0</v>
      </c>
      <c r="Y5" s="290">
        <v>0</v>
      </c>
      <c r="Z5" s="290">
        <v>0</v>
      </c>
    </row>
    <row r="6" spans="1:26" x14ac:dyDescent="0.35">
      <c r="A6" s="103">
        <v>2</v>
      </c>
      <c r="B6" s="130" t="s">
        <v>131</v>
      </c>
      <c r="C6" s="134">
        <f t="shared" ref="C6:C29" si="0">E6-D6</f>
        <v>4302</v>
      </c>
      <c r="D6" s="290">
        <v>3804</v>
      </c>
      <c r="E6" s="290">
        <v>8106</v>
      </c>
      <c r="F6" s="134">
        <f t="shared" ref="F6:F29" si="1">H6-G6</f>
        <v>205</v>
      </c>
      <c r="G6" s="290">
        <v>145</v>
      </c>
      <c r="H6" s="290">
        <v>350</v>
      </c>
      <c r="I6" s="134">
        <f t="shared" ref="I6:I29" si="2">K6-J6</f>
        <v>89</v>
      </c>
      <c r="J6" s="290">
        <v>83</v>
      </c>
      <c r="K6" s="290">
        <v>172</v>
      </c>
      <c r="L6" s="134">
        <f t="shared" ref="L6:L29" si="3">N6-M6</f>
        <v>557</v>
      </c>
      <c r="M6" s="290">
        <v>502</v>
      </c>
      <c r="N6" s="290">
        <v>1059</v>
      </c>
      <c r="O6" s="134">
        <f t="shared" ref="O6:O29" si="4">Q6-P6</f>
        <v>5</v>
      </c>
      <c r="P6" s="290">
        <v>5</v>
      </c>
      <c r="Q6" s="290">
        <v>10</v>
      </c>
      <c r="R6" s="134">
        <f t="shared" ref="R6:R29" si="5">T6-S6</f>
        <v>1156</v>
      </c>
      <c r="S6" s="290">
        <v>1388</v>
      </c>
      <c r="T6" s="290">
        <v>2544</v>
      </c>
      <c r="U6" s="134">
        <f t="shared" ref="U6:U29" si="6">W6-V6</f>
        <v>124</v>
      </c>
      <c r="V6" s="290">
        <v>94</v>
      </c>
      <c r="W6" s="290">
        <v>218</v>
      </c>
      <c r="X6" s="134">
        <f t="shared" ref="X6:X29" si="7">Z6-Y6</f>
        <v>305</v>
      </c>
      <c r="Y6" s="290">
        <v>342</v>
      </c>
      <c r="Z6" s="290">
        <v>647</v>
      </c>
    </row>
    <row r="7" spans="1:26" ht="28" x14ac:dyDescent="0.35">
      <c r="A7" s="103">
        <v>3</v>
      </c>
      <c r="B7" s="130" t="s">
        <v>137</v>
      </c>
      <c r="C7" s="134">
        <f t="shared" si="0"/>
        <v>12146</v>
      </c>
      <c r="D7" s="290">
        <v>5668</v>
      </c>
      <c r="E7" s="290">
        <v>17814</v>
      </c>
      <c r="F7" s="134">
        <f t="shared" si="1"/>
        <v>474</v>
      </c>
      <c r="G7" s="290">
        <v>230</v>
      </c>
      <c r="H7" s="290">
        <v>704</v>
      </c>
      <c r="I7" s="134">
        <f t="shared" si="2"/>
        <v>119</v>
      </c>
      <c r="J7" s="290">
        <v>56</v>
      </c>
      <c r="K7" s="290">
        <v>175</v>
      </c>
      <c r="L7" s="134">
        <f t="shared" si="3"/>
        <v>1721</v>
      </c>
      <c r="M7" s="290">
        <v>805</v>
      </c>
      <c r="N7" s="290">
        <v>2526</v>
      </c>
      <c r="O7" s="134">
        <f t="shared" si="4"/>
        <v>15</v>
      </c>
      <c r="P7" s="290">
        <v>7</v>
      </c>
      <c r="Q7" s="290">
        <v>22</v>
      </c>
      <c r="R7" s="134">
        <f t="shared" si="5"/>
        <v>410</v>
      </c>
      <c r="S7" s="290">
        <v>169</v>
      </c>
      <c r="T7" s="290">
        <v>579</v>
      </c>
      <c r="U7" s="134">
        <f t="shared" si="6"/>
        <v>629</v>
      </c>
      <c r="V7" s="290">
        <v>229</v>
      </c>
      <c r="W7" s="290">
        <v>858</v>
      </c>
      <c r="X7" s="134">
        <f t="shared" si="7"/>
        <v>22</v>
      </c>
      <c r="Y7" s="290">
        <v>23</v>
      </c>
      <c r="Z7" s="290">
        <v>45</v>
      </c>
    </row>
    <row r="8" spans="1:26" ht="28" x14ac:dyDescent="0.35">
      <c r="A8" s="103">
        <v>4</v>
      </c>
      <c r="B8" s="130" t="s">
        <v>141</v>
      </c>
      <c r="C8" s="134">
        <f t="shared" si="0"/>
        <v>12070</v>
      </c>
      <c r="D8" s="290">
        <v>2777</v>
      </c>
      <c r="E8" s="290">
        <v>14847</v>
      </c>
      <c r="F8" s="134">
        <f t="shared" si="1"/>
        <v>529</v>
      </c>
      <c r="G8" s="290">
        <v>108</v>
      </c>
      <c r="H8" s="290">
        <v>637</v>
      </c>
      <c r="I8" s="134">
        <f t="shared" si="2"/>
        <v>143</v>
      </c>
      <c r="J8" s="290">
        <v>28</v>
      </c>
      <c r="K8" s="290">
        <v>171</v>
      </c>
      <c r="L8" s="134">
        <f t="shared" si="3"/>
        <v>2486</v>
      </c>
      <c r="M8" s="290">
        <v>533</v>
      </c>
      <c r="N8" s="290">
        <v>3019</v>
      </c>
      <c r="O8" s="134">
        <f t="shared" si="4"/>
        <v>24</v>
      </c>
      <c r="P8" s="290">
        <v>5</v>
      </c>
      <c r="Q8" s="290">
        <v>29</v>
      </c>
      <c r="R8" s="134">
        <f t="shared" si="5"/>
        <v>71</v>
      </c>
      <c r="S8" s="290">
        <v>7</v>
      </c>
      <c r="T8" s="290">
        <v>78</v>
      </c>
      <c r="U8" s="134">
        <f t="shared" si="6"/>
        <v>1014</v>
      </c>
      <c r="V8" s="290">
        <v>191</v>
      </c>
      <c r="W8" s="290">
        <v>1205</v>
      </c>
      <c r="X8" s="134">
        <f t="shared" si="7"/>
        <v>274</v>
      </c>
      <c r="Y8" s="290">
        <v>50</v>
      </c>
      <c r="Z8" s="290">
        <v>324</v>
      </c>
    </row>
    <row r="9" spans="1:26" ht="28" x14ac:dyDescent="0.35">
      <c r="A9" s="103">
        <v>5</v>
      </c>
      <c r="B9" s="130" t="s">
        <v>143</v>
      </c>
      <c r="C9" s="134">
        <f t="shared" si="0"/>
        <v>12</v>
      </c>
      <c r="D9" s="290">
        <v>13</v>
      </c>
      <c r="E9" s="290">
        <v>25</v>
      </c>
      <c r="F9" s="134">
        <f t="shared" si="1"/>
        <v>0</v>
      </c>
      <c r="G9" s="290">
        <v>0</v>
      </c>
      <c r="H9" s="290">
        <v>0</v>
      </c>
      <c r="I9" s="134">
        <f t="shared" si="2"/>
        <v>0</v>
      </c>
      <c r="J9" s="290">
        <v>0</v>
      </c>
      <c r="K9" s="290">
        <v>0</v>
      </c>
      <c r="L9" s="134">
        <f t="shared" si="3"/>
        <v>4</v>
      </c>
      <c r="M9" s="290">
        <v>0</v>
      </c>
      <c r="N9" s="290">
        <v>4</v>
      </c>
      <c r="O9" s="134">
        <f t="shared" si="4"/>
        <v>0</v>
      </c>
      <c r="P9" s="290">
        <v>0</v>
      </c>
      <c r="Q9" s="290">
        <v>0</v>
      </c>
      <c r="R9" s="134">
        <f t="shared" si="5"/>
        <v>0</v>
      </c>
      <c r="S9" s="290">
        <v>0</v>
      </c>
      <c r="T9" s="290">
        <v>0</v>
      </c>
      <c r="U9" s="134">
        <f t="shared" si="6"/>
        <v>0</v>
      </c>
      <c r="V9" s="290">
        <v>0</v>
      </c>
      <c r="W9" s="290">
        <v>0</v>
      </c>
      <c r="X9" s="134">
        <f t="shared" si="7"/>
        <v>0</v>
      </c>
      <c r="Y9" s="290">
        <v>0</v>
      </c>
      <c r="Z9" s="290">
        <v>0</v>
      </c>
    </row>
    <row r="10" spans="1:26" x14ac:dyDescent="0.35">
      <c r="A10" s="103">
        <v>6</v>
      </c>
      <c r="B10" s="130" t="s">
        <v>144</v>
      </c>
      <c r="C10" s="134">
        <f t="shared" si="0"/>
        <v>3472</v>
      </c>
      <c r="D10" s="290">
        <v>1803</v>
      </c>
      <c r="E10" s="290">
        <v>5275</v>
      </c>
      <c r="F10" s="134">
        <f t="shared" si="1"/>
        <v>143</v>
      </c>
      <c r="G10" s="290">
        <v>80</v>
      </c>
      <c r="H10" s="290">
        <v>223</v>
      </c>
      <c r="I10" s="134">
        <f t="shared" si="2"/>
        <v>50</v>
      </c>
      <c r="J10" s="290">
        <v>31</v>
      </c>
      <c r="K10" s="290">
        <v>81</v>
      </c>
      <c r="L10" s="134">
        <f t="shared" si="3"/>
        <v>829</v>
      </c>
      <c r="M10" s="290">
        <v>419</v>
      </c>
      <c r="N10" s="290">
        <v>1248</v>
      </c>
      <c r="O10" s="134">
        <f t="shared" si="4"/>
        <v>12</v>
      </c>
      <c r="P10" s="290">
        <v>5</v>
      </c>
      <c r="Q10" s="290">
        <v>17</v>
      </c>
      <c r="R10" s="134">
        <f t="shared" si="5"/>
        <v>418</v>
      </c>
      <c r="S10" s="290">
        <v>185</v>
      </c>
      <c r="T10" s="290">
        <v>603</v>
      </c>
      <c r="U10" s="134">
        <f t="shared" si="6"/>
        <v>367</v>
      </c>
      <c r="V10" s="290">
        <v>181</v>
      </c>
      <c r="W10" s="290">
        <v>548</v>
      </c>
      <c r="X10" s="134">
        <f t="shared" si="7"/>
        <v>147</v>
      </c>
      <c r="Y10" s="290">
        <v>70</v>
      </c>
      <c r="Z10" s="290">
        <v>217</v>
      </c>
    </row>
    <row r="11" spans="1:26" ht="28" x14ac:dyDescent="0.35">
      <c r="A11" s="103">
        <v>7</v>
      </c>
      <c r="B11" s="130" t="s">
        <v>831</v>
      </c>
      <c r="C11" s="134">
        <f t="shared" si="0"/>
        <v>357</v>
      </c>
      <c r="D11" s="290">
        <v>243</v>
      </c>
      <c r="E11" s="290">
        <v>600</v>
      </c>
      <c r="F11" s="134">
        <f t="shared" si="1"/>
        <v>38</v>
      </c>
      <c r="G11" s="290">
        <v>22</v>
      </c>
      <c r="H11" s="290">
        <v>60</v>
      </c>
      <c r="I11" s="134">
        <f t="shared" si="2"/>
        <v>18</v>
      </c>
      <c r="J11" s="290">
        <v>19</v>
      </c>
      <c r="K11" s="290">
        <v>37</v>
      </c>
      <c r="L11" s="134">
        <f t="shared" si="3"/>
        <v>117</v>
      </c>
      <c r="M11" s="290">
        <v>68</v>
      </c>
      <c r="N11" s="290">
        <v>185</v>
      </c>
      <c r="O11" s="134">
        <f t="shared" si="4"/>
        <v>0</v>
      </c>
      <c r="P11" s="290">
        <v>0</v>
      </c>
      <c r="Q11" s="290">
        <v>0</v>
      </c>
      <c r="R11" s="134">
        <f t="shared" si="5"/>
        <v>0</v>
      </c>
      <c r="S11" s="290">
        <v>0</v>
      </c>
      <c r="T11" s="290">
        <v>0</v>
      </c>
      <c r="U11" s="134">
        <f t="shared" si="6"/>
        <v>0</v>
      </c>
      <c r="V11" s="290">
        <v>0</v>
      </c>
      <c r="W11" s="290">
        <v>0</v>
      </c>
      <c r="X11" s="134">
        <f t="shared" si="7"/>
        <v>15</v>
      </c>
      <c r="Y11" s="290">
        <v>7</v>
      </c>
      <c r="Z11" s="290">
        <v>22</v>
      </c>
    </row>
    <row r="12" spans="1:26" x14ac:dyDescent="0.35">
      <c r="A12" s="103">
        <v>8</v>
      </c>
      <c r="B12" s="130" t="s">
        <v>164</v>
      </c>
      <c r="C12" s="134">
        <f t="shared" si="0"/>
        <v>629</v>
      </c>
      <c r="D12" s="290">
        <v>260</v>
      </c>
      <c r="E12" s="290">
        <v>889</v>
      </c>
      <c r="F12" s="134">
        <f t="shared" si="1"/>
        <v>36</v>
      </c>
      <c r="G12" s="290">
        <v>13</v>
      </c>
      <c r="H12" s="290">
        <v>49</v>
      </c>
      <c r="I12" s="134">
        <f t="shared" si="2"/>
        <v>35</v>
      </c>
      <c r="J12" s="290">
        <v>16</v>
      </c>
      <c r="K12" s="290">
        <v>51</v>
      </c>
      <c r="L12" s="134">
        <f t="shared" si="3"/>
        <v>129</v>
      </c>
      <c r="M12" s="290">
        <v>57</v>
      </c>
      <c r="N12" s="290">
        <v>186</v>
      </c>
      <c r="O12" s="134">
        <f t="shared" si="4"/>
        <v>0</v>
      </c>
      <c r="P12" s="290">
        <v>0</v>
      </c>
      <c r="Q12" s="290">
        <v>0</v>
      </c>
      <c r="R12" s="134">
        <f t="shared" si="5"/>
        <v>0</v>
      </c>
      <c r="S12" s="290">
        <v>0</v>
      </c>
      <c r="T12" s="290">
        <v>0</v>
      </c>
      <c r="U12" s="134">
        <f t="shared" si="6"/>
        <v>0</v>
      </c>
      <c r="V12" s="290">
        <v>0</v>
      </c>
      <c r="W12" s="290">
        <v>0</v>
      </c>
      <c r="X12" s="134">
        <f t="shared" si="7"/>
        <v>14</v>
      </c>
      <c r="Y12" s="290">
        <v>6</v>
      </c>
      <c r="Z12" s="290">
        <v>20</v>
      </c>
    </row>
    <row r="13" spans="1:26" x14ac:dyDescent="0.35">
      <c r="A13" s="103">
        <v>9</v>
      </c>
      <c r="B13" s="130" t="s">
        <v>178</v>
      </c>
      <c r="C13" s="134">
        <f t="shared" si="0"/>
        <v>343</v>
      </c>
      <c r="D13" s="290">
        <v>143</v>
      </c>
      <c r="E13" s="290">
        <v>486</v>
      </c>
      <c r="F13" s="134">
        <f t="shared" si="1"/>
        <v>17</v>
      </c>
      <c r="G13" s="290">
        <v>11</v>
      </c>
      <c r="H13" s="290">
        <v>28</v>
      </c>
      <c r="I13" s="134">
        <f t="shared" si="2"/>
        <v>15</v>
      </c>
      <c r="J13" s="290">
        <v>11</v>
      </c>
      <c r="K13" s="290">
        <v>26</v>
      </c>
      <c r="L13" s="134">
        <f t="shared" si="3"/>
        <v>52</v>
      </c>
      <c r="M13" s="290">
        <v>39</v>
      </c>
      <c r="N13" s="290">
        <v>91</v>
      </c>
      <c r="O13" s="134">
        <f t="shared" si="4"/>
        <v>0</v>
      </c>
      <c r="P13" s="290">
        <v>0</v>
      </c>
      <c r="Q13" s="290">
        <v>0</v>
      </c>
      <c r="R13" s="134">
        <f t="shared" si="5"/>
        <v>0</v>
      </c>
      <c r="S13" s="290">
        <v>0</v>
      </c>
      <c r="T13" s="290">
        <v>0</v>
      </c>
      <c r="U13" s="134">
        <f t="shared" si="6"/>
        <v>0</v>
      </c>
      <c r="V13" s="290">
        <v>0</v>
      </c>
      <c r="W13" s="290">
        <v>0</v>
      </c>
      <c r="X13" s="134">
        <f t="shared" si="7"/>
        <v>1</v>
      </c>
      <c r="Y13" s="290">
        <v>7</v>
      </c>
      <c r="Z13" s="290">
        <v>8</v>
      </c>
    </row>
    <row r="14" spans="1:26" x14ac:dyDescent="0.35">
      <c r="A14" s="103">
        <v>10</v>
      </c>
      <c r="B14" s="130" t="s">
        <v>183</v>
      </c>
      <c r="C14" s="134">
        <f t="shared" si="0"/>
        <v>658</v>
      </c>
      <c r="D14" s="290">
        <v>193</v>
      </c>
      <c r="E14" s="290">
        <v>851</v>
      </c>
      <c r="F14" s="134">
        <f t="shared" si="1"/>
        <v>22</v>
      </c>
      <c r="G14" s="290">
        <v>2</v>
      </c>
      <c r="H14" s="290">
        <v>24</v>
      </c>
      <c r="I14" s="134">
        <f t="shared" si="2"/>
        <v>1</v>
      </c>
      <c r="J14" s="290">
        <v>0</v>
      </c>
      <c r="K14" s="290">
        <v>1</v>
      </c>
      <c r="L14" s="134">
        <f t="shared" si="3"/>
        <v>87</v>
      </c>
      <c r="M14" s="290">
        <v>14</v>
      </c>
      <c r="N14" s="290">
        <v>101</v>
      </c>
      <c r="O14" s="134">
        <f t="shared" si="4"/>
        <v>5</v>
      </c>
      <c r="P14" s="290">
        <v>1</v>
      </c>
      <c r="Q14" s="290">
        <v>6</v>
      </c>
      <c r="R14" s="134">
        <f t="shared" si="5"/>
        <v>0</v>
      </c>
      <c r="S14" s="290">
        <v>0</v>
      </c>
      <c r="T14" s="290">
        <v>0</v>
      </c>
      <c r="U14" s="134">
        <f t="shared" si="6"/>
        <v>0</v>
      </c>
      <c r="V14" s="290">
        <v>0</v>
      </c>
      <c r="W14" s="290">
        <v>0</v>
      </c>
      <c r="X14" s="134">
        <f t="shared" si="7"/>
        <v>56</v>
      </c>
      <c r="Y14" s="290">
        <v>13</v>
      </c>
      <c r="Z14" s="290">
        <v>69</v>
      </c>
    </row>
    <row r="15" spans="1:26" x14ac:dyDescent="0.35">
      <c r="A15" s="103">
        <v>11</v>
      </c>
      <c r="B15" s="130" t="s">
        <v>193</v>
      </c>
      <c r="C15" s="134">
        <f t="shared" si="0"/>
        <v>12106</v>
      </c>
      <c r="D15" s="290">
        <v>4644</v>
      </c>
      <c r="E15" s="290">
        <v>16750</v>
      </c>
      <c r="F15" s="134">
        <f t="shared" si="1"/>
        <v>1356</v>
      </c>
      <c r="G15" s="290">
        <v>386</v>
      </c>
      <c r="H15" s="290">
        <v>1742</v>
      </c>
      <c r="I15" s="134">
        <f t="shared" si="2"/>
        <v>223</v>
      </c>
      <c r="J15" s="290">
        <v>67</v>
      </c>
      <c r="K15" s="290">
        <v>290</v>
      </c>
      <c r="L15" s="134">
        <f t="shared" si="3"/>
        <v>4317</v>
      </c>
      <c r="M15" s="290">
        <v>1334</v>
      </c>
      <c r="N15" s="290">
        <v>5651</v>
      </c>
      <c r="O15" s="134">
        <f t="shared" si="4"/>
        <v>80</v>
      </c>
      <c r="P15" s="290">
        <v>11</v>
      </c>
      <c r="Q15" s="290">
        <v>91</v>
      </c>
      <c r="R15" s="134">
        <f t="shared" si="5"/>
        <v>0</v>
      </c>
      <c r="S15" s="290">
        <v>0</v>
      </c>
      <c r="T15" s="290">
        <v>0</v>
      </c>
      <c r="U15" s="134">
        <f t="shared" si="6"/>
        <v>0</v>
      </c>
      <c r="V15" s="290">
        <v>0</v>
      </c>
      <c r="W15" s="290">
        <v>0</v>
      </c>
      <c r="X15" s="134">
        <f t="shared" si="7"/>
        <v>1917</v>
      </c>
      <c r="Y15" s="290">
        <v>456</v>
      </c>
      <c r="Z15" s="290">
        <v>2373</v>
      </c>
    </row>
    <row r="16" spans="1:26" x14ac:dyDescent="0.35">
      <c r="A16" s="103">
        <v>12</v>
      </c>
      <c r="B16" s="130" t="s">
        <v>200</v>
      </c>
      <c r="C16" s="134">
        <f t="shared" si="0"/>
        <v>5932</v>
      </c>
      <c r="D16" s="290">
        <v>2658</v>
      </c>
      <c r="E16" s="290">
        <v>8590</v>
      </c>
      <c r="F16" s="134">
        <f t="shared" si="1"/>
        <v>283</v>
      </c>
      <c r="G16" s="290">
        <v>98</v>
      </c>
      <c r="H16" s="290">
        <v>381</v>
      </c>
      <c r="I16" s="134">
        <f t="shared" si="2"/>
        <v>49</v>
      </c>
      <c r="J16" s="290">
        <v>22</v>
      </c>
      <c r="K16" s="290">
        <v>71</v>
      </c>
      <c r="L16" s="134">
        <f t="shared" si="3"/>
        <v>1280</v>
      </c>
      <c r="M16" s="290">
        <v>454</v>
      </c>
      <c r="N16" s="290">
        <v>1734</v>
      </c>
      <c r="O16" s="134">
        <f t="shared" si="4"/>
        <v>25</v>
      </c>
      <c r="P16" s="290">
        <v>7</v>
      </c>
      <c r="Q16" s="290">
        <v>32</v>
      </c>
      <c r="R16" s="134">
        <f t="shared" si="5"/>
        <v>0</v>
      </c>
      <c r="S16" s="290">
        <v>0</v>
      </c>
      <c r="T16" s="290">
        <v>0</v>
      </c>
      <c r="U16" s="134">
        <f t="shared" si="6"/>
        <v>0</v>
      </c>
      <c r="V16" s="290">
        <v>0</v>
      </c>
      <c r="W16" s="290">
        <v>0</v>
      </c>
      <c r="X16" s="134">
        <f t="shared" si="7"/>
        <v>654</v>
      </c>
      <c r="Y16" s="290">
        <v>145</v>
      </c>
      <c r="Z16" s="290">
        <v>799</v>
      </c>
    </row>
    <row r="17" spans="1:26" x14ac:dyDescent="0.35">
      <c r="A17" s="103">
        <v>13</v>
      </c>
      <c r="B17" s="130" t="s">
        <v>853</v>
      </c>
      <c r="C17" s="134">
        <f t="shared" si="0"/>
        <v>345</v>
      </c>
      <c r="D17" s="290">
        <v>87</v>
      </c>
      <c r="E17" s="290">
        <v>432</v>
      </c>
      <c r="F17" s="134">
        <f t="shared" si="1"/>
        <v>19</v>
      </c>
      <c r="G17" s="290">
        <v>3</v>
      </c>
      <c r="H17" s="290">
        <v>22</v>
      </c>
      <c r="I17" s="134">
        <f t="shared" si="2"/>
        <v>1</v>
      </c>
      <c r="J17" s="290">
        <v>0</v>
      </c>
      <c r="K17" s="290">
        <v>1</v>
      </c>
      <c r="L17" s="134">
        <f t="shared" si="3"/>
        <v>20</v>
      </c>
      <c r="M17" s="290">
        <v>2</v>
      </c>
      <c r="N17" s="290">
        <v>22</v>
      </c>
      <c r="O17" s="134">
        <f t="shared" si="4"/>
        <v>0</v>
      </c>
      <c r="P17" s="290">
        <v>0</v>
      </c>
      <c r="Q17" s="290">
        <v>0</v>
      </c>
      <c r="R17" s="134">
        <f t="shared" si="5"/>
        <v>13</v>
      </c>
      <c r="S17" s="290">
        <v>1</v>
      </c>
      <c r="T17" s="290">
        <v>14</v>
      </c>
      <c r="U17" s="134">
        <f t="shared" si="6"/>
        <v>17</v>
      </c>
      <c r="V17" s="290">
        <v>3</v>
      </c>
      <c r="W17" s="290">
        <v>20</v>
      </c>
      <c r="X17" s="134">
        <f t="shared" si="7"/>
        <v>0</v>
      </c>
      <c r="Y17" s="290">
        <v>0</v>
      </c>
      <c r="Z17" s="290">
        <v>0</v>
      </c>
    </row>
    <row r="18" spans="1:26" x14ac:dyDescent="0.35">
      <c r="A18" s="103">
        <v>14</v>
      </c>
      <c r="B18" s="130" t="s">
        <v>854</v>
      </c>
      <c r="C18" s="134">
        <f t="shared" si="0"/>
        <v>158</v>
      </c>
      <c r="D18" s="290">
        <v>25</v>
      </c>
      <c r="E18" s="290">
        <v>183</v>
      </c>
      <c r="F18" s="134">
        <f t="shared" si="1"/>
        <v>2</v>
      </c>
      <c r="G18" s="290">
        <v>0</v>
      </c>
      <c r="H18" s="290">
        <v>2</v>
      </c>
      <c r="I18" s="134">
        <f t="shared" si="2"/>
        <v>0</v>
      </c>
      <c r="J18" s="290">
        <v>0</v>
      </c>
      <c r="K18" s="290">
        <v>0</v>
      </c>
      <c r="L18" s="134">
        <f t="shared" si="3"/>
        <v>14</v>
      </c>
      <c r="M18" s="290">
        <v>1</v>
      </c>
      <c r="N18" s="290">
        <v>15</v>
      </c>
      <c r="O18" s="134">
        <f t="shared" si="4"/>
        <v>0</v>
      </c>
      <c r="P18" s="290">
        <v>0</v>
      </c>
      <c r="Q18" s="290">
        <v>0</v>
      </c>
      <c r="R18" s="134">
        <f t="shared" si="5"/>
        <v>0</v>
      </c>
      <c r="S18" s="290">
        <v>0</v>
      </c>
      <c r="T18" s="290">
        <v>0</v>
      </c>
      <c r="U18" s="134">
        <f t="shared" si="6"/>
        <v>0</v>
      </c>
      <c r="V18" s="290">
        <v>0</v>
      </c>
      <c r="W18" s="290">
        <v>0</v>
      </c>
      <c r="X18" s="134">
        <f t="shared" si="7"/>
        <v>2</v>
      </c>
      <c r="Y18" s="290">
        <v>0</v>
      </c>
      <c r="Z18" s="290">
        <v>2</v>
      </c>
    </row>
    <row r="19" spans="1:26" x14ac:dyDescent="0.35">
      <c r="A19" s="103">
        <v>15</v>
      </c>
      <c r="B19" s="130" t="s">
        <v>210</v>
      </c>
      <c r="C19" s="134">
        <f t="shared" si="0"/>
        <v>5528</v>
      </c>
      <c r="D19" s="290">
        <v>3220</v>
      </c>
      <c r="E19" s="290">
        <v>8748</v>
      </c>
      <c r="F19" s="134">
        <f t="shared" si="1"/>
        <v>592</v>
      </c>
      <c r="G19" s="290">
        <v>172</v>
      </c>
      <c r="H19" s="290">
        <v>764</v>
      </c>
      <c r="I19" s="134">
        <f t="shared" si="2"/>
        <v>152</v>
      </c>
      <c r="J19" s="290">
        <v>124</v>
      </c>
      <c r="K19" s="290">
        <v>276</v>
      </c>
      <c r="L19" s="134">
        <f t="shared" si="3"/>
        <v>707</v>
      </c>
      <c r="M19" s="290">
        <v>720</v>
      </c>
      <c r="N19" s="290">
        <v>1427</v>
      </c>
      <c r="O19" s="134">
        <f t="shared" si="4"/>
        <v>8</v>
      </c>
      <c r="P19" s="290">
        <v>5</v>
      </c>
      <c r="Q19" s="290">
        <v>13</v>
      </c>
      <c r="R19" s="134">
        <f t="shared" si="5"/>
        <v>610</v>
      </c>
      <c r="S19" s="290">
        <v>665</v>
      </c>
      <c r="T19" s="290">
        <v>1275</v>
      </c>
      <c r="U19" s="134">
        <f t="shared" si="6"/>
        <v>85</v>
      </c>
      <c r="V19" s="290">
        <v>68</v>
      </c>
      <c r="W19" s="290">
        <v>153</v>
      </c>
      <c r="X19" s="134">
        <f t="shared" si="7"/>
        <v>246</v>
      </c>
      <c r="Y19" s="290">
        <v>201</v>
      </c>
      <c r="Z19" s="290">
        <v>447</v>
      </c>
    </row>
    <row r="20" spans="1:26" ht="28" x14ac:dyDescent="0.35">
      <c r="A20" s="103">
        <v>16</v>
      </c>
      <c r="B20" s="130" t="s">
        <v>212</v>
      </c>
      <c r="C20" s="134">
        <f t="shared" si="0"/>
        <v>31906</v>
      </c>
      <c r="D20" s="290">
        <v>21942</v>
      </c>
      <c r="E20" s="290">
        <v>53848</v>
      </c>
      <c r="F20" s="134">
        <f t="shared" si="1"/>
        <v>1715</v>
      </c>
      <c r="G20" s="290">
        <v>1180</v>
      </c>
      <c r="H20" s="290">
        <v>2895</v>
      </c>
      <c r="I20" s="134">
        <f t="shared" si="2"/>
        <v>256</v>
      </c>
      <c r="J20" s="290">
        <v>185</v>
      </c>
      <c r="K20" s="290">
        <v>441</v>
      </c>
      <c r="L20" s="134">
        <f t="shared" si="3"/>
        <v>6897</v>
      </c>
      <c r="M20" s="290">
        <v>4023</v>
      </c>
      <c r="N20" s="290">
        <v>10920</v>
      </c>
      <c r="O20" s="134">
        <f t="shared" si="4"/>
        <v>45</v>
      </c>
      <c r="P20" s="290">
        <v>26</v>
      </c>
      <c r="Q20" s="290">
        <v>71</v>
      </c>
      <c r="R20" s="134">
        <f t="shared" si="5"/>
        <v>115</v>
      </c>
      <c r="S20" s="290">
        <v>62</v>
      </c>
      <c r="T20" s="290">
        <v>177</v>
      </c>
      <c r="U20" s="134">
        <f t="shared" si="6"/>
        <v>1389</v>
      </c>
      <c r="V20" s="290">
        <v>732</v>
      </c>
      <c r="W20" s="290">
        <v>2121</v>
      </c>
      <c r="X20" s="134">
        <f t="shared" si="7"/>
        <v>97</v>
      </c>
      <c r="Y20" s="290">
        <v>56</v>
      </c>
      <c r="Z20" s="290">
        <v>153</v>
      </c>
    </row>
    <row r="21" spans="1:26" ht="28" x14ac:dyDescent="0.35">
      <c r="A21" s="103">
        <v>17</v>
      </c>
      <c r="B21" s="130" t="s">
        <v>214</v>
      </c>
      <c r="C21" s="134">
        <f t="shared" si="0"/>
        <v>97</v>
      </c>
      <c r="D21" s="290">
        <v>51</v>
      </c>
      <c r="E21" s="290">
        <v>148</v>
      </c>
      <c r="F21" s="134">
        <f t="shared" si="1"/>
        <v>0</v>
      </c>
      <c r="G21" s="290">
        <v>0</v>
      </c>
      <c r="H21" s="290">
        <v>0</v>
      </c>
      <c r="I21" s="134">
        <f t="shared" si="2"/>
        <v>0</v>
      </c>
      <c r="J21" s="290">
        <v>0</v>
      </c>
      <c r="K21" s="290">
        <v>0</v>
      </c>
      <c r="L21" s="134">
        <f t="shared" si="3"/>
        <v>0</v>
      </c>
      <c r="M21" s="290">
        <v>0</v>
      </c>
      <c r="N21" s="290">
        <v>0</v>
      </c>
      <c r="O21" s="134">
        <f t="shared" si="4"/>
        <v>0</v>
      </c>
      <c r="P21" s="290">
        <v>0</v>
      </c>
      <c r="Q21" s="290">
        <v>0</v>
      </c>
      <c r="R21" s="134">
        <f t="shared" si="5"/>
        <v>0</v>
      </c>
      <c r="S21" s="290">
        <v>0</v>
      </c>
      <c r="T21" s="290">
        <v>0</v>
      </c>
      <c r="U21" s="134">
        <f t="shared" si="6"/>
        <v>0</v>
      </c>
      <c r="V21" s="290">
        <v>0</v>
      </c>
      <c r="W21" s="290">
        <v>0</v>
      </c>
      <c r="X21" s="134">
        <f t="shared" si="7"/>
        <v>0</v>
      </c>
      <c r="Y21" s="290">
        <v>0</v>
      </c>
      <c r="Z21" s="290">
        <v>0</v>
      </c>
    </row>
    <row r="22" spans="1:26" ht="28" x14ac:dyDescent="0.35">
      <c r="A22" s="103">
        <v>18</v>
      </c>
      <c r="B22" s="130" t="s">
        <v>216</v>
      </c>
      <c r="C22" s="134">
        <f t="shared" si="0"/>
        <v>6023</v>
      </c>
      <c r="D22" s="290">
        <v>2339</v>
      </c>
      <c r="E22" s="290">
        <v>8362</v>
      </c>
      <c r="F22" s="134">
        <f t="shared" si="1"/>
        <v>203</v>
      </c>
      <c r="G22" s="290">
        <v>72</v>
      </c>
      <c r="H22" s="290">
        <v>275</v>
      </c>
      <c r="I22" s="134">
        <f t="shared" si="2"/>
        <v>34</v>
      </c>
      <c r="J22" s="290">
        <v>10</v>
      </c>
      <c r="K22" s="290">
        <v>44</v>
      </c>
      <c r="L22" s="134">
        <f t="shared" si="3"/>
        <v>1565</v>
      </c>
      <c r="M22" s="290">
        <v>725</v>
      </c>
      <c r="N22" s="290">
        <v>2290</v>
      </c>
      <c r="O22" s="134">
        <f t="shared" si="4"/>
        <v>8</v>
      </c>
      <c r="P22" s="290">
        <v>3</v>
      </c>
      <c r="Q22" s="290">
        <v>11</v>
      </c>
      <c r="R22" s="134">
        <f t="shared" si="5"/>
        <v>109</v>
      </c>
      <c r="S22" s="290">
        <v>22</v>
      </c>
      <c r="T22" s="290">
        <v>131</v>
      </c>
      <c r="U22" s="134">
        <f t="shared" si="6"/>
        <v>353</v>
      </c>
      <c r="V22" s="290">
        <v>131</v>
      </c>
      <c r="W22" s="290">
        <v>484</v>
      </c>
      <c r="X22" s="134">
        <f t="shared" si="7"/>
        <v>15</v>
      </c>
      <c r="Y22" s="290">
        <v>10</v>
      </c>
      <c r="Z22" s="290">
        <v>25</v>
      </c>
    </row>
    <row r="23" spans="1:26" x14ac:dyDescent="0.35">
      <c r="A23" s="103">
        <v>19</v>
      </c>
      <c r="B23" s="130" t="s">
        <v>218</v>
      </c>
      <c r="C23" s="134">
        <f t="shared" si="0"/>
        <v>842</v>
      </c>
      <c r="D23" s="290">
        <v>744</v>
      </c>
      <c r="E23" s="290">
        <v>1586</v>
      </c>
      <c r="F23" s="134">
        <f t="shared" si="1"/>
        <v>43</v>
      </c>
      <c r="G23" s="290">
        <v>31</v>
      </c>
      <c r="H23" s="290">
        <v>74</v>
      </c>
      <c r="I23" s="134">
        <f t="shared" si="2"/>
        <v>12</v>
      </c>
      <c r="J23" s="290">
        <v>4</v>
      </c>
      <c r="K23" s="290">
        <v>16</v>
      </c>
      <c r="L23" s="134">
        <f t="shared" si="3"/>
        <v>168</v>
      </c>
      <c r="M23" s="290">
        <v>170</v>
      </c>
      <c r="N23" s="290">
        <v>338</v>
      </c>
      <c r="O23" s="134">
        <f t="shared" si="4"/>
        <v>2</v>
      </c>
      <c r="P23" s="290">
        <v>0</v>
      </c>
      <c r="Q23" s="290">
        <v>2</v>
      </c>
      <c r="R23" s="134">
        <f t="shared" si="5"/>
        <v>125</v>
      </c>
      <c r="S23" s="290">
        <v>98</v>
      </c>
      <c r="T23" s="290">
        <v>223</v>
      </c>
      <c r="U23" s="134">
        <f t="shared" si="6"/>
        <v>48</v>
      </c>
      <c r="V23" s="290">
        <v>36</v>
      </c>
      <c r="W23" s="290">
        <v>84</v>
      </c>
      <c r="X23" s="134">
        <f t="shared" si="7"/>
        <v>47</v>
      </c>
      <c r="Y23" s="290">
        <v>32</v>
      </c>
      <c r="Z23" s="290">
        <v>79</v>
      </c>
    </row>
    <row r="24" spans="1:26" x14ac:dyDescent="0.35">
      <c r="A24" s="103">
        <v>20</v>
      </c>
      <c r="B24" s="130" t="s">
        <v>254</v>
      </c>
      <c r="C24" s="134">
        <f t="shared" si="0"/>
        <v>849</v>
      </c>
      <c r="D24" s="290">
        <v>437</v>
      </c>
      <c r="E24" s="290">
        <v>1286</v>
      </c>
      <c r="F24" s="134">
        <f t="shared" si="1"/>
        <v>45</v>
      </c>
      <c r="G24" s="290">
        <v>20</v>
      </c>
      <c r="H24" s="290">
        <v>65</v>
      </c>
      <c r="I24" s="134">
        <f t="shared" si="2"/>
        <v>2</v>
      </c>
      <c r="J24" s="290">
        <v>0</v>
      </c>
      <c r="K24" s="290">
        <v>2</v>
      </c>
      <c r="L24" s="134">
        <f t="shared" si="3"/>
        <v>170</v>
      </c>
      <c r="M24" s="290">
        <v>79</v>
      </c>
      <c r="N24" s="290">
        <v>249</v>
      </c>
      <c r="O24" s="134">
        <f t="shared" si="4"/>
        <v>0</v>
      </c>
      <c r="P24" s="290">
        <v>0</v>
      </c>
      <c r="Q24" s="290">
        <v>0</v>
      </c>
      <c r="R24" s="134">
        <f t="shared" si="5"/>
        <v>19</v>
      </c>
      <c r="S24" s="290">
        <v>22</v>
      </c>
      <c r="T24" s="290">
        <v>41</v>
      </c>
      <c r="U24" s="134">
        <f t="shared" si="6"/>
        <v>12</v>
      </c>
      <c r="V24" s="290">
        <v>19</v>
      </c>
      <c r="W24" s="290">
        <v>31</v>
      </c>
      <c r="X24" s="134">
        <f t="shared" si="7"/>
        <v>0</v>
      </c>
      <c r="Y24" s="290">
        <v>0</v>
      </c>
      <c r="Z24" s="290">
        <v>0</v>
      </c>
    </row>
    <row r="25" spans="1:26" x14ac:dyDescent="0.35">
      <c r="A25" s="103">
        <v>21</v>
      </c>
      <c r="B25" s="130" t="s">
        <v>256</v>
      </c>
      <c r="C25" s="134">
        <f t="shared" si="0"/>
        <v>274</v>
      </c>
      <c r="D25" s="290">
        <v>58</v>
      </c>
      <c r="E25" s="290">
        <v>332</v>
      </c>
      <c r="F25" s="134">
        <f t="shared" si="1"/>
        <v>9</v>
      </c>
      <c r="G25" s="290">
        <v>4</v>
      </c>
      <c r="H25" s="290">
        <v>13</v>
      </c>
      <c r="I25" s="134">
        <f t="shared" si="2"/>
        <v>5</v>
      </c>
      <c r="J25" s="290">
        <v>4</v>
      </c>
      <c r="K25" s="290">
        <v>9</v>
      </c>
      <c r="L25" s="134">
        <f t="shared" si="3"/>
        <v>32</v>
      </c>
      <c r="M25" s="290">
        <v>6</v>
      </c>
      <c r="N25" s="290">
        <v>38</v>
      </c>
      <c r="O25" s="134">
        <f t="shared" si="4"/>
        <v>0</v>
      </c>
      <c r="P25" s="290">
        <v>0</v>
      </c>
      <c r="Q25" s="290">
        <v>0</v>
      </c>
      <c r="R25" s="134">
        <f t="shared" si="5"/>
        <v>0</v>
      </c>
      <c r="S25" s="290">
        <v>0</v>
      </c>
      <c r="T25" s="290">
        <v>0</v>
      </c>
      <c r="U25" s="134">
        <f t="shared" si="6"/>
        <v>0</v>
      </c>
      <c r="V25" s="290">
        <v>0</v>
      </c>
      <c r="W25" s="290">
        <v>0</v>
      </c>
      <c r="X25" s="134">
        <f t="shared" si="7"/>
        <v>3</v>
      </c>
      <c r="Y25" s="290">
        <v>1</v>
      </c>
      <c r="Z25" s="290">
        <v>4</v>
      </c>
    </row>
    <row r="26" spans="1:26" ht="28" x14ac:dyDescent="0.35">
      <c r="A26" s="103">
        <v>22</v>
      </c>
      <c r="B26" s="130" t="s">
        <v>884</v>
      </c>
      <c r="C26" s="134">
        <f t="shared" si="0"/>
        <v>147</v>
      </c>
      <c r="D26" s="290">
        <v>152</v>
      </c>
      <c r="E26" s="290">
        <v>299</v>
      </c>
      <c r="F26" s="134">
        <f t="shared" si="1"/>
        <v>4</v>
      </c>
      <c r="G26" s="290">
        <v>8</v>
      </c>
      <c r="H26" s="290">
        <v>12</v>
      </c>
      <c r="I26" s="134">
        <f t="shared" si="2"/>
        <v>2</v>
      </c>
      <c r="J26" s="290">
        <v>1</v>
      </c>
      <c r="K26" s="290">
        <v>3</v>
      </c>
      <c r="L26" s="134">
        <f t="shared" si="3"/>
        <v>17</v>
      </c>
      <c r="M26" s="290">
        <v>22</v>
      </c>
      <c r="N26" s="290">
        <v>39</v>
      </c>
      <c r="O26" s="134">
        <f t="shared" si="4"/>
        <v>1</v>
      </c>
      <c r="P26" s="290">
        <v>0</v>
      </c>
      <c r="Q26" s="290">
        <v>1</v>
      </c>
      <c r="R26" s="134">
        <f t="shared" si="5"/>
        <v>0</v>
      </c>
      <c r="S26" s="290">
        <v>0</v>
      </c>
      <c r="T26" s="290">
        <v>0</v>
      </c>
      <c r="U26" s="134">
        <f t="shared" si="6"/>
        <v>14</v>
      </c>
      <c r="V26" s="290">
        <v>13</v>
      </c>
      <c r="W26" s="290">
        <v>27</v>
      </c>
      <c r="X26" s="134">
        <f t="shared" si="7"/>
        <v>0</v>
      </c>
      <c r="Y26" s="290">
        <v>0</v>
      </c>
      <c r="Z26" s="290">
        <v>0</v>
      </c>
    </row>
    <row r="27" spans="1:26" x14ac:dyDescent="0.35">
      <c r="A27" s="103">
        <v>23</v>
      </c>
      <c r="B27" s="130" t="s">
        <v>263</v>
      </c>
      <c r="C27" s="134">
        <f t="shared" si="0"/>
        <v>1204</v>
      </c>
      <c r="D27" s="290">
        <v>531</v>
      </c>
      <c r="E27" s="290">
        <v>1735</v>
      </c>
      <c r="F27" s="134">
        <f t="shared" si="1"/>
        <v>44</v>
      </c>
      <c r="G27" s="290">
        <v>18</v>
      </c>
      <c r="H27" s="290">
        <v>62</v>
      </c>
      <c r="I27" s="134">
        <f t="shared" si="2"/>
        <v>24</v>
      </c>
      <c r="J27" s="290">
        <v>17</v>
      </c>
      <c r="K27" s="290">
        <v>41</v>
      </c>
      <c r="L27" s="134">
        <f t="shared" si="3"/>
        <v>143</v>
      </c>
      <c r="M27" s="290">
        <v>79</v>
      </c>
      <c r="N27" s="290">
        <v>222</v>
      </c>
      <c r="O27" s="134">
        <f t="shared" si="4"/>
        <v>0</v>
      </c>
      <c r="P27" s="290">
        <v>0</v>
      </c>
      <c r="Q27" s="290">
        <v>0</v>
      </c>
      <c r="R27" s="134">
        <f t="shared" si="5"/>
        <v>0</v>
      </c>
      <c r="S27" s="290">
        <v>0</v>
      </c>
      <c r="T27" s="290">
        <v>0</v>
      </c>
      <c r="U27" s="134">
        <f t="shared" si="6"/>
        <v>0</v>
      </c>
      <c r="V27" s="290">
        <v>0</v>
      </c>
      <c r="W27" s="290">
        <v>0</v>
      </c>
      <c r="X27" s="134">
        <f t="shared" si="7"/>
        <v>20</v>
      </c>
      <c r="Y27" s="290">
        <v>4</v>
      </c>
      <c r="Z27" s="290">
        <v>24</v>
      </c>
    </row>
    <row r="28" spans="1:26" x14ac:dyDescent="0.35">
      <c r="A28" s="103">
        <v>24</v>
      </c>
      <c r="B28" s="130" t="s">
        <v>264</v>
      </c>
      <c r="C28" s="134">
        <f t="shared" si="0"/>
        <v>1</v>
      </c>
      <c r="D28" s="290">
        <v>0</v>
      </c>
      <c r="E28" s="290">
        <v>1</v>
      </c>
      <c r="F28" s="134">
        <f t="shared" si="1"/>
        <v>0</v>
      </c>
      <c r="G28" s="290">
        <v>0</v>
      </c>
      <c r="H28" s="290">
        <v>0</v>
      </c>
      <c r="I28" s="134">
        <f t="shared" si="2"/>
        <v>0</v>
      </c>
      <c r="J28" s="290">
        <v>0</v>
      </c>
      <c r="K28" s="290">
        <v>0</v>
      </c>
      <c r="L28" s="134">
        <f t="shared" si="3"/>
        <v>0</v>
      </c>
      <c r="M28" s="290">
        <v>0</v>
      </c>
      <c r="N28" s="290">
        <v>0</v>
      </c>
      <c r="O28" s="134">
        <f t="shared" si="4"/>
        <v>0</v>
      </c>
      <c r="P28" s="290">
        <v>0</v>
      </c>
      <c r="Q28" s="290">
        <v>0</v>
      </c>
      <c r="R28" s="134">
        <f t="shared" si="5"/>
        <v>0</v>
      </c>
      <c r="S28" s="290">
        <v>0</v>
      </c>
      <c r="T28" s="290">
        <v>0</v>
      </c>
      <c r="U28" s="134">
        <f t="shared" si="6"/>
        <v>0</v>
      </c>
      <c r="V28" s="290">
        <v>0</v>
      </c>
      <c r="W28" s="290">
        <v>0</v>
      </c>
      <c r="X28" s="134">
        <f t="shared" si="7"/>
        <v>0</v>
      </c>
      <c r="Y28" s="290">
        <v>0</v>
      </c>
      <c r="Z28" s="290">
        <v>0</v>
      </c>
    </row>
    <row r="29" spans="1:26" x14ac:dyDescent="0.35">
      <c r="A29" s="103">
        <v>25</v>
      </c>
      <c r="B29" s="130" t="s">
        <v>12</v>
      </c>
      <c r="C29" s="134">
        <f t="shared" si="0"/>
        <v>99413</v>
      </c>
      <c r="D29" s="290">
        <v>51796</v>
      </c>
      <c r="E29" s="290">
        <v>151209</v>
      </c>
      <c r="F29" s="134">
        <f t="shared" si="1"/>
        <v>5779</v>
      </c>
      <c r="G29" s="290">
        <v>2603</v>
      </c>
      <c r="H29" s="290">
        <v>8382</v>
      </c>
      <c r="I29" s="134">
        <f t="shared" si="2"/>
        <v>1230</v>
      </c>
      <c r="J29" s="290">
        <v>678</v>
      </c>
      <c r="K29" s="290">
        <v>1908</v>
      </c>
      <c r="L29" s="134">
        <f t="shared" si="3"/>
        <v>21312</v>
      </c>
      <c r="M29" s="290">
        <v>10052</v>
      </c>
      <c r="N29" s="290">
        <v>31364</v>
      </c>
      <c r="O29" s="134">
        <f t="shared" si="4"/>
        <v>230</v>
      </c>
      <c r="P29" s="290">
        <v>75</v>
      </c>
      <c r="Q29" s="290">
        <v>305</v>
      </c>
      <c r="R29" s="134">
        <f t="shared" si="5"/>
        <v>3046</v>
      </c>
      <c r="S29" s="290">
        <v>2619</v>
      </c>
      <c r="T29" s="290">
        <v>5665</v>
      </c>
      <c r="U29" s="134">
        <f t="shared" si="6"/>
        <v>4052</v>
      </c>
      <c r="V29" s="290">
        <v>1697</v>
      </c>
      <c r="W29" s="290">
        <v>5749</v>
      </c>
      <c r="X29" s="134">
        <f t="shared" si="7"/>
        <v>3835</v>
      </c>
      <c r="Y29" s="290">
        <v>1423</v>
      </c>
      <c r="Z29" s="290">
        <v>5258</v>
      </c>
    </row>
    <row r="30" spans="1:26" x14ac:dyDescent="0.35">
      <c r="A30" s="103"/>
      <c r="B30" s="13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</row>
    <row r="31" spans="1:26" x14ac:dyDescent="0.35">
      <c r="A31" s="103"/>
      <c r="B31" s="13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</row>
    <row r="32" spans="1:26" x14ac:dyDescent="0.35">
      <c r="A32" s="103"/>
      <c r="B32" s="13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</row>
    <row r="33" spans="1:26" x14ac:dyDescent="0.35">
      <c r="A33" s="103"/>
      <c r="B33" s="13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</row>
    <row r="34" spans="1:26" x14ac:dyDescent="0.35">
      <c r="A34" s="103"/>
      <c r="B34" s="13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  <c r="Z34" s="290"/>
    </row>
    <row r="35" spans="1:26" x14ac:dyDescent="0.35">
      <c r="A35" s="103"/>
      <c r="B35" s="13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</row>
    <row r="36" spans="1:26" x14ac:dyDescent="0.35">
      <c r="A36" s="103"/>
      <c r="B36" s="13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</row>
    <row r="37" spans="1:26" x14ac:dyDescent="0.35">
      <c r="A37" s="103"/>
      <c r="B37" s="13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</row>
    <row r="38" spans="1:26" x14ac:dyDescent="0.35">
      <c r="A38" s="103"/>
      <c r="B38" s="13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</row>
    <row r="39" spans="1:26" x14ac:dyDescent="0.35">
      <c r="A39" s="103"/>
      <c r="B39" s="13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</row>
    <row r="40" spans="1:26" x14ac:dyDescent="0.35">
      <c r="A40" s="103"/>
      <c r="B40" s="13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</row>
    <row r="41" spans="1:26" x14ac:dyDescent="0.35">
      <c r="A41" s="103"/>
      <c r="B41" s="13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</row>
    <row r="42" spans="1:26" x14ac:dyDescent="0.35">
      <c r="A42" s="103"/>
      <c r="B42" s="13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</row>
    <row r="43" spans="1:26" x14ac:dyDescent="0.35">
      <c r="A43" s="103"/>
      <c r="B43" s="13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</row>
    <row r="44" spans="1:26" ht="16.5" customHeight="1" x14ac:dyDescent="0.35">
      <c r="A44" s="103"/>
      <c r="B44" s="13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</row>
    <row r="45" spans="1:26" ht="16.5" customHeight="1" x14ac:dyDescent="0.35">
      <c r="A45" s="103"/>
      <c r="B45" s="13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</row>
    <row r="46" spans="1:26" x14ac:dyDescent="0.35">
      <c r="A46" s="103"/>
      <c r="B46" s="13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</row>
    <row r="47" spans="1:26" ht="16.5" customHeight="1" x14ac:dyDescent="0.35">
      <c r="A47" s="103"/>
      <c r="B47" s="13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</row>
    <row r="48" spans="1:26" x14ac:dyDescent="0.35">
      <c r="A48" s="103"/>
      <c r="B48" s="13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0"/>
      <c r="W48" s="290"/>
      <c r="X48" s="290"/>
      <c r="Y48" s="290"/>
      <c r="Z48" s="290"/>
    </row>
    <row r="49" spans="1:26" x14ac:dyDescent="0.35">
      <c r="A49" s="103"/>
      <c r="B49" s="13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0"/>
      <c r="Y49" s="290"/>
      <c r="Z49" s="290"/>
    </row>
    <row r="50" spans="1:26" x14ac:dyDescent="0.35">
      <c r="A50" s="103"/>
      <c r="B50" s="13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</row>
    <row r="51" spans="1:26" x14ac:dyDescent="0.35">
      <c r="A51" s="103"/>
      <c r="B51" s="13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</row>
    <row r="52" spans="1:26" x14ac:dyDescent="0.35">
      <c r="A52" s="103"/>
      <c r="B52" s="13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</row>
    <row r="53" spans="1:26" x14ac:dyDescent="0.35">
      <c r="A53" s="103"/>
      <c r="B53" s="13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90"/>
      <c r="Z53" s="290"/>
    </row>
    <row r="54" spans="1:26" x14ac:dyDescent="0.35">
      <c r="A54" s="103"/>
      <c r="B54" s="13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</row>
    <row r="55" spans="1:26" x14ac:dyDescent="0.35">
      <c r="A55" s="103"/>
      <c r="B55" s="13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</row>
    <row r="56" spans="1:26" x14ac:dyDescent="0.35">
      <c r="A56" s="103"/>
      <c r="B56" s="13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</row>
    <row r="57" spans="1:26" x14ac:dyDescent="0.35">
      <c r="A57" s="103"/>
      <c r="B57" s="13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</row>
    <row r="58" spans="1:26" x14ac:dyDescent="0.35">
      <c r="A58" s="103"/>
      <c r="B58" s="13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</row>
    <row r="59" spans="1:26" x14ac:dyDescent="0.35">
      <c r="A59" s="103"/>
      <c r="B59" s="13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</row>
    <row r="60" spans="1:26" x14ac:dyDescent="0.35">
      <c r="A60" s="103"/>
      <c r="B60" s="13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</row>
    <row r="61" spans="1:26" x14ac:dyDescent="0.35">
      <c r="A61" s="103"/>
      <c r="B61" s="13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</row>
    <row r="62" spans="1:26" x14ac:dyDescent="0.35">
      <c r="A62" s="103"/>
      <c r="B62" s="13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</row>
    <row r="63" spans="1:26" x14ac:dyDescent="0.35">
      <c r="A63" s="103"/>
      <c r="B63" s="13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</row>
    <row r="64" spans="1:26" x14ac:dyDescent="0.35">
      <c r="A64" s="103"/>
      <c r="B64" s="13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</row>
    <row r="65" spans="1:26" x14ac:dyDescent="0.35">
      <c r="A65" s="103"/>
      <c r="B65" s="13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Y65" s="290"/>
      <c r="Z65" s="290"/>
    </row>
    <row r="66" spans="1:26" x14ac:dyDescent="0.35">
      <c r="A66" s="103"/>
      <c r="B66" s="13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0"/>
      <c r="U66" s="290"/>
      <c r="V66" s="290"/>
      <c r="W66" s="290"/>
      <c r="X66" s="290"/>
      <c r="Y66" s="290"/>
      <c r="Z66" s="290"/>
    </row>
    <row r="67" spans="1:26" x14ac:dyDescent="0.35">
      <c r="A67" s="103"/>
      <c r="B67" s="13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</row>
    <row r="68" spans="1:26" x14ac:dyDescent="0.35">
      <c r="A68" s="103"/>
      <c r="B68" s="13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</row>
    <row r="69" spans="1:26" x14ac:dyDescent="0.35">
      <c r="A69" s="103"/>
      <c r="B69" s="13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</row>
    <row r="70" spans="1:26" x14ac:dyDescent="0.35">
      <c r="A70" s="103"/>
      <c r="B70" s="13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0"/>
      <c r="Z70" s="290"/>
    </row>
    <row r="71" spans="1:26" x14ac:dyDescent="0.35">
      <c r="A71" s="103"/>
      <c r="B71" s="13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0"/>
      <c r="S71" s="290"/>
      <c r="T71" s="290"/>
      <c r="U71" s="290"/>
      <c r="V71" s="290"/>
      <c r="W71" s="290"/>
      <c r="X71" s="290"/>
      <c r="Y71" s="290"/>
      <c r="Z71" s="290"/>
    </row>
    <row r="72" spans="1:26" x14ac:dyDescent="0.35">
      <c r="A72" s="103"/>
      <c r="B72" s="13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</row>
    <row r="73" spans="1:26" x14ac:dyDescent="0.35">
      <c r="A73" s="103"/>
      <c r="B73" s="13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0"/>
      <c r="U73" s="290"/>
      <c r="V73" s="290"/>
      <c r="W73" s="290"/>
      <c r="X73" s="290"/>
      <c r="Y73" s="290"/>
      <c r="Z73" s="290"/>
    </row>
    <row r="74" spans="1:26" x14ac:dyDescent="0.35">
      <c r="A74" s="103"/>
      <c r="B74" s="13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</row>
    <row r="75" spans="1:26" x14ac:dyDescent="0.35">
      <c r="A75" s="103"/>
      <c r="B75" s="13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</row>
    <row r="76" spans="1:26" x14ac:dyDescent="0.35">
      <c r="A76" s="103"/>
      <c r="B76" s="130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spans="1:26" x14ac:dyDescent="0.35">
      <c r="A77" s="103"/>
      <c r="B77" s="130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spans="1:26" x14ac:dyDescent="0.35">
      <c r="A78" s="103"/>
      <c r="B78" s="130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spans="1:26" x14ac:dyDescent="0.35">
      <c r="A79" s="103"/>
      <c r="B79" s="130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spans="1:26" x14ac:dyDescent="0.35">
      <c r="A80" s="103"/>
      <c r="B80" s="130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spans="1:26" s="115" customFormat="1" x14ac:dyDescent="0.35">
      <c r="A81" s="105"/>
      <c r="B81" s="132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</sheetData>
  <mergeCells count="14">
    <mergeCell ref="O2:Q2"/>
    <mergeCell ref="R2:T2"/>
    <mergeCell ref="U2:W2"/>
    <mergeCell ref="X2:Z2"/>
    <mergeCell ref="A1:B1"/>
    <mergeCell ref="C1:H1"/>
    <mergeCell ref="I1:Q1"/>
    <mergeCell ref="R1:Z1"/>
    <mergeCell ref="A2:A3"/>
    <mergeCell ref="B2:B3"/>
    <mergeCell ref="C2:E2"/>
    <mergeCell ref="F2:H2"/>
    <mergeCell ref="I2:K2"/>
    <mergeCell ref="L2:N2"/>
  </mergeCells>
  <pageMargins left="0.51181102362204722" right="0.39370078740157483" top="0.51181102362204722" bottom="0.39370078740157483" header="0.15748031496062992" footer="7.874015748031496E-2"/>
  <pageSetup paperSize="9" scale="65" firstPageNumber="40" pageOrder="overThenDown" orientation="portrait" useFirstPageNumber="1" r:id="rId1"/>
  <headerFooter>
    <oddFooter>&amp;LAISHE 2021-22&amp;CT-11a</oddFooter>
  </headerFooter>
  <rowBreaks count="1" manualBreakCount="1">
    <brk id="54" max="25" man="1"/>
  </rowBreaks>
  <colBreaks count="2" manualBreakCount="2">
    <brk id="8" max="80" man="1"/>
    <brk id="17" max="8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6E52-ECC6-429F-BD4A-272CD5574794}">
  <sheetPr codeName="Sheet22">
    <tabColor rgb="FF92D050"/>
  </sheetPr>
  <dimension ref="A1:F121"/>
  <sheetViews>
    <sheetView view="pageBreakPreview" topLeftCell="A109" zoomScaleNormal="100" zoomScaleSheetLayoutView="100" workbookViewId="0">
      <selection activeCell="A3" sqref="A3:XFD3"/>
    </sheetView>
  </sheetViews>
  <sheetFormatPr defaultColWidth="9.26953125" defaultRowHeight="14" x14ac:dyDescent="0.35"/>
  <cols>
    <col min="1" max="1" width="7.7265625" style="116" bestFit="1" customWidth="1"/>
    <col min="2" max="2" width="36.54296875" style="104" bestFit="1" customWidth="1"/>
    <col min="3" max="3" width="38.81640625" style="104" bestFit="1" customWidth="1"/>
    <col min="4" max="6" width="14.1796875" style="650" bestFit="1" customWidth="1"/>
    <col min="7" max="16384" width="9.26953125" style="104"/>
  </cols>
  <sheetData>
    <row r="1" spans="1:6" x14ac:dyDescent="0.35">
      <c r="A1" s="105"/>
      <c r="B1" s="663" t="s">
        <v>1039</v>
      </c>
      <c r="C1" s="664"/>
      <c r="D1" s="664"/>
      <c r="E1" s="664"/>
      <c r="F1" s="665"/>
    </row>
    <row r="2" spans="1:6" ht="15" x14ac:dyDescent="0.35">
      <c r="A2" s="28" t="s">
        <v>1</v>
      </c>
      <c r="B2" s="666" t="s">
        <v>269</v>
      </c>
      <c r="C2" s="666"/>
      <c r="D2" s="648" t="s">
        <v>93</v>
      </c>
      <c r="E2" s="648" t="s">
        <v>94</v>
      </c>
      <c r="F2" s="648" t="s">
        <v>54</v>
      </c>
    </row>
    <row r="3" spans="1:6" s="115" customFormat="1" ht="9.5" customHeight="1" x14ac:dyDescent="0.35">
      <c r="A3" s="109">
        <v>1</v>
      </c>
      <c r="B3" s="109">
        <v>2</v>
      </c>
      <c r="C3" s="109">
        <v>3</v>
      </c>
      <c r="D3" s="662">
        <v>4</v>
      </c>
      <c r="E3" s="662">
        <v>5</v>
      </c>
      <c r="F3" s="662">
        <v>6</v>
      </c>
    </row>
    <row r="4" spans="1:6" x14ac:dyDescent="0.35">
      <c r="A4" s="105">
        <v>1</v>
      </c>
      <c r="B4" s="110" t="s">
        <v>270</v>
      </c>
      <c r="C4" s="111"/>
      <c r="D4" s="647">
        <v>210684</v>
      </c>
      <c r="E4" s="644">
        <v>88047</v>
      </c>
      <c r="F4" s="644">
        <v>298731</v>
      </c>
    </row>
    <row r="5" spans="1:6" x14ac:dyDescent="0.35">
      <c r="A5" s="105">
        <v>2</v>
      </c>
      <c r="B5" s="110" t="s">
        <v>271</v>
      </c>
      <c r="C5" s="111"/>
      <c r="D5" s="647">
        <v>7</v>
      </c>
      <c r="E5" s="644">
        <v>9</v>
      </c>
      <c r="F5" s="644">
        <v>16</v>
      </c>
    </row>
    <row r="6" spans="1:6" x14ac:dyDescent="0.35">
      <c r="A6" s="105">
        <v>3</v>
      </c>
      <c r="B6" s="110" t="s">
        <v>272</v>
      </c>
      <c r="C6" s="111"/>
      <c r="D6" s="647">
        <v>24</v>
      </c>
      <c r="E6" s="644">
        <v>29</v>
      </c>
      <c r="F6" s="644">
        <v>53</v>
      </c>
    </row>
    <row r="7" spans="1:6" x14ac:dyDescent="0.35">
      <c r="A7" s="105">
        <v>4</v>
      </c>
      <c r="B7" s="110" t="s">
        <v>273</v>
      </c>
      <c r="C7" s="112"/>
      <c r="D7" s="647">
        <v>10</v>
      </c>
      <c r="E7" s="644">
        <v>6</v>
      </c>
      <c r="F7" s="644">
        <v>16</v>
      </c>
    </row>
    <row r="8" spans="1:6" x14ac:dyDescent="0.35">
      <c r="A8" s="105">
        <v>5</v>
      </c>
      <c r="B8" s="113" t="s">
        <v>274</v>
      </c>
      <c r="C8" s="112"/>
      <c r="D8" s="647">
        <v>18375</v>
      </c>
      <c r="E8" s="644">
        <v>19575</v>
      </c>
      <c r="F8" s="644">
        <v>37950</v>
      </c>
    </row>
    <row r="9" spans="1:6" x14ac:dyDescent="0.35">
      <c r="A9" s="105">
        <v>6</v>
      </c>
      <c r="B9" s="113" t="s">
        <v>275</v>
      </c>
      <c r="C9" s="112"/>
      <c r="D9" s="647">
        <v>5554479</v>
      </c>
      <c r="E9" s="644">
        <v>5989501</v>
      </c>
      <c r="F9" s="644">
        <v>11543980</v>
      </c>
    </row>
    <row r="10" spans="1:6" x14ac:dyDescent="0.35">
      <c r="A10" s="105">
        <v>7</v>
      </c>
      <c r="B10" s="113" t="s">
        <v>276</v>
      </c>
      <c r="C10" s="112"/>
      <c r="D10" s="647">
        <v>380</v>
      </c>
      <c r="E10" s="644">
        <v>308</v>
      </c>
      <c r="F10" s="644">
        <v>688</v>
      </c>
    </row>
    <row r="11" spans="1:6" ht="15.5" x14ac:dyDescent="0.35">
      <c r="A11" s="105">
        <v>8</v>
      </c>
      <c r="B11" s="113" t="s">
        <v>277</v>
      </c>
      <c r="C11" s="424"/>
      <c r="D11" s="647">
        <v>2265616</v>
      </c>
      <c r="E11" s="644">
        <v>2048778</v>
      </c>
      <c r="F11" s="644">
        <v>4314394</v>
      </c>
    </row>
    <row r="12" spans="1:6" x14ac:dyDescent="0.35">
      <c r="A12" s="105">
        <v>9</v>
      </c>
      <c r="B12" s="113" t="s">
        <v>278</v>
      </c>
      <c r="C12" s="112"/>
      <c r="D12" s="647">
        <v>493</v>
      </c>
      <c r="E12" s="644">
        <v>258</v>
      </c>
      <c r="F12" s="644">
        <v>751</v>
      </c>
    </row>
    <row r="13" spans="1:6" x14ac:dyDescent="0.35">
      <c r="A13" s="105">
        <v>10</v>
      </c>
      <c r="B13" s="113" t="s">
        <v>279</v>
      </c>
      <c r="C13" s="112"/>
      <c r="D13" s="647">
        <v>1394</v>
      </c>
      <c r="E13" s="644">
        <v>1604</v>
      </c>
      <c r="F13" s="644">
        <v>2998</v>
      </c>
    </row>
    <row r="14" spans="1:6" x14ac:dyDescent="0.35">
      <c r="A14" s="105">
        <v>11</v>
      </c>
      <c r="B14" s="113" t="s">
        <v>280</v>
      </c>
      <c r="C14" s="112"/>
      <c r="D14" s="647">
        <v>19</v>
      </c>
      <c r="E14" s="644">
        <v>11</v>
      </c>
      <c r="F14" s="644">
        <v>30</v>
      </c>
    </row>
    <row r="15" spans="1:6" x14ac:dyDescent="0.35">
      <c r="A15" s="105">
        <v>12</v>
      </c>
      <c r="B15" s="113" t="s">
        <v>281</v>
      </c>
      <c r="C15" s="112"/>
      <c r="D15" s="647">
        <v>3188</v>
      </c>
      <c r="E15" s="644">
        <v>4134</v>
      </c>
      <c r="F15" s="644">
        <v>7322</v>
      </c>
    </row>
    <row r="16" spans="1:6" x14ac:dyDescent="0.35">
      <c r="A16" s="105">
        <v>13</v>
      </c>
      <c r="B16" s="113" t="s">
        <v>282</v>
      </c>
      <c r="C16" s="112"/>
      <c r="D16" s="647">
        <v>1016</v>
      </c>
      <c r="E16" s="644">
        <v>559</v>
      </c>
      <c r="F16" s="644">
        <v>1575</v>
      </c>
    </row>
    <row r="17" spans="1:6" x14ac:dyDescent="0.35">
      <c r="A17" s="105">
        <v>14</v>
      </c>
      <c r="B17" s="113" t="s">
        <v>283</v>
      </c>
      <c r="C17" s="112"/>
      <c r="D17" s="647">
        <v>14670</v>
      </c>
      <c r="E17" s="644">
        <v>35952</v>
      </c>
      <c r="F17" s="644">
        <v>50622</v>
      </c>
    </row>
    <row r="18" spans="1:6" x14ac:dyDescent="0.35">
      <c r="A18" s="105">
        <v>15</v>
      </c>
      <c r="B18" s="113" t="s">
        <v>284</v>
      </c>
      <c r="C18" s="112"/>
      <c r="D18" s="647">
        <v>663085</v>
      </c>
      <c r="E18" s="644">
        <v>1142475</v>
      </c>
      <c r="F18" s="644">
        <v>1805560</v>
      </c>
    </row>
    <row r="19" spans="1:6" x14ac:dyDescent="0.35">
      <c r="A19" s="105">
        <v>16</v>
      </c>
      <c r="B19" s="113" t="s">
        <v>285</v>
      </c>
      <c r="C19" s="112" t="s">
        <v>286</v>
      </c>
      <c r="D19" s="647">
        <v>13452</v>
      </c>
      <c r="E19" s="644">
        <v>4975</v>
      </c>
      <c r="F19" s="644">
        <v>18427</v>
      </c>
    </row>
    <row r="20" spans="1:6" x14ac:dyDescent="0.35">
      <c r="A20" s="105">
        <v>17</v>
      </c>
      <c r="B20" s="113"/>
      <c r="C20" s="112" t="s">
        <v>287</v>
      </c>
      <c r="D20" s="647">
        <v>13889</v>
      </c>
      <c r="E20" s="644">
        <v>9139</v>
      </c>
      <c r="F20" s="644">
        <v>23028</v>
      </c>
    </row>
    <row r="21" spans="1:6" x14ac:dyDescent="0.35">
      <c r="A21" s="105">
        <v>18</v>
      </c>
      <c r="B21" s="113"/>
      <c r="C21" s="112" t="s">
        <v>288</v>
      </c>
      <c r="D21" s="647">
        <v>1</v>
      </c>
      <c r="E21" s="644">
        <v>0</v>
      </c>
      <c r="F21" s="644">
        <v>1</v>
      </c>
    </row>
    <row r="22" spans="1:6" x14ac:dyDescent="0.35">
      <c r="A22" s="105">
        <v>19</v>
      </c>
      <c r="B22" s="113"/>
      <c r="C22" s="112" t="s">
        <v>289</v>
      </c>
      <c r="D22" s="647">
        <v>33457</v>
      </c>
      <c r="E22" s="644">
        <v>37954</v>
      </c>
      <c r="F22" s="644">
        <v>71411</v>
      </c>
    </row>
    <row r="23" spans="1:6" x14ac:dyDescent="0.35">
      <c r="A23" s="105">
        <v>20</v>
      </c>
      <c r="B23" s="113"/>
      <c r="C23" s="112" t="s">
        <v>290</v>
      </c>
      <c r="D23" s="647">
        <v>5055</v>
      </c>
      <c r="E23" s="644">
        <v>2460</v>
      </c>
      <c r="F23" s="644">
        <v>7515</v>
      </c>
    </row>
    <row r="24" spans="1:6" x14ac:dyDescent="0.35">
      <c r="A24" s="105">
        <v>21</v>
      </c>
      <c r="B24" s="113"/>
      <c r="C24" s="112" t="s">
        <v>291</v>
      </c>
      <c r="D24" s="647">
        <v>19056</v>
      </c>
      <c r="E24" s="644">
        <v>10228</v>
      </c>
      <c r="F24" s="644">
        <v>29284</v>
      </c>
    </row>
    <row r="25" spans="1:6" x14ac:dyDescent="0.35">
      <c r="A25" s="105">
        <v>22</v>
      </c>
      <c r="B25" s="113"/>
      <c r="C25" s="112" t="s">
        <v>292</v>
      </c>
      <c r="D25" s="647">
        <v>19948</v>
      </c>
      <c r="E25" s="644">
        <v>9651</v>
      </c>
      <c r="F25" s="644">
        <v>29599</v>
      </c>
    </row>
    <row r="26" spans="1:6" x14ac:dyDescent="0.35">
      <c r="A26" s="105">
        <v>23</v>
      </c>
      <c r="B26" s="113"/>
      <c r="C26" s="112" t="s">
        <v>293</v>
      </c>
      <c r="D26" s="647">
        <v>1584</v>
      </c>
      <c r="E26" s="644">
        <v>450</v>
      </c>
      <c r="F26" s="644">
        <v>2034</v>
      </c>
    </row>
    <row r="27" spans="1:6" x14ac:dyDescent="0.35">
      <c r="A27" s="105">
        <v>24</v>
      </c>
      <c r="B27" s="113"/>
      <c r="C27" s="112" t="s">
        <v>294</v>
      </c>
      <c r="D27" s="647">
        <v>2638</v>
      </c>
      <c r="E27" s="649">
        <v>97</v>
      </c>
      <c r="F27" s="649">
        <v>2735</v>
      </c>
    </row>
    <row r="28" spans="1:6" x14ac:dyDescent="0.35">
      <c r="A28" s="105">
        <v>25</v>
      </c>
      <c r="B28" s="110"/>
      <c r="C28" s="111" t="s">
        <v>295</v>
      </c>
      <c r="D28" s="647">
        <v>72</v>
      </c>
      <c r="E28" s="644">
        <v>0</v>
      </c>
      <c r="F28" s="644">
        <v>72</v>
      </c>
    </row>
    <row r="29" spans="1:6" x14ac:dyDescent="0.35">
      <c r="A29" s="105">
        <v>26</v>
      </c>
      <c r="B29" s="110"/>
      <c r="C29" s="112" t="s">
        <v>296</v>
      </c>
      <c r="D29" s="647">
        <v>39986</v>
      </c>
      <c r="E29" s="644">
        <v>14458</v>
      </c>
      <c r="F29" s="644">
        <v>54444</v>
      </c>
    </row>
    <row r="30" spans="1:6" x14ac:dyDescent="0.35">
      <c r="A30" s="105">
        <v>27</v>
      </c>
      <c r="B30" s="113"/>
      <c r="C30" s="112" t="s">
        <v>297</v>
      </c>
      <c r="D30" s="647">
        <v>175</v>
      </c>
      <c r="E30" s="644">
        <v>118</v>
      </c>
      <c r="F30" s="644">
        <v>293</v>
      </c>
    </row>
    <row r="31" spans="1:6" x14ac:dyDescent="0.35">
      <c r="A31" s="105">
        <v>28</v>
      </c>
      <c r="B31" s="113"/>
      <c r="C31" s="112" t="s">
        <v>298</v>
      </c>
      <c r="D31" s="647">
        <v>280808</v>
      </c>
      <c r="E31" s="644">
        <v>88053</v>
      </c>
      <c r="F31" s="644">
        <v>368861</v>
      </c>
    </row>
    <row r="32" spans="1:6" x14ac:dyDescent="0.35">
      <c r="A32" s="105">
        <v>29</v>
      </c>
      <c r="B32" s="113"/>
      <c r="C32" s="112" t="s">
        <v>299</v>
      </c>
      <c r="D32" s="647">
        <v>1000914</v>
      </c>
      <c r="E32" s="644">
        <v>505148</v>
      </c>
      <c r="F32" s="644">
        <v>1506062</v>
      </c>
    </row>
    <row r="33" spans="1:6" x14ac:dyDescent="0.35">
      <c r="A33" s="105">
        <v>30</v>
      </c>
      <c r="B33" s="113"/>
      <c r="C33" s="112" t="s">
        <v>300</v>
      </c>
      <c r="D33" s="647">
        <v>1426</v>
      </c>
      <c r="E33" s="644">
        <v>700</v>
      </c>
      <c r="F33" s="644">
        <v>2126</v>
      </c>
    </row>
    <row r="34" spans="1:6" x14ac:dyDescent="0.35">
      <c r="A34" s="105">
        <v>31</v>
      </c>
      <c r="B34" s="113"/>
      <c r="C34" s="112" t="s">
        <v>301</v>
      </c>
      <c r="D34" s="647">
        <v>2116</v>
      </c>
      <c r="E34" s="644">
        <v>1278</v>
      </c>
      <c r="F34" s="644">
        <v>3394</v>
      </c>
    </row>
    <row r="35" spans="1:6" x14ac:dyDescent="0.35">
      <c r="A35" s="105">
        <v>32</v>
      </c>
      <c r="B35" s="113"/>
      <c r="C35" s="112" t="s">
        <v>302</v>
      </c>
      <c r="D35" s="647">
        <v>6148</v>
      </c>
      <c r="E35" s="644">
        <v>3335</v>
      </c>
      <c r="F35" s="644">
        <v>9483</v>
      </c>
    </row>
    <row r="36" spans="1:6" x14ac:dyDescent="0.35">
      <c r="A36" s="105">
        <v>33</v>
      </c>
      <c r="B36" s="113"/>
      <c r="C36" s="112" t="s">
        <v>303</v>
      </c>
      <c r="D36" s="647">
        <v>818</v>
      </c>
      <c r="E36" s="644">
        <v>658</v>
      </c>
      <c r="F36" s="644">
        <v>1476</v>
      </c>
    </row>
    <row r="37" spans="1:6" x14ac:dyDescent="0.35">
      <c r="A37" s="105">
        <v>34</v>
      </c>
      <c r="B37" s="113"/>
      <c r="C37" s="112" t="s">
        <v>304</v>
      </c>
      <c r="D37" s="647">
        <v>12256</v>
      </c>
      <c r="E37" s="644">
        <v>4841</v>
      </c>
      <c r="F37" s="644">
        <v>17097</v>
      </c>
    </row>
    <row r="38" spans="1:6" x14ac:dyDescent="0.35">
      <c r="A38" s="105">
        <v>35</v>
      </c>
      <c r="B38" s="113"/>
      <c r="C38" s="112" t="s">
        <v>305</v>
      </c>
      <c r="D38" s="647">
        <v>245131</v>
      </c>
      <c r="E38" s="644">
        <v>87758</v>
      </c>
      <c r="F38" s="644">
        <v>332889</v>
      </c>
    </row>
    <row r="39" spans="1:6" x14ac:dyDescent="0.35">
      <c r="A39" s="105">
        <v>36</v>
      </c>
      <c r="B39" s="113"/>
      <c r="C39" s="112" t="s">
        <v>306</v>
      </c>
      <c r="D39" s="647">
        <v>42580</v>
      </c>
      <c r="E39" s="644">
        <v>25219</v>
      </c>
      <c r="F39" s="644">
        <v>67799</v>
      </c>
    </row>
    <row r="40" spans="1:6" x14ac:dyDescent="0.35">
      <c r="A40" s="105">
        <v>37</v>
      </c>
      <c r="B40" s="113"/>
      <c r="C40" s="112" t="s">
        <v>307</v>
      </c>
      <c r="D40" s="647">
        <v>341095</v>
      </c>
      <c r="E40" s="644">
        <v>207577</v>
      </c>
      <c r="F40" s="644">
        <v>548672</v>
      </c>
    </row>
    <row r="41" spans="1:6" x14ac:dyDescent="0.35">
      <c r="A41" s="105">
        <v>38</v>
      </c>
      <c r="B41" s="113"/>
      <c r="C41" s="112" t="s">
        <v>285</v>
      </c>
      <c r="D41" s="647">
        <v>2982</v>
      </c>
      <c r="E41" s="644">
        <v>1536</v>
      </c>
      <c r="F41" s="644">
        <v>4518</v>
      </c>
    </row>
    <row r="42" spans="1:6" x14ac:dyDescent="0.35">
      <c r="A42" s="105">
        <v>39</v>
      </c>
      <c r="B42" s="113"/>
      <c r="C42" s="112" t="s">
        <v>308</v>
      </c>
      <c r="D42" s="647">
        <v>39</v>
      </c>
      <c r="E42" s="644">
        <v>15</v>
      </c>
      <c r="F42" s="644">
        <v>54</v>
      </c>
    </row>
    <row r="43" spans="1:6" x14ac:dyDescent="0.35">
      <c r="A43" s="105">
        <v>40</v>
      </c>
      <c r="B43" s="113"/>
      <c r="C43" s="112" t="s">
        <v>309</v>
      </c>
      <c r="D43" s="647">
        <v>3</v>
      </c>
      <c r="E43" s="644">
        <v>0</v>
      </c>
      <c r="F43" s="644">
        <v>3</v>
      </c>
    </row>
    <row r="44" spans="1:6" x14ac:dyDescent="0.35">
      <c r="A44" s="105">
        <v>41</v>
      </c>
      <c r="B44" s="113"/>
      <c r="C44" s="112" t="s">
        <v>310</v>
      </c>
      <c r="D44" s="647">
        <v>10243</v>
      </c>
      <c r="E44" s="644">
        <v>8464</v>
      </c>
      <c r="F44" s="644">
        <v>18707</v>
      </c>
    </row>
    <row r="45" spans="1:6" x14ac:dyDescent="0.35">
      <c r="A45" s="105">
        <v>42</v>
      </c>
      <c r="B45" s="113"/>
      <c r="C45" s="112" t="s">
        <v>311</v>
      </c>
      <c r="D45" s="647">
        <v>139371</v>
      </c>
      <c r="E45" s="644">
        <v>75020</v>
      </c>
      <c r="F45" s="644">
        <v>214391</v>
      </c>
    </row>
    <row r="46" spans="1:6" x14ac:dyDescent="0.35">
      <c r="A46" s="105">
        <v>43</v>
      </c>
      <c r="B46" s="113"/>
      <c r="C46" s="112" t="s">
        <v>312</v>
      </c>
      <c r="D46" s="647">
        <v>35</v>
      </c>
      <c r="E46" s="644">
        <v>6</v>
      </c>
      <c r="F46" s="644">
        <v>41</v>
      </c>
    </row>
    <row r="47" spans="1:6" x14ac:dyDescent="0.35">
      <c r="A47" s="105">
        <v>44</v>
      </c>
      <c r="B47" s="113"/>
      <c r="C47" s="112" t="s">
        <v>313</v>
      </c>
      <c r="D47" s="647">
        <v>6680</v>
      </c>
      <c r="E47" s="644">
        <v>473</v>
      </c>
      <c r="F47" s="644">
        <v>7153</v>
      </c>
    </row>
    <row r="48" spans="1:6" x14ac:dyDescent="0.35">
      <c r="A48" s="105">
        <v>45</v>
      </c>
      <c r="B48" s="113"/>
      <c r="C48" s="112" t="s">
        <v>314</v>
      </c>
      <c r="D48" s="647">
        <v>1129</v>
      </c>
      <c r="E48" s="644">
        <v>206</v>
      </c>
      <c r="F48" s="644">
        <v>1335</v>
      </c>
    </row>
    <row r="49" spans="1:6" x14ac:dyDescent="0.35">
      <c r="A49" s="105">
        <v>46</v>
      </c>
      <c r="B49" s="113"/>
      <c r="C49" s="112" t="s">
        <v>315</v>
      </c>
      <c r="D49" s="647">
        <v>430950</v>
      </c>
      <c r="E49" s="644">
        <v>40638</v>
      </c>
      <c r="F49" s="644">
        <v>471588</v>
      </c>
    </row>
    <row r="50" spans="1:6" x14ac:dyDescent="0.35">
      <c r="A50" s="105">
        <v>47</v>
      </c>
      <c r="B50" s="113"/>
      <c r="C50" s="112" t="s">
        <v>316</v>
      </c>
      <c r="D50" s="647">
        <v>4279</v>
      </c>
      <c r="E50" s="644">
        <v>669</v>
      </c>
      <c r="F50" s="644">
        <v>4948</v>
      </c>
    </row>
    <row r="51" spans="1:6" x14ac:dyDescent="0.35">
      <c r="A51" s="105">
        <v>48</v>
      </c>
      <c r="B51" s="113"/>
      <c r="C51" s="112" t="s">
        <v>317</v>
      </c>
      <c r="D51" s="647">
        <v>102</v>
      </c>
      <c r="E51" s="644">
        <v>108</v>
      </c>
      <c r="F51" s="644">
        <v>210</v>
      </c>
    </row>
    <row r="52" spans="1:6" x14ac:dyDescent="0.35">
      <c r="A52" s="105">
        <v>49</v>
      </c>
      <c r="B52" s="113"/>
      <c r="C52" s="112" t="s">
        <v>318</v>
      </c>
      <c r="D52" s="647">
        <v>8758</v>
      </c>
      <c r="E52" s="644">
        <v>2842</v>
      </c>
      <c r="F52" s="644">
        <v>11600</v>
      </c>
    </row>
    <row r="53" spans="1:6" x14ac:dyDescent="0.35">
      <c r="A53" s="105">
        <v>50</v>
      </c>
      <c r="B53" s="113"/>
      <c r="C53" s="112" t="s">
        <v>319</v>
      </c>
      <c r="D53" s="647">
        <v>9004</v>
      </c>
      <c r="E53" s="644">
        <v>959</v>
      </c>
      <c r="F53" s="644">
        <v>9963</v>
      </c>
    </row>
    <row r="54" spans="1:6" x14ac:dyDescent="0.35">
      <c r="A54" s="105">
        <v>51</v>
      </c>
      <c r="B54" s="113"/>
      <c r="C54" s="112" t="s">
        <v>320</v>
      </c>
      <c r="D54" s="647">
        <v>56</v>
      </c>
      <c r="E54" s="644">
        <v>23</v>
      </c>
      <c r="F54" s="644">
        <v>79</v>
      </c>
    </row>
    <row r="55" spans="1:6" x14ac:dyDescent="0.35">
      <c r="A55" s="105">
        <v>52</v>
      </c>
      <c r="B55" s="113"/>
      <c r="C55" s="112" t="s">
        <v>321</v>
      </c>
      <c r="D55" s="647">
        <v>155880</v>
      </c>
      <c r="E55" s="644">
        <v>84131</v>
      </c>
      <c r="F55" s="644">
        <v>240011</v>
      </c>
    </row>
    <row r="56" spans="1:6" x14ac:dyDescent="0.35">
      <c r="A56" s="105">
        <v>53</v>
      </c>
      <c r="B56" s="113"/>
      <c r="C56" s="112" t="s">
        <v>322</v>
      </c>
      <c r="D56" s="647">
        <v>550</v>
      </c>
      <c r="E56" s="644">
        <v>90</v>
      </c>
      <c r="F56" s="644">
        <v>640</v>
      </c>
    </row>
    <row r="57" spans="1:6" x14ac:dyDescent="0.35">
      <c r="A57" s="105">
        <v>54</v>
      </c>
      <c r="B57" s="113"/>
      <c r="C57" s="112" t="s">
        <v>323</v>
      </c>
      <c r="D57" s="647">
        <v>762</v>
      </c>
      <c r="E57" s="644">
        <v>615</v>
      </c>
      <c r="F57" s="644">
        <v>1377</v>
      </c>
    </row>
    <row r="58" spans="1:6" x14ac:dyDescent="0.35">
      <c r="A58" s="105">
        <v>55</v>
      </c>
      <c r="B58" s="113"/>
      <c r="C58" s="112" t="s">
        <v>324</v>
      </c>
      <c r="D58" s="647">
        <v>118</v>
      </c>
      <c r="E58" s="644">
        <v>26</v>
      </c>
      <c r="F58" s="644">
        <v>144</v>
      </c>
    </row>
    <row r="59" spans="1:6" x14ac:dyDescent="0.35">
      <c r="A59" s="105">
        <v>56</v>
      </c>
      <c r="B59" s="113" t="s">
        <v>325</v>
      </c>
      <c r="C59" s="112"/>
      <c r="D59" s="648">
        <v>2853546</v>
      </c>
      <c r="E59" s="649">
        <v>1229918</v>
      </c>
      <c r="F59" s="649">
        <v>4083464</v>
      </c>
    </row>
    <row r="60" spans="1:6" x14ac:dyDescent="0.35">
      <c r="A60" s="105">
        <v>57</v>
      </c>
      <c r="B60" s="113" t="s">
        <v>326</v>
      </c>
      <c r="C60" s="112"/>
      <c r="D60" s="647">
        <v>961</v>
      </c>
      <c r="E60" s="644">
        <v>455</v>
      </c>
      <c r="F60" s="644">
        <v>1416</v>
      </c>
    </row>
    <row r="61" spans="1:6" x14ac:dyDescent="0.35">
      <c r="A61" s="105">
        <v>58</v>
      </c>
      <c r="B61" s="113" t="s">
        <v>327</v>
      </c>
      <c r="C61" s="112"/>
      <c r="D61" s="647">
        <v>20</v>
      </c>
      <c r="E61" s="644">
        <v>423</v>
      </c>
      <c r="F61" s="644">
        <v>443</v>
      </c>
    </row>
    <row r="62" spans="1:6" x14ac:dyDescent="0.35">
      <c r="A62" s="105">
        <v>59</v>
      </c>
      <c r="B62" s="113" t="s">
        <v>328</v>
      </c>
      <c r="C62" s="112"/>
      <c r="D62" s="647">
        <v>3461</v>
      </c>
      <c r="E62" s="644">
        <v>15318</v>
      </c>
      <c r="F62" s="644">
        <v>18779</v>
      </c>
    </row>
    <row r="63" spans="1:6" x14ac:dyDescent="0.35">
      <c r="A63" s="105">
        <v>60</v>
      </c>
      <c r="B63" s="113" t="s">
        <v>329</v>
      </c>
      <c r="C63" s="112"/>
      <c r="D63" s="647">
        <v>23128</v>
      </c>
      <c r="E63" s="644">
        <v>27251</v>
      </c>
      <c r="F63" s="644">
        <v>50379</v>
      </c>
    </row>
    <row r="64" spans="1:6" x14ac:dyDescent="0.35">
      <c r="A64" s="105">
        <v>61</v>
      </c>
      <c r="B64" s="113" t="s">
        <v>330</v>
      </c>
      <c r="C64" s="112"/>
      <c r="D64" s="647">
        <v>3195</v>
      </c>
      <c r="E64" s="644">
        <v>3259</v>
      </c>
      <c r="F64" s="644">
        <v>6454</v>
      </c>
    </row>
    <row r="65" spans="1:6" x14ac:dyDescent="0.35">
      <c r="A65" s="105">
        <v>62</v>
      </c>
      <c r="B65" s="113" t="s">
        <v>331</v>
      </c>
      <c r="C65" s="112"/>
      <c r="D65" s="647">
        <v>253</v>
      </c>
      <c r="E65" s="644">
        <v>118</v>
      </c>
      <c r="F65" s="644">
        <v>371</v>
      </c>
    </row>
    <row r="66" spans="1:6" x14ac:dyDescent="0.35">
      <c r="A66" s="105">
        <v>63</v>
      </c>
      <c r="B66" s="113" t="s">
        <v>332</v>
      </c>
      <c r="C66" s="112"/>
      <c r="D66" s="647">
        <v>817</v>
      </c>
      <c r="E66" s="644">
        <v>1086</v>
      </c>
      <c r="F66" s="644">
        <v>1903</v>
      </c>
    </row>
    <row r="67" spans="1:6" x14ac:dyDescent="0.35">
      <c r="A67" s="105">
        <v>64</v>
      </c>
      <c r="B67" s="113" t="s">
        <v>333</v>
      </c>
      <c r="C67" s="112"/>
      <c r="D67" s="647">
        <v>93479</v>
      </c>
      <c r="E67" s="644">
        <v>123891</v>
      </c>
      <c r="F67" s="644">
        <v>217370</v>
      </c>
    </row>
    <row r="68" spans="1:6" x14ac:dyDescent="0.35">
      <c r="A68" s="105">
        <v>65</v>
      </c>
      <c r="B68" s="113" t="s">
        <v>334</v>
      </c>
      <c r="C68" s="112"/>
      <c r="D68" s="647">
        <v>347</v>
      </c>
      <c r="E68" s="644">
        <v>558</v>
      </c>
      <c r="F68" s="644">
        <v>905</v>
      </c>
    </row>
    <row r="69" spans="1:6" x14ac:dyDescent="0.35">
      <c r="A69" s="105">
        <v>66</v>
      </c>
      <c r="B69" s="113" t="s">
        <v>335</v>
      </c>
      <c r="C69" s="112"/>
      <c r="D69" s="647">
        <v>7760</v>
      </c>
      <c r="E69" s="644">
        <v>78339</v>
      </c>
      <c r="F69" s="644">
        <v>86099</v>
      </c>
    </row>
    <row r="70" spans="1:6" x14ac:dyDescent="0.35">
      <c r="A70" s="105">
        <v>67</v>
      </c>
      <c r="B70" s="110" t="s">
        <v>336</v>
      </c>
      <c r="C70" s="111"/>
      <c r="D70" s="647">
        <v>15473</v>
      </c>
      <c r="E70" s="644">
        <v>5116</v>
      </c>
      <c r="F70" s="644">
        <v>20589</v>
      </c>
    </row>
    <row r="71" spans="1:6" x14ac:dyDescent="0.35">
      <c r="A71" s="105">
        <v>68</v>
      </c>
      <c r="B71" s="110" t="s">
        <v>337</v>
      </c>
      <c r="C71" s="111"/>
      <c r="D71" s="647">
        <v>123518</v>
      </c>
      <c r="E71" s="644">
        <v>227620</v>
      </c>
      <c r="F71" s="644">
        <v>351138</v>
      </c>
    </row>
    <row r="72" spans="1:6" s="115" customFormat="1" x14ac:dyDescent="0.35">
      <c r="A72" s="105">
        <v>69</v>
      </c>
      <c r="B72" s="110" t="s">
        <v>311</v>
      </c>
      <c r="C72" s="111"/>
      <c r="D72" s="647">
        <v>872</v>
      </c>
      <c r="E72" s="644">
        <v>676</v>
      </c>
      <c r="F72" s="644">
        <v>1548</v>
      </c>
    </row>
    <row r="73" spans="1:6" x14ac:dyDescent="0.35">
      <c r="A73" s="105">
        <v>70</v>
      </c>
      <c r="B73" s="110" t="s">
        <v>338</v>
      </c>
      <c r="C73" s="111"/>
      <c r="D73" s="647">
        <v>686486</v>
      </c>
      <c r="E73" s="644">
        <v>411931</v>
      </c>
      <c r="F73" s="644">
        <v>1098417</v>
      </c>
    </row>
    <row r="74" spans="1:6" x14ac:dyDescent="0.35">
      <c r="A74" s="105">
        <v>71</v>
      </c>
      <c r="B74" s="110" t="s">
        <v>339</v>
      </c>
      <c r="C74" s="111"/>
      <c r="D74" s="647">
        <v>14467</v>
      </c>
      <c r="E74" s="644">
        <v>16976</v>
      </c>
      <c r="F74" s="644">
        <v>31443</v>
      </c>
    </row>
    <row r="75" spans="1:6" x14ac:dyDescent="0.35">
      <c r="A75" s="105">
        <v>72</v>
      </c>
      <c r="B75" s="110" t="s">
        <v>340</v>
      </c>
      <c r="C75" s="111"/>
      <c r="D75" s="647">
        <v>376078</v>
      </c>
      <c r="E75" s="644">
        <v>191641</v>
      </c>
      <c r="F75" s="644">
        <v>567719</v>
      </c>
    </row>
    <row r="76" spans="1:6" x14ac:dyDescent="0.35">
      <c r="A76" s="105">
        <v>73</v>
      </c>
      <c r="B76" s="110" t="s">
        <v>341</v>
      </c>
      <c r="C76" s="111"/>
      <c r="D76" s="647">
        <v>30868</v>
      </c>
      <c r="E76" s="644">
        <v>28742</v>
      </c>
      <c r="F76" s="644">
        <v>59610</v>
      </c>
    </row>
    <row r="77" spans="1:6" x14ac:dyDescent="0.35">
      <c r="A77" s="105">
        <v>74</v>
      </c>
      <c r="B77" s="110" t="s">
        <v>342</v>
      </c>
      <c r="C77" s="111"/>
      <c r="D77" s="647">
        <v>280</v>
      </c>
      <c r="E77" s="644">
        <v>232</v>
      </c>
      <c r="F77" s="644">
        <v>512</v>
      </c>
    </row>
    <row r="78" spans="1:6" x14ac:dyDescent="0.35">
      <c r="A78" s="105">
        <v>75</v>
      </c>
      <c r="B78" s="110" t="s">
        <v>343</v>
      </c>
      <c r="C78" s="111"/>
      <c r="D78" s="647">
        <v>3153</v>
      </c>
      <c r="E78" s="644">
        <v>6773</v>
      </c>
      <c r="F78" s="644">
        <v>9926</v>
      </c>
    </row>
    <row r="79" spans="1:6" x14ac:dyDescent="0.35">
      <c r="A79" s="105">
        <v>76</v>
      </c>
      <c r="B79" s="110" t="s">
        <v>344</v>
      </c>
      <c r="C79" s="111"/>
      <c r="D79" s="647">
        <v>621058</v>
      </c>
      <c r="E79" s="644">
        <v>370180</v>
      </c>
      <c r="F79" s="644">
        <v>991238</v>
      </c>
    </row>
    <row r="80" spans="1:6" x14ac:dyDescent="0.35">
      <c r="A80" s="105">
        <v>77</v>
      </c>
      <c r="B80" s="110" t="s">
        <v>345</v>
      </c>
      <c r="C80" s="111"/>
      <c r="D80" s="647">
        <v>139</v>
      </c>
      <c r="E80" s="644">
        <v>44</v>
      </c>
      <c r="F80" s="644">
        <v>183</v>
      </c>
    </row>
    <row r="81" spans="1:6" x14ac:dyDescent="0.35">
      <c r="A81" s="105">
        <v>78</v>
      </c>
      <c r="B81" s="110" t="s">
        <v>346</v>
      </c>
      <c r="C81" s="111"/>
      <c r="D81" s="647">
        <v>1635</v>
      </c>
      <c r="E81" s="644">
        <v>154</v>
      </c>
      <c r="F81" s="644">
        <v>1789</v>
      </c>
    </row>
    <row r="82" spans="1:6" x14ac:dyDescent="0.35">
      <c r="A82" s="105">
        <v>79</v>
      </c>
      <c r="B82" s="110" t="s">
        <v>347</v>
      </c>
      <c r="C82" s="111"/>
      <c r="D82" s="647">
        <v>149</v>
      </c>
      <c r="E82" s="644">
        <v>94</v>
      </c>
      <c r="F82" s="644">
        <v>243</v>
      </c>
    </row>
    <row r="83" spans="1:6" x14ac:dyDescent="0.35">
      <c r="A83" s="105">
        <v>80</v>
      </c>
      <c r="B83" s="110" t="s">
        <v>348</v>
      </c>
      <c r="C83" s="111" t="s">
        <v>349</v>
      </c>
      <c r="D83" s="647">
        <v>112</v>
      </c>
      <c r="E83" s="644">
        <v>121</v>
      </c>
      <c r="F83" s="644">
        <v>233</v>
      </c>
    </row>
    <row r="84" spans="1:6" x14ac:dyDescent="0.35">
      <c r="A84" s="105">
        <v>81</v>
      </c>
      <c r="B84" s="110"/>
      <c r="C84" s="111" t="s">
        <v>350</v>
      </c>
      <c r="D84" s="647">
        <v>47021</v>
      </c>
      <c r="E84" s="644">
        <v>80169</v>
      </c>
      <c r="F84" s="644">
        <v>127190</v>
      </c>
    </row>
    <row r="85" spans="1:6" x14ac:dyDescent="0.35">
      <c r="A85" s="105">
        <v>82</v>
      </c>
      <c r="B85" s="110"/>
      <c r="C85" s="111" t="s">
        <v>351</v>
      </c>
      <c r="D85" s="647">
        <v>112</v>
      </c>
      <c r="E85" s="644">
        <v>121</v>
      </c>
      <c r="F85" s="644">
        <v>233</v>
      </c>
    </row>
    <row r="86" spans="1:6" x14ac:dyDescent="0.35">
      <c r="A86" s="105">
        <v>83</v>
      </c>
      <c r="B86" s="110"/>
      <c r="C86" s="111" t="s">
        <v>352</v>
      </c>
      <c r="D86" s="647">
        <v>26299</v>
      </c>
      <c r="E86" s="644">
        <v>72809</v>
      </c>
      <c r="F86" s="644">
        <v>99108</v>
      </c>
    </row>
    <row r="87" spans="1:6" x14ac:dyDescent="0.35">
      <c r="A87" s="105">
        <v>84</v>
      </c>
      <c r="B87" s="110"/>
      <c r="C87" s="111" t="s">
        <v>353</v>
      </c>
      <c r="D87" s="647">
        <v>112</v>
      </c>
      <c r="E87" s="644">
        <v>121</v>
      </c>
      <c r="F87" s="644">
        <v>233</v>
      </c>
    </row>
    <row r="88" spans="1:6" x14ac:dyDescent="0.35">
      <c r="A88" s="105">
        <v>85</v>
      </c>
      <c r="B88" s="110"/>
      <c r="C88" s="111" t="s">
        <v>354</v>
      </c>
      <c r="D88" s="647">
        <v>112</v>
      </c>
      <c r="E88" s="644">
        <v>121</v>
      </c>
      <c r="F88" s="644">
        <v>233</v>
      </c>
    </row>
    <row r="89" spans="1:6" x14ac:dyDescent="0.35">
      <c r="A89" s="105">
        <v>86</v>
      </c>
      <c r="B89" s="110"/>
      <c r="C89" s="111" t="s">
        <v>355</v>
      </c>
      <c r="D89" s="647">
        <v>182415</v>
      </c>
      <c r="E89" s="644">
        <v>179792</v>
      </c>
      <c r="F89" s="644">
        <v>362207</v>
      </c>
    </row>
    <row r="90" spans="1:6" x14ac:dyDescent="0.35">
      <c r="A90" s="105">
        <v>87</v>
      </c>
      <c r="B90" s="110"/>
      <c r="C90" s="111" t="s">
        <v>356</v>
      </c>
      <c r="D90" s="647">
        <v>725</v>
      </c>
      <c r="E90" s="644">
        <v>2350</v>
      </c>
      <c r="F90" s="644">
        <v>3075</v>
      </c>
    </row>
    <row r="91" spans="1:6" x14ac:dyDescent="0.35">
      <c r="A91" s="105">
        <v>88</v>
      </c>
      <c r="B91" s="110"/>
      <c r="C91" s="111" t="s">
        <v>357</v>
      </c>
      <c r="D91" s="647">
        <v>112</v>
      </c>
      <c r="E91" s="644">
        <v>121</v>
      </c>
      <c r="F91" s="644">
        <v>233</v>
      </c>
    </row>
    <row r="92" spans="1:6" x14ac:dyDescent="0.35">
      <c r="A92" s="105">
        <v>89</v>
      </c>
      <c r="B92" s="110"/>
      <c r="C92" s="111" t="s">
        <v>358</v>
      </c>
      <c r="D92" s="647">
        <v>25419</v>
      </c>
      <c r="E92" s="644">
        <v>40129</v>
      </c>
      <c r="F92" s="644">
        <v>65548</v>
      </c>
    </row>
    <row r="93" spans="1:6" x14ac:dyDescent="0.35">
      <c r="A93" s="105">
        <v>90</v>
      </c>
      <c r="B93" s="110"/>
      <c r="C93" s="111" t="s">
        <v>359</v>
      </c>
      <c r="D93" s="647">
        <v>3207</v>
      </c>
      <c r="E93" s="644">
        <v>3535</v>
      </c>
      <c r="F93" s="644">
        <v>6742</v>
      </c>
    </row>
    <row r="94" spans="1:6" x14ac:dyDescent="0.35">
      <c r="A94" s="105">
        <v>91</v>
      </c>
      <c r="B94" s="110"/>
      <c r="C94" s="111" t="s">
        <v>360</v>
      </c>
      <c r="D94" s="647">
        <v>394</v>
      </c>
      <c r="E94" s="644">
        <v>510</v>
      </c>
      <c r="F94" s="644">
        <v>904</v>
      </c>
    </row>
    <row r="95" spans="1:6" x14ac:dyDescent="0.35">
      <c r="A95" s="105">
        <v>92</v>
      </c>
      <c r="B95" s="110"/>
      <c r="C95" s="111" t="s">
        <v>361</v>
      </c>
      <c r="D95" s="647">
        <v>1602</v>
      </c>
      <c r="E95" s="644">
        <v>2502</v>
      </c>
      <c r="F95" s="644">
        <v>4104</v>
      </c>
    </row>
    <row r="96" spans="1:6" x14ac:dyDescent="0.35">
      <c r="A96" s="105">
        <v>93</v>
      </c>
      <c r="B96" s="110"/>
      <c r="C96" s="111" t="s">
        <v>348</v>
      </c>
      <c r="D96" s="647">
        <v>26944</v>
      </c>
      <c r="E96" s="644">
        <v>49819</v>
      </c>
      <c r="F96" s="644">
        <v>76763</v>
      </c>
    </row>
    <row r="97" spans="1:6" x14ac:dyDescent="0.35">
      <c r="A97" s="105">
        <v>94</v>
      </c>
      <c r="B97" s="110"/>
      <c r="C97" s="111" t="s">
        <v>108</v>
      </c>
      <c r="D97" s="647">
        <v>138013</v>
      </c>
      <c r="E97" s="644">
        <v>402394</v>
      </c>
      <c r="F97" s="644">
        <v>540407</v>
      </c>
    </row>
    <row r="98" spans="1:6" x14ac:dyDescent="0.35">
      <c r="A98" s="105">
        <v>95</v>
      </c>
      <c r="B98" s="110"/>
      <c r="C98" s="111" t="s">
        <v>362</v>
      </c>
      <c r="D98" s="647">
        <v>2050</v>
      </c>
      <c r="E98" s="644">
        <v>3181</v>
      </c>
      <c r="F98" s="644">
        <v>5231</v>
      </c>
    </row>
    <row r="99" spans="1:6" x14ac:dyDescent="0.35">
      <c r="A99" s="105">
        <v>96</v>
      </c>
      <c r="B99" s="110"/>
      <c r="C99" s="111" t="s">
        <v>363</v>
      </c>
      <c r="D99" s="647">
        <v>3711</v>
      </c>
      <c r="E99" s="644">
        <v>5324</v>
      </c>
      <c r="F99" s="644">
        <v>9035</v>
      </c>
    </row>
    <row r="100" spans="1:6" x14ac:dyDescent="0.35">
      <c r="A100" s="105">
        <v>97</v>
      </c>
      <c r="B100" s="113"/>
      <c r="C100" s="113" t="s">
        <v>364</v>
      </c>
      <c r="D100" s="647">
        <v>4926</v>
      </c>
      <c r="E100" s="648">
        <v>7040</v>
      </c>
      <c r="F100" s="648">
        <v>11966</v>
      </c>
    </row>
    <row r="101" spans="1:6" x14ac:dyDescent="0.35">
      <c r="A101" s="105">
        <v>98</v>
      </c>
      <c r="B101" s="108"/>
      <c r="C101" s="108" t="s">
        <v>365</v>
      </c>
      <c r="D101" s="647">
        <v>1072</v>
      </c>
      <c r="E101" s="647">
        <v>2685</v>
      </c>
      <c r="F101" s="647">
        <v>3757</v>
      </c>
    </row>
    <row r="102" spans="1:6" x14ac:dyDescent="0.35">
      <c r="A102" s="105">
        <v>99</v>
      </c>
      <c r="B102" s="108"/>
      <c r="C102" s="108" t="s">
        <v>366</v>
      </c>
      <c r="D102" s="647">
        <v>112</v>
      </c>
      <c r="E102" s="647">
        <v>121</v>
      </c>
      <c r="F102" s="647">
        <v>233</v>
      </c>
    </row>
    <row r="103" spans="1:6" x14ac:dyDescent="0.35">
      <c r="A103" s="105">
        <v>100</v>
      </c>
      <c r="B103" s="108"/>
      <c r="C103" s="108" t="s">
        <v>367</v>
      </c>
      <c r="D103" s="647">
        <v>322914</v>
      </c>
      <c r="E103" s="647">
        <v>207254</v>
      </c>
      <c r="F103" s="647">
        <v>530168</v>
      </c>
    </row>
    <row r="104" spans="1:6" x14ac:dyDescent="0.35">
      <c r="A104" s="105">
        <v>101</v>
      </c>
      <c r="B104" s="108"/>
      <c r="C104" s="108" t="s">
        <v>368</v>
      </c>
      <c r="D104" s="647">
        <v>38719</v>
      </c>
      <c r="E104" s="647">
        <v>65578</v>
      </c>
      <c r="F104" s="647">
        <v>104297</v>
      </c>
    </row>
    <row r="105" spans="1:6" x14ac:dyDescent="0.35">
      <c r="A105" s="105">
        <v>102</v>
      </c>
      <c r="B105" s="108"/>
      <c r="C105" s="108" t="s">
        <v>369</v>
      </c>
      <c r="D105" s="647">
        <v>139</v>
      </c>
      <c r="E105" s="647">
        <v>167</v>
      </c>
      <c r="F105" s="647">
        <v>306</v>
      </c>
    </row>
    <row r="106" spans="1:6" x14ac:dyDescent="0.35">
      <c r="A106" s="105">
        <v>103</v>
      </c>
      <c r="B106" s="108"/>
      <c r="C106" s="108" t="s">
        <v>370</v>
      </c>
      <c r="D106" s="647">
        <v>112</v>
      </c>
      <c r="E106" s="647">
        <v>121</v>
      </c>
      <c r="F106" s="647">
        <v>233</v>
      </c>
    </row>
    <row r="107" spans="1:6" x14ac:dyDescent="0.35">
      <c r="A107" s="105">
        <v>104</v>
      </c>
      <c r="B107" s="108"/>
      <c r="C107" s="108" t="s">
        <v>371</v>
      </c>
      <c r="D107" s="647">
        <v>3617</v>
      </c>
      <c r="E107" s="647">
        <v>4635</v>
      </c>
      <c r="F107" s="647">
        <v>8252</v>
      </c>
    </row>
    <row r="108" spans="1:6" x14ac:dyDescent="0.35">
      <c r="A108" s="105">
        <v>105</v>
      </c>
      <c r="B108" s="110" t="s">
        <v>372</v>
      </c>
      <c r="C108" s="108"/>
      <c r="D108" s="648">
        <v>829971</v>
      </c>
      <c r="E108" s="648">
        <v>1130720</v>
      </c>
      <c r="F108" s="648">
        <v>1960691</v>
      </c>
    </row>
    <row r="109" spans="1:6" x14ac:dyDescent="0.35">
      <c r="A109" s="105">
        <v>106</v>
      </c>
      <c r="B109" s="108" t="s">
        <v>373</v>
      </c>
      <c r="C109" s="108"/>
      <c r="D109" s="647">
        <v>33952</v>
      </c>
      <c r="E109" s="647">
        <v>20079</v>
      </c>
      <c r="F109" s="647">
        <v>54031</v>
      </c>
    </row>
    <row r="110" spans="1:6" x14ac:dyDescent="0.35">
      <c r="A110" s="105">
        <v>107</v>
      </c>
      <c r="B110" s="108" t="s">
        <v>374</v>
      </c>
      <c r="C110" s="108"/>
      <c r="D110" s="647">
        <v>46768</v>
      </c>
      <c r="E110" s="647">
        <v>47013</v>
      </c>
      <c r="F110" s="647">
        <v>93781</v>
      </c>
    </row>
    <row r="111" spans="1:6" x14ac:dyDescent="0.35">
      <c r="A111" s="105">
        <v>108</v>
      </c>
      <c r="B111" s="108" t="s">
        <v>375</v>
      </c>
      <c r="C111" s="108"/>
      <c r="D111" s="647">
        <v>53201</v>
      </c>
      <c r="E111" s="647">
        <v>23420</v>
      </c>
      <c r="F111" s="647">
        <v>76621</v>
      </c>
    </row>
    <row r="112" spans="1:6" x14ac:dyDescent="0.35">
      <c r="A112" s="105">
        <v>109</v>
      </c>
      <c r="B112" s="108" t="s">
        <v>376</v>
      </c>
      <c r="C112" s="108"/>
      <c r="D112" s="647">
        <v>1882</v>
      </c>
      <c r="E112" s="647">
        <v>2124</v>
      </c>
      <c r="F112" s="647">
        <v>4006</v>
      </c>
    </row>
    <row r="113" spans="1:6" x14ac:dyDescent="0.35">
      <c r="A113" s="105">
        <v>110</v>
      </c>
      <c r="B113" s="108" t="s">
        <v>377</v>
      </c>
      <c r="C113" s="108"/>
      <c r="D113" s="647">
        <v>84</v>
      </c>
      <c r="E113" s="647">
        <v>61</v>
      </c>
      <c r="F113" s="647">
        <v>145</v>
      </c>
    </row>
    <row r="114" spans="1:6" x14ac:dyDescent="0.35">
      <c r="A114" s="105">
        <v>111</v>
      </c>
      <c r="B114" s="108" t="s">
        <v>378</v>
      </c>
      <c r="C114" s="108"/>
      <c r="D114" s="647">
        <v>183</v>
      </c>
      <c r="E114" s="647">
        <v>125</v>
      </c>
      <c r="F114" s="647">
        <v>308</v>
      </c>
    </row>
    <row r="115" spans="1:6" x14ac:dyDescent="0.35">
      <c r="A115" s="105">
        <v>112</v>
      </c>
      <c r="B115" s="108" t="s">
        <v>379</v>
      </c>
      <c r="C115" s="108"/>
      <c r="D115" s="647">
        <v>2287245</v>
      </c>
      <c r="E115" s="647">
        <v>2475744</v>
      </c>
      <c r="F115" s="647">
        <v>4762989</v>
      </c>
    </row>
    <row r="116" spans="1:6" x14ac:dyDescent="0.35">
      <c r="A116" s="105">
        <v>113</v>
      </c>
      <c r="B116" s="108" t="s">
        <v>380</v>
      </c>
      <c r="C116" s="108"/>
      <c r="D116" s="647">
        <v>49</v>
      </c>
      <c r="E116" s="647">
        <v>52</v>
      </c>
      <c r="F116" s="647">
        <v>101</v>
      </c>
    </row>
    <row r="117" spans="1:6" x14ac:dyDescent="0.35">
      <c r="A117" s="105">
        <v>114</v>
      </c>
      <c r="B117" s="108" t="s">
        <v>381</v>
      </c>
      <c r="C117" s="108"/>
      <c r="D117" s="647">
        <v>595639</v>
      </c>
      <c r="E117" s="647">
        <v>663057</v>
      </c>
      <c r="F117" s="647">
        <v>1258696</v>
      </c>
    </row>
    <row r="118" spans="1:6" x14ac:dyDescent="0.35">
      <c r="A118" s="105">
        <v>115</v>
      </c>
      <c r="B118" s="108" t="s">
        <v>382</v>
      </c>
      <c r="C118" s="108"/>
      <c r="D118" s="647">
        <v>22348</v>
      </c>
      <c r="E118" s="647">
        <v>18737</v>
      </c>
      <c r="F118" s="647">
        <v>41085</v>
      </c>
    </row>
    <row r="119" spans="1:6" x14ac:dyDescent="0.35">
      <c r="A119" s="105">
        <v>116</v>
      </c>
      <c r="B119" s="108" t="s">
        <v>383</v>
      </c>
      <c r="C119" s="108"/>
      <c r="D119" s="647">
        <v>15799</v>
      </c>
      <c r="E119" s="647">
        <v>10729</v>
      </c>
      <c r="F119" s="647">
        <v>26528</v>
      </c>
    </row>
    <row r="120" spans="1:6" x14ac:dyDescent="0.35">
      <c r="A120" s="105">
        <v>117</v>
      </c>
      <c r="B120" s="108" t="s">
        <v>384</v>
      </c>
      <c r="C120" s="108"/>
      <c r="D120" s="647">
        <v>0</v>
      </c>
      <c r="E120" s="647">
        <v>850</v>
      </c>
      <c r="F120" s="647">
        <v>850</v>
      </c>
    </row>
    <row r="121" spans="1:6" x14ac:dyDescent="0.35">
      <c r="A121" s="105"/>
      <c r="B121" s="114" t="s">
        <v>12</v>
      </c>
      <c r="C121" s="114"/>
      <c r="D121" s="648">
        <v>17481704</v>
      </c>
      <c r="E121" s="648">
        <v>16464752</v>
      </c>
      <c r="F121" s="648">
        <v>33946456</v>
      </c>
    </row>
  </sheetData>
  <mergeCells count="2">
    <mergeCell ref="B1:F1"/>
    <mergeCell ref="B2:C2"/>
  </mergeCells>
  <pageMargins left="0.59055118110236227" right="0.35433070866141736" top="0.39370078740157483" bottom="0.39370078740157483" header="0.31496062992125984" footer="0.19685039370078741"/>
  <pageSetup paperSize="9" scale="75" firstPageNumber="44" orientation="portrait" r:id="rId1"/>
  <headerFooter>
    <oddFooter>&amp;L&amp;"Arial,Italic"&amp;9AISHE 2022-23&amp;RT-12</oddFooter>
  </headerFooter>
  <rowBreaks count="1" manualBreakCount="1">
    <brk id="64" max="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0A61-1F34-4DEA-9BC6-0E1A2230D981}">
  <sheetPr codeName="Sheet23">
    <tabColor rgb="FF92D050"/>
  </sheetPr>
  <dimension ref="A1:L292"/>
  <sheetViews>
    <sheetView view="pageBreakPreview" topLeftCell="B1" zoomScale="85" zoomScaleSheetLayoutView="85" workbookViewId="0">
      <pane ySplit="4" topLeftCell="A5" activePane="bottomLeft" state="frozen"/>
      <selection activeCell="S20" sqref="S20"/>
      <selection pane="bottomLeft" activeCell="E18" sqref="E18"/>
    </sheetView>
  </sheetViews>
  <sheetFormatPr defaultColWidth="9.26953125" defaultRowHeight="14" x14ac:dyDescent="0.35"/>
  <cols>
    <col min="1" max="1" width="7.36328125" style="116" bestFit="1" customWidth="1"/>
    <col min="2" max="2" width="42.7265625" style="133" bestFit="1" customWidth="1"/>
    <col min="3" max="3" width="40.7265625" style="106" bestFit="1" customWidth="1"/>
    <col min="4" max="6" width="11.36328125" style="134" bestFit="1" customWidth="1"/>
    <col min="7" max="9" width="8.90625" style="134" bestFit="1" customWidth="1"/>
    <col min="10" max="12" width="12.36328125" style="134" bestFit="1" customWidth="1"/>
    <col min="13" max="16384" width="9.26953125" style="104"/>
  </cols>
  <sheetData>
    <row r="1" spans="1:12" ht="15" x14ac:dyDescent="0.35">
      <c r="A1" s="105"/>
      <c r="B1" s="785" t="s">
        <v>1038</v>
      </c>
      <c r="C1" s="785"/>
      <c r="D1" s="785"/>
      <c r="E1" s="785"/>
      <c r="F1" s="785"/>
      <c r="G1" s="785"/>
      <c r="H1" s="785"/>
      <c r="I1" s="785"/>
      <c r="J1" s="785"/>
      <c r="K1" s="785"/>
      <c r="L1" s="785"/>
    </row>
    <row r="2" spans="1:12" s="106" customFormat="1" x14ac:dyDescent="0.35">
      <c r="A2" s="790" t="s">
        <v>1</v>
      </c>
      <c r="B2" s="790" t="s">
        <v>269</v>
      </c>
      <c r="C2" s="790"/>
      <c r="D2" s="788" t="s">
        <v>85</v>
      </c>
      <c r="E2" s="788"/>
      <c r="F2" s="788"/>
      <c r="G2" s="788" t="s">
        <v>86</v>
      </c>
      <c r="H2" s="788"/>
      <c r="I2" s="788"/>
      <c r="J2" s="788" t="s">
        <v>87</v>
      </c>
      <c r="K2" s="788"/>
      <c r="L2" s="788"/>
    </row>
    <row r="3" spans="1:12" s="106" customFormat="1" x14ac:dyDescent="0.35">
      <c r="A3" s="790"/>
      <c r="B3" s="790"/>
      <c r="C3" s="790"/>
      <c r="D3" s="118" t="s">
        <v>93</v>
      </c>
      <c r="E3" s="118" t="s">
        <v>94</v>
      </c>
      <c r="F3" s="118" t="s">
        <v>54</v>
      </c>
      <c r="G3" s="118" t="s">
        <v>93</v>
      </c>
      <c r="H3" s="118" t="s">
        <v>94</v>
      </c>
      <c r="I3" s="118" t="s">
        <v>54</v>
      </c>
      <c r="J3" s="118" t="s">
        <v>93</v>
      </c>
      <c r="K3" s="118" t="s">
        <v>94</v>
      </c>
      <c r="L3" s="118" t="s">
        <v>54</v>
      </c>
    </row>
    <row r="4" spans="1:12" s="121" customFormat="1" x14ac:dyDescent="0.35">
      <c r="A4" s="119">
        <v>1</v>
      </c>
      <c r="B4" s="120">
        <v>2</v>
      </c>
      <c r="C4" s="119">
        <v>3</v>
      </c>
      <c r="D4" s="120">
        <v>4</v>
      </c>
      <c r="E4" s="119">
        <v>5</v>
      </c>
      <c r="F4" s="120">
        <v>6</v>
      </c>
      <c r="G4" s="119">
        <v>7</v>
      </c>
      <c r="H4" s="120">
        <v>8</v>
      </c>
      <c r="I4" s="119">
        <v>9</v>
      </c>
      <c r="J4" s="120">
        <v>10</v>
      </c>
      <c r="K4" s="119">
        <v>11</v>
      </c>
      <c r="L4" s="120">
        <v>12</v>
      </c>
    </row>
    <row r="5" spans="1:12" x14ac:dyDescent="0.35">
      <c r="A5" s="105">
        <v>1</v>
      </c>
      <c r="B5" s="794" t="s">
        <v>270</v>
      </c>
      <c r="C5" s="123" t="s">
        <v>270</v>
      </c>
      <c r="D5" s="651">
        <f t="shared" ref="D5:D68" si="0">F5-E5</f>
        <v>3131</v>
      </c>
      <c r="E5" s="651">
        <v>2744</v>
      </c>
      <c r="F5" s="651">
        <v>5875</v>
      </c>
      <c r="G5" s="651">
        <f t="shared" ref="G5:G68" si="1">I5-H5</f>
        <v>0</v>
      </c>
      <c r="H5" s="651"/>
      <c r="I5" s="651"/>
      <c r="J5" s="651">
        <f t="shared" ref="J5:J68" si="2">L5-K5</f>
        <v>21515</v>
      </c>
      <c r="K5" s="651">
        <v>12054</v>
      </c>
      <c r="L5" s="651">
        <v>33569</v>
      </c>
    </row>
    <row r="6" spans="1:12" x14ac:dyDescent="0.35">
      <c r="A6" s="105">
        <v>2</v>
      </c>
      <c r="B6" s="795"/>
      <c r="C6" s="123" t="s">
        <v>385</v>
      </c>
      <c r="D6" s="651">
        <f t="shared" si="0"/>
        <v>157</v>
      </c>
      <c r="E6" s="651">
        <v>140</v>
      </c>
      <c r="F6" s="651">
        <v>297</v>
      </c>
      <c r="G6" s="651">
        <f t="shared" si="1"/>
        <v>0</v>
      </c>
      <c r="H6" s="651"/>
      <c r="I6" s="651"/>
      <c r="J6" s="651">
        <f t="shared" si="2"/>
        <v>484</v>
      </c>
      <c r="K6" s="651">
        <v>500</v>
      </c>
      <c r="L6" s="651">
        <v>984</v>
      </c>
    </row>
    <row r="7" spans="1:12" x14ac:dyDescent="0.35">
      <c r="A7" s="105">
        <v>3</v>
      </c>
      <c r="B7" s="795"/>
      <c r="C7" s="123" t="s">
        <v>386</v>
      </c>
      <c r="D7" s="651">
        <f t="shared" si="0"/>
        <v>367</v>
      </c>
      <c r="E7" s="651">
        <v>446</v>
      </c>
      <c r="F7" s="651">
        <v>813</v>
      </c>
      <c r="G7" s="651">
        <f t="shared" si="1"/>
        <v>0</v>
      </c>
      <c r="H7" s="651"/>
      <c r="I7" s="651"/>
      <c r="J7" s="651">
        <f t="shared" si="2"/>
        <v>3532</v>
      </c>
      <c r="K7" s="651">
        <v>2221</v>
      </c>
      <c r="L7" s="651">
        <v>5753</v>
      </c>
    </row>
    <row r="8" spans="1:12" x14ac:dyDescent="0.35">
      <c r="A8" s="105">
        <v>4</v>
      </c>
      <c r="B8" s="796"/>
      <c r="C8" s="123" t="s">
        <v>387</v>
      </c>
      <c r="D8" s="651">
        <f t="shared" si="0"/>
        <v>5</v>
      </c>
      <c r="E8" s="651">
        <v>10</v>
      </c>
      <c r="F8" s="651">
        <v>15</v>
      </c>
      <c r="G8" s="651">
        <f t="shared" si="1"/>
        <v>0</v>
      </c>
      <c r="H8" s="651"/>
      <c r="I8" s="651"/>
      <c r="J8" s="651">
        <f t="shared" si="2"/>
        <v>40</v>
      </c>
      <c r="K8" s="651">
        <v>44</v>
      </c>
      <c r="L8" s="651">
        <v>84</v>
      </c>
    </row>
    <row r="9" spans="1:12" x14ac:dyDescent="0.35">
      <c r="A9" s="105">
        <v>5</v>
      </c>
      <c r="B9" s="629" t="s">
        <v>388</v>
      </c>
      <c r="C9" s="122"/>
      <c r="D9" s="652">
        <f t="shared" si="0"/>
        <v>3660</v>
      </c>
      <c r="E9" s="652">
        <v>3340</v>
      </c>
      <c r="F9" s="652">
        <v>7000</v>
      </c>
      <c r="G9" s="652">
        <f t="shared" si="1"/>
        <v>0</v>
      </c>
      <c r="H9" s="652"/>
      <c r="I9" s="652"/>
      <c r="J9" s="652">
        <f t="shared" si="2"/>
        <v>25571</v>
      </c>
      <c r="K9" s="652">
        <v>14819</v>
      </c>
      <c r="L9" s="652">
        <v>40390</v>
      </c>
    </row>
    <row r="10" spans="1:12" x14ac:dyDescent="0.35">
      <c r="A10" s="105">
        <v>6</v>
      </c>
      <c r="B10" s="629" t="s">
        <v>272</v>
      </c>
      <c r="C10" s="122" t="s">
        <v>328</v>
      </c>
      <c r="D10" s="651">
        <f t="shared" si="0"/>
        <v>0</v>
      </c>
      <c r="E10" s="651"/>
      <c r="F10" s="651"/>
      <c r="G10" s="651">
        <f t="shared" si="1"/>
        <v>0</v>
      </c>
      <c r="H10" s="651"/>
      <c r="I10" s="651"/>
      <c r="J10" s="651">
        <f t="shared" si="2"/>
        <v>5</v>
      </c>
      <c r="K10" s="651">
        <v>11</v>
      </c>
      <c r="L10" s="651">
        <v>16</v>
      </c>
    </row>
    <row r="11" spans="1:12" ht="15.5" x14ac:dyDescent="0.35">
      <c r="A11" s="105">
        <v>7</v>
      </c>
      <c r="B11" s="629" t="s">
        <v>389</v>
      </c>
      <c r="C11" s="423"/>
      <c r="D11" s="651">
        <f t="shared" si="0"/>
        <v>0</v>
      </c>
      <c r="E11" s="651"/>
      <c r="F11" s="651"/>
      <c r="G11" s="651">
        <f t="shared" si="1"/>
        <v>0</v>
      </c>
      <c r="H11" s="651"/>
      <c r="I11" s="651"/>
      <c r="J11" s="651">
        <f t="shared" si="2"/>
        <v>5</v>
      </c>
      <c r="K11" s="651">
        <v>11</v>
      </c>
      <c r="L11" s="651">
        <v>16</v>
      </c>
    </row>
    <row r="12" spans="1:12" x14ac:dyDescent="0.35">
      <c r="A12" s="105">
        <v>8</v>
      </c>
      <c r="B12" s="794" t="s">
        <v>274</v>
      </c>
      <c r="C12" s="122" t="s">
        <v>274</v>
      </c>
      <c r="D12" s="651">
        <f t="shared" si="0"/>
        <v>3289</v>
      </c>
      <c r="E12" s="651">
        <v>3804</v>
      </c>
      <c r="F12" s="651">
        <v>7093</v>
      </c>
      <c r="G12" s="651">
        <f t="shared" si="1"/>
        <v>63</v>
      </c>
      <c r="H12" s="651">
        <v>72</v>
      </c>
      <c r="I12" s="651">
        <v>135</v>
      </c>
      <c r="J12" s="651">
        <f t="shared" si="2"/>
        <v>49969</v>
      </c>
      <c r="K12" s="651">
        <v>73967</v>
      </c>
      <c r="L12" s="651">
        <v>123936</v>
      </c>
    </row>
    <row r="13" spans="1:12" x14ac:dyDescent="0.35">
      <c r="A13" s="105">
        <v>9</v>
      </c>
      <c r="B13" s="796"/>
      <c r="C13" s="122" t="s">
        <v>390</v>
      </c>
      <c r="D13" s="651">
        <f t="shared" si="0"/>
        <v>0</v>
      </c>
      <c r="E13" s="651"/>
      <c r="F13" s="651"/>
      <c r="G13" s="651">
        <f t="shared" si="1"/>
        <v>0</v>
      </c>
      <c r="H13" s="651"/>
      <c r="I13" s="651"/>
      <c r="J13" s="651">
        <f t="shared" si="2"/>
        <v>1</v>
      </c>
      <c r="K13" s="651">
        <v>0</v>
      </c>
      <c r="L13" s="651">
        <v>1</v>
      </c>
    </row>
    <row r="14" spans="1:12" x14ac:dyDescent="0.35">
      <c r="A14" s="105">
        <v>10</v>
      </c>
      <c r="B14" s="630" t="s">
        <v>391</v>
      </c>
      <c r="C14" s="125"/>
      <c r="D14" s="653">
        <f t="shared" si="0"/>
        <v>3289</v>
      </c>
      <c r="E14" s="653">
        <v>3804</v>
      </c>
      <c r="F14" s="653">
        <v>7093</v>
      </c>
      <c r="G14" s="653">
        <f t="shared" si="1"/>
        <v>63</v>
      </c>
      <c r="H14" s="653">
        <v>72</v>
      </c>
      <c r="I14" s="653">
        <v>135</v>
      </c>
      <c r="J14" s="653">
        <f t="shared" si="2"/>
        <v>49970</v>
      </c>
      <c r="K14" s="653">
        <v>73967</v>
      </c>
      <c r="L14" s="653">
        <v>123937</v>
      </c>
    </row>
    <row r="15" spans="1:12" x14ac:dyDescent="0.35">
      <c r="A15" s="105">
        <v>11</v>
      </c>
      <c r="B15" s="794" t="s">
        <v>275</v>
      </c>
      <c r="C15" s="124" t="s">
        <v>274</v>
      </c>
      <c r="D15" s="651">
        <f t="shared" si="0"/>
        <v>0</v>
      </c>
      <c r="E15" s="651"/>
      <c r="F15" s="651"/>
      <c r="G15" s="651">
        <f t="shared" si="1"/>
        <v>0</v>
      </c>
      <c r="H15" s="651"/>
      <c r="I15" s="651"/>
      <c r="J15" s="651">
        <f t="shared" si="2"/>
        <v>148</v>
      </c>
      <c r="K15" s="651">
        <v>355</v>
      </c>
      <c r="L15" s="651">
        <v>503</v>
      </c>
    </row>
    <row r="16" spans="1:12" x14ac:dyDescent="0.35">
      <c r="A16" s="105">
        <v>12</v>
      </c>
      <c r="B16" s="795"/>
      <c r="C16" s="122" t="s">
        <v>275</v>
      </c>
      <c r="D16" s="653">
        <f t="shared" si="0"/>
        <v>0</v>
      </c>
      <c r="E16" s="653"/>
      <c r="F16" s="653"/>
      <c r="G16" s="653">
        <f t="shared" si="1"/>
        <v>0</v>
      </c>
      <c r="H16" s="653"/>
      <c r="I16" s="653"/>
      <c r="J16" s="653">
        <f t="shared" si="2"/>
        <v>27746</v>
      </c>
      <c r="K16" s="653">
        <v>46573</v>
      </c>
      <c r="L16" s="653">
        <v>74319</v>
      </c>
    </row>
    <row r="17" spans="1:12" x14ac:dyDescent="0.35">
      <c r="A17" s="105">
        <v>13</v>
      </c>
      <c r="B17" s="795"/>
      <c r="C17" s="122" t="s">
        <v>284</v>
      </c>
      <c r="D17" s="651">
        <f t="shared" si="0"/>
        <v>0</v>
      </c>
      <c r="E17" s="651"/>
      <c r="F17" s="651"/>
      <c r="G17" s="651">
        <f t="shared" si="1"/>
        <v>0</v>
      </c>
      <c r="H17" s="651"/>
      <c r="I17" s="651"/>
      <c r="J17" s="651">
        <f t="shared" si="2"/>
        <v>46</v>
      </c>
      <c r="K17" s="651">
        <v>30</v>
      </c>
      <c r="L17" s="651">
        <v>76</v>
      </c>
    </row>
    <row r="18" spans="1:12" x14ac:dyDescent="0.35">
      <c r="A18" s="105">
        <v>14</v>
      </c>
      <c r="B18" s="795"/>
      <c r="C18" s="123" t="s">
        <v>392</v>
      </c>
      <c r="D18" s="651">
        <f t="shared" si="0"/>
        <v>0</v>
      </c>
      <c r="E18" s="651"/>
      <c r="F18" s="651"/>
      <c r="G18" s="651">
        <f t="shared" si="1"/>
        <v>0</v>
      </c>
      <c r="H18" s="651"/>
      <c r="I18" s="651"/>
      <c r="J18" s="651">
        <f t="shared" si="2"/>
        <v>0</v>
      </c>
      <c r="K18" s="651">
        <v>1</v>
      </c>
      <c r="L18" s="651">
        <v>1</v>
      </c>
    </row>
    <row r="19" spans="1:12" x14ac:dyDescent="0.35">
      <c r="A19" s="105">
        <v>15</v>
      </c>
      <c r="B19" s="795"/>
      <c r="C19" s="123" t="s">
        <v>393</v>
      </c>
      <c r="D19" s="651">
        <f t="shared" si="0"/>
        <v>0</v>
      </c>
      <c r="E19" s="651"/>
      <c r="F19" s="651"/>
      <c r="G19" s="651">
        <f t="shared" si="1"/>
        <v>0</v>
      </c>
      <c r="H19" s="651"/>
      <c r="I19" s="651"/>
      <c r="J19" s="651">
        <f t="shared" si="2"/>
        <v>11</v>
      </c>
      <c r="K19" s="651">
        <v>7</v>
      </c>
      <c r="L19" s="651">
        <v>18</v>
      </c>
    </row>
    <row r="20" spans="1:12" x14ac:dyDescent="0.35">
      <c r="A20" s="105">
        <v>16</v>
      </c>
      <c r="B20" s="796"/>
      <c r="C20" s="123" t="s">
        <v>394</v>
      </c>
      <c r="D20" s="651">
        <f t="shared" si="0"/>
        <v>0</v>
      </c>
      <c r="E20" s="651"/>
      <c r="F20" s="651"/>
      <c r="G20" s="651">
        <f t="shared" si="1"/>
        <v>0</v>
      </c>
      <c r="H20" s="651"/>
      <c r="I20" s="651"/>
      <c r="J20" s="651">
        <f t="shared" si="2"/>
        <v>4388</v>
      </c>
      <c r="K20" s="651">
        <v>7283</v>
      </c>
      <c r="L20" s="651">
        <v>11671</v>
      </c>
    </row>
    <row r="21" spans="1:12" x14ac:dyDescent="0.35">
      <c r="A21" s="105">
        <v>17</v>
      </c>
      <c r="B21" s="629" t="s">
        <v>395</v>
      </c>
      <c r="C21" s="123"/>
      <c r="D21" s="651">
        <f t="shared" si="0"/>
        <v>0</v>
      </c>
      <c r="E21" s="651"/>
      <c r="F21" s="651"/>
      <c r="G21" s="651">
        <f t="shared" si="1"/>
        <v>0</v>
      </c>
      <c r="H21" s="651"/>
      <c r="I21" s="651"/>
      <c r="J21" s="651">
        <f t="shared" si="2"/>
        <v>32339</v>
      </c>
      <c r="K21" s="651">
        <v>54249</v>
      </c>
      <c r="L21" s="651">
        <v>86588</v>
      </c>
    </row>
    <row r="22" spans="1:12" x14ac:dyDescent="0.35">
      <c r="A22" s="105">
        <v>18</v>
      </c>
      <c r="B22" s="629" t="s">
        <v>276</v>
      </c>
      <c r="C22" s="123" t="s">
        <v>276</v>
      </c>
      <c r="D22" s="651">
        <f t="shared" si="0"/>
        <v>0</v>
      </c>
      <c r="E22" s="651"/>
      <c r="F22" s="651"/>
      <c r="G22" s="651">
        <f t="shared" si="1"/>
        <v>0</v>
      </c>
      <c r="H22" s="651"/>
      <c r="I22" s="651"/>
      <c r="J22" s="651">
        <f t="shared" si="2"/>
        <v>12</v>
      </c>
      <c r="K22" s="651">
        <v>8</v>
      </c>
      <c r="L22" s="651">
        <v>20</v>
      </c>
    </row>
    <row r="23" spans="1:12" x14ac:dyDescent="0.35">
      <c r="A23" s="105">
        <v>19</v>
      </c>
      <c r="B23" s="629" t="s">
        <v>396</v>
      </c>
      <c r="C23" s="123"/>
      <c r="D23" s="653">
        <f t="shared" si="0"/>
        <v>0</v>
      </c>
      <c r="E23" s="653"/>
      <c r="F23" s="653"/>
      <c r="G23" s="653">
        <f t="shared" si="1"/>
        <v>0</v>
      </c>
      <c r="H23" s="653"/>
      <c r="I23" s="653"/>
      <c r="J23" s="653">
        <f t="shared" si="2"/>
        <v>12</v>
      </c>
      <c r="K23" s="653">
        <v>8</v>
      </c>
      <c r="L23" s="653">
        <v>20</v>
      </c>
    </row>
    <row r="24" spans="1:12" x14ac:dyDescent="0.35">
      <c r="A24" s="105">
        <v>20</v>
      </c>
      <c r="B24" s="794" t="s">
        <v>277</v>
      </c>
      <c r="C24" s="123" t="s">
        <v>277</v>
      </c>
      <c r="D24" s="651">
        <f t="shared" si="0"/>
        <v>3513</v>
      </c>
      <c r="E24" s="651">
        <v>5353</v>
      </c>
      <c r="F24" s="651">
        <v>8866</v>
      </c>
      <c r="G24" s="651">
        <f t="shared" si="1"/>
        <v>61</v>
      </c>
      <c r="H24" s="651">
        <v>149</v>
      </c>
      <c r="I24" s="651">
        <v>210</v>
      </c>
      <c r="J24" s="651">
        <f t="shared" si="2"/>
        <v>192568</v>
      </c>
      <c r="K24" s="651">
        <v>323731</v>
      </c>
      <c r="L24" s="651">
        <v>516299</v>
      </c>
    </row>
    <row r="25" spans="1:12" x14ac:dyDescent="0.35">
      <c r="A25" s="105">
        <v>21</v>
      </c>
      <c r="B25" s="795"/>
      <c r="C25" s="123" t="s">
        <v>397</v>
      </c>
      <c r="D25" s="651">
        <f t="shared" si="0"/>
        <v>0</v>
      </c>
      <c r="E25" s="651">
        <v>1</v>
      </c>
      <c r="F25" s="651">
        <v>1</v>
      </c>
      <c r="G25" s="651">
        <f t="shared" si="1"/>
        <v>0</v>
      </c>
      <c r="H25" s="651"/>
      <c r="I25" s="651"/>
      <c r="J25" s="651">
        <f t="shared" si="2"/>
        <v>0</v>
      </c>
      <c r="K25" s="651"/>
      <c r="L25" s="651"/>
    </row>
    <row r="26" spans="1:12" x14ac:dyDescent="0.35">
      <c r="A26" s="105">
        <v>22</v>
      </c>
      <c r="B26" s="796"/>
      <c r="C26" s="123" t="s">
        <v>398</v>
      </c>
      <c r="D26" s="651">
        <f t="shared" si="0"/>
        <v>0</v>
      </c>
      <c r="E26" s="651"/>
      <c r="F26" s="651"/>
      <c r="G26" s="651">
        <f t="shared" si="1"/>
        <v>0</v>
      </c>
      <c r="H26" s="651"/>
      <c r="I26" s="651"/>
      <c r="J26" s="651">
        <f t="shared" si="2"/>
        <v>20</v>
      </c>
      <c r="K26" s="651">
        <v>17</v>
      </c>
      <c r="L26" s="651">
        <v>37</v>
      </c>
    </row>
    <row r="27" spans="1:12" x14ac:dyDescent="0.35">
      <c r="A27" s="105">
        <v>23</v>
      </c>
      <c r="B27" s="629" t="s">
        <v>399</v>
      </c>
      <c r="C27" s="124"/>
      <c r="D27" s="654">
        <f t="shared" si="0"/>
        <v>3513</v>
      </c>
      <c r="E27" s="654">
        <v>5354</v>
      </c>
      <c r="F27" s="654">
        <v>8867</v>
      </c>
      <c r="G27" s="654">
        <f t="shared" si="1"/>
        <v>61</v>
      </c>
      <c r="H27" s="654">
        <v>149</v>
      </c>
      <c r="I27" s="654">
        <v>210</v>
      </c>
      <c r="J27" s="654">
        <f t="shared" si="2"/>
        <v>192588</v>
      </c>
      <c r="K27" s="654">
        <v>323748</v>
      </c>
      <c r="L27" s="654">
        <v>516336</v>
      </c>
    </row>
    <row r="28" spans="1:12" x14ac:dyDescent="0.35">
      <c r="A28" s="105">
        <v>24</v>
      </c>
      <c r="B28" s="629" t="s">
        <v>278</v>
      </c>
      <c r="C28" s="124" t="s">
        <v>400</v>
      </c>
      <c r="D28" s="651">
        <f t="shared" si="0"/>
        <v>0</v>
      </c>
      <c r="E28" s="651"/>
      <c r="F28" s="651"/>
      <c r="G28" s="651">
        <f t="shared" si="1"/>
        <v>0</v>
      </c>
      <c r="H28" s="651"/>
      <c r="I28" s="651"/>
      <c r="J28" s="651">
        <f t="shared" si="2"/>
        <v>113</v>
      </c>
      <c r="K28" s="651">
        <v>126</v>
      </c>
      <c r="L28" s="651">
        <v>239</v>
      </c>
    </row>
    <row r="29" spans="1:12" x14ac:dyDescent="0.35">
      <c r="A29" s="105">
        <v>25</v>
      </c>
      <c r="B29" s="629" t="s">
        <v>401</v>
      </c>
      <c r="C29" s="126"/>
      <c r="D29" s="651">
        <f t="shared" si="0"/>
        <v>0</v>
      </c>
      <c r="E29" s="651"/>
      <c r="F29" s="651"/>
      <c r="G29" s="651">
        <f t="shared" si="1"/>
        <v>0</v>
      </c>
      <c r="H29" s="651"/>
      <c r="I29" s="651"/>
      <c r="J29" s="651">
        <f t="shared" si="2"/>
        <v>113</v>
      </c>
      <c r="K29" s="651">
        <v>126</v>
      </c>
      <c r="L29" s="651">
        <v>239</v>
      </c>
    </row>
    <row r="30" spans="1:12" x14ac:dyDescent="0.35">
      <c r="A30" s="105">
        <v>26</v>
      </c>
      <c r="B30" s="629" t="s">
        <v>279</v>
      </c>
      <c r="C30" s="126" t="s">
        <v>279</v>
      </c>
      <c r="D30" s="651">
        <f t="shared" si="0"/>
        <v>27</v>
      </c>
      <c r="E30" s="651">
        <v>35</v>
      </c>
      <c r="F30" s="651">
        <v>62</v>
      </c>
      <c r="G30" s="651">
        <f t="shared" si="1"/>
        <v>0</v>
      </c>
      <c r="H30" s="651"/>
      <c r="I30" s="651"/>
      <c r="J30" s="651">
        <f t="shared" si="2"/>
        <v>808</v>
      </c>
      <c r="K30" s="651">
        <v>887</v>
      </c>
      <c r="L30" s="651">
        <v>1695</v>
      </c>
    </row>
    <row r="31" spans="1:12" x14ac:dyDescent="0.35">
      <c r="A31" s="105">
        <v>27</v>
      </c>
      <c r="B31" s="629" t="s">
        <v>402</v>
      </c>
      <c r="C31" s="124"/>
      <c r="D31" s="651">
        <f t="shared" si="0"/>
        <v>27</v>
      </c>
      <c r="E31" s="651">
        <v>35</v>
      </c>
      <c r="F31" s="651">
        <v>62</v>
      </c>
      <c r="G31" s="651">
        <f t="shared" si="1"/>
        <v>0</v>
      </c>
      <c r="H31" s="651"/>
      <c r="I31" s="651"/>
      <c r="J31" s="651">
        <f t="shared" si="2"/>
        <v>808</v>
      </c>
      <c r="K31" s="651">
        <v>887</v>
      </c>
      <c r="L31" s="651">
        <v>1695</v>
      </c>
    </row>
    <row r="32" spans="1:12" x14ac:dyDescent="0.35">
      <c r="A32" s="105">
        <v>28</v>
      </c>
      <c r="B32" s="629" t="s">
        <v>281</v>
      </c>
      <c r="C32" s="124" t="s">
        <v>281</v>
      </c>
      <c r="D32" s="651">
        <f t="shared" si="0"/>
        <v>256</v>
      </c>
      <c r="E32" s="651">
        <v>366</v>
      </c>
      <c r="F32" s="651">
        <v>622</v>
      </c>
      <c r="G32" s="651">
        <f t="shared" si="1"/>
        <v>15</v>
      </c>
      <c r="H32" s="651">
        <v>10</v>
      </c>
      <c r="I32" s="651">
        <v>25</v>
      </c>
      <c r="J32" s="651">
        <f t="shared" si="2"/>
        <v>4354</v>
      </c>
      <c r="K32" s="651">
        <v>7953</v>
      </c>
      <c r="L32" s="651">
        <v>12307</v>
      </c>
    </row>
    <row r="33" spans="1:12" x14ac:dyDescent="0.35">
      <c r="A33" s="105">
        <v>29</v>
      </c>
      <c r="B33" s="629" t="s">
        <v>403</v>
      </c>
      <c r="C33" s="124"/>
      <c r="D33" s="651">
        <f t="shared" si="0"/>
        <v>256</v>
      </c>
      <c r="E33" s="651">
        <v>366</v>
      </c>
      <c r="F33" s="651">
        <v>622</v>
      </c>
      <c r="G33" s="651">
        <f t="shared" si="1"/>
        <v>15</v>
      </c>
      <c r="H33" s="651">
        <v>10</v>
      </c>
      <c r="I33" s="651">
        <v>25</v>
      </c>
      <c r="J33" s="651">
        <f t="shared" si="2"/>
        <v>4354</v>
      </c>
      <c r="K33" s="651">
        <v>7953</v>
      </c>
      <c r="L33" s="651">
        <v>12307</v>
      </c>
    </row>
    <row r="34" spans="1:12" x14ac:dyDescent="0.35">
      <c r="A34" s="105">
        <v>30</v>
      </c>
      <c r="B34" s="794" t="s">
        <v>404</v>
      </c>
      <c r="C34" s="126" t="s">
        <v>404</v>
      </c>
      <c r="D34" s="651">
        <f t="shared" si="0"/>
        <v>0</v>
      </c>
      <c r="E34" s="651"/>
      <c r="F34" s="651"/>
      <c r="G34" s="651">
        <f t="shared" si="1"/>
        <v>0</v>
      </c>
      <c r="H34" s="651"/>
      <c r="I34" s="651"/>
      <c r="J34" s="651">
        <f t="shared" si="2"/>
        <v>276</v>
      </c>
      <c r="K34" s="651">
        <v>90</v>
      </c>
      <c r="L34" s="651">
        <v>366</v>
      </c>
    </row>
    <row r="35" spans="1:12" x14ac:dyDescent="0.35">
      <c r="A35" s="105">
        <v>31</v>
      </c>
      <c r="B35" s="796"/>
      <c r="C35" s="126" t="s">
        <v>405</v>
      </c>
      <c r="D35" s="651">
        <f t="shared" si="0"/>
        <v>0</v>
      </c>
      <c r="E35" s="651"/>
      <c r="F35" s="651"/>
      <c r="G35" s="651">
        <f t="shared" si="1"/>
        <v>0</v>
      </c>
      <c r="H35" s="651"/>
      <c r="I35" s="651"/>
      <c r="J35" s="651">
        <f t="shared" si="2"/>
        <v>1658</v>
      </c>
      <c r="K35" s="651">
        <v>590</v>
      </c>
      <c r="L35" s="651">
        <v>2248</v>
      </c>
    </row>
    <row r="36" spans="1:12" x14ac:dyDescent="0.35">
      <c r="A36" s="105">
        <v>32</v>
      </c>
      <c r="B36" s="629" t="s">
        <v>406</v>
      </c>
      <c r="C36" s="124"/>
      <c r="D36" s="654">
        <f t="shared" si="0"/>
        <v>0</v>
      </c>
      <c r="E36" s="654"/>
      <c r="F36" s="654"/>
      <c r="G36" s="654">
        <f t="shared" si="1"/>
        <v>0</v>
      </c>
      <c r="H36" s="654"/>
      <c r="I36" s="654"/>
      <c r="J36" s="654">
        <f t="shared" si="2"/>
        <v>1934</v>
      </c>
      <c r="K36" s="654">
        <v>680</v>
      </c>
      <c r="L36" s="654">
        <v>2614</v>
      </c>
    </row>
    <row r="37" spans="1:12" x14ac:dyDescent="0.35">
      <c r="A37" s="105">
        <v>33</v>
      </c>
      <c r="B37" s="629" t="s">
        <v>282</v>
      </c>
      <c r="C37" s="124" t="s">
        <v>282</v>
      </c>
      <c r="D37" s="651">
        <f t="shared" si="0"/>
        <v>60</v>
      </c>
      <c r="E37" s="651">
        <v>22</v>
      </c>
      <c r="F37" s="651">
        <v>82</v>
      </c>
      <c r="G37" s="651">
        <f t="shared" si="1"/>
        <v>0</v>
      </c>
      <c r="H37" s="651"/>
      <c r="I37" s="651"/>
      <c r="J37" s="651">
        <f t="shared" si="2"/>
        <v>1943</v>
      </c>
      <c r="K37" s="651">
        <v>1005</v>
      </c>
      <c r="L37" s="651">
        <v>2948</v>
      </c>
    </row>
    <row r="38" spans="1:12" x14ac:dyDescent="0.35">
      <c r="A38" s="105">
        <v>34</v>
      </c>
      <c r="B38" s="629" t="s">
        <v>407</v>
      </c>
      <c r="C38" s="126"/>
      <c r="D38" s="651">
        <f t="shared" si="0"/>
        <v>60</v>
      </c>
      <c r="E38" s="651">
        <v>22</v>
      </c>
      <c r="F38" s="651">
        <v>82</v>
      </c>
      <c r="G38" s="651">
        <f t="shared" si="1"/>
        <v>0</v>
      </c>
      <c r="H38" s="651"/>
      <c r="I38" s="651"/>
      <c r="J38" s="651">
        <f t="shared" si="2"/>
        <v>1943</v>
      </c>
      <c r="K38" s="651">
        <v>1005</v>
      </c>
      <c r="L38" s="651">
        <v>2948</v>
      </c>
    </row>
    <row r="39" spans="1:12" x14ac:dyDescent="0.35">
      <c r="A39" s="105">
        <v>35</v>
      </c>
      <c r="B39" s="794" t="s">
        <v>283</v>
      </c>
      <c r="C39" s="124" t="s">
        <v>283</v>
      </c>
      <c r="D39" s="651">
        <f t="shared" si="0"/>
        <v>346</v>
      </c>
      <c r="E39" s="651">
        <v>234</v>
      </c>
      <c r="F39" s="651">
        <v>580</v>
      </c>
      <c r="G39" s="651">
        <f t="shared" si="1"/>
        <v>0</v>
      </c>
      <c r="H39" s="651"/>
      <c r="I39" s="651"/>
      <c r="J39" s="651">
        <f t="shared" si="2"/>
        <v>1726</v>
      </c>
      <c r="K39" s="651">
        <v>2619</v>
      </c>
      <c r="L39" s="651">
        <v>4345</v>
      </c>
    </row>
    <row r="40" spans="1:12" x14ac:dyDescent="0.35">
      <c r="A40" s="105">
        <v>36</v>
      </c>
      <c r="B40" s="796"/>
      <c r="C40" s="126" t="s">
        <v>408</v>
      </c>
      <c r="D40" s="654">
        <f t="shared" si="0"/>
        <v>2</v>
      </c>
      <c r="E40" s="654">
        <v>2</v>
      </c>
      <c r="F40" s="654">
        <v>4</v>
      </c>
      <c r="G40" s="654">
        <f t="shared" si="1"/>
        <v>0</v>
      </c>
      <c r="H40" s="654"/>
      <c r="I40" s="654"/>
      <c r="J40" s="654">
        <f t="shared" si="2"/>
        <v>142</v>
      </c>
      <c r="K40" s="654">
        <v>610</v>
      </c>
      <c r="L40" s="654">
        <v>752</v>
      </c>
    </row>
    <row r="41" spans="1:12" x14ac:dyDescent="0.35">
      <c r="A41" s="105">
        <v>37</v>
      </c>
      <c r="B41" s="629" t="s">
        <v>409</v>
      </c>
      <c r="C41" s="126"/>
      <c r="D41" s="651">
        <f t="shared" si="0"/>
        <v>348</v>
      </c>
      <c r="E41" s="651">
        <v>236</v>
      </c>
      <c r="F41" s="651">
        <v>584</v>
      </c>
      <c r="G41" s="651">
        <f t="shared" si="1"/>
        <v>0</v>
      </c>
      <c r="H41" s="651"/>
      <c r="I41" s="651"/>
      <c r="J41" s="651">
        <f t="shared" si="2"/>
        <v>1868</v>
      </c>
      <c r="K41" s="651">
        <v>3229</v>
      </c>
      <c r="L41" s="651">
        <v>5097</v>
      </c>
    </row>
    <row r="42" spans="1:12" x14ac:dyDescent="0.35">
      <c r="A42" s="105">
        <v>38</v>
      </c>
      <c r="B42" s="629" t="s">
        <v>410</v>
      </c>
      <c r="C42" s="123" t="s">
        <v>410</v>
      </c>
      <c r="D42" s="651">
        <f t="shared" si="0"/>
        <v>0</v>
      </c>
      <c r="E42" s="651">
        <v>5</v>
      </c>
      <c r="F42" s="651">
        <v>5</v>
      </c>
      <c r="G42" s="651">
        <f t="shared" si="1"/>
        <v>1</v>
      </c>
      <c r="H42" s="651">
        <v>4</v>
      </c>
      <c r="I42" s="651">
        <v>5</v>
      </c>
      <c r="J42" s="651">
        <f t="shared" si="2"/>
        <v>165</v>
      </c>
      <c r="K42" s="651">
        <v>165</v>
      </c>
      <c r="L42" s="651">
        <v>330</v>
      </c>
    </row>
    <row r="43" spans="1:12" x14ac:dyDescent="0.35">
      <c r="A43" s="105">
        <v>39</v>
      </c>
      <c r="B43" s="629" t="s">
        <v>411</v>
      </c>
      <c r="C43" s="124"/>
      <c r="D43" s="651">
        <f t="shared" si="0"/>
        <v>0</v>
      </c>
      <c r="E43" s="651">
        <v>5</v>
      </c>
      <c r="F43" s="651">
        <v>5</v>
      </c>
      <c r="G43" s="651">
        <f t="shared" si="1"/>
        <v>1</v>
      </c>
      <c r="H43" s="651">
        <v>4</v>
      </c>
      <c r="I43" s="651">
        <v>5</v>
      </c>
      <c r="J43" s="651">
        <f t="shared" si="2"/>
        <v>165</v>
      </c>
      <c r="K43" s="651">
        <v>165</v>
      </c>
      <c r="L43" s="651">
        <v>330</v>
      </c>
    </row>
    <row r="44" spans="1:12" x14ac:dyDescent="0.35">
      <c r="A44" s="105">
        <v>40</v>
      </c>
      <c r="B44" s="629" t="s">
        <v>284</v>
      </c>
      <c r="C44" s="124" t="s">
        <v>284</v>
      </c>
      <c r="D44" s="651">
        <f t="shared" si="0"/>
        <v>3428</v>
      </c>
      <c r="E44" s="651">
        <v>5009</v>
      </c>
      <c r="F44" s="651">
        <v>8437</v>
      </c>
      <c r="G44" s="651">
        <f t="shared" si="1"/>
        <v>56</v>
      </c>
      <c r="H44" s="651">
        <v>70</v>
      </c>
      <c r="I44" s="651">
        <v>126</v>
      </c>
      <c r="J44" s="651">
        <f t="shared" si="2"/>
        <v>98658</v>
      </c>
      <c r="K44" s="651">
        <v>169042</v>
      </c>
      <c r="L44" s="651">
        <v>267700</v>
      </c>
    </row>
    <row r="45" spans="1:12" x14ac:dyDescent="0.35">
      <c r="A45" s="105">
        <v>41</v>
      </c>
      <c r="B45" s="629" t="s">
        <v>412</v>
      </c>
      <c r="C45" s="123"/>
      <c r="D45" s="651">
        <f t="shared" si="0"/>
        <v>3428</v>
      </c>
      <c r="E45" s="651">
        <v>5009</v>
      </c>
      <c r="F45" s="651">
        <v>8437</v>
      </c>
      <c r="G45" s="651">
        <f t="shared" si="1"/>
        <v>56</v>
      </c>
      <c r="H45" s="651">
        <v>70</v>
      </c>
      <c r="I45" s="651">
        <v>126</v>
      </c>
      <c r="J45" s="651">
        <f t="shared" si="2"/>
        <v>98658</v>
      </c>
      <c r="K45" s="651">
        <v>169042</v>
      </c>
      <c r="L45" s="651">
        <v>267700</v>
      </c>
    </row>
    <row r="46" spans="1:12" x14ac:dyDescent="0.35">
      <c r="A46" s="105">
        <v>42</v>
      </c>
      <c r="B46" s="794" t="s">
        <v>285</v>
      </c>
      <c r="C46" s="126" t="s">
        <v>286</v>
      </c>
      <c r="D46" s="651">
        <f t="shared" si="0"/>
        <v>470</v>
      </c>
      <c r="E46" s="651">
        <v>75</v>
      </c>
      <c r="F46" s="651">
        <v>545</v>
      </c>
      <c r="G46" s="651">
        <f t="shared" si="1"/>
        <v>0</v>
      </c>
      <c r="H46" s="651"/>
      <c r="I46" s="651"/>
      <c r="J46" s="651">
        <f t="shared" si="2"/>
        <v>821</v>
      </c>
      <c r="K46" s="651">
        <v>170</v>
      </c>
      <c r="L46" s="651">
        <v>991</v>
      </c>
    </row>
    <row r="47" spans="1:12" s="115" customFormat="1" x14ac:dyDescent="0.35">
      <c r="A47" s="105">
        <v>43</v>
      </c>
      <c r="B47" s="795"/>
      <c r="C47" s="122" t="s">
        <v>287</v>
      </c>
      <c r="D47" s="653">
        <f t="shared" si="0"/>
        <v>242</v>
      </c>
      <c r="E47" s="653">
        <v>137</v>
      </c>
      <c r="F47" s="653">
        <v>379</v>
      </c>
      <c r="G47" s="653">
        <f t="shared" si="1"/>
        <v>0</v>
      </c>
      <c r="H47" s="653"/>
      <c r="I47" s="653"/>
      <c r="J47" s="653">
        <f t="shared" si="2"/>
        <v>948</v>
      </c>
      <c r="K47" s="653">
        <v>534</v>
      </c>
      <c r="L47" s="653">
        <v>1482</v>
      </c>
    </row>
    <row r="48" spans="1:12" x14ac:dyDescent="0.35">
      <c r="A48" s="105">
        <v>44</v>
      </c>
      <c r="B48" s="795"/>
      <c r="C48" s="126" t="s">
        <v>289</v>
      </c>
      <c r="D48" s="651">
        <f t="shared" si="0"/>
        <v>238</v>
      </c>
      <c r="E48" s="651">
        <v>353</v>
      </c>
      <c r="F48" s="651">
        <v>591</v>
      </c>
      <c r="G48" s="651">
        <f t="shared" si="1"/>
        <v>0</v>
      </c>
      <c r="H48" s="651"/>
      <c r="I48" s="651"/>
      <c r="J48" s="651">
        <f t="shared" si="2"/>
        <v>1312</v>
      </c>
      <c r="K48" s="651">
        <v>2004</v>
      </c>
      <c r="L48" s="651">
        <v>3316</v>
      </c>
    </row>
    <row r="49" spans="1:12" x14ac:dyDescent="0.35">
      <c r="A49" s="105">
        <v>45</v>
      </c>
      <c r="B49" s="795"/>
      <c r="C49" s="123" t="s">
        <v>290</v>
      </c>
      <c r="D49" s="651">
        <f t="shared" si="0"/>
        <v>0</v>
      </c>
      <c r="E49" s="651"/>
      <c r="F49" s="651"/>
      <c r="G49" s="651">
        <f t="shared" si="1"/>
        <v>0</v>
      </c>
      <c r="H49" s="651"/>
      <c r="I49" s="651"/>
      <c r="J49" s="651">
        <f t="shared" si="2"/>
        <v>27</v>
      </c>
      <c r="K49" s="651">
        <v>15</v>
      </c>
      <c r="L49" s="651">
        <v>42</v>
      </c>
    </row>
    <row r="50" spans="1:12" x14ac:dyDescent="0.35">
      <c r="A50" s="105">
        <v>46</v>
      </c>
      <c r="B50" s="795"/>
      <c r="C50" s="123" t="s">
        <v>413</v>
      </c>
      <c r="D50" s="651">
        <f t="shared" si="0"/>
        <v>0</v>
      </c>
      <c r="E50" s="651"/>
      <c r="F50" s="651"/>
      <c r="G50" s="651">
        <f t="shared" si="1"/>
        <v>0</v>
      </c>
      <c r="H50" s="651"/>
      <c r="I50" s="651"/>
      <c r="J50" s="651">
        <f t="shared" si="2"/>
        <v>13</v>
      </c>
      <c r="K50" s="651">
        <v>1</v>
      </c>
      <c r="L50" s="651">
        <v>14</v>
      </c>
    </row>
    <row r="51" spans="1:12" x14ac:dyDescent="0.35">
      <c r="A51" s="105">
        <v>47</v>
      </c>
      <c r="B51" s="795"/>
      <c r="C51" s="126" t="s">
        <v>296</v>
      </c>
      <c r="D51" s="654">
        <f t="shared" si="0"/>
        <v>1039</v>
      </c>
      <c r="E51" s="654">
        <v>616</v>
      </c>
      <c r="F51" s="654">
        <v>1655</v>
      </c>
      <c r="G51" s="654">
        <f t="shared" si="1"/>
        <v>0</v>
      </c>
      <c r="H51" s="654"/>
      <c r="I51" s="654"/>
      <c r="J51" s="654">
        <f t="shared" si="2"/>
        <v>2111</v>
      </c>
      <c r="K51" s="654">
        <v>878</v>
      </c>
      <c r="L51" s="654">
        <v>2989</v>
      </c>
    </row>
    <row r="52" spans="1:12" x14ac:dyDescent="0.35">
      <c r="A52" s="105">
        <v>48</v>
      </c>
      <c r="B52" s="795"/>
      <c r="C52" s="126" t="s">
        <v>298</v>
      </c>
      <c r="D52" s="651">
        <f t="shared" si="0"/>
        <v>3695</v>
      </c>
      <c r="E52" s="651">
        <v>1485</v>
      </c>
      <c r="F52" s="651">
        <v>5180</v>
      </c>
      <c r="G52" s="651">
        <f t="shared" si="1"/>
        <v>0</v>
      </c>
      <c r="H52" s="651"/>
      <c r="I52" s="651"/>
      <c r="J52" s="651">
        <f t="shared" si="2"/>
        <v>24117</v>
      </c>
      <c r="K52" s="651">
        <v>8714</v>
      </c>
      <c r="L52" s="651">
        <v>32831</v>
      </c>
    </row>
    <row r="53" spans="1:12" x14ac:dyDescent="0.35">
      <c r="A53" s="105">
        <v>49</v>
      </c>
      <c r="B53" s="795"/>
      <c r="C53" s="124" t="s">
        <v>299</v>
      </c>
      <c r="D53" s="651">
        <f t="shared" si="0"/>
        <v>4757</v>
      </c>
      <c r="E53" s="651">
        <v>4067</v>
      </c>
      <c r="F53" s="651">
        <v>8824</v>
      </c>
      <c r="G53" s="651">
        <f t="shared" si="1"/>
        <v>0</v>
      </c>
      <c r="H53" s="651"/>
      <c r="I53" s="651"/>
      <c r="J53" s="651">
        <f t="shared" si="2"/>
        <v>16182</v>
      </c>
      <c r="K53" s="651">
        <v>12016</v>
      </c>
      <c r="L53" s="651">
        <v>28198</v>
      </c>
    </row>
    <row r="54" spans="1:12" s="115" customFormat="1" x14ac:dyDescent="0.35">
      <c r="A54" s="105">
        <v>50</v>
      </c>
      <c r="B54" s="795"/>
      <c r="C54" s="126" t="s">
        <v>301</v>
      </c>
      <c r="D54" s="651">
        <f t="shared" si="0"/>
        <v>4</v>
      </c>
      <c r="E54" s="651">
        <v>19</v>
      </c>
      <c r="F54" s="651">
        <v>23</v>
      </c>
      <c r="G54" s="651">
        <f t="shared" si="1"/>
        <v>0</v>
      </c>
      <c r="H54" s="651"/>
      <c r="I54" s="651"/>
      <c r="J54" s="651">
        <f t="shared" si="2"/>
        <v>61</v>
      </c>
      <c r="K54" s="651">
        <v>63</v>
      </c>
      <c r="L54" s="651">
        <v>124</v>
      </c>
    </row>
    <row r="55" spans="1:12" s="115" customFormat="1" x14ac:dyDescent="0.35">
      <c r="A55" s="105">
        <v>51</v>
      </c>
      <c r="B55" s="795"/>
      <c r="C55" s="127" t="s">
        <v>305</v>
      </c>
      <c r="D55" s="653">
        <f t="shared" si="0"/>
        <v>3392</v>
      </c>
      <c r="E55" s="653">
        <v>1473</v>
      </c>
      <c r="F55" s="653">
        <v>4865</v>
      </c>
      <c r="G55" s="653">
        <f t="shared" si="1"/>
        <v>0</v>
      </c>
      <c r="H55" s="653"/>
      <c r="I55" s="653"/>
      <c r="J55" s="653">
        <f t="shared" si="2"/>
        <v>10191</v>
      </c>
      <c r="K55" s="653">
        <v>4534</v>
      </c>
      <c r="L55" s="653">
        <v>14725</v>
      </c>
    </row>
    <row r="56" spans="1:12" x14ac:dyDescent="0.35">
      <c r="A56" s="105">
        <v>52</v>
      </c>
      <c r="B56" s="795"/>
      <c r="C56" s="122" t="s">
        <v>306</v>
      </c>
      <c r="D56" s="653">
        <f t="shared" si="0"/>
        <v>5</v>
      </c>
      <c r="E56" s="653">
        <v>8</v>
      </c>
      <c r="F56" s="653">
        <v>13</v>
      </c>
      <c r="G56" s="653">
        <f t="shared" si="1"/>
        <v>0</v>
      </c>
      <c r="H56" s="653"/>
      <c r="I56" s="653"/>
      <c r="J56" s="653">
        <f t="shared" si="2"/>
        <v>0</v>
      </c>
      <c r="K56" s="653"/>
      <c r="L56" s="653"/>
    </row>
    <row r="57" spans="1:12" x14ac:dyDescent="0.35">
      <c r="A57" s="105">
        <v>53</v>
      </c>
      <c r="B57" s="795"/>
      <c r="C57" s="126" t="s">
        <v>307</v>
      </c>
      <c r="D57" s="651">
        <f t="shared" si="0"/>
        <v>2873</v>
      </c>
      <c r="E57" s="651">
        <v>2343</v>
      </c>
      <c r="F57" s="651">
        <v>5216</v>
      </c>
      <c r="G57" s="651">
        <f t="shared" si="1"/>
        <v>0</v>
      </c>
      <c r="H57" s="651"/>
      <c r="I57" s="651"/>
      <c r="J57" s="651">
        <f t="shared" si="2"/>
        <v>9451</v>
      </c>
      <c r="K57" s="651">
        <v>7194</v>
      </c>
      <c r="L57" s="651">
        <v>16645</v>
      </c>
    </row>
    <row r="58" spans="1:12" x14ac:dyDescent="0.35">
      <c r="A58" s="105">
        <v>54</v>
      </c>
      <c r="B58" s="795"/>
      <c r="C58" s="124" t="s">
        <v>285</v>
      </c>
      <c r="D58" s="651">
        <f t="shared" si="0"/>
        <v>0</v>
      </c>
      <c r="E58" s="651"/>
      <c r="F58" s="651"/>
      <c r="G58" s="651">
        <f t="shared" si="1"/>
        <v>0</v>
      </c>
      <c r="H58" s="651"/>
      <c r="I58" s="651"/>
      <c r="J58" s="651">
        <f t="shared" si="2"/>
        <v>102</v>
      </c>
      <c r="K58" s="651">
        <v>71</v>
      </c>
      <c r="L58" s="651">
        <v>173</v>
      </c>
    </row>
    <row r="59" spans="1:12" x14ac:dyDescent="0.35">
      <c r="A59" s="105">
        <v>55</v>
      </c>
      <c r="B59" s="795"/>
      <c r="C59" s="127" t="s">
        <v>310</v>
      </c>
      <c r="D59" s="653">
        <f t="shared" si="0"/>
        <v>102</v>
      </c>
      <c r="E59" s="653">
        <v>140</v>
      </c>
      <c r="F59" s="653">
        <v>242</v>
      </c>
      <c r="G59" s="653">
        <f t="shared" si="1"/>
        <v>0</v>
      </c>
      <c r="H59" s="653"/>
      <c r="I59" s="653"/>
      <c r="J59" s="653">
        <f t="shared" si="2"/>
        <v>550</v>
      </c>
      <c r="K59" s="653">
        <v>674</v>
      </c>
      <c r="L59" s="653">
        <v>1224</v>
      </c>
    </row>
    <row r="60" spans="1:12" x14ac:dyDescent="0.35">
      <c r="A60" s="105">
        <v>56</v>
      </c>
      <c r="B60" s="795"/>
      <c r="C60" s="126" t="s">
        <v>311</v>
      </c>
      <c r="D60" s="651">
        <f t="shared" si="0"/>
        <v>276</v>
      </c>
      <c r="E60" s="651">
        <v>286</v>
      </c>
      <c r="F60" s="651">
        <v>562</v>
      </c>
      <c r="G60" s="651">
        <f t="shared" si="1"/>
        <v>0</v>
      </c>
      <c r="H60" s="651"/>
      <c r="I60" s="651"/>
      <c r="J60" s="651">
        <f t="shared" si="2"/>
        <v>1247</v>
      </c>
      <c r="K60" s="651">
        <v>662</v>
      </c>
      <c r="L60" s="651">
        <v>1909</v>
      </c>
    </row>
    <row r="61" spans="1:12" x14ac:dyDescent="0.35">
      <c r="A61" s="105">
        <v>57</v>
      </c>
      <c r="B61" s="795"/>
      <c r="C61" s="124" t="s">
        <v>313</v>
      </c>
      <c r="D61" s="651">
        <f t="shared" si="0"/>
        <v>83</v>
      </c>
      <c r="E61" s="651">
        <v>36</v>
      </c>
      <c r="F61" s="651">
        <v>119</v>
      </c>
      <c r="G61" s="651">
        <f t="shared" si="1"/>
        <v>0</v>
      </c>
      <c r="H61" s="651"/>
      <c r="I61" s="651"/>
      <c r="J61" s="651">
        <f t="shared" si="2"/>
        <v>154</v>
      </c>
      <c r="K61" s="651">
        <v>30</v>
      </c>
      <c r="L61" s="651">
        <v>184</v>
      </c>
    </row>
    <row r="62" spans="1:12" x14ac:dyDescent="0.35">
      <c r="A62" s="105">
        <v>58</v>
      </c>
      <c r="B62" s="795"/>
      <c r="C62" s="126" t="s">
        <v>315</v>
      </c>
      <c r="D62" s="651">
        <f t="shared" si="0"/>
        <v>5606</v>
      </c>
      <c r="E62" s="651">
        <v>658</v>
      </c>
      <c r="F62" s="651">
        <v>6264</v>
      </c>
      <c r="G62" s="651">
        <f t="shared" si="1"/>
        <v>0</v>
      </c>
      <c r="H62" s="651"/>
      <c r="I62" s="651"/>
      <c r="J62" s="651">
        <f t="shared" si="2"/>
        <v>17016</v>
      </c>
      <c r="K62" s="651">
        <v>1996</v>
      </c>
      <c r="L62" s="651">
        <v>19012</v>
      </c>
    </row>
    <row r="63" spans="1:12" x14ac:dyDescent="0.35">
      <c r="A63" s="105">
        <v>59</v>
      </c>
      <c r="B63" s="795"/>
      <c r="C63" s="123" t="s">
        <v>316</v>
      </c>
      <c r="D63" s="651">
        <f t="shared" si="0"/>
        <v>0</v>
      </c>
      <c r="E63" s="651"/>
      <c r="F63" s="651"/>
      <c r="G63" s="651">
        <f t="shared" si="1"/>
        <v>0</v>
      </c>
      <c r="H63" s="651"/>
      <c r="I63" s="651"/>
      <c r="J63" s="651">
        <f t="shared" si="2"/>
        <v>12</v>
      </c>
      <c r="K63" s="651">
        <v>2</v>
      </c>
      <c r="L63" s="651">
        <v>14</v>
      </c>
    </row>
    <row r="64" spans="1:12" x14ac:dyDescent="0.35">
      <c r="A64" s="105">
        <v>60</v>
      </c>
      <c r="B64" s="795"/>
      <c r="C64" s="124" t="s">
        <v>318</v>
      </c>
      <c r="D64" s="651">
        <f t="shared" si="0"/>
        <v>1027</v>
      </c>
      <c r="E64" s="651">
        <v>261</v>
      </c>
      <c r="F64" s="651">
        <v>1288</v>
      </c>
      <c r="G64" s="651">
        <f t="shared" si="1"/>
        <v>0</v>
      </c>
      <c r="H64" s="651"/>
      <c r="I64" s="651"/>
      <c r="J64" s="651">
        <f t="shared" si="2"/>
        <v>975</v>
      </c>
      <c r="K64" s="651">
        <v>160</v>
      </c>
      <c r="L64" s="651">
        <v>1135</v>
      </c>
    </row>
    <row r="65" spans="1:12" x14ac:dyDescent="0.35">
      <c r="A65" s="105">
        <v>61</v>
      </c>
      <c r="B65" s="795"/>
      <c r="C65" s="124" t="s">
        <v>319</v>
      </c>
      <c r="D65" s="653">
        <f t="shared" si="0"/>
        <v>261</v>
      </c>
      <c r="E65" s="653">
        <v>24</v>
      </c>
      <c r="F65" s="653">
        <v>285</v>
      </c>
      <c r="G65" s="653">
        <f t="shared" si="1"/>
        <v>0</v>
      </c>
      <c r="H65" s="653"/>
      <c r="I65" s="653"/>
      <c r="J65" s="653">
        <f t="shared" si="2"/>
        <v>351</v>
      </c>
      <c r="K65" s="653">
        <v>50</v>
      </c>
      <c r="L65" s="653">
        <v>401</v>
      </c>
    </row>
    <row r="66" spans="1:12" x14ac:dyDescent="0.35">
      <c r="A66" s="105">
        <v>62</v>
      </c>
      <c r="B66" s="795"/>
      <c r="C66" s="123" t="s">
        <v>321</v>
      </c>
      <c r="D66" s="651">
        <f t="shared" si="0"/>
        <v>9669</v>
      </c>
      <c r="E66" s="651">
        <v>6395</v>
      </c>
      <c r="F66" s="651">
        <v>16064</v>
      </c>
      <c r="G66" s="651">
        <f t="shared" si="1"/>
        <v>0</v>
      </c>
      <c r="H66" s="651">
        <v>0</v>
      </c>
      <c r="I66" s="651">
        <v>0</v>
      </c>
      <c r="J66" s="651">
        <f t="shared" si="2"/>
        <v>16026</v>
      </c>
      <c r="K66" s="651">
        <v>7097</v>
      </c>
      <c r="L66" s="651">
        <v>23123</v>
      </c>
    </row>
    <row r="67" spans="1:12" x14ac:dyDescent="0.35">
      <c r="A67" s="105">
        <v>63</v>
      </c>
      <c r="B67" s="795"/>
      <c r="C67" s="126" t="s">
        <v>323</v>
      </c>
      <c r="D67" s="651">
        <f t="shared" si="0"/>
        <v>53</v>
      </c>
      <c r="E67" s="651">
        <v>41</v>
      </c>
      <c r="F67" s="651">
        <v>94</v>
      </c>
      <c r="G67" s="651">
        <f t="shared" si="1"/>
        <v>0</v>
      </c>
      <c r="H67" s="651"/>
      <c r="I67" s="651"/>
      <c r="J67" s="651">
        <f t="shared" si="2"/>
        <v>1111</v>
      </c>
      <c r="K67" s="651">
        <v>1087</v>
      </c>
      <c r="L67" s="651">
        <v>2198</v>
      </c>
    </row>
    <row r="68" spans="1:12" x14ac:dyDescent="0.35">
      <c r="A68" s="105">
        <v>64</v>
      </c>
      <c r="B68" s="795"/>
      <c r="C68" s="123" t="s">
        <v>414</v>
      </c>
      <c r="D68" s="651">
        <f t="shared" si="0"/>
        <v>0</v>
      </c>
      <c r="E68" s="651"/>
      <c r="F68" s="651"/>
      <c r="G68" s="651">
        <f t="shared" si="1"/>
        <v>0</v>
      </c>
      <c r="H68" s="651"/>
      <c r="I68" s="651"/>
      <c r="J68" s="651">
        <f t="shared" si="2"/>
        <v>1</v>
      </c>
      <c r="K68" s="651">
        <v>0</v>
      </c>
      <c r="L68" s="651">
        <v>1</v>
      </c>
    </row>
    <row r="69" spans="1:12" x14ac:dyDescent="0.35">
      <c r="A69" s="105">
        <v>65</v>
      </c>
      <c r="B69" s="796"/>
      <c r="C69" s="123" t="s">
        <v>415</v>
      </c>
      <c r="D69" s="653">
        <f t="shared" ref="D69:D132" si="3">F69-E69</f>
        <v>0</v>
      </c>
      <c r="E69" s="653"/>
      <c r="F69" s="653"/>
      <c r="G69" s="653">
        <f t="shared" ref="G69:G132" si="4">I69-H69</f>
        <v>0</v>
      </c>
      <c r="H69" s="653"/>
      <c r="I69" s="653"/>
      <c r="J69" s="653">
        <f t="shared" ref="J69:J132" si="5">L69-K69</f>
        <v>92</v>
      </c>
      <c r="K69" s="653">
        <v>60</v>
      </c>
      <c r="L69" s="653">
        <v>152</v>
      </c>
    </row>
    <row r="70" spans="1:12" x14ac:dyDescent="0.35">
      <c r="A70" s="105">
        <v>66</v>
      </c>
      <c r="B70" s="629" t="s">
        <v>325</v>
      </c>
      <c r="C70" s="124"/>
      <c r="D70" s="651">
        <f t="shared" si="3"/>
        <v>33792</v>
      </c>
      <c r="E70" s="651">
        <v>18417</v>
      </c>
      <c r="F70" s="651">
        <v>52209</v>
      </c>
      <c r="G70" s="651">
        <f t="shared" si="4"/>
        <v>0</v>
      </c>
      <c r="H70" s="651">
        <v>0</v>
      </c>
      <c r="I70" s="651">
        <v>0</v>
      </c>
      <c r="J70" s="651">
        <f t="shared" si="5"/>
        <v>102871</v>
      </c>
      <c r="K70" s="651">
        <v>48012</v>
      </c>
      <c r="L70" s="651">
        <v>150883</v>
      </c>
    </row>
    <row r="71" spans="1:12" x14ac:dyDescent="0.35">
      <c r="A71" s="105">
        <v>67</v>
      </c>
      <c r="B71" s="794" t="s">
        <v>326</v>
      </c>
      <c r="C71" s="124" t="s">
        <v>296</v>
      </c>
      <c r="D71" s="651">
        <f t="shared" si="3"/>
        <v>55</v>
      </c>
      <c r="E71" s="651">
        <v>45</v>
      </c>
      <c r="F71" s="651">
        <v>100</v>
      </c>
      <c r="G71" s="651">
        <f t="shared" si="4"/>
        <v>0</v>
      </c>
      <c r="H71" s="651"/>
      <c r="I71" s="651"/>
      <c r="J71" s="651">
        <f t="shared" si="5"/>
        <v>0</v>
      </c>
      <c r="K71" s="651"/>
      <c r="L71" s="651"/>
    </row>
    <row r="72" spans="1:12" x14ac:dyDescent="0.35">
      <c r="A72" s="105">
        <v>68</v>
      </c>
      <c r="B72" s="795"/>
      <c r="C72" s="124" t="s">
        <v>297</v>
      </c>
      <c r="D72" s="651">
        <f t="shared" si="3"/>
        <v>30</v>
      </c>
      <c r="E72" s="651">
        <v>17</v>
      </c>
      <c r="F72" s="651">
        <v>47</v>
      </c>
      <c r="G72" s="651">
        <f t="shared" si="4"/>
        <v>0</v>
      </c>
      <c r="H72" s="651"/>
      <c r="I72" s="651"/>
      <c r="J72" s="651">
        <f t="shared" si="5"/>
        <v>0</v>
      </c>
      <c r="K72" s="651"/>
      <c r="L72" s="651"/>
    </row>
    <row r="73" spans="1:12" x14ac:dyDescent="0.35">
      <c r="A73" s="105">
        <v>69</v>
      </c>
      <c r="B73" s="795"/>
      <c r="C73" s="126" t="s">
        <v>416</v>
      </c>
      <c r="D73" s="651">
        <f t="shared" si="3"/>
        <v>43</v>
      </c>
      <c r="E73" s="651">
        <v>22</v>
      </c>
      <c r="F73" s="651">
        <v>65</v>
      </c>
      <c r="G73" s="651">
        <f t="shared" si="4"/>
        <v>0</v>
      </c>
      <c r="H73" s="651"/>
      <c r="I73" s="651"/>
      <c r="J73" s="651">
        <f t="shared" si="5"/>
        <v>0</v>
      </c>
      <c r="K73" s="651"/>
      <c r="L73" s="651"/>
    </row>
    <row r="74" spans="1:12" x14ac:dyDescent="0.35">
      <c r="A74" s="105">
        <v>70</v>
      </c>
      <c r="B74" s="795"/>
      <c r="C74" s="126" t="s">
        <v>303</v>
      </c>
      <c r="D74" s="651">
        <f t="shared" si="3"/>
        <v>10</v>
      </c>
      <c r="E74" s="651">
        <v>9</v>
      </c>
      <c r="F74" s="651">
        <v>19</v>
      </c>
      <c r="G74" s="651">
        <f t="shared" si="4"/>
        <v>0</v>
      </c>
      <c r="H74" s="651"/>
      <c r="I74" s="651"/>
      <c r="J74" s="651">
        <f t="shared" si="5"/>
        <v>0</v>
      </c>
      <c r="K74" s="651"/>
      <c r="L74" s="651"/>
    </row>
    <row r="75" spans="1:12" x14ac:dyDescent="0.35">
      <c r="A75" s="105">
        <v>71</v>
      </c>
      <c r="B75" s="795"/>
      <c r="C75" s="123" t="s">
        <v>304</v>
      </c>
      <c r="D75" s="651">
        <f t="shared" si="3"/>
        <v>25</v>
      </c>
      <c r="E75" s="651">
        <v>8</v>
      </c>
      <c r="F75" s="651">
        <v>33</v>
      </c>
      <c r="G75" s="651">
        <f t="shared" si="4"/>
        <v>0</v>
      </c>
      <c r="H75" s="651"/>
      <c r="I75" s="651"/>
      <c r="J75" s="651">
        <f t="shared" si="5"/>
        <v>0</v>
      </c>
      <c r="K75" s="651"/>
      <c r="L75" s="651"/>
    </row>
    <row r="76" spans="1:12" x14ac:dyDescent="0.35">
      <c r="A76" s="105">
        <v>72</v>
      </c>
      <c r="B76" s="795"/>
      <c r="C76" s="126" t="s">
        <v>306</v>
      </c>
      <c r="D76" s="651">
        <f t="shared" si="3"/>
        <v>18</v>
      </c>
      <c r="E76" s="651">
        <v>21</v>
      </c>
      <c r="F76" s="651">
        <v>39</v>
      </c>
      <c r="G76" s="651">
        <f t="shared" si="4"/>
        <v>0</v>
      </c>
      <c r="H76" s="651"/>
      <c r="I76" s="651"/>
      <c r="J76" s="651">
        <f t="shared" si="5"/>
        <v>0</v>
      </c>
      <c r="K76" s="651"/>
      <c r="L76" s="651"/>
    </row>
    <row r="77" spans="1:12" x14ac:dyDescent="0.35">
      <c r="A77" s="105">
        <v>73</v>
      </c>
      <c r="B77" s="796"/>
      <c r="C77" s="123" t="s">
        <v>314</v>
      </c>
      <c r="D77" s="651">
        <f t="shared" si="3"/>
        <v>49</v>
      </c>
      <c r="E77" s="651">
        <v>7</v>
      </c>
      <c r="F77" s="651">
        <v>56</v>
      </c>
      <c r="G77" s="651">
        <f t="shared" si="4"/>
        <v>0</v>
      </c>
      <c r="H77" s="651"/>
      <c r="I77" s="651"/>
      <c r="J77" s="651">
        <f t="shared" si="5"/>
        <v>0</v>
      </c>
      <c r="K77" s="651"/>
      <c r="L77" s="651"/>
    </row>
    <row r="78" spans="1:12" x14ac:dyDescent="0.35">
      <c r="A78" s="105">
        <v>74</v>
      </c>
      <c r="B78" s="629" t="s">
        <v>417</v>
      </c>
      <c r="C78" s="123"/>
      <c r="D78" s="651">
        <f t="shared" si="3"/>
        <v>230</v>
      </c>
      <c r="E78" s="651">
        <v>129</v>
      </c>
      <c r="F78" s="651">
        <v>359</v>
      </c>
      <c r="G78" s="651">
        <f t="shared" si="4"/>
        <v>0</v>
      </c>
      <c r="H78" s="651"/>
      <c r="I78" s="651"/>
      <c r="J78" s="651">
        <f t="shared" si="5"/>
        <v>0</v>
      </c>
      <c r="K78" s="651"/>
      <c r="L78" s="651"/>
    </row>
    <row r="79" spans="1:12" x14ac:dyDescent="0.35">
      <c r="A79" s="105">
        <v>75</v>
      </c>
      <c r="B79" s="629" t="s">
        <v>328</v>
      </c>
      <c r="C79" s="123" t="s">
        <v>328</v>
      </c>
      <c r="D79" s="651">
        <f t="shared" si="3"/>
        <v>23</v>
      </c>
      <c r="E79" s="651">
        <v>59</v>
      </c>
      <c r="F79" s="651">
        <v>82</v>
      </c>
      <c r="G79" s="651">
        <f t="shared" si="4"/>
        <v>3</v>
      </c>
      <c r="H79" s="651">
        <v>2</v>
      </c>
      <c r="I79" s="651">
        <v>5</v>
      </c>
      <c r="J79" s="651">
        <f t="shared" si="5"/>
        <v>358</v>
      </c>
      <c r="K79" s="651">
        <v>2266</v>
      </c>
      <c r="L79" s="651">
        <v>2624</v>
      </c>
    </row>
    <row r="80" spans="1:12" x14ac:dyDescent="0.35">
      <c r="A80" s="105">
        <v>76</v>
      </c>
      <c r="B80" s="629" t="s">
        <v>418</v>
      </c>
      <c r="C80" s="126"/>
      <c r="D80" s="651">
        <f t="shared" si="3"/>
        <v>23</v>
      </c>
      <c r="E80" s="651">
        <v>59</v>
      </c>
      <c r="F80" s="651">
        <v>82</v>
      </c>
      <c r="G80" s="651">
        <f t="shared" si="4"/>
        <v>3</v>
      </c>
      <c r="H80" s="651">
        <v>2</v>
      </c>
      <c r="I80" s="651">
        <v>5</v>
      </c>
      <c r="J80" s="651">
        <f t="shared" si="5"/>
        <v>358</v>
      </c>
      <c r="K80" s="651">
        <v>2266</v>
      </c>
      <c r="L80" s="651">
        <v>2624</v>
      </c>
    </row>
    <row r="81" spans="1:12" x14ac:dyDescent="0.35">
      <c r="A81" s="105">
        <v>77</v>
      </c>
      <c r="B81" s="794" t="s">
        <v>329</v>
      </c>
      <c r="C81" s="126" t="s">
        <v>329</v>
      </c>
      <c r="D81" s="651">
        <f t="shared" si="3"/>
        <v>207</v>
      </c>
      <c r="E81" s="651">
        <v>243</v>
      </c>
      <c r="F81" s="651">
        <v>450</v>
      </c>
      <c r="G81" s="651">
        <f t="shared" si="4"/>
        <v>1</v>
      </c>
      <c r="H81" s="651">
        <v>2</v>
      </c>
      <c r="I81" s="651">
        <v>3</v>
      </c>
      <c r="J81" s="651">
        <f t="shared" si="5"/>
        <v>1661</v>
      </c>
      <c r="K81" s="651">
        <v>2147</v>
      </c>
      <c r="L81" s="651">
        <v>3808</v>
      </c>
    </row>
    <row r="82" spans="1:12" x14ac:dyDescent="0.35">
      <c r="A82" s="105">
        <v>78</v>
      </c>
      <c r="B82" s="795"/>
      <c r="C82" s="126" t="s">
        <v>419</v>
      </c>
      <c r="D82" s="651">
        <f t="shared" si="3"/>
        <v>112</v>
      </c>
      <c r="E82" s="651">
        <v>142</v>
      </c>
      <c r="F82" s="651">
        <v>254</v>
      </c>
      <c r="G82" s="651">
        <f t="shared" si="4"/>
        <v>14</v>
      </c>
      <c r="H82" s="651">
        <v>6</v>
      </c>
      <c r="I82" s="651">
        <v>20</v>
      </c>
      <c r="J82" s="651">
        <f t="shared" si="5"/>
        <v>782</v>
      </c>
      <c r="K82" s="651">
        <v>1055</v>
      </c>
      <c r="L82" s="651">
        <v>1837</v>
      </c>
    </row>
    <row r="83" spans="1:12" x14ac:dyDescent="0.35">
      <c r="A83" s="105">
        <v>79</v>
      </c>
      <c r="B83" s="795"/>
      <c r="C83" s="123" t="s">
        <v>420</v>
      </c>
      <c r="D83" s="651">
        <f t="shared" si="3"/>
        <v>144</v>
      </c>
      <c r="E83" s="651">
        <v>218</v>
      </c>
      <c r="F83" s="651">
        <v>362</v>
      </c>
      <c r="G83" s="651">
        <f t="shared" si="4"/>
        <v>4</v>
      </c>
      <c r="H83" s="651">
        <v>2</v>
      </c>
      <c r="I83" s="651">
        <v>6</v>
      </c>
      <c r="J83" s="651">
        <f t="shared" si="5"/>
        <v>2081</v>
      </c>
      <c r="K83" s="651">
        <v>2635</v>
      </c>
      <c r="L83" s="651">
        <v>4716</v>
      </c>
    </row>
    <row r="84" spans="1:12" x14ac:dyDescent="0.35">
      <c r="A84" s="105">
        <v>80</v>
      </c>
      <c r="B84" s="796"/>
      <c r="C84" s="123" t="s">
        <v>421</v>
      </c>
      <c r="D84" s="651">
        <f t="shared" si="3"/>
        <v>44</v>
      </c>
      <c r="E84" s="651">
        <v>53</v>
      </c>
      <c r="F84" s="651">
        <v>97</v>
      </c>
      <c r="G84" s="651">
        <f t="shared" si="4"/>
        <v>0</v>
      </c>
      <c r="H84" s="651"/>
      <c r="I84" s="651"/>
      <c r="J84" s="651">
        <f t="shared" si="5"/>
        <v>740</v>
      </c>
      <c r="K84" s="651">
        <v>636</v>
      </c>
      <c r="L84" s="651">
        <v>1376</v>
      </c>
    </row>
    <row r="85" spans="1:12" x14ac:dyDescent="0.35">
      <c r="A85" s="105">
        <v>81</v>
      </c>
      <c r="B85" s="629" t="s">
        <v>422</v>
      </c>
      <c r="C85" s="123"/>
      <c r="D85" s="651">
        <f t="shared" si="3"/>
        <v>507</v>
      </c>
      <c r="E85" s="651">
        <v>656</v>
      </c>
      <c r="F85" s="651">
        <v>1163</v>
      </c>
      <c r="G85" s="651">
        <f t="shared" si="4"/>
        <v>19</v>
      </c>
      <c r="H85" s="651">
        <v>10</v>
      </c>
      <c r="I85" s="651">
        <v>29</v>
      </c>
      <c r="J85" s="651">
        <f t="shared" si="5"/>
        <v>5264</v>
      </c>
      <c r="K85" s="651">
        <v>6473</v>
      </c>
      <c r="L85" s="651">
        <v>11737</v>
      </c>
    </row>
    <row r="86" spans="1:12" x14ac:dyDescent="0.35">
      <c r="A86" s="105">
        <v>82</v>
      </c>
      <c r="B86" s="629" t="s">
        <v>330</v>
      </c>
      <c r="C86" s="123" t="s">
        <v>330</v>
      </c>
      <c r="D86" s="651">
        <f t="shared" si="3"/>
        <v>156</v>
      </c>
      <c r="E86" s="651">
        <v>164</v>
      </c>
      <c r="F86" s="651">
        <v>320</v>
      </c>
      <c r="G86" s="651">
        <f t="shared" si="4"/>
        <v>0</v>
      </c>
      <c r="H86" s="651"/>
      <c r="I86" s="651"/>
      <c r="J86" s="651">
        <f t="shared" si="5"/>
        <v>1182</v>
      </c>
      <c r="K86" s="651">
        <v>1010</v>
      </c>
      <c r="L86" s="651">
        <v>2192</v>
      </c>
    </row>
    <row r="87" spans="1:12" x14ac:dyDescent="0.35">
      <c r="A87" s="105">
        <v>83</v>
      </c>
      <c r="B87" s="629" t="s">
        <v>423</v>
      </c>
      <c r="C87" s="124"/>
      <c r="D87" s="651">
        <f t="shared" si="3"/>
        <v>156</v>
      </c>
      <c r="E87" s="651">
        <v>164</v>
      </c>
      <c r="F87" s="651">
        <v>320</v>
      </c>
      <c r="G87" s="651">
        <f t="shared" si="4"/>
        <v>0</v>
      </c>
      <c r="H87" s="651"/>
      <c r="I87" s="651"/>
      <c r="J87" s="651">
        <f t="shared" si="5"/>
        <v>1182</v>
      </c>
      <c r="K87" s="651">
        <v>1010</v>
      </c>
      <c r="L87" s="651">
        <v>2192</v>
      </c>
    </row>
    <row r="88" spans="1:12" x14ac:dyDescent="0.35">
      <c r="A88" s="105">
        <v>84</v>
      </c>
      <c r="B88" s="794" t="s">
        <v>332</v>
      </c>
      <c r="C88" s="124" t="s">
        <v>424</v>
      </c>
      <c r="D88" s="653">
        <f t="shared" si="3"/>
        <v>0</v>
      </c>
      <c r="E88" s="653"/>
      <c r="F88" s="653"/>
      <c r="G88" s="653">
        <f t="shared" si="4"/>
        <v>0</v>
      </c>
      <c r="H88" s="653"/>
      <c r="I88" s="653"/>
      <c r="J88" s="653">
        <f t="shared" si="5"/>
        <v>16</v>
      </c>
      <c r="K88" s="653">
        <v>10</v>
      </c>
      <c r="L88" s="653">
        <v>26</v>
      </c>
    </row>
    <row r="89" spans="1:12" x14ac:dyDescent="0.35">
      <c r="A89" s="105">
        <v>85</v>
      </c>
      <c r="B89" s="796"/>
      <c r="C89" s="123" t="s">
        <v>425</v>
      </c>
      <c r="D89" s="651">
        <f t="shared" si="3"/>
        <v>0</v>
      </c>
      <c r="E89" s="651"/>
      <c r="F89" s="651"/>
      <c r="G89" s="651">
        <f t="shared" si="4"/>
        <v>0</v>
      </c>
      <c r="H89" s="651"/>
      <c r="I89" s="651"/>
      <c r="J89" s="651">
        <f t="shared" si="5"/>
        <v>76</v>
      </c>
      <c r="K89" s="651">
        <v>107</v>
      </c>
      <c r="L89" s="651">
        <v>183</v>
      </c>
    </row>
    <row r="90" spans="1:12" x14ac:dyDescent="0.35">
      <c r="A90" s="105">
        <v>86</v>
      </c>
      <c r="B90" s="629" t="s">
        <v>426</v>
      </c>
      <c r="C90" s="126"/>
      <c r="D90" s="651">
        <f t="shared" si="3"/>
        <v>0</v>
      </c>
      <c r="E90" s="651"/>
      <c r="F90" s="651"/>
      <c r="G90" s="651">
        <f t="shared" si="4"/>
        <v>0</v>
      </c>
      <c r="H90" s="651"/>
      <c r="I90" s="651"/>
      <c r="J90" s="651">
        <f t="shared" si="5"/>
        <v>92</v>
      </c>
      <c r="K90" s="651">
        <v>117</v>
      </c>
      <c r="L90" s="651">
        <v>209</v>
      </c>
    </row>
    <row r="91" spans="1:12" x14ac:dyDescent="0.35">
      <c r="A91" s="105">
        <v>87</v>
      </c>
      <c r="B91" s="794" t="s">
        <v>333</v>
      </c>
      <c r="C91" s="126" t="s">
        <v>427</v>
      </c>
      <c r="D91" s="651">
        <f t="shared" si="3"/>
        <v>2027</v>
      </c>
      <c r="E91" s="651">
        <v>3768</v>
      </c>
      <c r="F91" s="651">
        <v>5795</v>
      </c>
      <c r="G91" s="651">
        <f t="shared" si="4"/>
        <v>52</v>
      </c>
      <c r="H91" s="651">
        <v>123</v>
      </c>
      <c r="I91" s="651">
        <v>175</v>
      </c>
      <c r="J91" s="651">
        <f t="shared" si="5"/>
        <v>93402</v>
      </c>
      <c r="K91" s="651">
        <v>183011</v>
      </c>
      <c r="L91" s="651">
        <v>276413</v>
      </c>
    </row>
    <row r="92" spans="1:12" x14ac:dyDescent="0.35">
      <c r="A92" s="105">
        <v>88</v>
      </c>
      <c r="B92" s="795"/>
      <c r="C92" s="123" t="s">
        <v>428</v>
      </c>
      <c r="D92" s="651">
        <f t="shared" si="3"/>
        <v>13</v>
      </c>
      <c r="E92" s="651">
        <v>23</v>
      </c>
      <c r="F92" s="651">
        <v>36</v>
      </c>
      <c r="G92" s="651">
        <f t="shared" si="4"/>
        <v>0</v>
      </c>
      <c r="H92" s="651"/>
      <c r="I92" s="651"/>
      <c r="J92" s="651">
        <f t="shared" si="5"/>
        <v>101</v>
      </c>
      <c r="K92" s="651">
        <v>323</v>
      </c>
      <c r="L92" s="651">
        <v>424</v>
      </c>
    </row>
    <row r="93" spans="1:12" x14ac:dyDescent="0.35">
      <c r="A93" s="105">
        <v>89</v>
      </c>
      <c r="B93" s="795"/>
      <c r="C93" s="123" t="s">
        <v>429</v>
      </c>
      <c r="D93" s="651">
        <f t="shared" si="3"/>
        <v>7</v>
      </c>
      <c r="E93" s="651">
        <v>11</v>
      </c>
      <c r="F93" s="651">
        <v>18</v>
      </c>
      <c r="G93" s="651">
        <f t="shared" si="4"/>
        <v>0</v>
      </c>
      <c r="H93" s="651"/>
      <c r="I93" s="651"/>
      <c r="J93" s="651">
        <f t="shared" si="5"/>
        <v>78</v>
      </c>
      <c r="K93" s="651">
        <v>96</v>
      </c>
      <c r="L93" s="651">
        <v>174</v>
      </c>
    </row>
    <row r="94" spans="1:12" x14ac:dyDescent="0.35">
      <c r="A94" s="105">
        <v>90</v>
      </c>
      <c r="B94" s="795"/>
      <c r="C94" s="123" t="s">
        <v>430</v>
      </c>
      <c r="D94" s="651">
        <f t="shared" si="3"/>
        <v>390</v>
      </c>
      <c r="E94" s="651">
        <v>216</v>
      </c>
      <c r="F94" s="651">
        <v>606</v>
      </c>
      <c r="G94" s="651">
        <f t="shared" si="4"/>
        <v>18</v>
      </c>
      <c r="H94" s="651">
        <v>2</v>
      </c>
      <c r="I94" s="651">
        <v>20</v>
      </c>
      <c r="J94" s="651">
        <f t="shared" si="5"/>
        <v>4223</v>
      </c>
      <c r="K94" s="651">
        <v>2807</v>
      </c>
      <c r="L94" s="651">
        <v>7030</v>
      </c>
    </row>
    <row r="95" spans="1:12" x14ac:dyDescent="0.35">
      <c r="A95" s="105">
        <v>91</v>
      </c>
      <c r="B95" s="796"/>
      <c r="C95" s="123" t="s">
        <v>431</v>
      </c>
      <c r="D95" s="651">
        <f t="shared" si="3"/>
        <v>6</v>
      </c>
      <c r="E95" s="651">
        <v>16</v>
      </c>
      <c r="F95" s="651">
        <v>22</v>
      </c>
      <c r="G95" s="651">
        <f t="shared" si="4"/>
        <v>0</v>
      </c>
      <c r="H95" s="651"/>
      <c r="I95" s="651"/>
      <c r="J95" s="651">
        <f t="shared" si="5"/>
        <v>20</v>
      </c>
      <c r="K95" s="651">
        <v>33</v>
      </c>
      <c r="L95" s="651">
        <v>53</v>
      </c>
    </row>
    <row r="96" spans="1:12" x14ac:dyDescent="0.35">
      <c r="A96" s="105">
        <v>92</v>
      </c>
      <c r="B96" s="629" t="s">
        <v>432</v>
      </c>
      <c r="C96" s="122"/>
      <c r="D96" s="653">
        <f t="shared" si="3"/>
        <v>2443</v>
      </c>
      <c r="E96" s="653">
        <v>4034</v>
      </c>
      <c r="F96" s="653">
        <v>6477</v>
      </c>
      <c r="G96" s="653">
        <f t="shared" si="4"/>
        <v>70</v>
      </c>
      <c r="H96" s="653">
        <v>125</v>
      </c>
      <c r="I96" s="653">
        <v>195</v>
      </c>
      <c r="J96" s="653">
        <f t="shared" si="5"/>
        <v>97824</v>
      </c>
      <c r="K96" s="653">
        <v>186270</v>
      </c>
      <c r="L96" s="653">
        <v>284094</v>
      </c>
    </row>
    <row r="97" spans="1:12" x14ac:dyDescent="0.35">
      <c r="A97" s="105">
        <v>93</v>
      </c>
      <c r="B97" s="794" t="s">
        <v>433</v>
      </c>
      <c r="C97" s="127" t="s">
        <v>434</v>
      </c>
      <c r="D97" s="651">
        <f t="shared" si="3"/>
        <v>0</v>
      </c>
      <c r="E97" s="651"/>
      <c r="F97" s="651"/>
      <c r="G97" s="651">
        <f t="shared" si="4"/>
        <v>0</v>
      </c>
      <c r="H97" s="651"/>
      <c r="I97" s="651"/>
      <c r="J97" s="651">
        <f t="shared" si="5"/>
        <v>45</v>
      </c>
      <c r="K97" s="651">
        <v>54</v>
      </c>
      <c r="L97" s="651">
        <v>99</v>
      </c>
    </row>
    <row r="98" spans="1:12" x14ac:dyDescent="0.35">
      <c r="A98" s="105">
        <v>94</v>
      </c>
      <c r="B98" s="796"/>
      <c r="C98" s="123" t="s">
        <v>433</v>
      </c>
      <c r="D98" s="651">
        <f t="shared" si="3"/>
        <v>0</v>
      </c>
      <c r="E98" s="651"/>
      <c r="F98" s="651"/>
      <c r="G98" s="651">
        <f t="shared" si="4"/>
        <v>0</v>
      </c>
      <c r="H98" s="651"/>
      <c r="I98" s="651"/>
      <c r="J98" s="651">
        <f t="shared" si="5"/>
        <v>368</v>
      </c>
      <c r="K98" s="651">
        <v>706</v>
      </c>
      <c r="L98" s="651">
        <v>1074</v>
      </c>
    </row>
    <row r="99" spans="1:12" x14ac:dyDescent="0.35">
      <c r="A99" s="105">
        <v>95</v>
      </c>
      <c r="B99" s="629" t="s">
        <v>435</v>
      </c>
      <c r="C99" s="128"/>
      <c r="D99" s="653">
        <f t="shared" si="3"/>
        <v>0</v>
      </c>
      <c r="E99" s="653"/>
      <c r="F99" s="653"/>
      <c r="G99" s="653">
        <f t="shared" si="4"/>
        <v>0</v>
      </c>
      <c r="H99" s="653"/>
      <c r="I99" s="653"/>
      <c r="J99" s="653">
        <f t="shared" si="5"/>
        <v>413</v>
      </c>
      <c r="K99" s="653">
        <v>760</v>
      </c>
      <c r="L99" s="653">
        <v>1173</v>
      </c>
    </row>
    <row r="100" spans="1:12" x14ac:dyDescent="0.35">
      <c r="A100" s="105">
        <v>96</v>
      </c>
      <c r="B100" s="629" t="s">
        <v>436</v>
      </c>
      <c r="C100" s="123" t="s">
        <v>408</v>
      </c>
      <c r="D100" s="651">
        <f t="shared" si="3"/>
        <v>0</v>
      </c>
      <c r="E100" s="651"/>
      <c r="F100" s="651"/>
      <c r="G100" s="651">
        <f t="shared" si="4"/>
        <v>0</v>
      </c>
      <c r="H100" s="651"/>
      <c r="I100" s="651"/>
      <c r="J100" s="651">
        <f t="shared" si="5"/>
        <v>9</v>
      </c>
      <c r="K100" s="651">
        <v>6</v>
      </c>
      <c r="L100" s="651">
        <v>15</v>
      </c>
    </row>
    <row r="101" spans="1:12" x14ac:dyDescent="0.35">
      <c r="A101" s="105">
        <v>97</v>
      </c>
      <c r="B101" s="629" t="s">
        <v>437</v>
      </c>
      <c r="C101" s="123"/>
      <c r="D101" s="651">
        <f t="shared" si="3"/>
        <v>0</v>
      </c>
      <c r="E101" s="651"/>
      <c r="F101" s="651"/>
      <c r="G101" s="651">
        <f t="shared" si="4"/>
        <v>0</v>
      </c>
      <c r="H101" s="651"/>
      <c r="I101" s="651"/>
      <c r="J101" s="651">
        <f t="shared" si="5"/>
        <v>9</v>
      </c>
      <c r="K101" s="651">
        <v>6</v>
      </c>
      <c r="L101" s="651">
        <v>15</v>
      </c>
    </row>
    <row r="102" spans="1:12" x14ac:dyDescent="0.35">
      <c r="A102" s="105">
        <v>98</v>
      </c>
      <c r="B102" s="794" t="s">
        <v>334</v>
      </c>
      <c r="C102" s="123" t="s">
        <v>334</v>
      </c>
      <c r="D102" s="651">
        <f t="shared" si="3"/>
        <v>59</v>
      </c>
      <c r="E102" s="651">
        <v>26</v>
      </c>
      <c r="F102" s="651">
        <v>85</v>
      </c>
      <c r="G102" s="651">
        <f t="shared" si="4"/>
        <v>0</v>
      </c>
      <c r="H102" s="651">
        <v>0</v>
      </c>
      <c r="I102" s="651">
        <v>0</v>
      </c>
      <c r="J102" s="651">
        <f t="shared" si="5"/>
        <v>651</v>
      </c>
      <c r="K102" s="651">
        <v>549</v>
      </c>
      <c r="L102" s="651">
        <v>1200</v>
      </c>
    </row>
    <row r="103" spans="1:12" x14ac:dyDescent="0.35">
      <c r="A103" s="105">
        <v>99</v>
      </c>
      <c r="B103" s="796"/>
      <c r="C103" s="124" t="s">
        <v>394</v>
      </c>
      <c r="D103" s="654">
        <f t="shared" si="3"/>
        <v>0</v>
      </c>
      <c r="E103" s="654"/>
      <c r="F103" s="654"/>
      <c r="G103" s="654">
        <f t="shared" si="4"/>
        <v>0</v>
      </c>
      <c r="H103" s="654"/>
      <c r="I103" s="654"/>
      <c r="J103" s="654">
        <f t="shared" si="5"/>
        <v>1</v>
      </c>
      <c r="K103" s="654">
        <v>1</v>
      </c>
      <c r="L103" s="654">
        <v>2</v>
      </c>
    </row>
    <row r="104" spans="1:12" x14ac:dyDescent="0.35">
      <c r="A104" s="105">
        <v>100</v>
      </c>
      <c r="B104" s="629" t="s">
        <v>438</v>
      </c>
      <c r="C104" s="124"/>
      <c r="D104" s="651">
        <f t="shared" si="3"/>
        <v>59</v>
      </c>
      <c r="E104" s="651">
        <v>26</v>
      </c>
      <c r="F104" s="651">
        <v>85</v>
      </c>
      <c r="G104" s="651">
        <f t="shared" si="4"/>
        <v>0</v>
      </c>
      <c r="H104" s="651">
        <v>0</v>
      </c>
      <c r="I104" s="651">
        <v>0</v>
      </c>
      <c r="J104" s="651">
        <f t="shared" si="5"/>
        <v>652</v>
      </c>
      <c r="K104" s="651">
        <v>550</v>
      </c>
      <c r="L104" s="651">
        <v>1202</v>
      </c>
    </row>
    <row r="105" spans="1:12" x14ac:dyDescent="0.35">
      <c r="A105" s="105">
        <v>101</v>
      </c>
      <c r="B105" s="794" t="s">
        <v>335</v>
      </c>
      <c r="C105" s="129" t="s">
        <v>439</v>
      </c>
      <c r="D105" s="653">
        <f t="shared" si="3"/>
        <v>0</v>
      </c>
      <c r="E105" s="653"/>
      <c r="F105" s="653"/>
      <c r="G105" s="653">
        <f t="shared" si="4"/>
        <v>0</v>
      </c>
      <c r="H105" s="653"/>
      <c r="I105" s="653"/>
      <c r="J105" s="653">
        <f t="shared" si="5"/>
        <v>123</v>
      </c>
      <c r="K105" s="653">
        <v>243</v>
      </c>
      <c r="L105" s="653">
        <v>366</v>
      </c>
    </row>
    <row r="106" spans="1:12" x14ac:dyDescent="0.35">
      <c r="A106" s="105">
        <v>102</v>
      </c>
      <c r="B106" s="795"/>
      <c r="C106" s="124" t="s">
        <v>310</v>
      </c>
      <c r="D106" s="651">
        <f t="shared" si="3"/>
        <v>14</v>
      </c>
      <c r="E106" s="651">
        <v>7</v>
      </c>
      <c r="F106" s="651">
        <v>21</v>
      </c>
      <c r="G106" s="651">
        <f t="shared" si="4"/>
        <v>0</v>
      </c>
      <c r="H106" s="651">
        <v>2</v>
      </c>
      <c r="I106" s="651">
        <v>2</v>
      </c>
      <c r="J106" s="651">
        <f t="shared" si="5"/>
        <v>198</v>
      </c>
      <c r="K106" s="651">
        <v>541</v>
      </c>
      <c r="L106" s="651">
        <v>739</v>
      </c>
    </row>
    <row r="107" spans="1:12" x14ac:dyDescent="0.35">
      <c r="A107" s="105">
        <v>103</v>
      </c>
      <c r="B107" s="795"/>
      <c r="C107" s="126" t="s">
        <v>335</v>
      </c>
      <c r="D107" s="651">
        <f t="shared" si="3"/>
        <v>107</v>
      </c>
      <c r="E107" s="651">
        <v>843</v>
      </c>
      <c r="F107" s="651">
        <v>950</v>
      </c>
      <c r="G107" s="651">
        <f t="shared" si="4"/>
        <v>3</v>
      </c>
      <c r="H107" s="651">
        <v>23</v>
      </c>
      <c r="I107" s="651">
        <v>26</v>
      </c>
      <c r="J107" s="651">
        <f t="shared" si="5"/>
        <v>489</v>
      </c>
      <c r="K107" s="651">
        <v>12051</v>
      </c>
      <c r="L107" s="651">
        <v>12540</v>
      </c>
    </row>
    <row r="108" spans="1:12" x14ac:dyDescent="0.35">
      <c r="A108" s="105">
        <v>104</v>
      </c>
      <c r="B108" s="796"/>
      <c r="C108" s="124" t="s">
        <v>440</v>
      </c>
      <c r="D108" s="651">
        <f t="shared" si="3"/>
        <v>11</v>
      </c>
      <c r="E108" s="651">
        <v>58</v>
      </c>
      <c r="F108" s="651">
        <v>69</v>
      </c>
      <c r="G108" s="651">
        <f t="shared" si="4"/>
        <v>1</v>
      </c>
      <c r="H108" s="651">
        <v>5</v>
      </c>
      <c r="I108" s="651">
        <v>6</v>
      </c>
      <c r="J108" s="651">
        <f t="shared" si="5"/>
        <v>349</v>
      </c>
      <c r="K108" s="651">
        <v>4014</v>
      </c>
      <c r="L108" s="651">
        <v>4363</v>
      </c>
    </row>
    <row r="109" spans="1:12" x14ac:dyDescent="0.35">
      <c r="A109" s="105">
        <v>105</v>
      </c>
      <c r="B109" s="629" t="s">
        <v>441</v>
      </c>
      <c r="C109" s="126"/>
      <c r="D109" s="651">
        <f t="shared" si="3"/>
        <v>132</v>
      </c>
      <c r="E109" s="651">
        <v>908</v>
      </c>
      <c r="F109" s="651">
        <v>1040</v>
      </c>
      <c r="G109" s="651">
        <f t="shared" si="4"/>
        <v>4</v>
      </c>
      <c r="H109" s="651">
        <v>30</v>
      </c>
      <c r="I109" s="651">
        <v>34</v>
      </c>
      <c r="J109" s="651">
        <f t="shared" si="5"/>
        <v>1159</v>
      </c>
      <c r="K109" s="651">
        <v>16849</v>
      </c>
      <c r="L109" s="651">
        <v>18008</v>
      </c>
    </row>
    <row r="110" spans="1:12" x14ac:dyDescent="0.35">
      <c r="A110" s="105">
        <v>106</v>
      </c>
      <c r="B110" s="794" t="s">
        <v>336</v>
      </c>
      <c r="C110" s="124" t="s">
        <v>442</v>
      </c>
      <c r="D110" s="651">
        <f t="shared" si="3"/>
        <v>0</v>
      </c>
      <c r="E110" s="651"/>
      <c r="F110" s="651"/>
      <c r="G110" s="651">
        <f t="shared" si="4"/>
        <v>0</v>
      </c>
      <c r="H110" s="651"/>
      <c r="I110" s="651"/>
      <c r="J110" s="651">
        <f t="shared" si="5"/>
        <v>14</v>
      </c>
      <c r="K110" s="651">
        <v>10</v>
      </c>
      <c r="L110" s="651">
        <v>24</v>
      </c>
    </row>
    <row r="111" spans="1:12" x14ac:dyDescent="0.35">
      <c r="A111" s="105">
        <v>107</v>
      </c>
      <c r="B111" s="796"/>
      <c r="C111" s="124" t="s">
        <v>443</v>
      </c>
      <c r="D111" s="651">
        <f t="shared" si="3"/>
        <v>0</v>
      </c>
      <c r="E111" s="651"/>
      <c r="F111" s="651"/>
      <c r="G111" s="651">
        <f t="shared" si="4"/>
        <v>0</v>
      </c>
      <c r="H111" s="651"/>
      <c r="I111" s="651"/>
      <c r="J111" s="651">
        <f t="shared" si="5"/>
        <v>284</v>
      </c>
      <c r="K111" s="651">
        <v>222</v>
      </c>
      <c r="L111" s="651">
        <v>506</v>
      </c>
    </row>
    <row r="112" spans="1:12" x14ac:dyDescent="0.35">
      <c r="A112" s="105">
        <v>108</v>
      </c>
      <c r="B112" s="629" t="s">
        <v>444</v>
      </c>
      <c r="C112" s="124"/>
      <c r="D112" s="651">
        <f t="shared" si="3"/>
        <v>0</v>
      </c>
      <c r="E112" s="651"/>
      <c r="F112" s="651"/>
      <c r="G112" s="651">
        <f t="shared" si="4"/>
        <v>0</v>
      </c>
      <c r="H112" s="651"/>
      <c r="I112" s="651"/>
      <c r="J112" s="651">
        <f t="shared" si="5"/>
        <v>298</v>
      </c>
      <c r="K112" s="651">
        <v>232</v>
      </c>
      <c r="L112" s="651">
        <v>530</v>
      </c>
    </row>
    <row r="113" spans="1:12" x14ac:dyDescent="0.35">
      <c r="A113" s="105">
        <v>109</v>
      </c>
      <c r="B113" s="794" t="s">
        <v>337</v>
      </c>
      <c r="C113" s="123" t="s">
        <v>445</v>
      </c>
      <c r="D113" s="651">
        <f t="shared" si="3"/>
        <v>204</v>
      </c>
      <c r="E113" s="651">
        <v>127</v>
      </c>
      <c r="F113" s="651">
        <v>331</v>
      </c>
      <c r="G113" s="651">
        <f t="shared" si="4"/>
        <v>35</v>
      </c>
      <c r="H113" s="651">
        <v>33</v>
      </c>
      <c r="I113" s="651">
        <v>68</v>
      </c>
      <c r="J113" s="651">
        <f t="shared" si="5"/>
        <v>18818</v>
      </c>
      <c r="K113" s="651">
        <v>44941</v>
      </c>
      <c r="L113" s="651">
        <v>63759</v>
      </c>
    </row>
    <row r="114" spans="1:12" x14ac:dyDescent="0.35">
      <c r="A114" s="105">
        <v>110</v>
      </c>
      <c r="B114" s="795"/>
      <c r="C114" s="123" t="s">
        <v>446</v>
      </c>
      <c r="D114" s="651">
        <f t="shared" si="3"/>
        <v>1949</v>
      </c>
      <c r="E114" s="651">
        <v>2033</v>
      </c>
      <c r="F114" s="651">
        <v>3982</v>
      </c>
      <c r="G114" s="651">
        <f t="shared" si="4"/>
        <v>17</v>
      </c>
      <c r="H114" s="651">
        <v>22</v>
      </c>
      <c r="I114" s="651">
        <v>39</v>
      </c>
      <c r="J114" s="651">
        <f t="shared" si="5"/>
        <v>74731</v>
      </c>
      <c r="K114" s="651">
        <v>140398</v>
      </c>
      <c r="L114" s="651">
        <v>215129</v>
      </c>
    </row>
    <row r="115" spans="1:12" x14ac:dyDescent="0.35">
      <c r="A115" s="105">
        <v>111</v>
      </c>
      <c r="B115" s="795"/>
      <c r="C115" s="123" t="s">
        <v>447</v>
      </c>
      <c r="D115" s="651">
        <f t="shared" si="3"/>
        <v>160</v>
      </c>
      <c r="E115" s="651">
        <v>126</v>
      </c>
      <c r="F115" s="651">
        <v>286</v>
      </c>
      <c r="G115" s="651">
        <f t="shared" si="4"/>
        <v>0</v>
      </c>
      <c r="H115" s="651">
        <v>6</v>
      </c>
      <c r="I115" s="651">
        <v>6</v>
      </c>
      <c r="J115" s="651">
        <f t="shared" si="5"/>
        <v>2501</v>
      </c>
      <c r="K115" s="651">
        <v>4197</v>
      </c>
      <c r="L115" s="651">
        <v>6698</v>
      </c>
    </row>
    <row r="116" spans="1:12" x14ac:dyDescent="0.35">
      <c r="A116" s="105">
        <v>112</v>
      </c>
      <c r="B116" s="795"/>
      <c r="C116" s="123" t="s">
        <v>448</v>
      </c>
      <c r="D116" s="651">
        <f t="shared" si="3"/>
        <v>154</v>
      </c>
      <c r="E116" s="651">
        <v>338</v>
      </c>
      <c r="F116" s="651">
        <v>492</v>
      </c>
      <c r="G116" s="651">
        <f t="shared" si="4"/>
        <v>0</v>
      </c>
      <c r="H116" s="651"/>
      <c r="I116" s="651"/>
      <c r="J116" s="651">
        <f t="shared" si="5"/>
        <v>678</v>
      </c>
      <c r="K116" s="651">
        <v>2722</v>
      </c>
      <c r="L116" s="651">
        <v>3400</v>
      </c>
    </row>
    <row r="117" spans="1:12" x14ac:dyDescent="0.35">
      <c r="A117" s="105">
        <v>113</v>
      </c>
      <c r="B117" s="795"/>
      <c r="C117" s="123" t="s">
        <v>449</v>
      </c>
      <c r="D117" s="651">
        <f t="shared" si="3"/>
        <v>71</v>
      </c>
      <c r="E117" s="651">
        <v>53</v>
      </c>
      <c r="F117" s="651">
        <v>124</v>
      </c>
      <c r="G117" s="651">
        <f t="shared" si="4"/>
        <v>0</v>
      </c>
      <c r="H117" s="651"/>
      <c r="I117" s="651"/>
      <c r="J117" s="651">
        <f t="shared" si="5"/>
        <v>2149</v>
      </c>
      <c r="K117" s="651">
        <v>5790</v>
      </c>
      <c r="L117" s="651">
        <v>7939</v>
      </c>
    </row>
    <row r="118" spans="1:12" x14ac:dyDescent="0.35">
      <c r="A118" s="105">
        <v>114</v>
      </c>
      <c r="B118" s="795"/>
      <c r="C118" s="123" t="s">
        <v>392</v>
      </c>
      <c r="D118" s="651">
        <f t="shared" si="3"/>
        <v>994</v>
      </c>
      <c r="E118" s="651">
        <v>912</v>
      </c>
      <c r="F118" s="651">
        <v>1906</v>
      </c>
      <c r="G118" s="651">
        <f t="shared" si="4"/>
        <v>26</v>
      </c>
      <c r="H118" s="651">
        <v>35</v>
      </c>
      <c r="I118" s="651">
        <v>61</v>
      </c>
      <c r="J118" s="651">
        <f t="shared" si="5"/>
        <v>29056</v>
      </c>
      <c r="K118" s="651">
        <v>44521</v>
      </c>
      <c r="L118" s="651">
        <v>73577</v>
      </c>
    </row>
    <row r="119" spans="1:12" x14ac:dyDescent="0.35">
      <c r="A119" s="105">
        <v>115</v>
      </c>
      <c r="B119" s="795"/>
      <c r="C119" s="123" t="s">
        <v>450</v>
      </c>
      <c r="D119" s="651">
        <f t="shared" si="3"/>
        <v>163</v>
      </c>
      <c r="E119" s="651">
        <v>162</v>
      </c>
      <c r="F119" s="651">
        <v>325</v>
      </c>
      <c r="G119" s="651">
        <f t="shared" si="4"/>
        <v>9</v>
      </c>
      <c r="H119" s="651">
        <v>6</v>
      </c>
      <c r="I119" s="651">
        <v>15</v>
      </c>
      <c r="J119" s="651">
        <f t="shared" si="5"/>
        <v>2290</v>
      </c>
      <c r="K119" s="651">
        <v>5638</v>
      </c>
      <c r="L119" s="651">
        <v>7928</v>
      </c>
    </row>
    <row r="120" spans="1:12" x14ac:dyDescent="0.35">
      <c r="A120" s="105">
        <v>116</v>
      </c>
      <c r="B120" s="795"/>
      <c r="C120" s="123" t="s">
        <v>451</v>
      </c>
      <c r="D120" s="651">
        <f t="shared" si="3"/>
        <v>994</v>
      </c>
      <c r="E120" s="651">
        <v>641</v>
      </c>
      <c r="F120" s="651">
        <v>1635</v>
      </c>
      <c r="G120" s="651">
        <f t="shared" si="4"/>
        <v>33</v>
      </c>
      <c r="H120" s="651">
        <v>29</v>
      </c>
      <c r="I120" s="651">
        <v>62</v>
      </c>
      <c r="J120" s="651">
        <f t="shared" si="5"/>
        <v>12237</v>
      </c>
      <c r="K120" s="651">
        <v>24361</v>
      </c>
      <c r="L120" s="651">
        <v>36598</v>
      </c>
    </row>
    <row r="121" spans="1:12" x14ac:dyDescent="0.35">
      <c r="A121" s="105">
        <v>117</v>
      </c>
      <c r="B121" s="795"/>
      <c r="C121" s="123" t="s">
        <v>452</v>
      </c>
      <c r="D121" s="651">
        <f t="shared" si="3"/>
        <v>306</v>
      </c>
      <c r="E121" s="651">
        <v>666</v>
      </c>
      <c r="F121" s="651">
        <v>972</v>
      </c>
      <c r="G121" s="651">
        <f t="shared" si="4"/>
        <v>31</v>
      </c>
      <c r="H121" s="651">
        <v>89</v>
      </c>
      <c r="I121" s="651">
        <v>120</v>
      </c>
      <c r="J121" s="651">
        <f t="shared" si="5"/>
        <v>3859</v>
      </c>
      <c r="K121" s="651">
        <v>9535</v>
      </c>
      <c r="L121" s="651">
        <v>13394</v>
      </c>
    </row>
    <row r="122" spans="1:12" x14ac:dyDescent="0.35">
      <c r="A122" s="105">
        <v>118</v>
      </c>
      <c r="B122" s="795"/>
      <c r="C122" s="124" t="s">
        <v>453</v>
      </c>
      <c r="D122" s="654">
        <f t="shared" si="3"/>
        <v>206</v>
      </c>
      <c r="E122" s="654">
        <v>86</v>
      </c>
      <c r="F122" s="654">
        <v>292</v>
      </c>
      <c r="G122" s="654">
        <f t="shared" si="4"/>
        <v>1</v>
      </c>
      <c r="H122" s="654">
        <v>1</v>
      </c>
      <c r="I122" s="654">
        <v>2</v>
      </c>
      <c r="J122" s="654">
        <f t="shared" si="5"/>
        <v>3815</v>
      </c>
      <c r="K122" s="654">
        <v>7242</v>
      </c>
      <c r="L122" s="654">
        <v>11057</v>
      </c>
    </row>
    <row r="123" spans="1:12" x14ac:dyDescent="0.35">
      <c r="A123" s="105">
        <v>119</v>
      </c>
      <c r="B123" s="795"/>
      <c r="C123" s="123" t="s">
        <v>393</v>
      </c>
      <c r="D123" s="651">
        <f t="shared" si="3"/>
        <v>701</v>
      </c>
      <c r="E123" s="651">
        <v>289</v>
      </c>
      <c r="F123" s="651">
        <v>990</v>
      </c>
      <c r="G123" s="651">
        <f t="shared" si="4"/>
        <v>5</v>
      </c>
      <c r="H123" s="651">
        <v>10</v>
      </c>
      <c r="I123" s="651">
        <v>15</v>
      </c>
      <c r="J123" s="651">
        <f t="shared" si="5"/>
        <v>7489</v>
      </c>
      <c r="K123" s="651">
        <v>13208</v>
      </c>
      <c r="L123" s="651">
        <v>20697</v>
      </c>
    </row>
    <row r="124" spans="1:12" x14ac:dyDescent="0.35">
      <c r="A124" s="105">
        <v>120</v>
      </c>
      <c r="B124" s="796"/>
      <c r="C124" s="123" t="s">
        <v>394</v>
      </c>
      <c r="D124" s="651">
        <f t="shared" si="3"/>
        <v>0</v>
      </c>
      <c r="E124" s="651"/>
      <c r="F124" s="651"/>
      <c r="G124" s="651">
        <f t="shared" si="4"/>
        <v>0</v>
      </c>
      <c r="H124" s="651"/>
      <c r="I124" s="651"/>
      <c r="J124" s="651">
        <f t="shared" si="5"/>
        <v>26</v>
      </c>
      <c r="K124" s="651">
        <v>38</v>
      </c>
      <c r="L124" s="651">
        <v>64</v>
      </c>
    </row>
    <row r="125" spans="1:12" x14ac:dyDescent="0.35">
      <c r="A125" s="105">
        <v>121</v>
      </c>
      <c r="B125" s="629" t="s">
        <v>454</v>
      </c>
      <c r="C125" s="123"/>
      <c r="D125" s="651">
        <f t="shared" si="3"/>
        <v>5902</v>
      </c>
      <c r="E125" s="651">
        <v>5433</v>
      </c>
      <c r="F125" s="651">
        <v>11335</v>
      </c>
      <c r="G125" s="651">
        <f t="shared" si="4"/>
        <v>157</v>
      </c>
      <c r="H125" s="651">
        <v>231</v>
      </c>
      <c r="I125" s="651">
        <v>388</v>
      </c>
      <c r="J125" s="651">
        <f t="shared" si="5"/>
        <v>157649</v>
      </c>
      <c r="K125" s="651">
        <v>302591</v>
      </c>
      <c r="L125" s="651">
        <v>460240</v>
      </c>
    </row>
    <row r="126" spans="1:12" x14ac:dyDescent="0.35">
      <c r="A126" s="105">
        <v>122</v>
      </c>
      <c r="B126" s="794" t="s">
        <v>311</v>
      </c>
      <c r="C126" s="123" t="s">
        <v>311</v>
      </c>
      <c r="D126" s="651">
        <f t="shared" si="3"/>
        <v>0</v>
      </c>
      <c r="E126" s="651"/>
      <c r="F126" s="651"/>
      <c r="G126" s="651">
        <f t="shared" si="4"/>
        <v>0</v>
      </c>
      <c r="H126" s="651"/>
      <c r="I126" s="651"/>
      <c r="J126" s="651">
        <f t="shared" si="5"/>
        <v>18</v>
      </c>
      <c r="K126" s="651">
        <v>8</v>
      </c>
      <c r="L126" s="651">
        <v>26</v>
      </c>
    </row>
    <row r="127" spans="1:12" x14ac:dyDescent="0.35">
      <c r="A127" s="105">
        <v>123</v>
      </c>
      <c r="B127" s="796"/>
      <c r="C127" s="123" t="s">
        <v>455</v>
      </c>
      <c r="D127" s="651">
        <f t="shared" si="3"/>
        <v>0</v>
      </c>
      <c r="E127" s="651"/>
      <c r="F127" s="651"/>
      <c r="G127" s="651">
        <f t="shared" si="4"/>
        <v>0</v>
      </c>
      <c r="H127" s="651"/>
      <c r="I127" s="651"/>
      <c r="J127" s="651">
        <f t="shared" si="5"/>
        <v>26</v>
      </c>
      <c r="K127" s="651">
        <v>16</v>
      </c>
      <c r="L127" s="651">
        <v>42</v>
      </c>
    </row>
    <row r="128" spans="1:12" x14ac:dyDescent="0.35">
      <c r="A128" s="105">
        <v>124</v>
      </c>
      <c r="B128" s="629" t="s">
        <v>456</v>
      </c>
      <c r="C128" s="124"/>
      <c r="D128" s="653">
        <f t="shared" si="3"/>
        <v>0</v>
      </c>
      <c r="E128" s="653"/>
      <c r="F128" s="653"/>
      <c r="G128" s="653">
        <f t="shared" si="4"/>
        <v>0</v>
      </c>
      <c r="H128" s="653"/>
      <c r="I128" s="653"/>
      <c r="J128" s="653">
        <f t="shared" si="5"/>
        <v>44</v>
      </c>
      <c r="K128" s="653">
        <v>24</v>
      </c>
      <c r="L128" s="653">
        <v>68</v>
      </c>
    </row>
    <row r="129" spans="1:12" x14ac:dyDescent="0.35">
      <c r="A129" s="105">
        <v>125</v>
      </c>
      <c r="B129" s="794" t="s">
        <v>338</v>
      </c>
      <c r="C129" s="124" t="s">
        <v>457</v>
      </c>
      <c r="D129" s="651">
        <f t="shared" si="3"/>
        <v>0</v>
      </c>
      <c r="E129" s="651">
        <v>0</v>
      </c>
      <c r="F129" s="651">
        <v>0</v>
      </c>
      <c r="G129" s="651">
        <f t="shared" si="4"/>
        <v>0</v>
      </c>
      <c r="H129" s="651"/>
      <c r="I129" s="651"/>
      <c r="J129" s="651">
        <f t="shared" si="5"/>
        <v>107</v>
      </c>
      <c r="K129" s="651">
        <v>71</v>
      </c>
      <c r="L129" s="651">
        <v>178</v>
      </c>
    </row>
    <row r="130" spans="1:12" x14ac:dyDescent="0.35">
      <c r="A130" s="105">
        <v>126</v>
      </c>
      <c r="B130" s="795"/>
      <c r="C130" s="124" t="s">
        <v>458</v>
      </c>
      <c r="D130" s="651">
        <f t="shared" si="3"/>
        <v>562</v>
      </c>
      <c r="E130" s="651">
        <v>543</v>
      </c>
      <c r="F130" s="651">
        <v>1105</v>
      </c>
      <c r="G130" s="651">
        <f t="shared" si="4"/>
        <v>0</v>
      </c>
      <c r="H130" s="651">
        <v>0</v>
      </c>
      <c r="I130" s="651">
        <v>0</v>
      </c>
      <c r="J130" s="651">
        <f t="shared" si="5"/>
        <v>127578</v>
      </c>
      <c r="K130" s="651">
        <v>82018</v>
      </c>
      <c r="L130" s="651">
        <v>209596</v>
      </c>
    </row>
    <row r="131" spans="1:12" x14ac:dyDescent="0.35">
      <c r="A131" s="105">
        <v>127</v>
      </c>
      <c r="B131" s="795"/>
      <c r="C131" s="124" t="s">
        <v>459</v>
      </c>
      <c r="D131" s="651">
        <f t="shared" si="3"/>
        <v>1212</v>
      </c>
      <c r="E131" s="651">
        <v>1740</v>
      </c>
      <c r="F131" s="651">
        <v>2952</v>
      </c>
      <c r="G131" s="651">
        <f t="shared" si="4"/>
        <v>22</v>
      </c>
      <c r="H131" s="651">
        <v>54</v>
      </c>
      <c r="I131" s="651">
        <v>76</v>
      </c>
      <c r="J131" s="651">
        <f t="shared" si="5"/>
        <v>19999</v>
      </c>
      <c r="K131" s="651">
        <v>24199</v>
      </c>
      <c r="L131" s="651">
        <v>44198</v>
      </c>
    </row>
    <row r="132" spans="1:12" x14ac:dyDescent="0.35">
      <c r="A132" s="105">
        <v>128</v>
      </c>
      <c r="B132" s="795"/>
      <c r="C132" s="123" t="s">
        <v>311</v>
      </c>
      <c r="D132" s="651">
        <f t="shared" si="3"/>
        <v>179</v>
      </c>
      <c r="E132" s="651">
        <v>153</v>
      </c>
      <c r="F132" s="651">
        <v>332</v>
      </c>
      <c r="G132" s="651">
        <f t="shared" si="4"/>
        <v>0</v>
      </c>
      <c r="H132" s="651"/>
      <c r="I132" s="651"/>
      <c r="J132" s="651">
        <f t="shared" si="5"/>
        <v>9323</v>
      </c>
      <c r="K132" s="651">
        <v>6498</v>
      </c>
      <c r="L132" s="651">
        <v>15821</v>
      </c>
    </row>
    <row r="133" spans="1:12" x14ac:dyDescent="0.35">
      <c r="A133" s="105">
        <v>129</v>
      </c>
      <c r="B133" s="796"/>
      <c r="C133" s="123" t="s">
        <v>460</v>
      </c>
      <c r="D133" s="651">
        <f t="shared" ref="D133:D196" si="6">F133-E133</f>
        <v>0</v>
      </c>
      <c r="E133" s="651"/>
      <c r="F133" s="651"/>
      <c r="G133" s="651">
        <f t="shared" ref="G133:G196" si="7">I133-H133</f>
        <v>0</v>
      </c>
      <c r="H133" s="651"/>
      <c r="I133" s="651"/>
      <c r="J133" s="651">
        <f t="shared" ref="J133:J196" si="8">L133-K133</f>
        <v>67</v>
      </c>
      <c r="K133" s="651">
        <v>43</v>
      </c>
      <c r="L133" s="651">
        <v>110</v>
      </c>
    </row>
    <row r="134" spans="1:12" x14ac:dyDescent="0.35">
      <c r="A134" s="105">
        <v>130</v>
      </c>
      <c r="B134" s="629" t="s">
        <v>461</v>
      </c>
      <c r="C134" s="123"/>
      <c r="D134" s="651">
        <f t="shared" si="6"/>
        <v>1953</v>
      </c>
      <c r="E134" s="651">
        <v>2436</v>
      </c>
      <c r="F134" s="651">
        <v>4389</v>
      </c>
      <c r="G134" s="651">
        <f t="shared" si="7"/>
        <v>22</v>
      </c>
      <c r="H134" s="651">
        <v>54</v>
      </c>
      <c r="I134" s="651">
        <v>76</v>
      </c>
      <c r="J134" s="651">
        <f t="shared" si="8"/>
        <v>157074</v>
      </c>
      <c r="K134" s="651">
        <v>112829</v>
      </c>
      <c r="L134" s="651">
        <v>269903</v>
      </c>
    </row>
    <row r="135" spans="1:12" x14ac:dyDescent="0.35">
      <c r="A135" s="105">
        <v>131</v>
      </c>
      <c r="B135" s="794" t="s">
        <v>339</v>
      </c>
      <c r="C135" s="124" t="s">
        <v>274</v>
      </c>
      <c r="D135" s="654">
        <f t="shared" si="6"/>
        <v>0</v>
      </c>
      <c r="E135" s="654"/>
      <c r="F135" s="654"/>
      <c r="G135" s="654">
        <f t="shared" si="7"/>
        <v>0</v>
      </c>
      <c r="H135" s="654"/>
      <c r="I135" s="654"/>
      <c r="J135" s="654">
        <f t="shared" si="8"/>
        <v>16</v>
      </c>
      <c r="K135" s="654">
        <v>14</v>
      </c>
      <c r="L135" s="654">
        <v>30</v>
      </c>
    </row>
    <row r="136" spans="1:12" x14ac:dyDescent="0.35">
      <c r="A136" s="105">
        <v>132</v>
      </c>
      <c r="B136" s="796"/>
      <c r="C136" s="124" t="s">
        <v>339</v>
      </c>
      <c r="D136" s="651">
        <f t="shared" si="6"/>
        <v>871</v>
      </c>
      <c r="E136" s="651">
        <v>745</v>
      </c>
      <c r="F136" s="651">
        <v>1616</v>
      </c>
      <c r="G136" s="651">
        <f t="shared" si="7"/>
        <v>1</v>
      </c>
      <c r="H136" s="651">
        <v>0</v>
      </c>
      <c r="I136" s="651">
        <v>1</v>
      </c>
      <c r="J136" s="651">
        <f t="shared" si="8"/>
        <v>13501</v>
      </c>
      <c r="K136" s="651">
        <v>12481</v>
      </c>
      <c r="L136" s="651">
        <v>25982</v>
      </c>
    </row>
    <row r="137" spans="1:12" x14ac:dyDescent="0.35">
      <c r="A137" s="105">
        <v>133</v>
      </c>
      <c r="B137" s="629" t="s">
        <v>462</v>
      </c>
      <c r="C137" s="124"/>
      <c r="D137" s="651">
        <f t="shared" si="6"/>
        <v>871</v>
      </c>
      <c r="E137" s="651">
        <v>745</v>
      </c>
      <c r="F137" s="651">
        <v>1616</v>
      </c>
      <c r="G137" s="651">
        <f t="shared" si="7"/>
        <v>1</v>
      </c>
      <c r="H137" s="651">
        <v>0</v>
      </c>
      <c r="I137" s="651">
        <v>1</v>
      </c>
      <c r="J137" s="651">
        <f t="shared" si="8"/>
        <v>13517</v>
      </c>
      <c r="K137" s="651">
        <v>12495</v>
      </c>
      <c r="L137" s="651">
        <v>26012</v>
      </c>
    </row>
    <row r="138" spans="1:12" x14ac:dyDescent="0.35">
      <c r="A138" s="105">
        <v>134</v>
      </c>
      <c r="B138" s="794" t="s">
        <v>340</v>
      </c>
      <c r="C138" s="124" t="s">
        <v>463</v>
      </c>
      <c r="D138" s="651">
        <f t="shared" si="6"/>
        <v>0</v>
      </c>
      <c r="E138" s="651"/>
      <c r="F138" s="651"/>
      <c r="G138" s="651">
        <f t="shared" si="7"/>
        <v>0</v>
      </c>
      <c r="H138" s="651"/>
      <c r="I138" s="651"/>
      <c r="J138" s="651">
        <f t="shared" si="8"/>
        <v>218</v>
      </c>
      <c r="K138" s="651">
        <v>140</v>
      </c>
      <c r="L138" s="651">
        <v>358</v>
      </c>
    </row>
    <row r="139" spans="1:12" x14ac:dyDescent="0.35">
      <c r="A139" s="105">
        <v>135</v>
      </c>
      <c r="B139" s="795"/>
      <c r="C139" s="126" t="s">
        <v>464</v>
      </c>
      <c r="D139" s="655">
        <f t="shared" si="6"/>
        <v>3</v>
      </c>
      <c r="E139" s="655">
        <v>1</v>
      </c>
      <c r="F139" s="655">
        <v>4</v>
      </c>
      <c r="G139" s="655">
        <f t="shared" si="7"/>
        <v>0</v>
      </c>
      <c r="H139" s="655"/>
      <c r="I139" s="655"/>
      <c r="J139" s="655">
        <f t="shared" si="8"/>
        <v>999</v>
      </c>
      <c r="K139" s="655">
        <v>760</v>
      </c>
      <c r="L139" s="655">
        <v>1759</v>
      </c>
    </row>
    <row r="140" spans="1:12" x14ac:dyDescent="0.35">
      <c r="A140" s="105">
        <v>136</v>
      </c>
      <c r="B140" s="795"/>
      <c r="C140" s="130" t="s">
        <v>465</v>
      </c>
      <c r="D140" s="647">
        <f t="shared" si="6"/>
        <v>0</v>
      </c>
      <c r="E140" s="647">
        <v>1</v>
      </c>
      <c r="F140" s="647">
        <v>1</v>
      </c>
      <c r="G140" s="647">
        <f t="shared" si="7"/>
        <v>0</v>
      </c>
      <c r="H140" s="647"/>
      <c r="I140" s="647"/>
      <c r="J140" s="647">
        <f t="shared" si="8"/>
        <v>81</v>
      </c>
      <c r="K140" s="647">
        <v>94</v>
      </c>
      <c r="L140" s="647">
        <v>175</v>
      </c>
    </row>
    <row r="141" spans="1:12" x14ac:dyDescent="0.35">
      <c r="A141" s="105">
        <v>137</v>
      </c>
      <c r="B141" s="795"/>
      <c r="C141" s="130" t="s">
        <v>466</v>
      </c>
      <c r="D141" s="654">
        <f t="shared" si="6"/>
        <v>1</v>
      </c>
      <c r="E141" s="654">
        <v>2</v>
      </c>
      <c r="F141" s="654">
        <v>3</v>
      </c>
      <c r="G141" s="654">
        <f t="shared" si="7"/>
        <v>0</v>
      </c>
      <c r="H141" s="654"/>
      <c r="I141" s="654"/>
      <c r="J141" s="654">
        <f t="shared" si="8"/>
        <v>126</v>
      </c>
      <c r="K141" s="654">
        <v>134</v>
      </c>
      <c r="L141" s="654">
        <v>260</v>
      </c>
    </row>
    <row r="142" spans="1:12" x14ac:dyDescent="0.35">
      <c r="A142" s="105">
        <v>138</v>
      </c>
      <c r="B142" s="796"/>
      <c r="C142" s="126" t="s">
        <v>340</v>
      </c>
      <c r="D142" s="654">
        <f t="shared" si="6"/>
        <v>2222</v>
      </c>
      <c r="E142" s="654">
        <v>2279</v>
      </c>
      <c r="F142" s="654">
        <v>4501</v>
      </c>
      <c r="G142" s="654">
        <f t="shared" si="7"/>
        <v>0</v>
      </c>
      <c r="H142" s="654">
        <v>0</v>
      </c>
      <c r="I142" s="654">
        <v>0</v>
      </c>
      <c r="J142" s="654">
        <f t="shared" si="8"/>
        <v>23520</v>
      </c>
      <c r="K142" s="654">
        <v>19862</v>
      </c>
      <c r="L142" s="654">
        <v>43382</v>
      </c>
    </row>
    <row r="143" spans="1:12" x14ac:dyDescent="0.35">
      <c r="A143" s="105">
        <v>139</v>
      </c>
      <c r="B143" s="629" t="s">
        <v>467</v>
      </c>
      <c r="C143" s="126"/>
      <c r="D143" s="654">
        <f t="shared" si="6"/>
        <v>2226</v>
      </c>
      <c r="E143" s="654">
        <v>2283</v>
      </c>
      <c r="F143" s="654">
        <v>4509</v>
      </c>
      <c r="G143" s="654">
        <f t="shared" si="7"/>
        <v>0</v>
      </c>
      <c r="H143" s="654">
        <v>0</v>
      </c>
      <c r="I143" s="654">
        <v>0</v>
      </c>
      <c r="J143" s="654">
        <f t="shared" si="8"/>
        <v>24944</v>
      </c>
      <c r="K143" s="654">
        <v>20990</v>
      </c>
      <c r="L143" s="654">
        <v>45934</v>
      </c>
    </row>
    <row r="144" spans="1:12" x14ac:dyDescent="0.35">
      <c r="A144" s="105">
        <v>140</v>
      </c>
      <c r="B144" s="629" t="s">
        <v>341</v>
      </c>
      <c r="C144" s="124" t="s">
        <v>341</v>
      </c>
      <c r="D144" s="654">
        <f t="shared" si="6"/>
        <v>622</v>
      </c>
      <c r="E144" s="654">
        <v>512</v>
      </c>
      <c r="F144" s="654">
        <v>1134</v>
      </c>
      <c r="G144" s="654">
        <f t="shared" si="7"/>
        <v>7</v>
      </c>
      <c r="H144" s="654">
        <v>8</v>
      </c>
      <c r="I144" s="654">
        <v>15</v>
      </c>
      <c r="J144" s="654">
        <f t="shared" si="8"/>
        <v>7421</v>
      </c>
      <c r="K144" s="654">
        <v>7257</v>
      </c>
      <c r="L144" s="654">
        <v>14678</v>
      </c>
    </row>
    <row r="145" spans="1:12" s="115" customFormat="1" x14ac:dyDescent="0.35">
      <c r="A145" s="105">
        <v>141</v>
      </c>
      <c r="B145" s="629" t="s">
        <v>468</v>
      </c>
      <c r="C145" s="126"/>
      <c r="D145" s="654">
        <f t="shared" si="6"/>
        <v>622</v>
      </c>
      <c r="E145" s="654">
        <v>512</v>
      </c>
      <c r="F145" s="654">
        <v>1134</v>
      </c>
      <c r="G145" s="654">
        <f t="shared" si="7"/>
        <v>7</v>
      </c>
      <c r="H145" s="654">
        <v>8</v>
      </c>
      <c r="I145" s="654">
        <v>15</v>
      </c>
      <c r="J145" s="654">
        <f t="shared" si="8"/>
        <v>7421</v>
      </c>
      <c r="K145" s="654">
        <v>7257</v>
      </c>
      <c r="L145" s="654">
        <v>14678</v>
      </c>
    </row>
    <row r="146" spans="1:12" x14ac:dyDescent="0.35">
      <c r="A146" s="105">
        <v>142</v>
      </c>
      <c r="B146" s="794" t="s">
        <v>343</v>
      </c>
      <c r="C146" s="126" t="s">
        <v>469</v>
      </c>
      <c r="D146" s="647">
        <f t="shared" si="6"/>
        <v>0</v>
      </c>
      <c r="E146" s="647">
        <v>3</v>
      </c>
      <c r="F146" s="647">
        <v>3</v>
      </c>
      <c r="G146" s="647">
        <f t="shared" si="7"/>
        <v>0</v>
      </c>
      <c r="H146" s="647"/>
      <c r="I146" s="654"/>
      <c r="J146" s="647">
        <f t="shared" si="8"/>
        <v>0</v>
      </c>
      <c r="K146" s="654"/>
      <c r="L146" s="654"/>
    </row>
    <row r="147" spans="1:12" x14ac:dyDescent="0.35">
      <c r="A147" s="105">
        <v>143</v>
      </c>
      <c r="B147" s="796"/>
      <c r="C147" s="108" t="s">
        <v>343</v>
      </c>
      <c r="D147" s="647">
        <f t="shared" si="6"/>
        <v>490</v>
      </c>
      <c r="E147" s="647">
        <v>550</v>
      </c>
      <c r="F147" s="647">
        <v>1040</v>
      </c>
      <c r="G147" s="647">
        <f t="shared" si="7"/>
        <v>2</v>
      </c>
      <c r="H147" s="647">
        <v>13</v>
      </c>
      <c r="I147" s="647">
        <v>15</v>
      </c>
      <c r="J147" s="647">
        <f t="shared" si="8"/>
        <v>51</v>
      </c>
      <c r="K147" s="647">
        <v>185</v>
      </c>
      <c r="L147" s="647">
        <v>236</v>
      </c>
    </row>
    <row r="148" spans="1:12" x14ac:dyDescent="0.35">
      <c r="A148" s="105">
        <v>144</v>
      </c>
      <c r="B148" s="629" t="s">
        <v>470</v>
      </c>
      <c r="C148" s="108"/>
      <c r="D148" s="647">
        <f t="shared" si="6"/>
        <v>490</v>
      </c>
      <c r="E148" s="647">
        <v>553</v>
      </c>
      <c r="F148" s="647">
        <v>1043</v>
      </c>
      <c r="G148" s="647">
        <f t="shared" si="7"/>
        <v>2</v>
      </c>
      <c r="H148" s="647">
        <v>13</v>
      </c>
      <c r="I148" s="647">
        <v>15</v>
      </c>
      <c r="J148" s="647">
        <f t="shared" si="8"/>
        <v>51</v>
      </c>
      <c r="K148" s="647">
        <v>185</v>
      </c>
      <c r="L148" s="647">
        <v>236</v>
      </c>
    </row>
    <row r="149" spans="1:12" x14ac:dyDescent="0.35">
      <c r="A149" s="105">
        <v>145</v>
      </c>
      <c r="B149" s="794" t="s">
        <v>344</v>
      </c>
      <c r="C149" s="126" t="s">
        <v>471</v>
      </c>
      <c r="D149" s="647">
        <f t="shared" si="6"/>
        <v>6</v>
      </c>
      <c r="E149" s="647">
        <v>8</v>
      </c>
      <c r="F149" s="647">
        <v>14</v>
      </c>
      <c r="G149" s="647">
        <f t="shared" si="7"/>
        <v>0</v>
      </c>
      <c r="H149" s="647"/>
      <c r="I149" s="647"/>
      <c r="J149" s="647">
        <f t="shared" si="8"/>
        <v>426</v>
      </c>
      <c r="K149" s="647">
        <v>170</v>
      </c>
      <c r="L149" s="647">
        <v>596</v>
      </c>
    </row>
    <row r="150" spans="1:12" x14ac:dyDescent="0.35">
      <c r="A150" s="105">
        <v>146</v>
      </c>
      <c r="B150" s="795"/>
      <c r="C150" s="126" t="s">
        <v>472</v>
      </c>
      <c r="D150" s="647">
        <f t="shared" si="6"/>
        <v>1956</v>
      </c>
      <c r="E150" s="647">
        <v>1843</v>
      </c>
      <c r="F150" s="647">
        <v>3799</v>
      </c>
      <c r="G150" s="647">
        <f t="shared" si="7"/>
        <v>7</v>
      </c>
      <c r="H150" s="647">
        <v>7</v>
      </c>
      <c r="I150" s="647">
        <v>14</v>
      </c>
      <c r="J150" s="647">
        <f t="shared" si="8"/>
        <v>462126</v>
      </c>
      <c r="K150" s="647">
        <v>348572</v>
      </c>
      <c r="L150" s="647">
        <v>810698</v>
      </c>
    </row>
    <row r="151" spans="1:12" x14ac:dyDescent="0.35">
      <c r="A151" s="105">
        <v>147</v>
      </c>
      <c r="B151" s="795"/>
      <c r="C151" s="130" t="s">
        <v>473</v>
      </c>
      <c r="D151" s="647">
        <f t="shared" si="6"/>
        <v>3362</v>
      </c>
      <c r="E151" s="647">
        <v>3118</v>
      </c>
      <c r="F151" s="647">
        <v>6480</v>
      </c>
      <c r="G151" s="647">
        <f t="shared" si="7"/>
        <v>12</v>
      </c>
      <c r="H151" s="647">
        <v>14</v>
      </c>
      <c r="I151" s="647">
        <v>26</v>
      </c>
      <c r="J151" s="647">
        <f t="shared" si="8"/>
        <v>15957</v>
      </c>
      <c r="K151" s="647">
        <v>8374</v>
      </c>
      <c r="L151" s="647">
        <v>24331</v>
      </c>
    </row>
    <row r="152" spans="1:12" x14ac:dyDescent="0.35">
      <c r="A152" s="105">
        <v>148</v>
      </c>
      <c r="B152" s="795"/>
      <c r="C152" s="130" t="s">
        <v>474</v>
      </c>
      <c r="D152" s="647">
        <f t="shared" si="6"/>
        <v>0</v>
      </c>
      <c r="E152" s="647"/>
      <c r="F152" s="647"/>
      <c r="G152" s="647">
        <f t="shared" si="7"/>
        <v>0</v>
      </c>
      <c r="H152" s="647"/>
      <c r="I152" s="647"/>
      <c r="J152" s="647">
        <f t="shared" si="8"/>
        <v>82</v>
      </c>
      <c r="K152" s="647">
        <v>20</v>
      </c>
      <c r="L152" s="647">
        <v>102</v>
      </c>
    </row>
    <row r="153" spans="1:12" x14ac:dyDescent="0.35">
      <c r="A153" s="105">
        <v>149</v>
      </c>
      <c r="B153" s="795"/>
      <c r="C153" s="126" t="s">
        <v>475</v>
      </c>
      <c r="D153" s="647">
        <f t="shared" si="6"/>
        <v>0</v>
      </c>
      <c r="E153" s="647"/>
      <c r="F153" s="647"/>
      <c r="G153" s="647">
        <f t="shared" si="7"/>
        <v>0</v>
      </c>
      <c r="H153" s="647"/>
      <c r="I153" s="647"/>
      <c r="J153" s="647">
        <f t="shared" si="8"/>
        <v>316</v>
      </c>
      <c r="K153" s="647">
        <v>482</v>
      </c>
      <c r="L153" s="647">
        <v>798</v>
      </c>
    </row>
    <row r="154" spans="1:12" x14ac:dyDescent="0.35">
      <c r="A154" s="105">
        <v>150</v>
      </c>
      <c r="B154" s="795"/>
      <c r="C154" s="126" t="s">
        <v>476</v>
      </c>
      <c r="D154" s="647">
        <f t="shared" si="6"/>
        <v>49</v>
      </c>
      <c r="E154" s="647">
        <v>53</v>
      </c>
      <c r="F154" s="647">
        <v>102</v>
      </c>
      <c r="G154" s="647">
        <f t="shared" si="7"/>
        <v>1</v>
      </c>
      <c r="H154" s="647">
        <v>2</v>
      </c>
      <c r="I154" s="647">
        <v>3</v>
      </c>
      <c r="J154" s="647">
        <f t="shared" si="8"/>
        <v>1549</v>
      </c>
      <c r="K154" s="647">
        <v>1010</v>
      </c>
      <c r="L154" s="647">
        <v>2559</v>
      </c>
    </row>
    <row r="155" spans="1:12" x14ac:dyDescent="0.35">
      <c r="A155" s="105">
        <v>151</v>
      </c>
      <c r="B155" s="795"/>
      <c r="C155" s="130" t="s">
        <v>477</v>
      </c>
      <c r="D155" s="647">
        <f t="shared" si="6"/>
        <v>0</v>
      </c>
      <c r="E155" s="647"/>
      <c r="F155" s="647"/>
      <c r="G155" s="647">
        <f t="shared" si="7"/>
        <v>0</v>
      </c>
      <c r="H155" s="647"/>
      <c r="I155" s="647"/>
      <c r="J155" s="647">
        <f t="shared" si="8"/>
        <v>2964</v>
      </c>
      <c r="K155" s="647">
        <v>1197</v>
      </c>
      <c r="L155" s="647">
        <v>4161</v>
      </c>
    </row>
    <row r="156" spans="1:12" x14ac:dyDescent="0.35">
      <c r="A156" s="105">
        <v>152</v>
      </c>
      <c r="B156" s="795"/>
      <c r="C156" s="130" t="s">
        <v>359</v>
      </c>
      <c r="D156" s="647">
        <f t="shared" si="6"/>
        <v>8</v>
      </c>
      <c r="E156" s="647">
        <v>17</v>
      </c>
      <c r="F156" s="647">
        <v>25</v>
      </c>
      <c r="G156" s="647">
        <f t="shared" si="7"/>
        <v>0</v>
      </c>
      <c r="H156" s="647"/>
      <c r="I156" s="647"/>
      <c r="J156" s="647">
        <f t="shared" si="8"/>
        <v>2742</v>
      </c>
      <c r="K156" s="647">
        <v>3015</v>
      </c>
      <c r="L156" s="647">
        <v>5757</v>
      </c>
    </row>
    <row r="157" spans="1:12" x14ac:dyDescent="0.35">
      <c r="A157" s="105">
        <v>153</v>
      </c>
      <c r="B157" s="795"/>
      <c r="C157" s="130" t="s">
        <v>478</v>
      </c>
      <c r="D157" s="647">
        <f t="shared" si="6"/>
        <v>82</v>
      </c>
      <c r="E157" s="647">
        <v>53</v>
      </c>
      <c r="F157" s="647">
        <v>135</v>
      </c>
      <c r="G157" s="647">
        <f t="shared" si="7"/>
        <v>1</v>
      </c>
      <c r="H157" s="647">
        <v>0</v>
      </c>
      <c r="I157" s="647">
        <v>1</v>
      </c>
      <c r="J157" s="647">
        <f t="shared" si="8"/>
        <v>71</v>
      </c>
      <c r="K157" s="647">
        <v>23</v>
      </c>
      <c r="L157" s="647">
        <v>94</v>
      </c>
    </row>
    <row r="158" spans="1:12" x14ac:dyDescent="0.35">
      <c r="A158" s="105">
        <v>154</v>
      </c>
      <c r="B158" s="795"/>
      <c r="C158" s="130" t="s">
        <v>479</v>
      </c>
      <c r="D158" s="647">
        <f t="shared" si="6"/>
        <v>138</v>
      </c>
      <c r="E158" s="647">
        <v>101</v>
      </c>
      <c r="F158" s="647">
        <v>239</v>
      </c>
      <c r="G158" s="647">
        <f t="shared" si="7"/>
        <v>0</v>
      </c>
      <c r="H158" s="647"/>
      <c r="I158" s="647"/>
      <c r="J158" s="647">
        <f t="shared" si="8"/>
        <v>928</v>
      </c>
      <c r="K158" s="647">
        <v>1096</v>
      </c>
      <c r="L158" s="647">
        <v>2024</v>
      </c>
    </row>
    <row r="159" spans="1:12" x14ac:dyDescent="0.35">
      <c r="A159" s="105">
        <v>155</v>
      </c>
      <c r="B159" s="795"/>
      <c r="C159" s="130" t="s">
        <v>480</v>
      </c>
      <c r="D159" s="647">
        <f t="shared" si="6"/>
        <v>19</v>
      </c>
      <c r="E159" s="647">
        <v>11</v>
      </c>
      <c r="F159" s="647">
        <v>30</v>
      </c>
      <c r="G159" s="647">
        <f t="shared" si="7"/>
        <v>0</v>
      </c>
      <c r="H159" s="647"/>
      <c r="I159" s="647"/>
      <c r="J159" s="647">
        <f t="shared" si="8"/>
        <v>564</v>
      </c>
      <c r="K159" s="647">
        <v>403</v>
      </c>
      <c r="L159" s="647">
        <v>967</v>
      </c>
    </row>
    <row r="160" spans="1:12" x14ac:dyDescent="0.35">
      <c r="A160" s="105">
        <v>156</v>
      </c>
      <c r="B160" s="795"/>
      <c r="C160" s="130" t="s">
        <v>344</v>
      </c>
      <c r="D160" s="647">
        <f t="shared" si="6"/>
        <v>9</v>
      </c>
      <c r="E160" s="647">
        <v>5</v>
      </c>
      <c r="F160" s="647">
        <v>14</v>
      </c>
      <c r="G160" s="647">
        <f t="shared" si="7"/>
        <v>0</v>
      </c>
      <c r="H160" s="647"/>
      <c r="I160" s="647"/>
      <c r="J160" s="647">
        <f t="shared" si="8"/>
        <v>26</v>
      </c>
      <c r="K160" s="647">
        <v>25</v>
      </c>
      <c r="L160" s="647">
        <v>51</v>
      </c>
    </row>
    <row r="161" spans="1:12" x14ac:dyDescent="0.35">
      <c r="A161" s="105">
        <v>157</v>
      </c>
      <c r="B161" s="795"/>
      <c r="C161" s="130" t="s">
        <v>481</v>
      </c>
      <c r="D161" s="647">
        <f t="shared" si="6"/>
        <v>5</v>
      </c>
      <c r="E161" s="647">
        <v>0</v>
      </c>
      <c r="F161" s="647">
        <v>5</v>
      </c>
      <c r="G161" s="647">
        <f t="shared" si="7"/>
        <v>20</v>
      </c>
      <c r="H161" s="647">
        <v>0</v>
      </c>
      <c r="I161" s="647">
        <v>20</v>
      </c>
      <c r="J161" s="647">
        <f t="shared" si="8"/>
        <v>801</v>
      </c>
      <c r="K161" s="647">
        <v>520</v>
      </c>
      <c r="L161" s="647">
        <v>1321</v>
      </c>
    </row>
    <row r="162" spans="1:12" x14ac:dyDescent="0.35">
      <c r="A162" s="105">
        <v>158</v>
      </c>
      <c r="B162" s="795"/>
      <c r="C162" s="130" t="s">
        <v>482</v>
      </c>
      <c r="D162" s="647">
        <f t="shared" si="6"/>
        <v>100</v>
      </c>
      <c r="E162" s="647">
        <v>118</v>
      </c>
      <c r="F162" s="647">
        <v>218</v>
      </c>
      <c r="G162" s="647">
        <f t="shared" si="7"/>
        <v>6</v>
      </c>
      <c r="H162" s="647">
        <v>0</v>
      </c>
      <c r="I162" s="647">
        <v>6</v>
      </c>
      <c r="J162" s="647">
        <f t="shared" si="8"/>
        <v>718</v>
      </c>
      <c r="K162" s="647">
        <v>390</v>
      </c>
      <c r="L162" s="647">
        <v>1108</v>
      </c>
    </row>
    <row r="163" spans="1:12" x14ac:dyDescent="0.35">
      <c r="A163" s="105">
        <v>159</v>
      </c>
      <c r="B163" s="795"/>
      <c r="C163" s="130" t="s">
        <v>483</v>
      </c>
      <c r="D163" s="647">
        <f t="shared" si="6"/>
        <v>1424</v>
      </c>
      <c r="E163" s="647">
        <v>1237</v>
      </c>
      <c r="F163" s="647">
        <v>2661</v>
      </c>
      <c r="G163" s="647">
        <f t="shared" si="7"/>
        <v>0</v>
      </c>
      <c r="H163" s="647">
        <v>0</v>
      </c>
      <c r="I163" s="647">
        <v>0</v>
      </c>
      <c r="J163" s="647">
        <f t="shared" si="8"/>
        <v>2701</v>
      </c>
      <c r="K163" s="647">
        <v>2711</v>
      </c>
      <c r="L163" s="647">
        <v>5412</v>
      </c>
    </row>
    <row r="164" spans="1:12" x14ac:dyDescent="0.35">
      <c r="A164" s="105">
        <v>160</v>
      </c>
      <c r="B164" s="795"/>
      <c r="C164" s="130" t="s">
        <v>484</v>
      </c>
      <c r="D164" s="647">
        <f t="shared" si="6"/>
        <v>0</v>
      </c>
      <c r="E164" s="647"/>
      <c r="F164" s="647"/>
      <c r="G164" s="647">
        <f t="shared" si="7"/>
        <v>0</v>
      </c>
      <c r="H164" s="647"/>
      <c r="I164" s="647"/>
      <c r="J164" s="647">
        <f t="shared" si="8"/>
        <v>178</v>
      </c>
      <c r="K164" s="647">
        <v>162</v>
      </c>
      <c r="L164" s="647">
        <v>340</v>
      </c>
    </row>
    <row r="165" spans="1:12" x14ac:dyDescent="0.35">
      <c r="A165" s="105">
        <v>161</v>
      </c>
      <c r="B165" s="795"/>
      <c r="C165" s="108" t="s">
        <v>485</v>
      </c>
      <c r="D165" s="647">
        <f t="shared" si="6"/>
        <v>0</v>
      </c>
      <c r="E165" s="647"/>
      <c r="F165" s="647"/>
      <c r="G165" s="647">
        <f t="shared" si="7"/>
        <v>0</v>
      </c>
      <c r="H165" s="647"/>
      <c r="I165" s="647"/>
      <c r="J165" s="647">
        <f t="shared" si="8"/>
        <v>704</v>
      </c>
      <c r="K165" s="647">
        <v>422</v>
      </c>
      <c r="L165" s="647">
        <v>1126</v>
      </c>
    </row>
    <row r="166" spans="1:12" x14ac:dyDescent="0.35">
      <c r="A166" s="105">
        <v>162</v>
      </c>
      <c r="B166" s="795"/>
      <c r="C166" s="130" t="s">
        <v>455</v>
      </c>
      <c r="D166" s="647">
        <f t="shared" si="6"/>
        <v>0</v>
      </c>
      <c r="E166" s="647"/>
      <c r="F166" s="647"/>
      <c r="G166" s="647">
        <f t="shared" si="7"/>
        <v>0</v>
      </c>
      <c r="H166" s="647"/>
      <c r="I166" s="647"/>
      <c r="J166" s="647">
        <f t="shared" si="8"/>
        <v>159</v>
      </c>
      <c r="K166" s="647">
        <v>189</v>
      </c>
      <c r="L166" s="647">
        <v>348</v>
      </c>
    </row>
    <row r="167" spans="1:12" x14ac:dyDescent="0.35">
      <c r="A167" s="105">
        <v>163</v>
      </c>
      <c r="B167" s="795"/>
      <c r="C167" s="130" t="s">
        <v>486</v>
      </c>
      <c r="D167" s="647">
        <f t="shared" si="6"/>
        <v>1</v>
      </c>
      <c r="E167" s="647">
        <v>2</v>
      </c>
      <c r="F167" s="647">
        <v>3</v>
      </c>
      <c r="G167" s="647">
        <f t="shared" si="7"/>
        <v>0</v>
      </c>
      <c r="H167" s="647"/>
      <c r="I167" s="647"/>
      <c r="J167" s="647">
        <f t="shared" si="8"/>
        <v>4349</v>
      </c>
      <c r="K167" s="647">
        <v>2827</v>
      </c>
      <c r="L167" s="647">
        <v>7176</v>
      </c>
    </row>
    <row r="168" spans="1:12" x14ac:dyDescent="0.35">
      <c r="A168" s="105">
        <v>164</v>
      </c>
      <c r="B168" s="796"/>
      <c r="C168" s="130" t="s">
        <v>487</v>
      </c>
      <c r="D168" s="647">
        <f t="shared" si="6"/>
        <v>139</v>
      </c>
      <c r="E168" s="647">
        <v>70</v>
      </c>
      <c r="F168" s="647">
        <v>209</v>
      </c>
      <c r="G168" s="647">
        <f t="shared" si="7"/>
        <v>0</v>
      </c>
      <c r="H168" s="647"/>
      <c r="I168" s="647"/>
      <c r="J168" s="647">
        <f t="shared" si="8"/>
        <v>3724</v>
      </c>
      <c r="K168" s="647">
        <v>2579</v>
      </c>
      <c r="L168" s="647">
        <v>6303</v>
      </c>
    </row>
    <row r="169" spans="1:12" x14ac:dyDescent="0.35">
      <c r="A169" s="105">
        <v>165</v>
      </c>
      <c r="B169" s="629" t="s">
        <v>488</v>
      </c>
      <c r="C169" s="130"/>
      <c r="D169" s="647">
        <f t="shared" si="6"/>
        <v>7298</v>
      </c>
      <c r="E169" s="647">
        <v>6636</v>
      </c>
      <c r="F169" s="647">
        <v>13934</v>
      </c>
      <c r="G169" s="647">
        <f t="shared" si="7"/>
        <v>47</v>
      </c>
      <c r="H169" s="647">
        <v>23</v>
      </c>
      <c r="I169" s="647">
        <v>70</v>
      </c>
      <c r="J169" s="647">
        <f t="shared" si="8"/>
        <v>501085</v>
      </c>
      <c r="K169" s="647">
        <v>374187</v>
      </c>
      <c r="L169" s="647">
        <v>875272</v>
      </c>
    </row>
    <row r="170" spans="1:12" x14ac:dyDescent="0.35">
      <c r="A170" s="105">
        <v>166</v>
      </c>
      <c r="B170" s="629" t="s">
        <v>346</v>
      </c>
      <c r="C170" s="130" t="s">
        <v>346</v>
      </c>
      <c r="D170" s="647">
        <f t="shared" si="6"/>
        <v>112</v>
      </c>
      <c r="E170" s="647">
        <v>222</v>
      </c>
      <c r="F170" s="647">
        <v>334</v>
      </c>
      <c r="G170" s="647">
        <f t="shared" si="7"/>
        <v>0</v>
      </c>
      <c r="H170" s="647">
        <v>0</v>
      </c>
      <c r="I170" s="647">
        <v>0</v>
      </c>
      <c r="J170" s="647">
        <f t="shared" si="8"/>
        <v>331</v>
      </c>
      <c r="K170" s="647">
        <v>577</v>
      </c>
      <c r="L170" s="647">
        <v>908</v>
      </c>
    </row>
    <row r="171" spans="1:12" x14ac:dyDescent="0.35">
      <c r="A171" s="105">
        <v>167</v>
      </c>
      <c r="B171" s="629" t="s">
        <v>489</v>
      </c>
      <c r="C171" s="130"/>
      <c r="D171" s="647">
        <f t="shared" si="6"/>
        <v>112</v>
      </c>
      <c r="E171" s="647">
        <v>222</v>
      </c>
      <c r="F171" s="647">
        <v>334</v>
      </c>
      <c r="G171" s="647">
        <f t="shared" si="7"/>
        <v>0</v>
      </c>
      <c r="H171" s="647">
        <v>0</v>
      </c>
      <c r="I171" s="647">
        <v>0</v>
      </c>
      <c r="J171" s="647">
        <f t="shared" si="8"/>
        <v>331</v>
      </c>
      <c r="K171" s="647">
        <v>577</v>
      </c>
      <c r="L171" s="647">
        <v>908</v>
      </c>
    </row>
    <row r="172" spans="1:12" x14ac:dyDescent="0.35">
      <c r="A172" s="105">
        <v>168</v>
      </c>
      <c r="B172" s="629" t="s">
        <v>347</v>
      </c>
      <c r="C172" s="130" t="s">
        <v>490</v>
      </c>
      <c r="D172" s="647">
        <f t="shared" si="6"/>
        <v>0</v>
      </c>
      <c r="E172" s="647"/>
      <c r="F172" s="647"/>
      <c r="G172" s="647">
        <f t="shared" si="7"/>
        <v>0</v>
      </c>
      <c r="H172" s="647"/>
      <c r="I172" s="647"/>
      <c r="J172" s="647">
        <f t="shared" si="8"/>
        <v>21</v>
      </c>
      <c r="K172" s="647">
        <v>16</v>
      </c>
      <c r="L172" s="647">
        <v>37</v>
      </c>
    </row>
    <row r="173" spans="1:12" x14ac:dyDescent="0.35">
      <c r="A173" s="105">
        <v>169</v>
      </c>
      <c r="B173" s="629"/>
      <c r="C173" s="126" t="s">
        <v>347</v>
      </c>
      <c r="D173" s="647">
        <f t="shared" si="6"/>
        <v>0</v>
      </c>
      <c r="E173" s="647"/>
      <c r="F173" s="647"/>
      <c r="G173" s="647">
        <f t="shared" si="7"/>
        <v>0</v>
      </c>
      <c r="H173" s="647"/>
      <c r="I173" s="647"/>
      <c r="J173" s="647">
        <f t="shared" si="8"/>
        <v>20</v>
      </c>
      <c r="K173" s="647">
        <v>9</v>
      </c>
      <c r="L173" s="647">
        <v>29</v>
      </c>
    </row>
    <row r="174" spans="1:12" x14ac:dyDescent="0.35">
      <c r="A174" s="105">
        <v>170</v>
      </c>
      <c r="B174" s="629" t="s">
        <v>491</v>
      </c>
      <c r="C174" s="130"/>
      <c r="D174" s="647">
        <f t="shared" si="6"/>
        <v>0</v>
      </c>
      <c r="E174" s="647"/>
      <c r="F174" s="647"/>
      <c r="G174" s="647">
        <f t="shared" si="7"/>
        <v>0</v>
      </c>
      <c r="H174" s="647"/>
      <c r="I174" s="647"/>
      <c r="J174" s="647">
        <f t="shared" si="8"/>
        <v>41</v>
      </c>
      <c r="K174" s="647">
        <v>25</v>
      </c>
      <c r="L174" s="647">
        <v>66</v>
      </c>
    </row>
    <row r="175" spans="1:12" x14ac:dyDescent="0.35">
      <c r="A175" s="105">
        <v>171</v>
      </c>
      <c r="B175" s="794" t="s">
        <v>348</v>
      </c>
      <c r="C175" s="130" t="s">
        <v>349</v>
      </c>
      <c r="D175" s="647">
        <f t="shared" si="6"/>
        <v>34</v>
      </c>
      <c r="E175" s="647">
        <v>40</v>
      </c>
      <c r="F175" s="647">
        <v>74</v>
      </c>
      <c r="G175" s="647">
        <f t="shared" si="7"/>
        <v>0</v>
      </c>
      <c r="H175" s="647"/>
      <c r="I175" s="647"/>
      <c r="J175" s="647">
        <f t="shared" si="8"/>
        <v>647</v>
      </c>
      <c r="K175" s="647">
        <v>676</v>
      </c>
      <c r="L175" s="647">
        <v>1323</v>
      </c>
    </row>
    <row r="176" spans="1:12" x14ac:dyDescent="0.35">
      <c r="A176" s="105">
        <v>172</v>
      </c>
      <c r="B176" s="795"/>
      <c r="C176" s="130" t="s">
        <v>492</v>
      </c>
      <c r="D176" s="647">
        <f t="shared" si="6"/>
        <v>36</v>
      </c>
      <c r="E176" s="647">
        <v>39</v>
      </c>
      <c r="F176" s="647">
        <v>75</v>
      </c>
      <c r="G176" s="647">
        <f t="shared" si="7"/>
        <v>0</v>
      </c>
      <c r="H176" s="647"/>
      <c r="I176" s="647"/>
      <c r="J176" s="647">
        <f t="shared" si="8"/>
        <v>4016</v>
      </c>
      <c r="K176" s="647">
        <v>5018</v>
      </c>
      <c r="L176" s="647">
        <v>9034</v>
      </c>
    </row>
    <row r="177" spans="1:12" x14ac:dyDescent="0.35">
      <c r="A177" s="105">
        <v>173</v>
      </c>
      <c r="B177" s="795"/>
      <c r="C177" s="130" t="s">
        <v>350</v>
      </c>
      <c r="D177" s="647">
        <f t="shared" si="6"/>
        <v>619</v>
      </c>
      <c r="E177" s="647">
        <v>751</v>
      </c>
      <c r="F177" s="647">
        <v>1370</v>
      </c>
      <c r="G177" s="647">
        <f t="shared" si="7"/>
        <v>6</v>
      </c>
      <c r="H177" s="647">
        <v>14</v>
      </c>
      <c r="I177" s="647">
        <v>20</v>
      </c>
      <c r="J177" s="647">
        <f t="shared" si="8"/>
        <v>3220</v>
      </c>
      <c r="K177" s="647">
        <v>6752</v>
      </c>
      <c r="L177" s="647">
        <v>9972</v>
      </c>
    </row>
    <row r="178" spans="1:12" x14ac:dyDescent="0.35">
      <c r="A178" s="105">
        <v>174</v>
      </c>
      <c r="B178" s="795"/>
      <c r="C178" s="130" t="s">
        <v>351</v>
      </c>
      <c r="D178" s="648">
        <f t="shared" si="6"/>
        <v>93</v>
      </c>
      <c r="E178" s="648">
        <v>98</v>
      </c>
      <c r="F178" s="648">
        <v>191</v>
      </c>
      <c r="G178" s="648">
        <f t="shared" si="7"/>
        <v>0</v>
      </c>
      <c r="H178" s="648"/>
      <c r="I178" s="648"/>
      <c r="J178" s="648">
        <f t="shared" si="8"/>
        <v>591</v>
      </c>
      <c r="K178" s="648">
        <v>724</v>
      </c>
      <c r="L178" s="648">
        <v>1315</v>
      </c>
    </row>
    <row r="179" spans="1:12" x14ac:dyDescent="0.35">
      <c r="A179" s="105">
        <v>175</v>
      </c>
      <c r="B179" s="795"/>
      <c r="C179" s="108" t="s">
        <v>493</v>
      </c>
      <c r="D179" s="647">
        <f t="shared" si="6"/>
        <v>6</v>
      </c>
      <c r="E179" s="647">
        <v>14</v>
      </c>
      <c r="F179" s="647">
        <v>20</v>
      </c>
      <c r="G179" s="647">
        <f t="shared" si="7"/>
        <v>0</v>
      </c>
      <c r="H179" s="647"/>
      <c r="I179" s="647"/>
      <c r="J179" s="647">
        <f t="shared" si="8"/>
        <v>11</v>
      </c>
      <c r="K179" s="647">
        <v>17</v>
      </c>
      <c r="L179" s="647">
        <v>28</v>
      </c>
    </row>
    <row r="180" spans="1:12" x14ac:dyDescent="0.35">
      <c r="A180" s="105">
        <v>176</v>
      </c>
      <c r="B180" s="795"/>
      <c r="C180" s="108" t="s">
        <v>494</v>
      </c>
      <c r="D180" s="647">
        <f t="shared" si="6"/>
        <v>2</v>
      </c>
      <c r="E180" s="647">
        <v>0</v>
      </c>
      <c r="F180" s="647">
        <v>2</v>
      </c>
      <c r="G180" s="647">
        <f t="shared" si="7"/>
        <v>0</v>
      </c>
      <c r="H180" s="647"/>
      <c r="I180" s="647"/>
      <c r="J180" s="647">
        <f t="shared" si="8"/>
        <v>28</v>
      </c>
      <c r="K180" s="647">
        <v>49</v>
      </c>
      <c r="L180" s="647">
        <v>77</v>
      </c>
    </row>
    <row r="181" spans="1:12" x14ac:dyDescent="0.35">
      <c r="A181" s="105">
        <v>177</v>
      </c>
      <c r="B181" s="795"/>
      <c r="C181" s="130" t="s">
        <v>495</v>
      </c>
      <c r="D181" s="647">
        <f t="shared" si="6"/>
        <v>98</v>
      </c>
      <c r="E181" s="647">
        <v>253</v>
      </c>
      <c r="F181" s="647">
        <v>351</v>
      </c>
      <c r="G181" s="647">
        <f t="shared" si="7"/>
        <v>1</v>
      </c>
      <c r="H181" s="647">
        <v>0</v>
      </c>
      <c r="I181" s="647">
        <v>1</v>
      </c>
      <c r="J181" s="647">
        <f t="shared" si="8"/>
        <v>490</v>
      </c>
      <c r="K181" s="647">
        <v>856</v>
      </c>
      <c r="L181" s="647">
        <v>1346</v>
      </c>
    </row>
    <row r="182" spans="1:12" x14ac:dyDescent="0.35">
      <c r="A182" s="105">
        <v>178</v>
      </c>
      <c r="B182" s="795"/>
      <c r="C182" s="130" t="s">
        <v>496</v>
      </c>
      <c r="D182" s="647">
        <f t="shared" si="6"/>
        <v>202</v>
      </c>
      <c r="E182" s="647">
        <v>43</v>
      </c>
      <c r="F182" s="647">
        <v>245</v>
      </c>
      <c r="G182" s="647">
        <f t="shared" si="7"/>
        <v>0</v>
      </c>
      <c r="H182" s="647"/>
      <c r="I182" s="647"/>
      <c r="J182" s="647">
        <f t="shared" si="8"/>
        <v>278</v>
      </c>
      <c r="K182" s="647">
        <v>114</v>
      </c>
      <c r="L182" s="647">
        <v>392</v>
      </c>
    </row>
    <row r="183" spans="1:12" x14ac:dyDescent="0.35">
      <c r="A183" s="105">
        <v>179</v>
      </c>
      <c r="B183" s="795"/>
      <c r="C183" s="108" t="s">
        <v>352</v>
      </c>
      <c r="D183" s="647">
        <f t="shared" si="6"/>
        <v>342</v>
      </c>
      <c r="E183" s="647">
        <v>428</v>
      </c>
      <c r="F183" s="647">
        <v>770</v>
      </c>
      <c r="G183" s="647">
        <f t="shared" si="7"/>
        <v>0</v>
      </c>
      <c r="H183" s="647"/>
      <c r="I183" s="647"/>
      <c r="J183" s="647">
        <f t="shared" si="8"/>
        <v>5565</v>
      </c>
      <c r="K183" s="647">
        <v>12941</v>
      </c>
      <c r="L183" s="647">
        <v>18506</v>
      </c>
    </row>
    <row r="184" spans="1:12" x14ac:dyDescent="0.35">
      <c r="A184" s="105">
        <v>180</v>
      </c>
      <c r="B184" s="795"/>
      <c r="C184" s="108" t="s">
        <v>497</v>
      </c>
      <c r="D184" s="647">
        <f t="shared" si="6"/>
        <v>1</v>
      </c>
      <c r="E184" s="647">
        <v>1</v>
      </c>
      <c r="F184" s="647">
        <v>2</v>
      </c>
      <c r="G184" s="647">
        <f t="shared" si="7"/>
        <v>0</v>
      </c>
      <c r="H184" s="647"/>
      <c r="I184" s="647"/>
      <c r="J184" s="647">
        <f t="shared" si="8"/>
        <v>911</v>
      </c>
      <c r="K184" s="647">
        <v>1764</v>
      </c>
      <c r="L184" s="647">
        <v>2675</v>
      </c>
    </row>
    <row r="185" spans="1:12" x14ac:dyDescent="0.35">
      <c r="A185" s="105">
        <v>181</v>
      </c>
      <c r="B185" s="795"/>
      <c r="C185" s="108" t="s">
        <v>498</v>
      </c>
      <c r="D185" s="648">
        <f t="shared" si="6"/>
        <v>43</v>
      </c>
      <c r="E185" s="648">
        <v>44</v>
      </c>
      <c r="F185" s="648">
        <v>87</v>
      </c>
      <c r="G185" s="648">
        <f t="shared" si="7"/>
        <v>0</v>
      </c>
      <c r="H185" s="648"/>
      <c r="I185" s="648"/>
      <c r="J185" s="648">
        <f t="shared" si="8"/>
        <v>54</v>
      </c>
      <c r="K185" s="648">
        <v>57</v>
      </c>
      <c r="L185" s="648">
        <v>111</v>
      </c>
    </row>
    <row r="186" spans="1:12" x14ac:dyDescent="0.35">
      <c r="A186" s="105">
        <v>182</v>
      </c>
      <c r="B186" s="795"/>
      <c r="C186" s="130" t="s">
        <v>353</v>
      </c>
      <c r="D186" s="647">
        <f t="shared" si="6"/>
        <v>10</v>
      </c>
      <c r="E186" s="647">
        <v>10</v>
      </c>
      <c r="F186" s="647">
        <v>20</v>
      </c>
      <c r="G186" s="647">
        <f t="shared" si="7"/>
        <v>0</v>
      </c>
      <c r="H186" s="647"/>
      <c r="I186" s="647"/>
      <c r="J186" s="647">
        <f t="shared" si="8"/>
        <v>1216</v>
      </c>
      <c r="K186" s="647">
        <v>1816</v>
      </c>
      <c r="L186" s="647">
        <v>3032</v>
      </c>
    </row>
    <row r="187" spans="1:12" x14ac:dyDescent="0.35">
      <c r="A187" s="105">
        <v>183</v>
      </c>
      <c r="B187" s="795"/>
      <c r="C187" s="126" t="s">
        <v>354</v>
      </c>
      <c r="D187" s="648">
        <f t="shared" si="6"/>
        <v>28</v>
      </c>
      <c r="E187" s="648">
        <v>37</v>
      </c>
      <c r="F187" s="648">
        <v>65</v>
      </c>
      <c r="G187" s="648">
        <f t="shared" si="7"/>
        <v>0</v>
      </c>
      <c r="H187" s="648"/>
      <c r="I187" s="648"/>
      <c r="J187" s="648">
        <f t="shared" si="8"/>
        <v>484</v>
      </c>
      <c r="K187" s="648">
        <v>224</v>
      </c>
      <c r="L187" s="648">
        <v>708</v>
      </c>
    </row>
    <row r="188" spans="1:12" x14ac:dyDescent="0.35">
      <c r="A188" s="105">
        <v>184</v>
      </c>
      <c r="B188" s="795"/>
      <c r="C188" s="126" t="s">
        <v>499</v>
      </c>
      <c r="D188" s="647">
        <f t="shared" si="6"/>
        <v>170</v>
      </c>
      <c r="E188" s="647">
        <v>29</v>
      </c>
      <c r="F188" s="647">
        <v>199</v>
      </c>
      <c r="G188" s="647">
        <f t="shared" si="7"/>
        <v>0</v>
      </c>
      <c r="H188" s="647"/>
      <c r="I188" s="647"/>
      <c r="J188" s="647">
        <f t="shared" si="8"/>
        <v>149</v>
      </c>
      <c r="K188" s="647">
        <v>28</v>
      </c>
      <c r="L188" s="647">
        <v>177</v>
      </c>
    </row>
    <row r="189" spans="1:12" x14ac:dyDescent="0.35">
      <c r="A189" s="105">
        <v>185</v>
      </c>
      <c r="B189" s="795"/>
      <c r="C189" s="130" t="s">
        <v>355</v>
      </c>
      <c r="D189" s="647">
        <f t="shared" si="6"/>
        <v>191</v>
      </c>
      <c r="E189" s="647">
        <v>198</v>
      </c>
      <c r="F189" s="647">
        <v>389</v>
      </c>
      <c r="G189" s="647">
        <f t="shared" si="7"/>
        <v>10</v>
      </c>
      <c r="H189" s="647">
        <v>26</v>
      </c>
      <c r="I189" s="647">
        <v>36</v>
      </c>
      <c r="J189" s="647">
        <f t="shared" si="8"/>
        <v>9479</v>
      </c>
      <c r="K189" s="647">
        <v>5594</v>
      </c>
      <c r="L189" s="647">
        <v>15073</v>
      </c>
    </row>
    <row r="190" spans="1:12" x14ac:dyDescent="0.35">
      <c r="A190" s="105">
        <v>186</v>
      </c>
      <c r="B190" s="795"/>
      <c r="C190" s="130" t="s">
        <v>356</v>
      </c>
      <c r="D190" s="647">
        <f t="shared" si="6"/>
        <v>55</v>
      </c>
      <c r="E190" s="647">
        <v>21</v>
      </c>
      <c r="F190" s="647">
        <v>76</v>
      </c>
      <c r="G190" s="647">
        <f t="shared" si="7"/>
        <v>0</v>
      </c>
      <c r="H190" s="647"/>
      <c r="I190" s="647"/>
      <c r="J190" s="647">
        <f t="shared" si="8"/>
        <v>6708</v>
      </c>
      <c r="K190" s="647">
        <v>3576</v>
      </c>
      <c r="L190" s="647">
        <v>10284</v>
      </c>
    </row>
    <row r="191" spans="1:12" x14ac:dyDescent="0.35">
      <c r="A191" s="105">
        <v>187</v>
      </c>
      <c r="B191" s="795"/>
      <c r="C191" s="126" t="s">
        <v>357</v>
      </c>
      <c r="D191" s="647">
        <f t="shared" si="6"/>
        <v>3</v>
      </c>
      <c r="E191" s="647">
        <v>10</v>
      </c>
      <c r="F191" s="647">
        <v>13</v>
      </c>
      <c r="G191" s="647">
        <f t="shared" si="7"/>
        <v>0</v>
      </c>
      <c r="H191" s="647"/>
      <c r="I191" s="647"/>
      <c r="J191" s="647">
        <f t="shared" si="8"/>
        <v>765</v>
      </c>
      <c r="K191" s="647">
        <v>6217</v>
      </c>
      <c r="L191" s="647">
        <v>6982</v>
      </c>
    </row>
    <row r="192" spans="1:12" x14ac:dyDescent="0.35">
      <c r="A192" s="105">
        <v>188</v>
      </c>
      <c r="B192" s="795"/>
      <c r="C192" s="126" t="s">
        <v>500</v>
      </c>
      <c r="D192" s="647">
        <f t="shared" si="6"/>
        <v>22</v>
      </c>
      <c r="E192" s="647">
        <v>10</v>
      </c>
      <c r="F192" s="647">
        <v>32</v>
      </c>
      <c r="G192" s="647">
        <f t="shared" si="7"/>
        <v>0</v>
      </c>
      <c r="H192" s="647"/>
      <c r="I192" s="647"/>
      <c r="J192" s="647">
        <f t="shared" si="8"/>
        <v>72</v>
      </c>
      <c r="K192" s="647">
        <v>75</v>
      </c>
      <c r="L192" s="647">
        <v>147</v>
      </c>
    </row>
    <row r="193" spans="1:12" x14ac:dyDescent="0.35">
      <c r="A193" s="105">
        <v>189</v>
      </c>
      <c r="B193" s="795"/>
      <c r="C193" s="126" t="s">
        <v>501</v>
      </c>
      <c r="D193" s="647">
        <f t="shared" si="6"/>
        <v>25</v>
      </c>
      <c r="E193" s="647">
        <v>7</v>
      </c>
      <c r="F193" s="647">
        <v>32</v>
      </c>
      <c r="G193" s="647">
        <f t="shared" si="7"/>
        <v>0</v>
      </c>
      <c r="H193" s="647"/>
      <c r="I193" s="647"/>
      <c r="J193" s="647">
        <f t="shared" si="8"/>
        <v>13</v>
      </c>
      <c r="K193" s="647">
        <v>8</v>
      </c>
      <c r="L193" s="647">
        <v>21</v>
      </c>
    </row>
    <row r="194" spans="1:12" x14ac:dyDescent="0.35">
      <c r="A194" s="105">
        <v>190</v>
      </c>
      <c r="B194" s="795"/>
      <c r="C194" s="130" t="s">
        <v>358</v>
      </c>
      <c r="D194" s="647">
        <f t="shared" si="6"/>
        <v>124</v>
      </c>
      <c r="E194" s="647">
        <v>143</v>
      </c>
      <c r="F194" s="647">
        <v>267</v>
      </c>
      <c r="G194" s="647">
        <f t="shared" si="7"/>
        <v>0</v>
      </c>
      <c r="H194" s="647"/>
      <c r="I194" s="647"/>
      <c r="J194" s="647">
        <f t="shared" si="8"/>
        <v>1063</v>
      </c>
      <c r="K194" s="647">
        <v>2493</v>
      </c>
      <c r="L194" s="647">
        <v>3556</v>
      </c>
    </row>
    <row r="195" spans="1:12" x14ac:dyDescent="0.35">
      <c r="A195" s="105">
        <v>191</v>
      </c>
      <c r="B195" s="795"/>
      <c r="C195" s="130" t="s">
        <v>359</v>
      </c>
      <c r="D195" s="647">
        <f t="shared" si="6"/>
        <v>5</v>
      </c>
      <c r="E195" s="647">
        <v>2</v>
      </c>
      <c r="F195" s="647">
        <v>7</v>
      </c>
      <c r="G195" s="647">
        <f t="shared" si="7"/>
        <v>0</v>
      </c>
      <c r="H195" s="647"/>
      <c r="I195" s="647"/>
      <c r="J195" s="647">
        <f t="shared" si="8"/>
        <v>32</v>
      </c>
      <c r="K195" s="647">
        <v>24</v>
      </c>
      <c r="L195" s="647">
        <v>56</v>
      </c>
    </row>
    <row r="196" spans="1:12" x14ac:dyDescent="0.35">
      <c r="A196" s="105">
        <v>192</v>
      </c>
      <c r="B196" s="795"/>
      <c r="C196" s="130" t="s">
        <v>360</v>
      </c>
      <c r="D196" s="647">
        <f t="shared" si="6"/>
        <v>7</v>
      </c>
      <c r="E196" s="647">
        <v>8</v>
      </c>
      <c r="F196" s="647">
        <v>15</v>
      </c>
      <c r="G196" s="647">
        <f t="shared" si="7"/>
        <v>0</v>
      </c>
      <c r="H196" s="647"/>
      <c r="I196" s="647"/>
      <c r="J196" s="647">
        <f t="shared" si="8"/>
        <v>327</v>
      </c>
      <c r="K196" s="647">
        <v>741</v>
      </c>
      <c r="L196" s="647">
        <v>1068</v>
      </c>
    </row>
    <row r="197" spans="1:12" x14ac:dyDescent="0.35">
      <c r="A197" s="105">
        <v>193</v>
      </c>
      <c r="B197" s="795"/>
      <c r="C197" s="130" t="s">
        <v>502</v>
      </c>
      <c r="D197" s="647">
        <f t="shared" ref="D197:D260" si="9">F197-E197</f>
        <v>2</v>
      </c>
      <c r="E197" s="647">
        <v>11</v>
      </c>
      <c r="F197" s="647">
        <v>13</v>
      </c>
      <c r="G197" s="647">
        <f t="shared" ref="G197:G260" si="10">I197-H197</f>
        <v>0</v>
      </c>
      <c r="H197" s="647"/>
      <c r="I197" s="647"/>
      <c r="J197" s="647">
        <f t="shared" ref="J197:J260" si="11">L197-K197</f>
        <v>72</v>
      </c>
      <c r="K197" s="647">
        <v>147</v>
      </c>
      <c r="L197" s="647">
        <v>219</v>
      </c>
    </row>
    <row r="198" spans="1:12" x14ac:dyDescent="0.35">
      <c r="A198" s="105">
        <v>194</v>
      </c>
      <c r="B198" s="795"/>
      <c r="C198" s="130" t="s">
        <v>503</v>
      </c>
      <c r="D198" s="647">
        <f t="shared" si="9"/>
        <v>2</v>
      </c>
      <c r="E198" s="647">
        <v>1</v>
      </c>
      <c r="F198" s="647">
        <v>3</v>
      </c>
      <c r="G198" s="647">
        <f t="shared" si="10"/>
        <v>0</v>
      </c>
      <c r="H198" s="647"/>
      <c r="I198" s="647"/>
      <c r="J198" s="647">
        <f t="shared" si="11"/>
        <v>190</v>
      </c>
      <c r="K198" s="647">
        <v>126</v>
      </c>
      <c r="L198" s="647">
        <v>316</v>
      </c>
    </row>
    <row r="199" spans="1:12" x14ac:dyDescent="0.35">
      <c r="A199" s="105">
        <v>195</v>
      </c>
      <c r="B199" s="795"/>
      <c r="C199" s="130" t="s">
        <v>348</v>
      </c>
      <c r="D199" s="647">
        <f t="shared" si="9"/>
        <v>0</v>
      </c>
      <c r="E199" s="647"/>
      <c r="F199" s="647"/>
      <c r="G199" s="647">
        <f t="shared" si="10"/>
        <v>0</v>
      </c>
      <c r="H199" s="647"/>
      <c r="I199" s="647"/>
      <c r="J199" s="647">
        <f t="shared" si="11"/>
        <v>1171</v>
      </c>
      <c r="K199" s="647">
        <v>1976</v>
      </c>
      <c r="L199" s="647">
        <v>3147</v>
      </c>
    </row>
    <row r="200" spans="1:12" x14ac:dyDescent="0.35">
      <c r="A200" s="105">
        <v>196</v>
      </c>
      <c r="B200" s="795"/>
      <c r="C200" s="130" t="s">
        <v>504</v>
      </c>
      <c r="D200" s="647">
        <f t="shared" si="9"/>
        <v>93</v>
      </c>
      <c r="E200" s="647">
        <v>161</v>
      </c>
      <c r="F200" s="647">
        <v>254</v>
      </c>
      <c r="G200" s="647">
        <f t="shared" si="10"/>
        <v>0</v>
      </c>
      <c r="H200" s="647"/>
      <c r="I200" s="647"/>
      <c r="J200" s="647">
        <f t="shared" si="11"/>
        <v>884</v>
      </c>
      <c r="K200" s="647">
        <v>1993</v>
      </c>
      <c r="L200" s="647">
        <v>2877</v>
      </c>
    </row>
    <row r="201" spans="1:12" x14ac:dyDescent="0.35">
      <c r="A201" s="105">
        <v>197</v>
      </c>
      <c r="B201" s="795"/>
      <c r="C201" s="130" t="s">
        <v>505</v>
      </c>
      <c r="D201" s="647">
        <f t="shared" si="9"/>
        <v>91</v>
      </c>
      <c r="E201" s="647">
        <v>43</v>
      </c>
      <c r="F201" s="647">
        <v>134</v>
      </c>
      <c r="G201" s="647">
        <f t="shared" si="10"/>
        <v>0</v>
      </c>
      <c r="H201" s="647"/>
      <c r="I201" s="647"/>
      <c r="J201" s="647">
        <f t="shared" si="11"/>
        <v>106</v>
      </c>
      <c r="K201" s="647">
        <v>68</v>
      </c>
      <c r="L201" s="647">
        <v>174</v>
      </c>
    </row>
    <row r="202" spans="1:12" x14ac:dyDescent="0.35">
      <c r="A202" s="105">
        <v>198</v>
      </c>
      <c r="B202" s="795"/>
      <c r="C202" s="130" t="s">
        <v>506</v>
      </c>
      <c r="D202" s="647">
        <f t="shared" si="9"/>
        <v>305</v>
      </c>
      <c r="E202" s="647">
        <v>113</v>
      </c>
      <c r="F202" s="647">
        <v>418</v>
      </c>
      <c r="G202" s="647">
        <f t="shared" si="10"/>
        <v>0</v>
      </c>
      <c r="H202" s="647"/>
      <c r="I202" s="647"/>
      <c r="J202" s="647">
        <f t="shared" si="11"/>
        <v>166</v>
      </c>
      <c r="K202" s="647">
        <v>88</v>
      </c>
      <c r="L202" s="647">
        <v>254</v>
      </c>
    </row>
    <row r="203" spans="1:12" x14ac:dyDescent="0.35">
      <c r="A203" s="105">
        <v>199</v>
      </c>
      <c r="B203" s="795"/>
      <c r="C203" s="130" t="s">
        <v>507</v>
      </c>
      <c r="D203" s="647">
        <f t="shared" si="9"/>
        <v>2</v>
      </c>
      <c r="E203" s="647">
        <v>3</v>
      </c>
      <c r="F203" s="647">
        <v>5</v>
      </c>
      <c r="G203" s="647">
        <f t="shared" si="10"/>
        <v>0</v>
      </c>
      <c r="H203" s="647"/>
      <c r="I203" s="647"/>
      <c r="J203" s="647">
        <f t="shared" si="11"/>
        <v>107</v>
      </c>
      <c r="K203" s="647">
        <v>79</v>
      </c>
      <c r="L203" s="647">
        <v>186</v>
      </c>
    </row>
    <row r="204" spans="1:12" x14ac:dyDescent="0.35">
      <c r="A204" s="105">
        <v>200</v>
      </c>
      <c r="B204" s="795"/>
      <c r="C204" s="130" t="s">
        <v>108</v>
      </c>
      <c r="D204" s="647">
        <f t="shared" si="9"/>
        <v>253</v>
      </c>
      <c r="E204" s="647">
        <v>780</v>
      </c>
      <c r="F204" s="647">
        <v>1033</v>
      </c>
      <c r="G204" s="647">
        <f t="shared" si="10"/>
        <v>2</v>
      </c>
      <c r="H204" s="647">
        <v>7</v>
      </c>
      <c r="I204" s="647">
        <v>9</v>
      </c>
      <c r="J204" s="647">
        <f t="shared" si="11"/>
        <v>3805</v>
      </c>
      <c r="K204" s="647">
        <v>14200</v>
      </c>
      <c r="L204" s="647">
        <v>18005</v>
      </c>
    </row>
    <row r="205" spans="1:12" x14ac:dyDescent="0.35">
      <c r="A205" s="105">
        <v>201</v>
      </c>
      <c r="B205" s="795"/>
      <c r="C205" s="130" t="s">
        <v>362</v>
      </c>
      <c r="D205" s="647">
        <f t="shared" si="9"/>
        <v>7</v>
      </c>
      <c r="E205" s="647">
        <v>14</v>
      </c>
      <c r="F205" s="647">
        <v>21</v>
      </c>
      <c r="G205" s="647">
        <f t="shared" si="10"/>
        <v>0</v>
      </c>
      <c r="H205" s="647"/>
      <c r="I205" s="647"/>
      <c r="J205" s="647">
        <f t="shared" si="11"/>
        <v>178</v>
      </c>
      <c r="K205" s="647">
        <v>465</v>
      </c>
      <c r="L205" s="647">
        <v>643</v>
      </c>
    </row>
    <row r="206" spans="1:12" x14ac:dyDescent="0.35">
      <c r="A206" s="105">
        <v>202</v>
      </c>
      <c r="B206" s="795"/>
      <c r="C206" s="130" t="s">
        <v>508</v>
      </c>
      <c r="D206" s="647">
        <f t="shared" si="9"/>
        <v>154</v>
      </c>
      <c r="E206" s="647">
        <v>118</v>
      </c>
      <c r="F206" s="647">
        <v>272</v>
      </c>
      <c r="G206" s="647">
        <f t="shared" si="10"/>
        <v>0</v>
      </c>
      <c r="H206" s="647"/>
      <c r="I206" s="647"/>
      <c r="J206" s="647">
        <f t="shared" si="11"/>
        <v>156</v>
      </c>
      <c r="K206" s="647">
        <v>109</v>
      </c>
      <c r="L206" s="647">
        <v>265</v>
      </c>
    </row>
    <row r="207" spans="1:12" x14ac:dyDescent="0.35">
      <c r="A207" s="105">
        <v>203</v>
      </c>
      <c r="B207" s="795"/>
      <c r="C207" s="130" t="s">
        <v>363</v>
      </c>
      <c r="D207" s="647">
        <f t="shared" si="9"/>
        <v>6</v>
      </c>
      <c r="E207" s="647">
        <v>12</v>
      </c>
      <c r="F207" s="647">
        <v>18</v>
      </c>
      <c r="G207" s="647">
        <f t="shared" si="10"/>
        <v>0</v>
      </c>
      <c r="H207" s="647"/>
      <c r="I207" s="647"/>
      <c r="J207" s="647">
        <f t="shared" si="11"/>
        <v>1459</v>
      </c>
      <c r="K207" s="647">
        <v>3319</v>
      </c>
      <c r="L207" s="647">
        <v>4778</v>
      </c>
    </row>
    <row r="208" spans="1:12" x14ac:dyDescent="0.35">
      <c r="A208" s="105">
        <v>204</v>
      </c>
      <c r="B208" s="795"/>
      <c r="C208" s="130" t="s">
        <v>509</v>
      </c>
      <c r="D208" s="647">
        <f t="shared" si="9"/>
        <v>13</v>
      </c>
      <c r="E208" s="647">
        <v>1</v>
      </c>
      <c r="F208" s="647">
        <v>14</v>
      </c>
      <c r="G208" s="647">
        <f t="shared" si="10"/>
        <v>0</v>
      </c>
      <c r="H208" s="647"/>
      <c r="I208" s="647"/>
      <c r="J208" s="647">
        <f t="shared" si="11"/>
        <v>5031</v>
      </c>
      <c r="K208" s="647">
        <v>370</v>
      </c>
      <c r="L208" s="647">
        <v>5401</v>
      </c>
    </row>
    <row r="209" spans="1:12" x14ac:dyDescent="0.35">
      <c r="A209" s="105">
        <v>205</v>
      </c>
      <c r="B209" s="795"/>
      <c r="C209" s="130" t="s">
        <v>364</v>
      </c>
      <c r="D209" s="647">
        <f t="shared" si="9"/>
        <v>1212</v>
      </c>
      <c r="E209" s="647">
        <v>1607</v>
      </c>
      <c r="F209" s="647">
        <v>2819</v>
      </c>
      <c r="G209" s="647">
        <f t="shared" si="10"/>
        <v>35</v>
      </c>
      <c r="H209" s="647">
        <v>82</v>
      </c>
      <c r="I209" s="647">
        <v>117</v>
      </c>
      <c r="J209" s="647">
        <f t="shared" si="11"/>
        <v>7141</v>
      </c>
      <c r="K209" s="647">
        <v>7914</v>
      </c>
      <c r="L209" s="647">
        <v>15055</v>
      </c>
    </row>
    <row r="210" spans="1:12" x14ac:dyDescent="0.35">
      <c r="A210" s="105">
        <v>206</v>
      </c>
      <c r="B210" s="795"/>
      <c r="C210" s="130" t="s">
        <v>365</v>
      </c>
      <c r="D210" s="647">
        <f t="shared" si="9"/>
        <v>15</v>
      </c>
      <c r="E210" s="647">
        <v>28</v>
      </c>
      <c r="F210" s="647">
        <v>43</v>
      </c>
      <c r="G210" s="647">
        <f t="shared" si="10"/>
        <v>0</v>
      </c>
      <c r="H210" s="647"/>
      <c r="I210" s="647"/>
      <c r="J210" s="647">
        <f t="shared" si="11"/>
        <v>1341</v>
      </c>
      <c r="K210" s="647">
        <v>3596</v>
      </c>
      <c r="L210" s="647">
        <v>4937</v>
      </c>
    </row>
    <row r="211" spans="1:12" x14ac:dyDescent="0.35">
      <c r="A211" s="105">
        <v>207</v>
      </c>
      <c r="B211" s="795"/>
      <c r="C211" s="130" t="s">
        <v>366</v>
      </c>
      <c r="D211" s="647">
        <f t="shared" si="9"/>
        <v>83</v>
      </c>
      <c r="E211" s="647">
        <v>59</v>
      </c>
      <c r="F211" s="647">
        <v>142</v>
      </c>
      <c r="G211" s="647">
        <f t="shared" si="10"/>
        <v>0</v>
      </c>
      <c r="H211" s="647"/>
      <c r="I211" s="647"/>
      <c r="J211" s="647">
        <f t="shared" si="11"/>
        <v>3019</v>
      </c>
      <c r="K211" s="647">
        <v>3707</v>
      </c>
      <c r="L211" s="647">
        <v>6726</v>
      </c>
    </row>
    <row r="212" spans="1:12" x14ac:dyDescent="0.35">
      <c r="A212" s="105">
        <v>208</v>
      </c>
      <c r="B212" s="795"/>
      <c r="C212" s="130" t="s">
        <v>367</v>
      </c>
      <c r="D212" s="648">
        <f t="shared" si="9"/>
        <v>2238</v>
      </c>
      <c r="E212" s="648">
        <v>2395</v>
      </c>
      <c r="F212" s="648">
        <v>4633</v>
      </c>
      <c r="G212" s="648">
        <f t="shared" si="10"/>
        <v>0</v>
      </c>
      <c r="H212" s="648"/>
      <c r="I212" s="648"/>
      <c r="J212" s="648">
        <f t="shared" si="11"/>
        <v>38506</v>
      </c>
      <c r="K212" s="648">
        <v>48699</v>
      </c>
      <c r="L212" s="648">
        <v>87205</v>
      </c>
    </row>
    <row r="213" spans="1:12" x14ac:dyDescent="0.35">
      <c r="A213" s="105">
        <v>209</v>
      </c>
      <c r="B213" s="795"/>
      <c r="C213" s="130" t="s">
        <v>510</v>
      </c>
      <c r="D213" s="647">
        <f t="shared" si="9"/>
        <v>26</v>
      </c>
      <c r="E213" s="647">
        <v>66</v>
      </c>
      <c r="F213" s="647">
        <v>92</v>
      </c>
      <c r="G213" s="647">
        <f t="shared" si="10"/>
        <v>0</v>
      </c>
      <c r="H213" s="647"/>
      <c r="I213" s="647"/>
      <c r="J213" s="647">
        <f t="shared" si="11"/>
        <v>559</v>
      </c>
      <c r="K213" s="647">
        <v>609</v>
      </c>
      <c r="L213" s="647">
        <v>1168</v>
      </c>
    </row>
    <row r="214" spans="1:12" x14ac:dyDescent="0.35">
      <c r="A214" s="105">
        <v>210</v>
      </c>
      <c r="B214" s="795"/>
      <c r="C214" s="130" t="s">
        <v>368</v>
      </c>
      <c r="D214" s="647">
        <f t="shared" si="9"/>
        <v>210</v>
      </c>
      <c r="E214" s="647">
        <v>327</v>
      </c>
      <c r="F214" s="647">
        <v>537</v>
      </c>
      <c r="G214" s="647">
        <f t="shared" si="10"/>
        <v>5</v>
      </c>
      <c r="H214" s="647">
        <v>3</v>
      </c>
      <c r="I214" s="647">
        <v>8</v>
      </c>
      <c r="J214" s="647">
        <f t="shared" si="11"/>
        <v>3239</v>
      </c>
      <c r="K214" s="647">
        <v>6923</v>
      </c>
      <c r="L214" s="647">
        <v>10162</v>
      </c>
    </row>
    <row r="215" spans="1:12" x14ac:dyDescent="0.35">
      <c r="A215" s="105">
        <v>211</v>
      </c>
      <c r="B215" s="795"/>
      <c r="C215" s="130" t="s">
        <v>511</v>
      </c>
      <c r="D215" s="648">
        <f t="shared" si="9"/>
        <v>80</v>
      </c>
      <c r="E215" s="648">
        <v>61</v>
      </c>
      <c r="F215" s="648">
        <v>141</v>
      </c>
      <c r="G215" s="648">
        <f t="shared" si="10"/>
        <v>0</v>
      </c>
      <c r="H215" s="648"/>
      <c r="I215" s="648"/>
      <c r="J215" s="648">
        <f t="shared" si="11"/>
        <v>50</v>
      </c>
      <c r="K215" s="648">
        <v>48</v>
      </c>
      <c r="L215" s="648">
        <v>98</v>
      </c>
    </row>
    <row r="216" spans="1:12" x14ac:dyDescent="0.35">
      <c r="A216" s="105">
        <v>212</v>
      </c>
      <c r="B216" s="795"/>
      <c r="C216" s="130" t="s">
        <v>369</v>
      </c>
      <c r="D216" s="647">
        <f t="shared" si="9"/>
        <v>0</v>
      </c>
      <c r="E216" s="647"/>
      <c r="F216" s="647"/>
      <c r="G216" s="647">
        <f t="shared" si="10"/>
        <v>0</v>
      </c>
      <c r="H216" s="647"/>
      <c r="I216" s="647"/>
      <c r="J216" s="647">
        <f t="shared" si="11"/>
        <v>22</v>
      </c>
      <c r="K216" s="647">
        <v>13</v>
      </c>
      <c r="L216" s="647">
        <v>35</v>
      </c>
    </row>
    <row r="217" spans="1:12" x14ac:dyDescent="0.35">
      <c r="A217" s="105">
        <v>213</v>
      </c>
      <c r="B217" s="795"/>
      <c r="C217" s="130" t="s">
        <v>512</v>
      </c>
      <c r="D217" s="647">
        <f t="shared" si="9"/>
        <v>44</v>
      </c>
      <c r="E217" s="647">
        <v>88</v>
      </c>
      <c r="F217" s="647">
        <v>132</v>
      </c>
      <c r="G217" s="647">
        <f t="shared" si="10"/>
        <v>6</v>
      </c>
      <c r="H217" s="647">
        <v>72</v>
      </c>
      <c r="I217" s="647">
        <v>78</v>
      </c>
      <c r="J217" s="647">
        <f t="shared" si="11"/>
        <v>1142</v>
      </c>
      <c r="K217" s="647">
        <v>1593</v>
      </c>
      <c r="L217" s="647">
        <v>2735</v>
      </c>
    </row>
    <row r="218" spans="1:12" x14ac:dyDescent="0.35">
      <c r="A218" s="105">
        <v>214</v>
      </c>
      <c r="B218" s="795"/>
      <c r="C218" s="130" t="s">
        <v>370</v>
      </c>
      <c r="D218" s="647">
        <f t="shared" si="9"/>
        <v>80</v>
      </c>
      <c r="E218" s="647">
        <v>54</v>
      </c>
      <c r="F218" s="647">
        <v>134</v>
      </c>
      <c r="G218" s="647">
        <f t="shared" si="10"/>
        <v>0</v>
      </c>
      <c r="H218" s="647"/>
      <c r="I218" s="647"/>
      <c r="J218" s="647">
        <f t="shared" si="11"/>
        <v>1676</v>
      </c>
      <c r="K218" s="647">
        <v>2623</v>
      </c>
      <c r="L218" s="647">
        <v>4299</v>
      </c>
    </row>
    <row r="219" spans="1:12" x14ac:dyDescent="0.35">
      <c r="A219" s="105">
        <v>215</v>
      </c>
      <c r="B219" s="795"/>
      <c r="C219" s="130" t="s">
        <v>513</v>
      </c>
      <c r="D219" s="647">
        <f t="shared" si="9"/>
        <v>39</v>
      </c>
      <c r="E219" s="647">
        <v>9</v>
      </c>
      <c r="F219" s="647">
        <v>48</v>
      </c>
      <c r="G219" s="647">
        <f t="shared" si="10"/>
        <v>0</v>
      </c>
      <c r="H219" s="647"/>
      <c r="I219" s="647"/>
      <c r="J219" s="647">
        <f t="shared" si="11"/>
        <v>2671</v>
      </c>
      <c r="K219" s="647">
        <v>2247</v>
      </c>
      <c r="L219" s="647">
        <v>4918</v>
      </c>
    </row>
    <row r="220" spans="1:12" x14ac:dyDescent="0.35">
      <c r="A220" s="105">
        <v>216</v>
      </c>
      <c r="B220" s="795"/>
      <c r="C220" s="130" t="s">
        <v>514</v>
      </c>
      <c r="D220" s="647">
        <f t="shared" si="9"/>
        <v>1</v>
      </c>
      <c r="E220" s="647">
        <v>1</v>
      </c>
      <c r="F220" s="647">
        <v>2</v>
      </c>
      <c r="G220" s="647">
        <f t="shared" si="10"/>
        <v>0</v>
      </c>
      <c r="H220" s="647"/>
      <c r="I220" s="647"/>
      <c r="J220" s="647">
        <f t="shared" si="11"/>
        <v>352</v>
      </c>
      <c r="K220" s="647">
        <v>349</v>
      </c>
      <c r="L220" s="647">
        <v>701</v>
      </c>
    </row>
    <row r="221" spans="1:12" x14ac:dyDescent="0.35">
      <c r="A221" s="105">
        <v>217</v>
      </c>
      <c r="B221" s="795"/>
      <c r="C221" s="130" t="s">
        <v>371</v>
      </c>
      <c r="D221" s="647">
        <f t="shared" si="9"/>
        <v>2</v>
      </c>
      <c r="E221" s="647">
        <v>1</v>
      </c>
      <c r="F221" s="647">
        <v>3</v>
      </c>
      <c r="G221" s="647">
        <f t="shared" si="10"/>
        <v>0</v>
      </c>
      <c r="H221" s="647"/>
      <c r="I221" s="647"/>
      <c r="J221" s="647">
        <f t="shared" si="11"/>
        <v>242</v>
      </c>
      <c r="K221" s="647">
        <v>378</v>
      </c>
      <c r="L221" s="647">
        <v>620</v>
      </c>
    </row>
    <row r="222" spans="1:12" x14ac:dyDescent="0.35">
      <c r="A222" s="105">
        <v>218</v>
      </c>
      <c r="B222" s="796"/>
      <c r="C222" s="130" t="s">
        <v>515</v>
      </c>
      <c r="D222" s="648">
        <f t="shared" si="9"/>
        <v>151</v>
      </c>
      <c r="E222" s="648">
        <v>9</v>
      </c>
      <c r="F222" s="648">
        <v>160</v>
      </c>
      <c r="G222" s="648">
        <f t="shared" si="10"/>
        <v>0</v>
      </c>
      <c r="H222" s="648"/>
      <c r="I222" s="648"/>
      <c r="J222" s="648">
        <f t="shared" si="11"/>
        <v>138</v>
      </c>
      <c r="K222" s="648">
        <v>23</v>
      </c>
      <c r="L222" s="648">
        <v>161</v>
      </c>
    </row>
    <row r="223" spans="1:12" x14ac:dyDescent="0.35">
      <c r="A223" s="105">
        <v>219</v>
      </c>
      <c r="B223" s="107" t="s">
        <v>372</v>
      </c>
      <c r="C223" s="130"/>
      <c r="D223" s="647">
        <f t="shared" si="9"/>
        <v>7225</v>
      </c>
      <c r="E223" s="647">
        <v>8148</v>
      </c>
      <c r="F223" s="647">
        <v>15373</v>
      </c>
      <c r="G223" s="647">
        <f t="shared" si="10"/>
        <v>65</v>
      </c>
      <c r="H223" s="647">
        <v>204</v>
      </c>
      <c r="I223" s="647">
        <v>269</v>
      </c>
      <c r="J223" s="647">
        <f t="shared" si="11"/>
        <v>109542</v>
      </c>
      <c r="K223" s="647">
        <v>151426</v>
      </c>
      <c r="L223" s="647">
        <v>260968</v>
      </c>
    </row>
    <row r="224" spans="1:12" x14ac:dyDescent="0.35">
      <c r="A224" s="105">
        <v>220</v>
      </c>
      <c r="B224" s="791" t="s">
        <v>373</v>
      </c>
      <c r="C224" s="130" t="s">
        <v>516</v>
      </c>
      <c r="D224" s="647">
        <f t="shared" si="9"/>
        <v>26</v>
      </c>
      <c r="E224" s="647">
        <v>1</v>
      </c>
      <c r="F224" s="647">
        <v>27</v>
      </c>
      <c r="G224" s="647">
        <f t="shared" si="10"/>
        <v>0</v>
      </c>
      <c r="H224" s="647"/>
      <c r="I224" s="647"/>
      <c r="J224" s="647">
        <f t="shared" si="11"/>
        <v>512</v>
      </c>
      <c r="K224" s="647">
        <v>55</v>
      </c>
      <c r="L224" s="647">
        <v>567</v>
      </c>
    </row>
    <row r="225" spans="1:12" x14ac:dyDescent="0.35">
      <c r="A225" s="105">
        <v>221</v>
      </c>
      <c r="B225" s="792"/>
      <c r="C225" s="130" t="s">
        <v>517</v>
      </c>
      <c r="D225" s="647">
        <f t="shared" si="9"/>
        <v>0</v>
      </c>
      <c r="E225" s="647"/>
      <c r="F225" s="647"/>
      <c r="G225" s="647">
        <f t="shared" si="10"/>
        <v>0</v>
      </c>
      <c r="H225" s="647"/>
      <c r="I225" s="647"/>
      <c r="J225" s="647">
        <f t="shared" si="11"/>
        <v>13</v>
      </c>
      <c r="K225" s="647">
        <v>0</v>
      </c>
      <c r="L225" s="647">
        <v>13</v>
      </c>
    </row>
    <row r="226" spans="1:12" x14ac:dyDescent="0.35">
      <c r="A226" s="105">
        <v>222</v>
      </c>
      <c r="B226" s="792"/>
      <c r="C226" s="130" t="s">
        <v>373</v>
      </c>
      <c r="D226" s="647">
        <f t="shared" si="9"/>
        <v>519</v>
      </c>
      <c r="E226" s="647">
        <v>317</v>
      </c>
      <c r="F226" s="647">
        <v>836</v>
      </c>
      <c r="G226" s="647">
        <f t="shared" si="10"/>
        <v>0</v>
      </c>
      <c r="H226" s="647"/>
      <c r="I226" s="647"/>
      <c r="J226" s="647">
        <f t="shared" si="11"/>
        <v>14005</v>
      </c>
      <c r="K226" s="647">
        <v>8597</v>
      </c>
      <c r="L226" s="647">
        <v>22602</v>
      </c>
    </row>
    <row r="227" spans="1:12" x14ac:dyDescent="0.35">
      <c r="A227" s="105">
        <v>223</v>
      </c>
      <c r="B227" s="793"/>
      <c r="C227" s="130" t="s">
        <v>518</v>
      </c>
      <c r="D227" s="647">
        <f t="shared" si="9"/>
        <v>57</v>
      </c>
      <c r="E227" s="647">
        <v>13</v>
      </c>
      <c r="F227" s="647">
        <v>70</v>
      </c>
      <c r="G227" s="647">
        <f t="shared" si="10"/>
        <v>0</v>
      </c>
      <c r="H227" s="647"/>
      <c r="I227" s="647"/>
      <c r="J227" s="647">
        <f t="shared" si="11"/>
        <v>327</v>
      </c>
      <c r="K227" s="647">
        <v>131</v>
      </c>
      <c r="L227" s="647">
        <v>458</v>
      </c>
    </row>
    <row r="228" spans="1:12" x14ac:dyDescent="0.35">
      <c r="A228" s="105">
        <v>224</v>
      </c>
      <c r="B228" s="107" t="s">
        <v>519</v>
      </c>
      <c r="C228" s="130"/>
      <c r="D228" s="647">
        <f t="shared" si="9"/>
        <v>602</v>
      </c>
      <c r="E228" s="647">
        <v>331</v>
      </c>
      <c r="F228" s="647">
        <v>933</v>
      </c>
      <c r="G228" s="647">
        <f t="shared" si="10"/>
        <v>0</v>
      </c>
      <c r="H228" s="647"/>
      <c r="I228" s="647"/>
      <c r="J228" s="647">
        <f t="shared" si="11"/>
        <v>14857</v>
      </c>
      <c r="K228" s="647">
        <v>8783</v>
      </c>
      <c r="L228" s="647">
        <v>23640</v>
      </c>
    </row>
    <row r="229" spans="1:12" x14ac:dyDescent="0.35">
      <c r="A229" s="105">
        <v>225</v>
      </c>
      <c r="B229" s="107" t="s">
        <v>374</v>
      </c>
      <c r="C229" s="130" t="s">
        <v>520</v>
      </c>
      <c r="D229" s="647">
        <f t="shared" si="9"/>
        <v>0</v>
      </c>
      <c r="E229" s="647"/>
      <c r="F229" s="647"/>
      <c r="G229" s="647">
        <f t="shared" si="10"/>
        <v>0</v>
      </c>
      <c r="H229" s="647"/>
      <c r="I229" s="647"/>
      <c r="J229" s="647">
        <f t="shared" si="11"/>
        <v>1193</v>
      </c>
      <c r="K229" s="647">
        <v>1264</v>
      </c>
      <c r="L229" s="647">
        <v>2457</v>
      </c>
    </row>
    <row r="230" spans="1:12" x14ac:dyDescent="0.35">
      <c r="A230" s="105">
        <v>226</v>
      </c>
      <c r="B230" s="107" t="s">
        <v>521</v>
      </c>
      <c r="C230" s="130"/>
      <c r="D230" s="647">
        <f t="shared" si="9"/>
        <v>0</v>
      </c>
      <c r="E230" s="647"/>
      <c r="F230" s="647"/>
      <c r="G230" s="647">
        <f t="shared" si="10"/>
        <v>0</v>
      </c>
      <c r="H230" s="647"/>
      <c r="I230" s="647"/>
      <c r="J230" s="647">
        <f t="shared" si="11"/>
        <v>1193</v>
      </c>
      <c r="K230" s="647">
        <v>1264</v>
      </c>
      <c r="L230" s="647">
        <v>2457</v>
      </c>
    </row>
    <row r="231" spans="1:12" x14ac:dyDescent="0.35">
      <c r="A231" s="105">
        <v>227</v>
      </c>
      <c r="B231" s="791" t="s">
        <v>375</v>
      </c>
      <c r="C231" s="130" t="s">
        <v>375</v>
      </c>
      <c r="D231" s="647">
        <f t="shared" si="9"/>
        <v>877</v>
      </c>
      <c r="E231" s="647">
        <v>352</v>
      </c>
      <c r="F231" s="647">
        <v>1229</v>
      </c>
      <c r="G231" s="647">
        <f t="shared" si="10"/>
        <v>9</v>
      </c>
      <c r="H231" s="647">
        <v>3</v>
      </c>
      <c r="I231" s="647">
        <v>12</v>
      </c>
      <c r="J231" s="647">
        <f t="shared" si="11"/>
        <v>8613</v>
      </c>
      <c r="K231" s="647">
        <v>4339</v>
      </c>
      <c r="L231" s="647">
        <v>12952</v>
      </c>
    </row>
    <row r="232" spans="1:12" x14ac:dyDescent="0.35">
      <c r="A232" s="105">
        <v>228</v>
      </c>
      <c r="B232" s="793"/>
      <c r="C232" s="130" t="s">
        <v>394</v>
      </c>
      <c r="D232" s="647">
        <f t="shared" si="9"/>
        <v>159</v>
      </c>
      <c r="E232" s="647">
        <v>141</v>
      </c>
      <c r="F232" s="647">
        <v>300</v>
      </c>
      <c r="G232" s="647">
        <f t="shared" si="10"/>
        <v>0</v>
      </c>
      <c r="H232" s="647"/>
      <c r="I232" s="647"/>
      <c r="J232" s="647">
        <f t="shared" si="11"/>
        <v>243</v>
      </c>
      <c r="K232" s="647">
        <v>192</v>
      </c>
      <c r="L232" s="647">
        <v>435</v>
      </c>
    </row>
    <row r="233" spans="1:12" x14ac:dyDescent="0.35">
      <c r="A233" s="105">
        <v>229</v>
      </c>
      <c r="B233" s="107" t="s">
        <v>522</v>
      </c>
      <c r="C233" s="130"/>
      <c r="D233" s="647">
        <f t="shared" si="9"/>
        <v>1036</v>
      </c>
      <c r="E233" s="647">
        <v>493</v>
      </c>
      <c r="F233" s="647">
        <v>1529</v>
      </c>
      <c r="G233" s="647">
        <f t="shared" si="10"/>
        <v>9</v>
      </c>
      <c r="H233" s="647">
        <v>3</v>
      </c>
      <c r="I233" s="647">
        <v>12</v>
      </c>
      <c r="J233" s="647">
        <f t="shared" si="11"/>
        <v>8856</v>
      </c>
      <c r="K233" s="647">
        <v>4531</v>
      </c>
      <c r="L233" s="647">
        <v>13387</v>
      </c>
    </row>
    <row r="234" spans="1:12" x14ac:dyDescent="0.35">
      <c r="A234" s="105">
        <v>230</v>
      </c>
      <c r="B234" s="107" t="s">
        <v>523</v>
      </c>
      <c r="C234" s="130" t="s">
        <v>434</v>
      </c>
      <c r="D234" s="647">
        <f t="shared" si="9"/>
        <v>0</v>
      </c>
      <c r="E234" s="647"/>
      <c r="F234" s="647"/>
      <c r="G234" s="647">
        <f t="shared" si="10"/>
        <v>0</v>
      </c>
      <c r="H234" s="647"/>
      <c r="I234" s="647"/>
      <c r="J234" s="647">
        <f t="shared" si="11"/>
        <v>407</v>
      </c>
      <c r="K234" s="647">
        <v>1233</v>
      </c>
      <c r="L234" s="647">
        <v>1640</v>
      </c>
    </row>
    <row r="235" spans="1:12" x14ac:dyDescent="0.35">
      <c r="A235" s="105">
        <v>231</v>
      </c>
      <c r="B235" s="107" t="s">
        <v>524</v>
      </c>
      <c r="C235" s="130"/>
      <c r="D235" s="647">
        <f t="shared" si="9"/>
        <v>0</v>
      </c>
      <c r="E235" s="647"/>
      <c r="F235" s="647"/>
      <c r="G235" s="647">
        <f t="shared" si="10"/>
        <v>0</v>
      </c>
      <c r="H235" s="647"/>
      <c r="I235" s="647"/>
      <c r="J235" s="647">
        <f t="shared" si="11"/>
        <v>407</v>
      </c>
      <c r="K235" s="647">
        <v>1233</v>
      </c>
      <c r="L235" s="647">
        <v>1640</v>
      </c>
    </row>
    <row r="236" spans="1:12" x14ac:dyDescent="0.35">
      <c r="A236" s="105">
        <v>232</v>
      </c>
      <c r="B236" s="791" t="s">
        <v>376</v>
      </c>
      <c r="C236" s="130" t="s">
        <v>525</v>
      </c>
      <c r="D236" s="647">
        <f t="shared" si="9"/>
        <v>107</v>
      </c>
      <c r="E236" s="647">
        <v>42</v>
      </c>
      <c r="F236" s="647">
        <v>149</v>
      </c>
      <c r="G236" s="647">
        <f t="shared" si="10"/>
        <v>2</v>
      </c>
      <c r="H236" s="647">
        <v>0</v>
      </c>
      <c r="I236" s="647">
        <v>2</v>
      </c>
      <c r="J236" s="647">
        <f t="shared" si="11"/>
        <v>484</v>
      </c>
      <c r="K236" s="647">
        <v>156</v>
      </c>
      <c r="L236" s="647">
        <v>640</v>
      </c>
    </row>
    <row r="237" spans="1:12" x14ac:dyDescent="0.35">
      <c r="A237" s="105">
        <v>233</v>
      </c>
      <c r="B237" s="792"/>
      <c r="C237" s="130" t="s">
        <v>526</v>
      </c>
      <c r="D237" s="647">
        <f t="shared" si="9"/>
        <v>0</v>
      </c>
      <c r="E237" s="647">
        <v>0</v>
      </c>
      <c r="F237" s="647">
        <v>0</v>
      </c>
      <c r="G237" s="647">
        <f t="shared" si="10"/>
        <v>0</v>
      </c>
      <c r="H237" s="647"/>
      <c r="I237" s="647"/>
      <c r="J237" s="647">
        <f t="shared" si="11"/>
        <v>148</v>
      </c>
      <c r="K237" s="647">
        <v>45</v>
      </c>
      <c r="L237" s="647">
        <v>193</v>
      </c>
    </row>
    <row r="238" spans="1:12" x14ac:dyDescent="0.35">
      <c r="A238" s="105">
        <v>234</v>
      </c>
      <c r="B238" s="792"/>
      <c r="C238" s="130" t="s">
        <v>527</v>
      </c>
      <c r="D238" s="647">
        <f t="shared" si="9"/>
        <v>110</v>
      </c>
      <c r="E238" s="647">
        <v>49</v>
      </c>
      <c r="F238" s="647">
        <v>159</v>
      </c>
      <c r="G238" s="647">
        <f t="shared" si="10"/>
        <v>0</v>
      </c>
      <c r="H238" s="647"/>
      <c r="I238" s="647"/>
      <c r="J238" s="647">
        <f t="shared" si="11"/>
        <v>928</v>
      </c>
      <c r="K238" s="647">
        <v>853</v>
      </c>
      <c r="L238" s="647">
        <v>1781</v>
      </c>
    </row>
    <row r="239" spans="1:12" x14ac:dyDescent="0.35">
      <c r="A239" s="105">
        <v>235</v>
      </c>
      <c r="B239" s="792"/>
      <c r="C239" s="130" t="s">
        <v>528</v>
      </c>
      <c r="D239" s="647">
        <f t="shared" si="9"/>
        <v>5</v>
      </c>
      <c r="E239" s="647">
        <v>14</v>
      </c>
      <c r="F239" s="647">
        <v>19</v>
      </c>
      <c r="G239" s="647">
        <f t="shared" si="10"/>
        <v>0</v>
      </c>
      <c r="H239" s="647"/>
      <c r="I239" s="647"/>
      <c r="J239" s="647">
        <f t="shared" si="11"/>
        <v>59</v>
      </c>
      <c r="K239" s="647">
        <v>99</v>
      </c>
      <c r="L239" s="647">
        <v>158</v>
      </c>
    </row>
    <row r="240" spans="1:12" x14ac:dyDescent="0.35">
      <c r="A240" s="105">
        <v>236</v>
      </c>
      <c r="B240" s="792"/>
      <c r="C240" s="132" t="s">
        <v>376</v>
      </c>
      <c r="D240" s="648">
        <f t="shared" si="9"/>
        <v>201</v>
      </c>
      <c r="E240" s="648">
        <v>101</v>
      </c>
      <c r="F240" s="648">
        <v>302</v>
      </c>
      <c r="G240" s="648">
        <f t="shared" si="10"/>
        <v>0</v>
      </c>
      <c r="H240" s="648"/>
      <c r="I240" s="648"/>
      <c r="J240" s="648">
        <f t="shared" si="11"/>
        <v>3287</v>
      </c>
      <c r="K240" s="648">
        <v>2443</v>
      </c>
      <c r="L240" s="648">
        <v>5730</v>
      </c>
    </row>
    <row r="241" spans="1:12" x14ac:dyDescent="0.35">
      <c r="A241" s="105">
        <v>237</v>
      </c>
      <c r="B241" s="793"/>
      <c r="C241" s="130" t="s">
        <v>529</v>
      </c>
      <c r="D241" s="647">
        <f t="shared" si="9"/>
        <v>68</v>
      </c>
      <c r="E241" s="647">
        <v>26</v>
      </c>
      <c r="F241" s="647">
        <v>94</v>
      </c>
      <c r="G241" s="647">
        <f t="shared" si="10"/>
        <v>0</v>
      </c>
      <c r="H241" s="647"/>
      <c r="I241" s="647"/>
      <c r="J241" s="647">
        <f t="shared" si="11"/>
        <v>365</v>
      </c>
      <c r="K241" s="647">
        <v>276</v>
      </c>
      <c r="L241" s="647">
        <v>641</v>
      </c>
    </row>
    <row r="242" spans="1:12" x14ac:dyDescent="0.35">
      <c r="A242" s="105">
        <v>238</v>
      </c>
      <c r="B242" s="107" t="s">
        <v>530</v>
      </c>
      <c r="C242" s="130"/>
      <c r="D242" s="647">
        <f t="shared" si="9"/>
        <v>491</v>
      </c>
      <c r="E242" s="647">
        <v>232</v>
      </c>
      <c r="F242" s="647">
        <v>723</v>
      </c>
      <c r="G242" s="647">
        <f t="shared" si="10"/>
        <v>2</v>
      </c>
      <c r="H242" s="647">
        <v>0</v>
      </c>
      <c r="I242" s="647">
        <v>2</v>
      </c>
      <c r="J242" s="647">
        <f t="shared" si="11"/>
        <v>5271</v>
      </c>
      <c r="K242" s="647">
        <v>3872</v>
      </c>
      <c r="L242" s="647">
        <v>9143</v>
      </c>
    </row>
    <row r="243" spans="1:12" x14ac:dyDescent="0.35">
      <c r="A243" s="105">
        <v>239</v>
      </c>
      <c r="B243" s="107" t="s">
        <v>377</v>
      </c>
      <c r="C243" s="130" t="s">
        <v>531</v>
      </c>
      <c r="D243" s="647">
        <f t="shared" si="9"/>
        <v>0</v>
      </c>
      <c r="E243" s="647"/>
      <c r="F243" s="647"/>
      <c r="G243" s="647">
        <f t="shared" si="10"/>
        <v>0</v>
      </c>
      <c r="H243" s="647"/>
      <c r="I243" s="647"/>
      <c r="J243" s="647">
        <f t="shared" si="11"/>
        <v>15</v>
      </c>
      <c r="K243" s="647">
        <v>5</v>
      </c>
      <c r="L243" s="647">
        <v>20</v>
      </c>
    </row>
    <row r="244" spans="1:12" x14ac:dyDescent="0.35">
      <c r="A244" s="105">
        <v>240</v>
      </c>
      <c r="B244" s="107" t="s">
        <v>532</v>
      </c>
      <c r="C244" s="130"/>
      <c r="D244" s="647">
        <f t="shared" si="9"/>
        <v>0</v>
      </c>
      <c r="E244" s="647"/>
      <c r="F244" s="647"/>
      <c r="G244" s="647">
        <f t="shared" si="10"/>
        <v>0</v>
      </c>
      <c r="H244" s="647"/>
      <c r="I244" s="647"/>
      <c r="J244" s="647">
        <f t="shared" si="11"/>
        <v>15</v>
      </c>
      <c r="K244" s="647">
        <v>5</v>
      </c>
      <c r="L244" s="647">
        <v>20</v>
      </c>
    </row>
    <row r="245" spans="1:12" ht="28" customHeight="1" x14ac:dyDescent="0.35">
      <c r="A245" s="105">
        <v>241</v>
      </c>
      <c r="B245" s="791" t="s">
        <v>379</v>
      </c>
      <c r="C245" s="130" t="s">
        <v>533</v>
      </c>
      <c r="D245" s="647">
        <f t="shared" si="9"/>
        <v>0</v>
      </c>
      <c r="E245" s="647"/>
      <c r="F245" s="647"/>
      <c r="G245" s="647">
        <f t="shared" si="10"/>
        <v>0</v>
      </c>
      <c r="H245" s="647"/>
      <c r="I245" s="647"/>
      <c r="J245" s="647">
        <f t="shared" si="11"/>
        <v>1961</v>
      </c>
      <c r="K245" s="647">
        <v>1195</v>
      </c>
      <c r="L245" s="647">
        <v>3156</v>
      </c>
    </row>
    <row r="246" spans="1:12" x14ac:dyDescent="0.35">
      <c r="A246" s="105">
        <v>242</v>
      </c>
      <c r="B246" s="792"/>
      <c r="C246" s="130" t="s">
        <v>351</v>
      </c>
      <c r="D246" s="647">
        <f t="shared" si="9"/>
        <v>241</v>
      </c>
      <c r="E246" s="647">
        <v>345</v>
      </c>
      <c r="F246" s="647">
        <v>586</v>
      </c>
      <c r="G246" s="647">
        <f t="shared" si="10"/>
        <v>6</v>
      </c>
      <c r="H246" s="647">
        <v>13</v>
      </c>
      <c r="I246" s="647">
        <v>19</v>
      </c>
      <c r="J246" s="647">
        <f t="shared" si="11"/>
        <v>1991</v>
      </c>
      <c r="K246" s="647">
        <v>4533</v>
      </c>
      <c r="L246" s="647">
        <v>6524</v>
      </c>
    </row>
    <row r="247" spans="1:12" x14ac:dyDescent="0.35">
      <c r="A247" s="105">
        <v>243</v>
      </c>
      <c r="B247" s="792"/>
      <c r="C247" s="130" t="s">
        <v>534</v>
      </c>
      <c r="D247" s="647">
        <f t="shared" si="9"/>
        <v>829</v>
      </c>
      <c r="E247" s="647">
        <v>1519</v>
      </c>
      <c r="F247" s="647">
        <v>2348</v>
      </c>
      <c r="G247" s="647">
        <f t="shared" si="10"/>
        <v>3</v>
      </c>
      <c r="H247" s="647">
        <v>8</v>
      </c>
      <c r="I247" s="647">
        <v>11</v>
      </c>
      <c r="J247" s="647">
        <f t="shared" si="11"/>
        <v>7658</v>
      </c>
      <c r="K247" s="647">
        <v>16286</v>
      </c>
      <c r="L247" s="647">
        <v>23944</v>
      </c>
    </row>
    <row r="248" spans="1:12" x14ac:dyDescent="0.35">
      <c r="A248" s="105">
        <v>244</v>
      </c>
      <c r="B248" s="792"/>
      <c r="C248" s="130" t="s">
        <v>495</v>
      </c>
      <c r="D248" s="647">
        <f t="shared" si="9"/>
        <v>584</v>
      </c>
      <c r="E248" s="647">
        <v>1003</v>
      </c>
      <c r="F248" s="647">
        <v>1587</v>
      </c>
      <c r="G248" s="647">
        <f t="shared" si="10"/>
        <v>3</v>
      </c>
      <c r="H248" s="647">
        <v>4</v>
      </c>
      <c r="I248" s="647">
        <v>7</v>
      </c>
      <c r="J248" s="647">
        <f t="shared" si="11"/>
        <v>5251</v>
      </c>
      <c r="K248" s="647">
        <v>13021</v>
      </c>
      <c r="L248" s="647">
        <v>18272</v>
      </c>
    </row>
    <row r="249" spans="1:12" x14ac:dyDescent="0.35">
      <c r="A249" s="105">
        <v>245</v>
      </c>
      <c r="B249" s="792"/>
      <c r="C249" s="130" t="s">
        <v>535</v>
      </c>
      <c r="D249" s="647">
        <f t="shared" si="9"/>
        <v>1309</v>
      </c>
      <c r="E249" s="647">
        <v>1939</v>
      </c>
      <c r="F249" s="647">
        <v>3248</v>
      </c>
      <c r="G249" s="647">
        <f t="shared" si="10"/>
        <v>11</v>
      </c>
      <c r="H249" s="647">
        <v>10</v>
      </c>
      <c r="I249" s="647">
        <v>21</v>
      </c>
      <c r="J249" s="647">
        <f t="shared" si="11"/>
        <v>20237</v>
      </c>
      <c r="K249" s="647">
        <v>53490</v>
      </c>
      <c r="L249" s="647">
        <v>73727</v>
      </c>
    </row>
    <row r="250" spans="1:12" x14ac:dyDescent="0.35">
      <c r="A250" s="105">
        <v>246</v>
      </c>
      <c r="B250" s="792"/>
      <c r="C250" s="130" t="s">
        <v>536</v>
      </c>
      <c r="D250" s="647">
        <f t="shared" si="9"/>
        <v>5430</v>
      </c>
      <c r="E250" s="647">
        <v>5229</v>
      </c>
      <c r="F250" s="647">
        <v>10659</v>
      </c>
      <c r="G250" s="647">
        <f t="shared" si="10"/>
        <v>49</v>
      </c>
      <c r="H250" s="647">
        <v>45</v>
      </c>
      <c r="I250" s="647">
        <v>94</v>
      </c>
      <c r="J250" s="647">
        <f t="shared" si="11"/>
        <v>86659</v>
      </c>
      <c r="K250" s="647">
        <v>100771</v>
      </c>
      <c r="L250" s="647">
        <v>187430</v>
      </c>
    </row>
    <row r="251" spans="1:12" x14ac:dyDescent="0.35">
      <c r="A251" s="105">
        <v>247</v>
      </c>
      <c r="B251" s="792"/>
      <c r="C251" s="130" t="s">
        <v>458</v>
      </c>
      <c r="D251" s="647">
        <f t="shared" si="9"/>
        <v>0</v>
      </c>
      <c r="E251" s="647"/>
      <c r="F251" s="647"/>
      <c r="G251" s="647">
        <f t="shared" si="10"/>
        <v>0</v>
      </c>
      <c r="H251" s="647"/>
      <c r="I251" s="647"/>
      <c r="J251" s="647">
        <f t="shared" si="11"/>
        <v>375</v>
      </c>
      <c r="K251" s="647">
        <v>400</v>
      </c>
      <c r="L251" s="647">
        <v>775</v>
      </c>
    </row>
    <row r="252" spans="1:12" x14ac:dyDescent="0.35">
      <c r="A252" s="105">
        <v>248</v>
      </c>
      <c r="B252" s="792"/>
      <c r="C252" s="130" t="s">
        <v>537</v>
      </c>
      <c r="D252" s="647">
        <f t="shared" si="9"/>
        <v>8</v>
      </c>
      <c r="E252" s="647">
        <v>13</v>
      </c>
      <c r="F252" s="647">
        <v>21</v>
      </c>
      <c r="G252" s="647">
        <f t="shared" si="10"/>
        <v>0</v>
      </c>
      <c r="H252" s="647"/>
      <c r="I252" s="647"/>
      <c r="J252" s="647">
        <f t="shared" si="11"/>
        <v>0</v>
      </c>
      <c r="K252" s="647"/>
      <c r="L252" s="647"/>
    </row>
    <row r="253" spans="1:12" x14ac:dyDescent="0.35">
      <c r="A253" s="105">
        <v>249</v>
      </c>
      <c r="B253" s="792"/>
      <c r="C253" s="130" t="s">
        <v>538</v>
      </c>
      <c r="D253" s="647">
        <f t="shared" si="9"/>
        <v>185</v>
      </c>
      <c r="E253" s="647">
        <v>187</v>
      </c>
      <c r="F253" s="647">
        <v>372</v>
      </c>
      <c r="G253" s="647">
        <f t="shared" si="10"/>
        <v>2</v>
      </c>
      <c r="H253" s="647">
        <v>1</v>
      </c>
      <c r="I253" s="647">
        <v>3</v>
      </c>
      <c r="J253" s="647">
        <f t="shared" si="11"/>
        <v>1894</v>
      </c>
      <c r="K253" s="647">
        <v>1349</v>
      </c>
      <c r="L253" s="647">
        <v>3243</v>
      </c>
    </row>
    <row r="254" spans="1:12" x14ac:dyDescent="0.35">
      <c r="A254" s="105">
        <v>250</v>
      </c>
      <c r="B254" s="792"/>
      <c r="C254" s="130" t="s">
        <v>539</v>
      </c>
      <c r="D254" s="647">
        <f t="shared" si="9"/>
        <v>678</v>
      </c>
      <c r="E254" s="647">
        <v>817</v>
      </c>
      <c r="F254" s="647">
        <v>1495</v>
      </c>
      <c r="G254" s="647">
        <f t="shared" si="10"/>
        <v>5</v>
      </c>
      <c r="H254" s="647">
        <v>11</v>
      </c>
      <c r="I254" s="647">
        <v>16</v>
      </c>
      <c r="J254" s="647">
        <f t="shared" si="11"/>
        <v>8889</v>
      </c>
      <c r="K254" s="647">
        <v>11540</v>
      </c>
      <c r="L254" s="647">
        <v>20429</v>
      </c>
    </row>
    <row r="255" spans="1:12" x14ac:dyDescent="0.35">
      <c r="A255" s="105">
        <v>251</v>
      </c>
      <c r="B255" s="792"/>
      <c r="C255" s="130" t="s">
        <v>540</v>
      </c>
      <c r="D255" s="647">
        <f t="shared" si="9"/>
        <v>38</v>
      </c>
      <c r="E255" s="647">
        <v>77</v>
      </c>
      <c r="F255" s="647">
        <v>115</v>
      </c>
      <c r="G255" s="647">
        <f t="shared" si="10"/>
        <v>0</v>
      </c>
      <c r="H255" s="647">
        <v>0</v>
      </c>
      <c r="I255" s="647">
        <v>0</v>
      </c>
      <c r="J255" s="647">
        <f t="shared" si="11"/>
        <v>351</v>
      </c>
      <c r="K255" s="647">
        <v>981</v>
      </c>
      <c r="L255" s="647">
        <v>1332</v>
      </c>
    </row>
    <row r="256" spans="1:12" x14ac:dyDescent="0.35">
      <c r="A256" s="105">
        <v>252</v>
      </c>
      <c r="B256" s="792"/>
      <c r="C256" s="130" t="s">
        <v>541</v>
      </c>
      <c r="D256" s="647">
        <f t="shared" si="9"/>
        <v>756</v>
      </c>
      <c r="E256" s="647">
        <v>395</v>
      </c>
      <c r="F256" s="647">
        <v>1151</v>
      </c>
      <c r="G256" s="647">
        <f t="shared" si="10"/>
        <v>7</v>
      </c>
      <c r="H256" s="647">
        <v>4</v>
      </c>
      <c r="I256" s="647">
        <v>11</v>
      </c>
      <c r="J256" s="647">
        <f t="shared" si="11"/>
        <v>4743</v>
      </c>
      <c r="K256" s="647">
        <v>4391</v>
      </c>
      <c r="L256" s="647">
        <v>9134</v>
      </c>
    </row>
    <row r="257" spans="1:12" x14ac:dyDescent="0.35">
      <c r="A257" s="105">
        <v>253</v>
      </c>
      <c r="B257" s="792"/>
      <c r="C257" s="130" t="s">
        <v>542</v>
      </c>
      <c r="D257" s="647">
        <f t="shared" si="9"/>
        <v>151</v>
      </c>
      <c r="E257" s="647">
        <v>56</v>
      </c>
      <c r="F257" s="647">
        <v>207</v>
      </c>
      <c r="G257" s="647">
        <f t="shared" si="10"/>
        <v>0</v>
      </c>
      <c r="H257" s="647"/>
      <c r="I257" s="647"/>
      <c r="J257" s="647">
        <f t="shared" si="11"/>
        <v>676</v>
      </c>
      <c r="K257" s="647">
        <v>462</v>
      </c>
      <c r="L257" s="647">
        <v>1138</v>
      </c>
    </row>
    <row r="258" spans="1:12" x14ac:dyDescent="0.35">
      <c r="A258" s="105">
        <v>254</v>
      </c>
      <c r="B258" s="792"/>
      <c r="C258" s="130" t="s">
        <v>543</v>
      </c>
      <c r="D258" s="647">
        <f t="shared" si="9"/>
        <v>918</v>
      </c>
      <c r="E258" s="647">
        <v>1429</v>
      </c>
      <c r="F258" s="647">
        <v>2347</v>
      </c>
      <c r="G258" s="647">
        <f t="shared" si="10"/>
        <v>5</v>
      </c>
      <c r="H258" s="647">
        <v>9</v>
      </c>
      <c r="I258" s="647">
        <v>14</v>
      </c>
      <c r="J258" s="647">
        <f t="shared" si="11"/>
        <v>6971</v>
      </c>
      <c r="K258" s="647">
        <v>15550</v>
      </c>
      <c r="L258" s="647">
        <v>22521</v>
      </c>
    </row>
    <row r="259" spans="1:12" x14ac:dyDescent="0.35">
      <c r="A259" s="105">
        <v>255</v>
      </c>
      <c r="B259" s="792"/>
      <c r="C259" s="130" t="s">
        <v>544</v>
      </c>
      <c r="D259" s="647">
        <f t="shared" si="9"/>
        <v>3345</v>
      </c>
      <c r="E259" s="647">
        <v>3340</v>
      </c>
      <c r="F259" s="647">
        <v>6685</v>
      </c>
      <c r="G259" s="647">
        <f t="shared" si="10"/>
        <v>40</v>
      </c>
      <c r="H259" s="647">
        <v>72</v>
      </c>
      <c r="I259" s="647">
        <v>112</v>
      </c>
      <c r="J259" s="647">
        <f t="shared" si="11"/>
        <v>73818</v>
      </c>
      <c r="K259" s="647">
        <v>101435</v>
      </c>
      <c r="L259" s="647">
        <v>175253</v>
      </c>
    </row>
    <row r="260" spans="1:12" x14ac:dyDescent="0.35">
      <c r="A260" s="105">
        <v>256</v>
      </c>
      <c r="B260" s="792"/>
      <c r="C260" s="130" t="s">
        <v>504</v>
      </c>
      <c r="D260" s="648">
        <f t="shared" si="9"/>
        <v>216</v>
      </c>
      <c r="E260" s="648">
        <v>399</v>
      </c>
      <c r="F260" s="648">
        <v>615</v>
      </c>
      <c r="G260" s="648">
        <f t="shared" si="10"/>
        <v>8</v>
      </c>
      <c r="H260" s="648">
        <v>11</v>
      </c>
      <c r="I260" s="648">
        <v>19</v>
      </c>
      <c r="J260" s="648">
        <f t="shared" si="11"/>
        <v>6343</v>
      </c>
      <c r="K260" s="648">
        <v>16300</v>
      </c>
      <c r="L260" s="648">
        <v>22643</v>
      </c>
    </row>
    <row r="261" spans="1:12" x14ac:dyDescent="0.35">
      <c r="A261" s="105">
        <v>257</v>
      </c>
      <c r="B261" s="792"/>
      <c r="C261" s="130" t="s">
        <v>545</v>
      </c>
      <c r="D261" s="647">
        <f t="shared" ref="D261:D292" si="12">F261-E261</f>
        <v>4574</v>
      </c>
      <c r="E261" s="647">
        <v>4800</v>
      </c>
      <c r="F261" s="647">
        <v>9374</v>
      </c>
      <c r="G261" s="647">
        <f t="shared" ref="G261:G292" si="13">I261-H261</f>
        <v>40</v>
      </c>
      <c r="H261" s="647">
        <v>42</v>
      </c>
      <c r="I261" s="647">
        <v>82</v>
      </c>
      <c r="J261" s="647">
        <f t="shared" ref="J261:J292" si="14">L261-K261</f>
        <v>41365</v>
      </c>
      <c r="K261" s="647">
        <v>63894</v>
      </c>
      <c r="L261" s="647">
        <v>105259</v>
      </c>
    </row>
    <row r="262" spans="1:12" x14ac:dyDescent="0.35">
      <c r="A262" s="105">
        <v>258</v>
      </c>
      <c r="B262" s="792"/>
      <c r="C262" s="130" t="s">
        <v>546</v>
      </c>
      <c r="D262" s="647">
        <f t="shared" si="12"/>
        <v>4790</v>
      </c>
      <c r="E262" s="647">
        <v>3569</v>
      </c>
      <c r="F262" s="647">
        <v>8359</v>
      </c>
      <c r="G262" s="647">
        <f t="shared" si="13"/>
        <v>21</v>
      </c>
      <c r="H262" s="647">
        <v>34</v>
      </c>
      <c r="I262" s="647">
        <v>55</v>
      </c>
      <c r="J262" s="647">
        <f t="shared" si="14"/>
        <v>40910</v>
      </c>
      <c r="K262" s="647">
        <v>49263</v>
      </c>
      <c r="L262" s="647">
        <v>90173</v>
      </c>
    </row>
    <row r="263" spans="1:12" x14ac:dyDescent="0.35">
      <c r="A263" s="105">
        <v>259</v>
      </c>
      <c r="B263" s="792"/>
      <c r="C263" s="130" t="s">
        <v>379</v>
      </c>
      <c r="D263" s="647">
        <f t="shared" si="12"/>
        <v>459</v>
      </c>
      <c r="E263" s="647">
        <v>462</v>
      </c>
      <c r="F263" s="647">
        <v>921</v>
      </c>
      <c r="G263" s="647">
        <f t="shared" si="13"/>
        <v>0</v>
      </c>
      <c r="H263" s="647"/>
      <c r="I263" s="647"/>
      <c r="J263" s="647">
        <f t="shared" si="14"/>
        <v>404</v>
      </c>
      <c r="K263" s="647">
        <v>1017</v>
      </c>
      <c r="L263" s="647">
        <v>1421</v>
      </c>
    </row>
    <row r="264" spans="1:12" x14ac:dyDescent="0.35">
      <c r="A264" s="105">
        <v>260</v>
      </c>
      <c r="B264" s="792"/>
      <c r="C264" s="130" t="s">
        <v>398</v>
      </c>
      <c r="D264" s="648">
        <f t="shared" si="12"/>
        <v>220</v>
      </c>
      <c r="E264" s="648">
        <v>231</v>
      </c>
      <c r="F264" s="648">
        <v>451</v>
      </c>
      <c r="G264" s="648">
        <f t="shared" si="13"/>
        <v>0</v>
      </c>
      <c r="H264" s="648">
        <v>1</v>
      </c>
      <c r="I264" s="648">
        <v>1</v>
      </c>
      <c r="J264" s="648">
        <f t="shared" si="14"/>
        <v>5043</v>
      </c>
      <c r="K264" s="648">
        <v>7134</v>
      </c>
      <c r="L264" s="648">
        <v>12177</v>
      </c>
    </row>
    <row r="265" spans="1:12" x14ac:dyDescent="0.35">
      <c r="A265" s="105">
        <v>261</v>
      </c>
      <c r="B265" s="793"/>
      <c r="C265" s="130" t="s">
        <v>547</v>
      </c>
      <c r="D265" s="648">
        <f t="shared" si="12"/>
        <v>1405</v>
      </c>
      <c r="E265" s="648">
        <v>2228</v>
      </c>
      <c r="F265" s="648">
        <v>3633</v>
      </c>
      <c r="G265" s="648">
        <f t="shared" si="13"/>
        <v>11</v>
      </c>
      <c r="H265" s="648">
        <v>23</v>
      </c>
      <c r="I265" s="648">
        <v>34</v>
      </c>
      <c r="J265" s="648">
        <f t="shared" si="14"/>
        <v>24833</v>
      </c>
      <c r="K265" s="648">
        <v>66464</v>
      </c>
      <c r="L265" s="648">
        <v>91297</v>
      </c>
    </row>
    <row r="266" spans="1:12" x14ac:dyDescent="0.35">
      <c r="A266" s="105">
        <v>262</v>
      </c>
      <c r="B266" s="107" t="s">
        <v>548</v>
      </c>
      <c r="C266" s="130"/>
      <c r="D266" s="647">
        <f t="shared" si="12"/>
        <v>26136</v>
      </c>
      <c r="E266" s="647">
        <v>28038</v>
      </c>
      <c r="F266" s="647">
        <v>54174</v>
      </c>
      <c r="G266" s="647">
        <f t="shared" si="13"/>
        <v>211</v>
      </c>
      <c r="H266" s="647">
        <v>288</v>
      </c>
      <c r="I266" s="647">
        <v>499</v>
      </c>
      <c r="J266" s="647">
        <f t="shared" si="14"/>
        <v>340372</v>
      </c>
      <c r="K266" s="647">
        <v>529476</v>
      </c>
      <c r="L266" s="647">
        <v>869848</v>
      </c>
    </row>
    <row r="267" spans="1:12" x14ac:dyDescent="0.35">
      <c r="A267" s="105">
        <v>263</v>
      </c>
      <c r="B267" s="791" t="s">
        <v>381</v>
      </c>
      <c r="C267" s="130" t="s">
        <v>549</v>
      </c>
      <c r="D267" s="647">
        <f t="shared" si="12"/>
        <v>104</v>
      </c>
      <c r="E267" s="647">
        <v>127</v>
      </c>
      <c r="F267" s="647">
        <v>231</v>
      </c>
      <c r="G267" s="647">
        <f t="shared" si="13"/>
        <v>0</v>
      </c>
      <c r="H267" s="647">
        <v>5</v>
      </c>
      <c r="I267" s="647">
        <v>5</v>
      </c>
      <c r="J267" s="647">
        <f t="shared" si="14"/>
        <v>2006</v>
      </c>
      <c r="K267" s="647">
        <v>2338</v>
      </c>
      <c r="L267" s="647">
        <v>4344</v>
      </c>
    </row>
    <row r="268" spans="1:12" x14ac:dyDescent="0.35">
      <c r="A268" s="105">
        <v>264</v>
      </c>
      <c r="B268" s="792"/>
      <c r="C268" s="130" t="s">
        <v>550</v>
      </c>
      <c r="D268" s="647">
        <f t="shared" si="12"/>
        <v>0</v>
      </c>
      <c r="E268" s="647"/>
      <c r="F268" s="647"/>
      <c r="G268" s="647">
        <f t="shared" si="13"/>
        <v>0</v>
      </c>
      <c r="H268" s="647"/>
      <c r="I268" s="647"/>
      <c r="J268" s="647">
        <f t="shared" si="14"/>
        <v>2</v>
      </c>
      <c r="K268" s="647">
        <v>2</v>
      </c>
      <c r="L268" s="647">
        <v>4</v>
      </c>
    </row>
    <row r="269" spans="1:12" x14ac:dyDescent="0.35">
      <c r="A269" s="105">
        <v>265</v>
      </c>
      <c r="B269" s="792"/>
      <c r="C269" s="130" t="s">
        <v>551</v>
      </c>
      <c r="D269" s="647">
        <f t="shared" si="12"/>
        <v>1892</v>
      </c>
      <c r="E269" s="647">
        <v>1926</v>
      </c>
      <c r="F269" s="647">
        <v>3818</v>
      </c>
      <c r="G269" s="647">
        <f t="shared" si="13"/>
        <v>19</v>
      </c>
      <c r="H269" s="647">
        <v>28</v>
      </c>
      <c r="I269" s="647">
        <v>47</v>
      </c>
      <c r="J269" s="647">
        <f t="shared" si="14"/>
        <v>54853</v>
      </c>
      <c r="K269" s="647">
        <v>74331</v>
      </c>
      <c r="L269" s="647">
        <v>129184</v>
      </c>
    </row>
    <row r="270" spans="1:12" x14ac:dyDescent="0.35">
      <c r="A270" s="105">
        <v>266</v>
      </c>
      <c r="B270" s="792"/>
      <c r="C270" s="130" t="s">
        <v>552</v>
      </c>
      <c r="D270" s="647">
        <f t="shared" si="12"/>
        <v>889</v>
      </c>
      <c r="E270" s="647">
        <v>670</v>
      </c>
      <c r="F270" s="647">
        <v>1559</v>
      </c>
      <c r="G270" s="647">
        <f t="shared" si="13"/>
        <v>6</v>
      </c>
      <c r="H270" s="647">
        <v>6</v>
      </c>
      <c r="I270" s="647">
        <v>12</v>
      </c>
      <c r="J270" s="647">
        <f t="shared" si="14"/>
        <v>35093</v>
      </c>
      <c r="K270" s="647">
        <v>45629</v>
      </c>
      <c r="L270" s="647">
        <v>80722</v>
      </c>
    </row>
    <row r="271" spans="1:12" x14ac:dyDescent="0.35">
      <c r="A271" s="105">
        <v>267</v>
      </c>
      <c r="B271" s="792"/>
      <c r="C271" s="130" t="s">
        <v>553</v>
      </c>
      <c r="D271" s="647">
        <f t="shared" si="12"/>
        <v>1861</v>
      </c>
      <c r="E271" s="647">
        <v>1513</v>
      </c>
      <c r="F271" s="647">
        <v>3374</v>
      </c>
      <c r="G271" s="647">
        <f t="shared" si="13"/>
        <v>101</v>
      </c>
      <c r="H271" s="647">
        <v>69</v>
      </c>
      <c r="I271" s="647">
        <v>170</v>
      </c>
      <c r="J271" s="647">
        <f t="shared" si="14"/>
        <v>107226</v>
      </c>
      <c r="K271" s="647">
        <v>128030</v>
      </c>
      <c r="L271" s="647">
        <v>235256</v>
      </c>
    </row>
    <row r="272" spans="1:12" x14ac:dyDescent="0.35">
      <c r="A272" s="105">
        <v>268</v>
      </c>
      <c r="B272" s="792"/>
      <c r="C272" s="130" t="s">
        <v>469</v>
      </c>
      <c r="D272" s="647">
        <f t="shared" si="12"/>
        <v>816</v>
      </c>
      <c r="E272" s="647">
        <v>802</v>
      </c>
      <c r="F272" s="647">
        <v>1618</v>
      </c>
      <c r="G272" s="647">
        <f t="shared" si="13"/>
        <v>0</v>
      </c>
      <c r="H272" s="647"/>
      <c r="I272" s="647"/>
      <c r="J272" s="647">
        <f t="shared" si="14"/>
        <v>0</v>
      </c>
      <c r="K272" s="647"/>
      <c r="L272" s="647"/>
    </row>
    <row r="273" spans="1:12" x14ac:dyDescent="0.35">
      <c r="A273" s="105">
        <v>269</v>
      </c>
      <c r="B273" s="792"/>
      <c r="C273" s="130" t="s">
        <v>544</v>
      </c>
      <c r="D273" s="647">
        <f t="shared" si="12"/>
        <v>31</v>
      </c>
      <c r="E273" s="647">
        <v>34</v>
      </c>
      <c r="F273" s="647">
        <v>65</v>
      </c>
      <c r="G273" s="647">
        <f t="shared" si="13"/>
        <v>2</v>
      </c>
      <c r="H273" s="647">
        <v>3</v>
      </c>
      <c r="I273" s="647">
        <v>5</v>
      </c>
      <c r="J273" s="647">
        <f t="shared" si="14"/>
        <v>1139</v>
      </c>
      <c r="K273" s="647">
        <v>887</v>
      </c>
      <c r="L273" s="647">
        <v>2026</v>
      </c>
    </row>
    <row r="274" spans="1:12" x14ac:dyDescent="0.35">
      <c r="A274" s="105">
        <v>270</v>
      </c>
      <c r="B274" s="792"/>
      <c r="C274" s="130" t="s">
        <v>392</v>
      </c>
      <c r="D274" s="647">
        <f t="shared" si="12"/>
        <v>0</v>
      </c>
      <c r="E274" s="647"/>
      <c r="F274" s="647"/>
      <c r="G274" s="647">
        <f t="shared" si="13"/>
        <v>0</v>
      </c>
      <c r="H274" s="647"/>
      <c r="I274" s="647"/>
      <c r="J274" s="647">
        <f t="shared" si="14"/>
        <v>11</v>
      </c>
      <c r="K274" s="647">
        <v>16</v>
      </c>
      <c r="L274" s="647">
        <v>27</v>
      </c>
    </row>
    <row r="275" spans="1:12" x14ac:dyDescent="0.35">
      <c r="A275" s="105">
        <v>271</v>
      </c>
      <c r="B275" s="792"/>
      <c r="C275" s="130" t="s">
        <v>554</v>
      </c>
      <c r="D275" s="647">
        <f t="shared" si="12"/>
        <v>2331</v>
      </c>
      <c r="E275" s="647">
        <v>2645</v>
      </c>
      <c r="F275" s="647">
        <v>4976</v>
      </c>
      <c r="G275" s="647">
        <f t="shared" si="13"/>
        <v>57</v>
      </c>
      <c r="H275" s="647">
        <v>49</v>
      </c>
      <c r="I275" s="647">
        <v>106</v>
      </c>
      <c r="J275" s="647">
        <f t="shared" si="14"/>
        <v>30572</v>
      </c>
      <c r="K275" s="647">
        <v>54283</v>
      </c>
      <c r="L275" s="647">
        <v>84855</v>
      </c>
    </row>
    <row r="276" spans="1:12" x14ac:dyDescent="0.35">
      <c r="A276" s="105">
        <v>272</v>
      </c>
      <c r="B276" s="792"/>
      <c r="C276" s="130" t="s">
        <v>555</v>
      </c>
      <c r="D276" s="647">
        <f t="shared" si="12"/>
        <v>1315</v>
      </c>
      <c r="E276" s="647">
        <v>1277</v>
      </c>
      <c r="F276" s="647">
        <v>2592</v>
      </c>
      <c r="G276" s="647">
        <f t="shared" si="13"/>
        <v>40</v>
      </c>
      <c r="H276" s="647">
        <v>54</v>
      </c>
      <c r="I276" s="647">
        <v>94</v>
      </c>
      <c r="J276" s="647">
        <f t="shared" si="14"/>
        <v>6010</v>
      </c>
      <c r="K276" s="647">
        <v>7379</v>
      </c>
      <c r="L276" s="647">
        <v>13389</v>
      </c>
    </row>
    <row r="277" spans="1:12" x14ac:dyDescent="0.35">
      <c r="A277" s="105">
        <v>273</v>
      </c>
      <c r="B277" s="792"/>
      <c r="C277" s="130" t="s">
        <v>556</v>
      </c>
      <c r="D277" s="647">
        <f t="shared" si="12"/>
        <v>1768</v>
      </c>
      <c r="E277" s="647">
        <v>1171</v>
      </c>
      <c r="F277" s="647">
        <v>2939</v>
      </c>
      <c r="G277" s="647">
        <f t="shared" si="13"/>
        <v>42</v>
      </c>
      <c r="H277" s="647">
        <v>30</v>
      </c>
      <c r="I277" s="647">
        <v>72</v>
      </c>
      <c r="J277" s="647">
        <f t="shared" si="14"/>
        <v>125412</v>
      </c>
      <c r="K277" s="647">
        <v>149122</v>
      </c>
      <c r="L277" s="647">
        <v>274534</v>
      </c>
    </row>
    <row r="278" spans="1:12" x14ac:dyDescent="0.35">
      <c r="A278" s="105">
        <v>274</v>
      </c>
      <c r="B278" s="792"/>
      <c r="C278" s="130" t="s">
        <v>557</v>
      </c>
      <c r="D278" s="647">
        <f t="shared" si="12"/>
        <v>137</v>
      </c>
      <c r="E278" s="647">
        <v>87</v>
      </c>
      <c r="F278" s="647">
        <v>224</v>
      </c>
      <c r="G278" s="647">
        <f t="shared" si="13"/>
        <v>0</v>
      </c>
      <c r="H278" s="647">
        <v>0</v>
      </c>
      <c r="I278" s="647">
        <v>0</v>
      </c>
      <c r="J278" s="647">
        <f t="shared" si="14"/>
        <v>43</v>
      </c>
      <c r="K278" s="647">
        <v>24</v>
      </c>
      <c r="L278" s="647">
        <v>67</v>
      </c>
    </row>
    <row r="279" spans="1:12" x14ac:dyDescent="0.35">
      <c r="A279" s="105">
        <v>275</v>
      </c>
      <c r="B279" s="792"/>
      <c r="C279" s="130" t="s">
        <v>523</v>
      </c>
      <c r="D279" s="647">
        <f t="shared" si="12"/>
        <v>523</v>
      </c>
      <c r="E279" s="647">
        <v>1104</v>
      </c>
      <c r="F279" s="647">
        <v>1627</v>
      </c>
      <c r="G279" s="647">
        <f t="shared" si="13"/>
        <v>72</v>
      </c>
      <c r="H279" s="647">
        <v>295</v>
      </c>
      <c r="I279" s="647">
        <v>367</v>
      </c>
      <c r="J279" s="647">
        <f t="shared" si="14"/>
        <v>14166</v>
      </c>
      <c r="K279" s="647">
        <v>37330</v>
      </c>
      <c r="L279" s="647">
        <v>51496</v>
      </c>
    </row>
    <row r="280" spans="1:12" x14ac:dyDescent="0.35">
      <c r="A280" s="105">
        <v>276</v>
      </c>
      <c r="B280" s="792"/>
      <c r="C280" s="130" t="s">
        <v>558</v>
      </c>
      <c r="D280" s="647">
        <f t="shared" si="12"/>
        <v>275</v>
      </c>
      <c r="E280" s="647">
        <v>151</v>
      </c>
      <c r="F280" s="647">
        <v>426</v>
      </c>
      <c r="G280" s="647">
        <f t="shared" si="13"/>
        <v>1</v>
      </c>
      <c r="H280" s="647">
        <v>2</v>
      </c>
      <c r="I280" s="647">
        <v>3</v>
      </c>
      <c r="J280" s="647">
        <f t="shared" si="14"/>
        <v>16534</v>
      </c>
      <c r="K280" s="647">
        <v>12943</v>
      </c>
      <c r="L280" s="647">
        <v>29477</v>
      </c>
    </row>
    <row r="281" spans="1:12" x14ac:dyDescent="0.35">
      <c r="A281" s="105">
        <v>277</v>
      </c>
      <c r="B281" s="792"/>
      <c r="C281" s="130" t="s">
        <v>381</v>
      </c>
      <c r="D281" s="647">
        <f t="shared" si="12"/>
        <v>5</v>
      </c>
      <c r="E281" s="647">
        <v>8</v>
      </c>
      <c r="F281" s="647">
        <v>13</v>
      </c>
      <c r="G281" s="647">
        <f t="shared" si="13"/>
        <v>1</v>
      </c>
      <c r="H281" s="647">
        <v>3</v>
      </c>
      <c r="I281" s="647">
        <v>4</v>
      </c>
      <c r="J281" s="647">
        <f t="shared" si="14"/>
        <v>47</v>
      </c>
      <c r="K281" s="647">
        <v>110</v>
      </c>
      <c r="L281" s="647">
        <v>157</v>
      </c>
    </row>
    <row r="282" spans="1:12" x14ac:dyDescent="0.35">
      <c r="A282" s="105">
        <v>278</v>
      </c>
      <c r="B282" s="792"/>
      <c r="C282" s="130" t="s">
        <v>390</v>
      </c>
      <c r="D282" s="647">
        <f t="shared" si="12"/>
        <v>1044</v>
      </c>
      <c r="E282" s="647">
        <v>1172</v>
      </c>
      <c r="F282" s="647">
        <v>2216</v>
      </c>
      <c r="G282" s="647">
        <f t="shared" si="13"/>
        <v>22</v>
      </c>
      <c r="H282" s="647">
        <v>16</v>
      </c>
      <c r="I282" s="647">
        <v>38</v>
      </c>
      <c r="J282" s="647">
        <f t="shared" si="14"/>
        <v>75502</v>
      </c>
      <c r="K282" s="647">
        <v>136522</v>
      </c>
      <c r="L282" s="647">
        <v>212024</v>
      </c>
    </row>
    <row r="283" spans="1:12" x14ac:dyDescent="0.35">
      <c r="A283" s="105">
        <v>279</v>
      </c>
      <c r="B283" s="793"/>
      <c r="C283" s="130" t="s">
        <v>398</v>
      </c>
      <c r="D283" s="647">
        <f t="shared" si="12"/>
        <v>9</v>
      </c>
      <c r="E283" s="647">
        <v>22</v>
      </c>
      <c r="F283" s="647">
        <v>31</v>
      </c>
      <c r="G283" s="647">
        <f t="shared" si="13"/>
        <v>2</v>
      </c>
      <c r="H283" s="647">
        <v>0</v>
      </c>
      <c r="I283" s="647">
        <v>2</v>
      </c>
      <c r="J283" s="647">
        <f t="shared" si="14"/>
        <v>70</v>
      </c>
      <c r="K283" s="647">
        <v>82</v>
      </c>
      <c r="L283" s="647">
        <v>152</v>
      </c>
    </row>
    <row r="284" spans="1:12" x14ac:dyDescent="0.35">
      <c r="A284" s="105">
        <v>280</v>
      </c>
      <c r="B284" s="107" t="s">
        <v>559</v>
      </c>
      <c r="C284" s="130"/>
      <c r="D284" s="647">
        <f t="shared" si="12"/>
        <v>13000</v>
      </c>
      <c r="E284" s="647">
        <v>12709</v>
      </c>
      <c r="F284" s="647">
        <v>25709</v>
      </c>
      <c r="G284" s="647">
        <f t="shared" si="13"/>
        <v>365</v>
      </c>
      <c r="H284" s="647">
        <v>560</v>
      </c>
      <c r="I284" s="647">
        <v>925</v>
      </c>
      <c r="J284" s="647">
        <f t="shared" si="14"/>
        <v>468686</v>
      </c>
      <c r="K284" s="647">
        <v>649028</v>
      </c>
      <c r="L284" s="647">
        <v>1117714</v>
      </c>
    </row>
    <row r="285" spans="1:12" x14ac:dyDescent="0.35">
      <c r="A285" s="105">
        <v>281</v>
      </c>
      <c r="B285" s="107" t="s">
        <v>382</v>
      </c>
      <c r="C285" s="130" t="s">
        <v>382</v>
      </c>
      <c r="D285" s="647">
        <f t="shared" si="12"/>
        <v>599</v>
      </c>
      <c r="E285" s="647">
        <v>548</v>
      </c>
      <c r="F285" s="647">
        <v>1147</v>
      </c>
      <c r="G285" s="647">
        <f t="shared" si="13"/>
        <v>80</v>
      </c>
      <c r="H285" s="647">
        <v>102</v>
      </c>
      <c r="I285" s="647">
        <v>182</v>
      </c>
      <c r="J285" s="647">
        <f t="shared" si="14"/>
        <v>36699</v>
      </c>
      <c r="K285" s="647">
        <v>44681</v>
      </c>
      <c r="L285" s="647">
        <v>81380</v>
      </c>
    </row>
    <row r="286" spans="1:12" x14ac:dyDescent="0.35">
      <c r="A286" s="105">
        <v>282</v>
      </c>
      <c r="B286" s="107" t="s">
        <v>560</v>
      </c>
      <c r="C286" s="130"/>
      <c r="D286" s="647">
        <f t="shared" si="12"/>
        <v>599</v>
      </c>
      <c r="E286" s="647">
        <v>548</v>
      </c>
      <c r="F286" s="647">
        <v>1147</v>
      </c>
      <c r="G286" s="647">
        <f t="shared" si="13"/>
        <v>80</v>
      </c>
      <c r="H286" s="647">
        <v>102</v>
      </c>
      <c r="I286" s="647">
        <v>182</v>
      </c>
      <c r="J286" s="647">
        <f t="shared" si="14"/>
        <v>36699</v>
      </c>
      <c r="K286" s="647">
        <v>44681</v>
      </c>
      <c r="L286" s="647">
        <v>81380</v>
      </c>
    </row>
    <row r="287" spans="1:12" x14ac:dyDescent="0.35">
      <c r="A287" s="105">
        <v>283</v>
      </c>
      <c r="B287" s="107" t="s">
        <v>383</v>
      </c>
      <c r="C287" s="130" t="s">
        <v>561</v>
      </c>
      <c r="D287" s="647">
        <f t="shared" si="12"/>
        <v>4</v>
      </c>
      <c r="E287" s="647">
        <v>2</v>
      </c>
      <c r="F287" s="647">
        <v>6</v>
      </c>
      <c r="G287" s="647">
        <f t="shared" si="13"/>
        <v>0</v>
      </c>
      <c r="H287" s="647"/>
      <c r="I287" s="647"/>
      <c r="J287" s="647">
        <f t="shared" si="14"/>
        <v>32</v>
      </c>
      <c r="K287" s="647">
        <v>6</v>
      </c>
      <c r="L287" s="647">
        <v>38</v>
      </c>
    </row>
    <row r="288" spans="1:12" x14ac:dyDescent="0.35">
      <c r="A288" s="105">
        <v>284</v>
      </c>
      <c r="B288" s="107"/>
      <c r="C288" s="130" t="s">
        <v>383</v>
      </c>
      <c r="D288" s="647">
        <f t="shared" si="12"/>
        <v>451</v>
      </c>
      <c r="E288" s="647">
        <v>448</v>
      </c>
      <c r="F288" s="647">
        <v>899</v>
      </c>
      <c r="G288" s="647">
        <f t="shared" si="13"/>
        <v>0</v>
      </c>
      <c r="H288" s="647">
        <v>2</v>
      </c>
      <c r="I288" s="647">
        <v>2</v>
      </c>
      <c r="J288" s="647">
        <f t="shared" si="14"/>
        <v>2307</v>
      </c>
      <c r="K288" s="647">
        <v>1969</v>
      </c>
      <c r="L288" s="647">
        <v>4276</v>
      </c>
    </row>
    <row r="289" spans="1:12" x14ac:dyDescent="0.35">
      <c r="A289" s="105">
        <v>285</v>
      </c>
      <c r="B289" s="107" t="s">
        <v>562</v>
      </c>
      <c r="C289" s="130"/>
      <c r="D289" s="647">
        <f t="shared" si="12"/>
        <v>455</v>
      </c>
      <c r="E289" s="647">
        <v>450</v>
      </c>
      <c r="F289" s="647">
        <v>905</v>
      </c>
      <c r="G289" s="647">
        <f t="shared" si="13"/>
        <v>0</v>
      </c>
      <c r="H289" s="647">
        <v>2</v>
      </c>
      <c r="I289" s="647">
        <v>2</v>
      </c>
      <c r="J289" s="647">
        <f t="shared" si="14"/>
        <v>2339</v>
      </c>
      <c r="K289" s="647">
        <v>1975</v>
      </c>
      <c r="L289" s="647">
        <v>4314</v>
      </c>
    </row>
    <row r="290" spans="1:12" x14ac:dyDescent="0.35">
      <c r="A290" s="105">
        <v>286</v>
      </c>
      <c r="B290" s="107" t="s">
        <v>384</v>
      </c>
      <c r="C290" s="130" t="s">
        <v>384</v>
      </c>
      <c r="D290" s="647">
        <f t="shared" si="12"/>
        <v>40</v>
      </c>
      <c r="E290" s="647">
        <v>108</v>
      </c>
      <c r="F290" s="647">
        <v>148</v>
      </c>
      <c r="G290" s="647">
        <f t="shared" si="13"/>
        <v>10</v>
      </c>
      <c r="H290" s="647">
        <v>4</v>
      </c>
      <c r="I290" s="647">
        <v>14</v>
      </c>
      <c r="J290" s="647">
        <f t="shared" si="14"/>
        <v>1154</v>
      </c>
      <c r="K290" s="647">
        <v>12658</v>
      </c>
      <c r="L290" s="647">
        <v>13812</v>
      </c>
    </row>
    <row r="291" spans="1:12" x14ac:dyDescent="0.35">
      <c r="A291" s="105">
        <v>287</v>
      </c>
      <c r="B291" s="107" t="s">
        <v>563</v>
      </c>
      <c r="C291" s="130"/>
      <c r="D291" s="647">
        <f t="shared" si="12"/>
        <v>40</v>
      </c>
      <c r="E291" s="647">
        <v>108</v>
      </c>
      <c r="F291" s="647">
        <v>148</v>
      </c>
      <c r="G291" s="647">
        <f t="shared" si="13"/>
        <v>10</v>
      </c>
      <c r="H291" s="647">
        <v>4</v>
      </c>
      <c r="I291" s="647">
        <v>14</v>
      </c>
      <c r="J291" s="647">
        <f t="shared" si="14"/>
        <v>1154</v>
      </c>
      <c r="K291" s="647">
        <v>12658</v>
      </c>
      <c r="L291" s="647">
        <v>13812</v>
      </c>
    </row>
    <row r="292" spans="1:12" x14ac:dyDescent="0.35">
      <c r="A292" s="105"/>
      <c r="B292" s="107" t="s">
        <v>12</v>
      </c>
      <c r="C292" s="130"/>
      <c r="D292" s="647">
        <f t="shared" si="12"/>
        <v>120981</v>
      </c>
      <c r="E292" s="647">
        <v>112441</v>
      </c>
      <c r="F292" s="647">
        <v>233422</v>
      </c>
      <c r="G292" s="647">
        <f t="shared" si="13"/>
        <v>1270</v>
      </c>
      <c r="H292" s="647">
        <v>1964</v>
      </c>
      <c r="I292" s="647">
        <v>3234</v>
      </c>
      <c r="J292" s="647">
        <f t="shared" si="14"/>
        <v>2471998</v>
      </c>
      <c r="K292" s="647">
        <v>3152526</v>
      </c>
      <c r="L292" s="647">
        <v>5624524</v>
      </c>
    </row>
  </sheetData>
  <mergeCells count="34">
    <mergeCell ref="B245:B265"/>
    <mergeCell ref="B129:B133"/>
    <mergeCell ref="B135:B136"/>
    <mergeCell ref="B138:B142"/>
    <mergeCell ref="B146:B147"/>
    <mergeCell ref="B149:B168"/>
    <mergeCell ref="B113:B124"/>
    <mergeCell ref="B126:B127"/>
    <mergeCell ref="B236:B241"/>
    <mergeCell ref="B175:B222"/>
    <mergeCell ref="B224:B227"/>
    <mergeCell ref="B231:B232"/>
    <mergeCell ref="B267:B283"/>
    <mergeCell ref="B5:B8"/>
    <mergeCell ref="B12:B13"/>
    <mergeCell ref="B15:B20"/>
    <mergeCell ref="B24:B26"/>
    <mergeCell ref="B34:B35"/>
    <mergeCell ref="B39:B40"/>
    <mergeCell ref="B46:B69"/>
    <mergeCell ref="B71:B77"/>
    <mergeCell ref="B81:B84"/>
    <mergeCell ref="B88:B89"/>
    <mergeCell ref="B91:B95"/>
    <mergeCell ref="B97:B98"/>
    <mergeCell ref="B102:B103"/>
    <mergeCell ref="B105:B108"/>
    <mergeCell ref="B110:B111"/>
    <mergeCell ref="B1:L1"/>
    <mergeCell ref="A2:A3"/>
    <mergeCell ref="B2:C3"/>
    <mergeCell ref="D2:F2"/>
    <mergeCell ref="G2:I2"/>
    <mergeCell ref="J2:L2"/>
  </mergeCells>
  <pageMargins left="0.39370078740157483" right="0.23622047244094491" top="0.39370078740157483" bottom="0.39370078740157483" header="0.31496062992125984" footer="0.19685039370078741"/>
  <pageSetup paperSize="9" scale="65" firstPageNumber="46" orientation="portrait" r:id="rId1"/>
  <headerFooter>
    <oddFooter>&amp;L&amp;"Arial,Italic"&amp;9AISHE 2022-23&amp;RT-13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E1A6-FB49-4FC1-9154-9B87C4BCDEE5}">
  <sheetPr codeName="Sheet24">
    <tabColor rgb="FF92D050"/>
  </sheetPr>
  <dimension ref="A1:Z46"/>
  <sheetViews>
    <sheetView view="pageBreakPreview" zoomScale="104" zoomScaleSheetLayoutView="104" workbookViewId="0">
      <pane xSplit="2" ySplit="4" topLeftCell="P29" activePane="bottomRight" state="frozen"/>
      <selection activeCell="S20" sqref="S20"/>
      <selection pane="topRight" activeCell="S20" sqref="S20"/>
      <selection pane="bottomLeft" activeCell="S20" sqref="S20"/>
      <selection pane="bottomRight" activeCell="AE37" sqref="AE37"/>
    </sheetView>
  </sheetViews>
  <sheetFormatPr defaultColWidth="9.26953125" defaultRowHeight="13" x14ac:dyDescent="0.3"/>
  <cols>
    <col min="1" max="1" width="4.90625" style="573" bestFit="1" customWidth="1"/>
    <col min="2" max="2" width="16.36328125" style="573" bestFit="1" customWidth="1"/>
    <col min="3" max="5" width="10.36328125" style="574" bestFit="1" customWidth="1"/>
    <col min="6" max="13" width="9" style="574" bestFit="1" customWidth="1"/>
    <col min="14" max="14" width="10.36328125" style="574" bestFit="1" customWidth="1"/>
    <col min="15" max="17" width="9" style="574" bestFit="1" customWidth="1"/>
    <col min="18" max="19" width="8.08984375" style="574" bestFit="1" customWidth="1"/>
    <col min="20" max="20" width="9" style="574" bestFit="1" customWidth="1"/>
    <col min="21" max="23" width="6.7265625" style="574" bestFit="1" customWidth="1"/>
    <col min="24" max="26" width="8.08984375" style="574" bestFit="1" customWidth="1"/>
    <col min="27" max="16384" width="9.26953125" style="574"/>
  </cols>
  <sheetData>
    <row r="1" spans="1:26" s="560" customFormat="1" x14ac:dyDescent="0.3">
      <c r="B1" s="544" t="s">
        <v>564</v>
      </c>
      <c r="C1" s="721" t="s">
        <v>1036</v>
      </c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803" t="s">
        <v>1037</v>
      </c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</row>
    <row r="2" spans="1:26" s="566" customFormat="1" x14ac:dyDescent="0.35">
      <c r="A2" s="804" t="s">
        <v>84</v>
      </c>
      <c r="B2" s="806" t="s">
        <v>1005</v>
      </c>
      <c r="C2" s="807" t="s">
        <v>565</v>
      </c>
      <c r="D2" s="808"/>
      <c r="E2" s="809"/>
      <c r="F2" s="807" t="s">
        <v>566</v>
      </c>
      <c r="G2" s="808"/>
      <c r="H2" s="809"/>
      <c r="I2" s="807" t="s">
        <v>567</v>
      </c>
      <c r="J2" s="808"/>
      <c r="K2" s="809"/>
      <c r="L2" s="807" t="s">
        <v>568</v>
      </c>
      <c r="M2" s="808"/>
      <c r="N2" s="809"/>
      <c r="O2" s="798" t="s">
        <v>122</v>
      </c>
      <c r="P2" s="799"/>
      <c r="Q2" s="800"/>
      <c r="R2" s="801" t="s">
        <v>123</v>
      </c>
      <c r="S2" s="801"/>
      <c r="T2" s="801"/>
      <c r="U2" s="798" t="s">
        <v>121</v>
      </c>
      <c r="V2" s="799"/>
      <c r="W2" s="800"/>
      <c r="X2" s="801" t="s">
        <v>124</v>
      </c>
      <c r="Y2" s="801"/>
      <c r="Z2" s="801"/>
    </row>
    <row r="3" spans="1:26" s="567" customFormat="1" x14ac:dyDescent="0.35">
      <c r="A3" s="805"/>
      <c r="B3" s="806"/>
      <c r="C3" s="565" t="s">
        <v>93</v>
      </c>
      <c r="D3" s="565" t="s">
        <v>94</v>
      </c>
      <c r="E3" s="565" t="s">
        <v>54</v>
      </c>
      <c r="F3" s="565" t="s">
        <v>93</v>
      </c>
      <c r="G3" s="565" t="s">
        <v>94</v>
      </c>
      <c r="H3" s="565" t="s">
        <v>54</v>
      </c>
      <c r="I3" s="565" t="s">
        <v>93</v>
      </c>
      <c r="J3" s="565" t="s">
        <v>94</v>
      </c>
      <c r="K3" s="565" t="s">
        <v>54</v>
      </c>
      <c r="L3" s="565" t="s">
        <v>93</v>
      </c>
      <c r="M3" s="565" t="s">
        <v>94</v>
      </c>
      <c r="N3" s="565" t="s">
        <v>54</v>
      </c>
      <c r="O3" s="565" t="s">
        <v>93</v>
      </c>
      <c r="P3" s="565" t="s">
        <v>94</v>
      </c>
      <c r="Q3" s="565" t="s">
        <v>54</v>
      </c>
      <c r="R3" s="565" t="s">
        <v>93</v>
      </c>
      <c r="S3" s="565" t="s">
        <v>94</v>
      </c>
      <c r="T3" s="565" t="s">
        <v>54</v>
      </c>
      <c r="U3" s="565" t="s">
        <v>93</v>
      </c>
      <c r="V3" s="565" t="s">
        <v>94</v>
      </c>
      <c r="W3" s="565" t="s">
        <v>54</v>
      </c>
      <c r="X3" s="565" t="s">
        <v>93</v>
      </c>
      <c r="Y3" s="565" t="s">
        <v>94</v>
      </c>
      <c r="Z3" s="565" t="s">
        <v>54</v>
      </c>
    </row>
    <row r="4" spans="1:26" s="567" customFormat="1" ht="13.5" x14ac:dyDescent="0.35">
      <c r="A4" s="568">
        <v>1</v>
      </c>
      <c r="B4" s="568">
        <v>2</v>
      </c>
      <c r="C4" s="568">
        <v>3</v>
      </c>
      <c r="D4" s="568">
        <v>4</v>
      </c>
      <c r="E4" s="568">
        <v>5</v>
      </c>
      <c r="F4" s="568">
        <v>6</v>
      </c>
      <c r="G4" s="568">
        <v>7</v>
      </c>
      <c r="H4" s="568">
        <v>8</v>
      </c>
      <c r="I4" s="568">
        <v>9</v>
      </c>
      <c r="J4" s="568">
        <v>10</v>
      </c>
      <c r="K4" s="568">
        <v>11</v>
      </c>
      <c r="L4" s="568">
        <v>12</v>
      </c>
      <c r="M4" s="568">
        <v>13</v>
      </c>
      <c r="N4" s="568">
        <v>14</v>
      </c>
      <c r="O4" s="568">
        <v>3</v>
      </c>
      <c r="P4" s="568">
        <v>4</v>
      </c>
      <c r="Q4" s="568">
        <v>5</v>
      </c>
      <c r="R4" s="568">
        <v>6</v>
      </c>
      <c r="S4" s="568">
        <v>7</v>
      </c>
      <c r="T4" s="568">
        <v>8</v>
      </c>
      <c r="U4" s="568">
        <v>9</v>
      </c>
      <c r="V4" s="568">
        <v>10</v>
      </c>
      <c r="W4" s="568">
        <v>11</v>
      </c>
      <c r="X4" s="568">
        <v>12</v>
      </c>
      <c r="Y4" s="568">
        <v>13</v>
      </c>
      <c r="Z4" s="568">
        <v>14</v>
      </c>
    </row>
    <row r="5" spans="1:26" s="571" customFormat="1" ht="28.5" customHeight="1" x14ac:dyDescent="0.35">
      <c r="A5" s="569">
        <v>1</v>
      </c>
      <c r="B5" s="570" t="s">
        <v>58</v>
      </c>
      <c r="C5" s="635">
        <v>3853</v>
      </c>
      <c r="D5" s="635">
        <v>3588</v>
      </c>
      <c r="E5" s="635">
        <v>7441</v>
      </c>
      <c r="F5" s="635">
        <v>52</v>
      </c>
      <c r="G5" s="635">
        <v>20</v>
      </c>
      <c r="H5" s="635">
        <v>72</v>
      </c>
      <c r="I5" s="635">
        <v>87</v>
      </c>
      <c r="J5" s="635">
        <v>94</v>
      </c>
      <c r="K5" s="635">
        <v>181</v>
      </c>
      <c r="L5" s="635">
        <v>1058</v>
      </c>
      <c r="M5" s="635">
        <v>1074</v>
      </c>
      <c r="N5" s="635">
        <v>2132</v>
      </c>
      <c r="O5" s="634">
        <v>142</v>
      </c>
      <c r="P5" s="634">
        <v>151</v>
      </c>
      <c r="Q5" s="634">
        <v>293</v>
      </c>
      <c r="R5" s="634">
        <v>153</v>
      </c>
      <c r="S5" s="634">
        <v>146</v>
      </c>
      <c r="T5" s="634">
        <v>299</v>
      </c>
      <c r="U5" s="634">
        <v>11</v>
      </c>
      <c r="V5" s="634">
        <v>6</v>
      </c>
      <c r="W5" s="634">
        <v>17</v>
      </c>
      <c r="X5" s="634">
        <v>94</v>
      </c>
      <c r="Y5" s="634">
        <v>103</v>
      </c>
      <c r="Z5" s="634">
        <v>197</v>
      </c>
    </row>
    <row r="6" spans="1:26" s="571" customFormat="1" ht="28.5" customHeight="1" x14ac:dyDescent="0.35">
      <c r="A6" s="569">
        <v>2</v>
      </c>
      <c r="B6" s="572" t="s">
        <v>13</v>
      </c>
      <c r="C6" s="635">
        <v>961164.89734113473</v>
      </c>
      <c r="D6" s="635">
        <v>879179.94385683339</v>
      </c>
      <c r="E6" s="635">
        <v>1840344.841197968</v>
      </c>
      <c r="F6" s="635">
        <v>162897.53286961111</v>
      </c>
      <c r="G6" s="635">
        <v>156801.99003753869</v>
      </c>
      <c r="H6" s="635">
        <v>319699.52290714992</v>
      </c>
      <c r="I6" s="635">
        <v>48277.00707387751</v>
      </c>
      <c r="J6" s="635">
        <v>47267.809841566363</v>
      </c>
      <c r="K6" s="635">
        <v>95544.816915443866</v>
      </c>
      <c r="L6" s="635">
        <v>447041.06727478548</v>
      </c>
      <c r="M6" s="635">
        <v>381981.77073977952</v>
      </c>
      <c r="N6" s="635">
        <v>829022.83801456494</v>
      </c>
      <c r="O6" s="634">
        <v>31485.762586389541</v>
      </c>
      <c r="P6" s="634">
        <v>25697.902310614489</v>
      </c>
      <c r="Q6" s="634">
        <v>57183.664897004033</v>
      </c>
      <c r="R6" s="634">
        <v>4353.9679709427537</v>
      </c>
      <c r="S6" s="634">
        <v>4210.8853399696882</v>
      </c>
      <c r="T6" s="634">
        <v>8564.8533109124419</v>
      </c>
      <c r="U6" s="634">
        <v>1927.5765765765771</v>
      </c>
      <c r="V6" s="634">
        <v>1194.2528957528959</v>
      </c>
      <c r="W6" s="634">
        <v>3121.829472329473</v>
      </c>
      <c r="X6" s="634">
        <v>27900.6676586094</v>
      </c>
      <c r="Y6" s="634">
        <v>26586.911589037671</v>
      </c>
      <c r="Z6" s="634">
        <v>54487.579247647067</v>
      </c>
    </row>
    <row r="7" spans="1:26" s="571" customFormat="1" ht="28.5" customHeight="1" x14ac:dyDescent="0.35">
      <c r="A7" s="569">
        <v>3</v>
      </c>
      <c r="B7" s="572" t="s">
        <v>14</v>
      </c>
      <c r="C7" s="635">
        <v>33710</v>
      </c>
      <c r="D7" s="635">
        <v>29802</v>
      </c>
      <c r="E7" s="635">
        <v>63512</v>
      </c>
      <c r="F7" s="635">
        <v>544</v>
      </c>
      <c r="G7" s="635">
        <v>398</v>
      </c>
      <c r="H7" s="635">
        <v>942</v>
      </c>
      <c r="I7" s="635">
        <v>23930</v>
      </c>
      <c r="J7" s="635">
        <v>23776</v>
      </c>
      <c r="K7" s="635">
        <v>47706</v>
      </c>
      <c r="L7" s="635">
        <v>1444</v>
      </c>
      <c r="M7" s="635">
        <v>1071</v>
      </c>
      <c r="N7" s="635">
        <v>2515</v>
      </c>
      <c r="O7" s="634">
        <v>68</v>
      </c>
      <c r="P7" s="634">
        <v>57</v>
      </c>
      <c r="Q7" s="634">
        <v>125</v>
      </c>
      <c r="R7" s="634">
        <v>4879</v>
      </c>
      <c r="S7" s="634">
        <v>4482</v>
      </c>
      <c r="T7" s="634">
        <v>9361</v>
      </c>
      <c r="U7" s="634">
        <v>26</v>
      </c>
      <c r="V7" s="634">
        <v>13</v>
      </c>
      <c r="W7" s="634">
        <v>39</v>
      </c>
      <c r="X7" s="634">
        <v>299</v>
      </c>
      <c r="Y7" s="634">
        <v>163</v>
      </c>
      <c r="Z7" s="634">
        <v>462</v>
      </c>
    </row>
    <row r="8" spans="1:26" s="571" customFormat="1" ht="28.5" customHeight="1" x14ac:dyDescent="0.35">
      <c r="A8" s="569">
        <v>4</v>
      </c>
      <c r="B8" s="572" t="s">
        <v>15</v>
      </c>
      <c r="C8" s="635">
        <v>361132.57142857142</v>
      </c>
      <c r="D8" s="635">
        <v>390140.5</v>
      </c>
      <c r="E8" s="635">
        <v>751273.07142857148</v>
      </c>
      <c r="F8" s="635">
        <v>31058.5</v>
      </c>
      <c r="G8" s="635">
        <v>30604.428571428569</v>
      </c>
      <c r="H8" s="635">
        <v>61662.928571428572</v>
      </c>
      <c r="I8" s="635">
        <v>66127.892857142855</v>
      </c>
      <c r="J8" s="635">
        <v>71674.28571428571</v>
      </c>
      <c r="K8" s="635">
        <v>137802.17857142861</v>
      </c>
      <c r="L8" s="635">
        <v>95804.428571428565</v>
      </c>
      <c r="M8" s="635">
        <v>109089</v>
      </c>
      <c r="N8" s="635">
        <v>204893.42857142861</v>
      </c>
      <c r="O8" s="634">
        <v>58008.678571428572</v>
      </c>
      <c r="P8" s="634">
        <v>58374.035714285717</v>
      </c>
      <c r="Q8" s="634">
        <v>116382.7142857143</v>
      </c>
      <c r="R8" s="634">
        <v>7907.5</v>
      </c>
      <c r="S8" s="634">
        <v>9491.8571428571431</v>
      </c>
      <c r="T8" s="634">
        <v>17399.357142857141</v>
      </c>
      <c r="U8" s="634">
        <v>800.78571428571433</v>
      </c>
      <c r="V8" s="634">
        <v>382.96428571428572</v>
      </c>
      <c r="W8" s="634">
        <v>1183.75</v>
      </c>
      <c r="X8" s="634">
        <v>10610.28571428571</v>
      </c>
      <c r="Y8" s="634">
        <v>9937.0357142857138</v>
      </c>
      <c r="Z8" s="634">
        <v>20547.321428571431</v>
      </c>
    </row>
    <row r="9" spans="1:26" s="571" customFormat="1" ht="28.5" customHeight="1" x14ac:dyDescent="0.35">
      <c r="A9" s="569">
        <v>5</v>
      </c>
      <c r="B9" s="572" t="s">
        <v>16</v>
      </c>
      <c r="C9" s="635">
        <v>1357863.6162157829</v>
      </c>
      <c r="D9" s="635">
        <v>1270027.8057104719</v>
      </c>
      <c r="E9" s="635">
        <v>2627891.4219262549</v>
      </c>
      <c r="F9" s="635">
        <v>203200.10151168489</v>
      </c>
      <c r="G9" s="635">
        <v>166347.84365209361</v>
      </c>
      <c r="H9" s="635">
        <v>369547.9451637785</v>
      </c>
      <c r="I9" s="635">
        <v>30216.247132413799</v>
      </c>
      <c r="J9" s="635">
        <v>27694.329296829299</v>
      </c>
      <c r="K9" s="635">
        <v>57910.576429243098</v>
      </c>
      <c r="L9" s="635">
        <v>723148.48375865037</v>
      </c>
      <c r="M9" s="635">
        <v>680681.61082619417</v>
      </c>
      <c r="N9" s="635">
        <v>1403830.094584845</v>
      </c>
      <c r="O9" s="634">
        <v>78660.574828074823</v>
      </c>
      <c r="P9" s="634">
        <v>84183.56277056277</v>
      </c>
      <c r="Q9" s="634">
        <v>162844.13759863761</v>
      </c>
      <c r="R9" s="634">
        <v>3650.4320987654319</v>
      </c>
      <c r="S9" s="634">
        <v>3468.1251251251251</v>
      </c>
      <c r="T9" s="634">
        <v>7118.557223890557</v>
      </c>
      <c r="U9" s="634">
        <v>2872.665383998718</v>
      </c>
      <c r="V9" s="634">
        <v>1511.90367965368</v>
      </c>
      <c r="W9" s="634">
        <v>4384.5690636523968</v>
      </c>
      <c r="X9" s="634">
        <v>30615.414960414961</v>
      </c>
      <c r="Y9" s="634">
        <v>25277.40473590474</v>
      </c>
      <c r="Z9" s="634">
        <v>55892.819696319697</v>
      </c>
    </row>
    <row r="10" spans="1:26" s="571" customFormat="1" ht="28.5" customHeight="1" x14ac:dyDescent="0.35">
      <c r="A10" s="569">
        <v>6</v>
      </c>
      <c r="B10" s="572" t="s">
        <v>17</v>
      </c>
      <c r="C10" s="635">
        <v>54071</v>
      </c>
      <c r="D10" s="635">
        <v>54024</v>
      </c>
      <c r="E10" s="635">
        <v>108095</v>
      </c>
      <c r="F10" s="635">
        <v>8589</v>
      </c>
      <c r="G10" s="635">
        <v>7490</v>
      </c>
      <c r="H10" s="635">
        <v>16079</v>
      </c>
      <c r="I10" s="635">
        <v>1279</v>
      </c>
      <c r="J10" s="635">
        <v>1148</v>
      </c>
      <c r="K10" s="635">
        <v>2427</v>
      </c>
      <c r="L10" s="635">
        <v>5186</v>
      </c>
      <c r="M10" s="635">
        <v>3755</v>
      </c>
      <c r="N10" s="635">
        <v>8941</v>
      </c>
      <c r="O10" s="634">
        <v>353</v>
      </c>
      <c r="P10" s="634">
        <v>381</v>
      </c>
      <c r="Q10" s="634">
        <v>734</v>
      </c>
      <c r="R10" s="634">
        <v>2068</v>
      </c>
      <c r="S10" s="634">
        <v>5008</v>
      </c>
      <c r="T10" s="634">
        <v>7076</v>
      </c>
      <c r="U10" s="634">
        <v>331</v>
      </c>
      <c r="V10" s="634">
        <v>187</v>
      </c>
      <c r="W10" s="634">
        <v>518</v>
      </c>
      <c r="X10" s="634">
        <v>1223</v>
      </c>
      <c r="Y10" s="634">
        <v>774</v>
      </c>
      <c r="Z10" s="634">
        <v>1997</v>
      </c>
    </row>
    <row r="11" spans="1:26" s="571" customFormat="1" ht="28.5" customHeight="1" x14ac:dyDescent="0.35">
      <c r="A11" s="569">
        <v>7</v>
      </c>
      <c r="B11" s="572" t="s">
        <v>18</v>
      </c>
      <c r="C11" s="656">
        <v>424564.4185865671</v>
      </c>
      <c r="D11" s="656">
        <v>503737.51744962542</v>
      </c>
      <c r="E11" s="656">
        <v>928301.93603619246</v>
      </c>
      <c r="F11" s="635">
        <v>60431.206183113391</v>
      </c>
      <c r="G11" s="635">
        <v>66432.639336698863</v>
      </c>
      <c r="H11" s="635">
        <v>126863.8455198123</v>
      </c>
      <c r="I11" s="635">
        <v>82363.348126246463</v>
      </c>
      <c r="J11" s="635">
        <v>120908.4257535839</v>
      </c>
      <c r="K11" s="635">
        <v>203271.77387983029</v>
      </c>
      <c r="L11" s="635">
        <v>197577.18584821449</v>
      </c>
      <c r="M11" s="635">
        <v>222020.78773823619</v>
      </c>
      <c r="N11" s="635">
        <v>419597.97358645062</v>
      </c>
      <c r="O11" s="634">
        <v>2468.831187339179</v>
      </c>
      <c r="P11" s="634">
        <v>2976.0425652145441</v>
      </c>
      <c r="Q11" s="634">
        <v>5444.8737525537226</v>
      </c>
      <c r="R11" s="634">
        <v>2766.888110677527</v>
      </c>
      <c r="S11" s="634">
        <v>4254.4427061956712</v>
      </c>
      <c r="T11" s="634">
        <v>7021.3308168731983</v>
      </c>
      <c r="U11" s="634">
        <v>608.20861021010489</v>
      </c>
      <c r="V11" s="634">
        <v>299.4204757312761</v>
      </c>
      <c r="W11" s="634">
        <v>907.62908594138105</v>
      </c>
      <c r="X11" s="634">
        <v>1439.6175462435349</v>
      </c>
      <c r="Y11" s="634">
        <v>1462.943505009541</v>
      </c>
      <c r="Z11" s="634">
        <v>2902.5610512530761</v>
      </c>
    </row>
    <row r="12" spans="1:26" s="571" customFormat="1" ht="28.5" customHeight="1" x14ac:dyDescent="0.35">
      <c r="A12" s="569">
        <v>8</v>
      </c>
      <c r="B12" s="572" t="s">
        <v>19</v>
      </c>
      <c r="C12" s="635">
        <v>666944.70061022125</v>
      </c>
      <c r="D12" s="635">
        <v>634816.27418637171</v>
      </c>
      <c r="E12" s="635">
        <v>1301760.974796593</v>
      </c>
      <c r="F12" s="635">
        <v>86877.313596491222</v>
      </c>
      <c r="G12" s="635">
        <v>82742.875794558859</v>
      </c>
      <c r="H12" s="635">
        <v>169620.18939105011</v>
      </c>
      <c r="I12" s="635">
        <v>11192.52094457157</v>
      </c>
      <c r="J12" s="635">
        <v>10169.725464022369</v>
      </c>
      <c r="K12" s="635">
        <v>21362.24640859395</v>
      </c>
      <c r="L12" s="635">
        <v>109989.3785596237</v>
      </c>
      <c r="M12" s="635">
        <v>88479.41816043733</v>
      </c>
      <c r="N12" s="635">
        <v>198468.79672006099</v>
      </c>
      <c r="O12" s="634">
        <v>14832.243993135011</v>
      </c>
      <c r="P12" s="634">
        <v>11620.40945207221</v>
      </c>
      <c r="Q12" s="634">
        <v>26452.653445207219</v>
      </c>
      <c r="R12" s="634">
        <v>4824.544940249174</v>
      </c>
      <c r="S12" s="634">
        <v>5033.8141050088989</v>
      </c>
      <c r="T12" s="634">
        <v>9858.359045258072</v>
      </c>
      <c r="U12" s="634">
        <v>3806.1019260106791</v>
      </c>
      <c r="V12" s="634">
        <v>2105.012331553522</v>
      </c>
      <c r="W12" s="634">
        <v>5911.1142575642007</v>
      </c>
      <c r="X12" s="634">
        <v>23891.34808034579</v>
      </c>
      <c r="Y12" s="634">
        <v>16336.650680142389</v>
      </c>
      <c r="Z12" s="634">
        <v>40227.998760488183</v>
      </c>
    </row>
    <row r="13" spans="1:26" s="571" customFormat="1" ht="28.5" customHeight="1" x14ac:dyDescent="0.35">
      <c r="A13" s="569">
        <v>9</v>
      </c>
      <c r="B13" s="572" t="s">
        <v>20</v>
      </c>
      <c r="C13" s="635">
        <v>34621</v>
      </c>
      <c r="D13" s="635">
        <v>31404</v>
      </c>
      <c r="E13" s="635">
        <v>66025</v>
      </c>
      <c r="F13" s="635">
        <v>857</v>
      </c>
      <c r="G13" s="635">
        <v>620</v>
      </c>
      <c r="H13" s="635">
        <v>1477</v>
      </c>
      <c r="I13" s="635">
        <v>2061</v>
      </c>
      <c r="J13" s="635">
        <v>2912</v>
      </c>
      <c r="K13" s="635">
        <v>4973</v>
      </c>
      <c r="L13" s="635">
        <v>5329</v>
      </c>
      <c r="M13" s="635">
        <v>6014</v>
      </c>
      <c r="N13" s="635">
        <v>11343</v>
      </c>
      <c r="O13" s="634">
        <v>1615</v>
      </c>
      <c r="P13" s="634">
        <v>1799</v>
      </c>
      <c r="Q13" s="634">
        <v>3414</v>
      </c>
      <c r="R13" s="634">
        <v>4235</v>
      </c>
      <c r="S13" s="634">
        <v>5867</v>
      </c>
      <c r="T13" s="634">
        <v>10102</v>
      </c>
      <c r="U13" s="634">
        <v>50</v>
      </c>
      <c r="V13" s="634">
        <v>17</v>
      </c>
      <c r="W13" s="634">
        <v>67</v>
      </c>
      <c r="X13" s="634">
        <v>963</v>
      </c>
      <c r="Y13" s="634">
        <v>1147</v>
      </c>
      <c r="Z13" s="634">
        <v>2110</v>
      </c>
    </row>
    <row r="14" spans="1:26" s="571" customFormat="1" ht="28.5" customHeight="1" x14ac:dyDescent="0.35">
      <c r="A14" s="569">
        <v>10</v>
      </c>
      <c r="B14" s="572" t="s">
        <v>21</v>
      </c>
      <c r="C14" s="635">
        <v>1044778</v>
      </c>
      <c r="D14" s="635">
        <v>842763</v>
      </c>
      <c r="E14" s="635">
        <v>1887541</v>
      </c>
      <c r="F14" s="635">
        <v>98208</v>
      </c>
      <c r="G14" s="635">
        <v>83087</v>
      </c>
      <c r="H14" s="635">
        <v>181295</v>
      </c>
      <c r="I14" s="635">
        <v>109208</v>
      </c>
      <c r="J14" s="635">
        <v>115440</v>
      </c>
      <c r="K14" s="635">
        <v>224648</v>
      </c>
      <c r="L14" s="635">
        <v>348289</v>
      </c>
      <c r="M14" s="635">
        <v>261493</v>
      </c>
      <c r="N14" s="635">
        <v>609782</v>
      </c>
      <c r="O14" s="634">
        <v>22632</v>
      </c>
      <c r="P14" s="634">
        <v>20427</v>
      </c>
      <c r="Q14" s="634">
        <v>43059</v>
      </c>
      <c r="R14" s="634">
        <v>8297</v>
      </c>
      <c r="S14" s="634">
        <v>8312</v>
      </c>
      <c r="T14" s="634">
        <v>16609</v>
      </c>
      <c r="U14" s="634">
        <v>1614</v>
      </c>
      <c r="V14" s="634">
        <v>977</v>
      </c>
      <c r="W14" s="634">
        <v>2591</v>
      </c>
      <c r="X14" s="634">
        <v>42819</v>
      </c>
      <c r="Y14" s="634">
        <v>32124</v>
      </c>
      <c r="Z14" s="634">
        <v>74943</v>
      </c>
    </row>
    <row r="15" spans="1:26" s="571" customFormat="1" ht="28.5" customHeight="1" x14ac:dyDescent="0.35">
      <c r="A15" s="569">
        <v>11</v>
      </c>
      <c r="B15" s="572" t="s">
        <v>22</v>
      </c>
      <c r="C15" s="635">
        <v>554551</v>
      </c>
      <c r="D15" s="635">
        <v>591011</v>
      </c>
      <c r="E15" s="635">
        <v>1145562</v>
      </c>
      <c r="F15" s="635">
        <v>90479</v>
      </c>
      <c r="G15" s="635">
        <v>102294</v>
      </c>
      <c r="H15" s="635">
        <v>192773</v>
      </c>
      <c r="I15" s="635">
        <v>2830</v>
      </c>
      <c r="J15" s="635">
        <v>2033</v>
      </c>
      <c r="K15" s="635">
        <v>4863</v>
      </c>
      <c r="L15" s="635">
        <v>130635</v>
      </c>
      <c r="M15" s="635">
        <v>136898</v>
      </c>
      <c r="N15" s="635">
        <v>267533</v>
      </c>
      <c r="O15" s="634">
        <v>9131</v>
      </c>
      <c r="P15" s="634">
        <v>4196</v>
      </c>
      <c r="Q15" s="634">
        <v>13327</v>
      </c>
      <c r="R15" s="634">
        <v>5786</v>
      </c>
      <c r="S15" s="634">
        <v>7763</v>
      </c>
      <c r="T15" s="634">
        <v>13549</v>
      </c>
      <c r="U15" s="634">
        <v>745</v>
      </c>
      <c r="V15" s="634">
        <v>297</v>
      </c>
      <c r="W15" s="634">
        <v>1042</v>
      </c>
      <c r="X15" s="634">
        <v>9921</v>
      </c>
      <c r="Y15" s="634">
        <v>7156</v>
      </c>
      <c r="Z15" s="634">
        <v>17077</v>
      </c>
    </row>
    <row r="16" spans="1:26" s="571" customFormat="1" ht="28.5" customHeight="1" x14ac:dyDescent="0.35">
      <c r="A16" s="569">
        <v>12</v>
      </c>
      <c r="B16" s="572" t="s">
        <v>23</v>
      </c>
      <c r="C16" s="635">
        <v>150177.90572196621</v>
      </c>
      <c r="D16" s="635">
        <v>173589.60841493859</v>
      </c>
      <c r="E16" s="635">
        <v>323767.51413690468</v>
      </c>
      <c r="F16" s="635">
        <v>30091.408530145931</v>
      </c>
      <c r="G16" s="635">
        <v>36603.609158986183</v>
      </c>
      <c r="H16" s="635">
        <v>66695.017689132103</v>
      </c>
      <c r="I16" s="635">
        <v>8096.1502016129034</v>
      </c>
      <c r="J16" s="635">
        <v>10075.847230222729</v>
      </c>
      <c r="K16" s="635">
        <v>18171.99743183564</v>
      </c>
      <c r="L16" s="635">
        <v>19305.502976190481</v>
      </c>
      <c r="M16" s="635">
        <v>25377.331557219659</v>
      </c>
      <c r="N16" s="635">
        <v>44682.83453341014</v>
      </c>
      <c r="O16" s="634">
        <v>742.87562403993854</v>
      </c>
      <c r="P16" s="634">
        <v>578.64340917818743</v>
      </c>
      <c r="Q16" s="634">
        <v>1321.519033218126</v>
      </c>
      <c r="R16" s="634">
        <v>1158.2936107910909</v>
      </c>
      <c r="S16" s="634">
        <v>1056.631432411674</v>
      </c>
      <c r="T16" s="634">
        <v>2214.9250432027652</v>
      </c>
      <c r="U16" s="634">
        <v>257.76586501536099</v>
      </c>
      <c r="V16" s="634">
        <v>109.19429243471581</v>
      </c>
      <c r="W16" s="634">
        <v>366.96015745007679</v>
      </c>
      <c r="X16" s="634">
        <v>3676.3734879032259</v>
      </c>
      <c r="Y16" s="634">
        <v>3360.7774097542242</v>
      </c>
      <c r="Z16" s="634">
        <v>7037.1508976574496</v>
      </c>
    </row>
    <row r="17" spans="1:26" s="571" customFormat="1" ht="28.5" customHeight="1" x14ac:dyDescent="0.35">
      <c r="A17" s="569">
        <v>13</v>
      </c>
      <c r="B17" s="570" t="s">
        <v>24</v>
      </c>
      <c r="C17" s="635">
        <v>190325</v>
      </c>
      <c r="D17" s="635">
        <v>205986</v>
      </c>
      <c r="E17" s="635">
        <v>396311</v>
      </c>
      <c r="F17" s="635">
        <v>12493</v>
      </c>
      <c r="G17" s="635">
        <v>14327</v>
      </c>
      <c r="H17" s="635">
        <v>26820</v>
      </c>
      <c r="I17" s="635">
        <v>15644</v>
      </c>
      <c r="J17" s="635">
        <v>13318</v>
      </c>
      <c r="K17" s="635">
        <v>28962</v>
      </c>
      <c r="L17" s="635">
        <v>16473</v>
      </c>
      <c r="M17" s="635">
        <v>13742</v>
      </c>
      <c r="N17" s="635">
        <v>30215</v>
      </c>
      <c r="O17" s="634">
        <v>69770</v>
      </c>
      <c r="P17" s="634">
        <v>72414</v>
      </c>
      <c r="Q17" s="634">
        <v>142184</v>
      </c>
      <c r="R17" s="634">
        <v>2980</v>
      </c>
      <c r="S17" s="634">
        <v>2911</v>
      </c>
      <c r="T17" s="634">
        <v>5891</v>
      </c>
      <c r="U17" s="634">
        <v>395</v>
      </c>
      <c r="V17" s="634">
        <v>167</v>
      </c>
      <c r="W17" s="634">
        <v>562</v>
      </c>
      <c r="X17" s="634">
        <v>4250</v>
      </c>
      <c r="Y17" s="634">
        <v>3281</v>
      </c>
      <c r="Z17" s="634">
        <v>7531</v>
      </c>
    </row>
    <row r="18" spans="1:26" s="571" customFormat="1" ht="28.5" customHeight="1" x14ac:dyDescent="0.35">
      <c r="A18" s="569">
        <v>14</v>
      </c>
      <c r="B18" s="572" t="s">
        <v>25</v>
      </c>
      <c r="C18" s="635">
        <v>450826</v>
      </c>
      <c r="D18" s="635">
        <v>449954</v>
      </c>
      <c r="E18" s="635">
        <v>900780</v>
      </c>
      <c r="F18" s="635">
        <v>44920</v>
      </c>
      <c r="G18" s="635">
        <v>39857</v>
      </c>
      <c r="H18" s="635">
        <v>84777</v>
      </c>
      <c r="I18" s="635">
        <v>79061</v>
      </c>
      <c r="J18" s="635">
        <v>101701</v>
      </c>
      <c r="K18" s="635">
        <v>180762</v>
      </c>
      <c r="L18" s="635">
        <v>193387</v>
      </c>
      <c r="M18" s="635">
        <v>185986</v>
      </c>
      <c r="N18" s="635">
        <v>379373</v>
      </c>
      <c r="O18" s="634">
        <v>20451</v>
      </c>
      <c r="P18" s="634">
        <v>21653</v>
      </c>
      <c r="Q18" s="634">
        <v>42104</v>
      </c>
      <c r="R18" s="634">
        <v>8998</v>
      </c>
      <c r="S18" s="634">
        <v>11147</v>
      </c>
      <c r="T18" s="634">
        <v>20145</v>
      </c>
      <c r="U18" s="634">
        <v>583</v>
      </c>
      <c r="V18" s="634">
        <v>281</v>
      </c>
      <c r="W18" s="634">
        <v>864</v>
      </c>
      <c r="X18" s="634">
        <v>6518</v>
      </c>
      <c r="Y18" s="634">
        <v>3626</v>
      </c>
      <c r="Z18" s="634">
        <v>10144</v>
      </c>
    </row>
    <row r="19" spans="1:26" s="571" customFormat="1" ht="28.5" customHeight="1" x14ac:dyDescent="0.35">
      <c r="A19" s="569">
        <v>15</v>
      </c>
      <c r="B19" s="572" t="s">
        <v>26</v>
      </c>
      <c r="C19" s="635">
        <v>1354809.498212181</v>
      </c>
      <c r="D19" s="635">
        <v>1283554.343029592</v>
      </c>
      <c r="E19" s="635">
        <v>2638363.8412417732</v>
      </c>
      <c r="F19" s="635">
        <v>200183.16122696639</v>
      </c>
      <c r="G19" s="635">
        <v>172774.03481140171</v>
      </c>
      <c r="H19" s="635">
        <v>372957.19603836822</v>
      </c>
      <c r="I19" s="635">
        <v>78013.764236896168</v>
      </c>
      <c r="J19" s="635">
        <v>69202.285166291884</v>
      </c>
      <c r="K19" s="635">
        <v>147216.04940318811</v>
      </c>
      <c r="L19" s="635">
        <v>663546.95066277287</v>
      </c>
      <c r="M19" s="635">
        <v>637656.5250365251</v>
      </c>
      <c r="N19" s="635">
        <v>1301203.4756992981</v>
      </c>
      <c r="O19" s="634">
        <v>82873.292256076311</v>
      </c>
      <c r="P19" s="634">
        <v>74581.965456764607</v>
      </c>
      <c r="Q19" s="634">
        <v>157455.25771284089</v>
      </c>
      <c r="R19" s="634">
        <v>43251.521448326923</v>
      </c>
      <c r="S19" s="634">
        <v>54440.594422859896</v>
      </c>
      <c r="T19" s="634">
        <v>97692.115871186834</v>
      </c>
      <c r="U19" s="634">
        <v>3147.1235923101081</v>
      </c>
      <c r="V19" s="634">
        <v>2188.6331103873258</v>
      </c>
      <c r="W19" s="634">
        <v>5335.7567026974339</v>
      </c>
      <c r="X19" s="634">
        <v>20455.11944057728</v>
      </c>
      <c r="Y19" s="634">
        <v>36229.50453782297</v>
      </c>
      <c r="Z19" s="634">
        <v>56684.623978400246</v>
      </c>
    </row>
    <row r="20" spans="1:26" s="571" customFormat="1" ht="28.5" customHeight="1" x14ac:dyDescent="0.35">
      <c r="A20" s="569">
        <v>16</v>
      </c>
      <c r="B20" s="572" t="s">
        <v>27</v>
      </c>
      <c r="C20" s="656">
        <v>512656.94894202409</v>
      </c>
      <c r="D20" s="656">
        <v>711642.52912446763</v>
      </c>
      <c r="E20" s="656">
        <v>1224299.4780664919</v>
      </c>
      <c r="F20" s="635">
        <v>32732.627656286579</v>
      </c>
      <c r="G20" s="635">
        <v>54989.81218986406</v>
      </c>
      <c r="H20" s="635">
        <v>87722.439846150635</v>
      </c>
      <c r="I20" s="635">
        <v>5486.2464801317974</v>
      </c>
      <c r="J20" s="635">
        <v>8197.6246321799754</v>
      </c>
      <c r="K20" s="635">
        <v>13683.87111231177</v>
      </c>
      <c r="L20" s="635">
        <v>257803.16793686029</v>
      </c>
      <c r="M20" s="635">
        <v>385169.35465922602</v>
      </c>
      <c r="N20" s="635">
        <v>642972.52259608626</v>
      </c>
      <c r="O20" s="634">
        <v>82876.987938381339</v>
      </c>
      <c r="P20" s="634">
        <v>123325.0054684975</v>
      </c>
      <c r="Q20" s="634">
        <v>206201.99340687881</v>
      </c>
      <c r="R20" s="634">
        <v>57948.143886589984</v>
      </c>
      <c r="S20" s="634">
        <v>74579.159683219768</v>
      </c>
      <c r="T20" s="634">
        <v>132527.30356980971</v>
      </c>
      <c r="U20" s="634">
        <v>2496.3648723817041</v>
      </c>
      <c r="V20" s="634">
        <v>2411.664834518609</v>
      </c>
      <c r="W20" s="634">
        <v>4908.0297069003136</v>
      </c>
      <c r="X20" s="634">
        <v>13478.017484954549</v>
      </c>
      <c r="Y20" s="634">
        <v>21048.70753392277</v>
      </c>
      <c r="Z20" s="634">
        <v>34526.725018877318</v>
      </c>
    </row>
    <row r="21" spans="1:26" s="571" customFormat="1" ht="28.5" customHeight="1" x14ac:dyDescent="0.35">
      <c r="A21" s="569">
        <v>17</v>
      </c>
      <c r="B21" s="558" t="s">
        <v>28</v>
      </c>
      <c r="C21" s="635">
        <v>1657</v>
      </c>
      <c r="D21" s="635">
        <v>3021</v>
      </c>
      <c r="E21" s="635">
        <v>4678</v>
      </c>
      <c r="F21" s="635">
        <v>0</v>
      </c>
      <c r="G21" s="635">
        <v>1</v>
      </c>
      <c r="H21" s="635">
        <v>1</v>
      </c>
      <c r="I21" s="635">
        <v>1591</v>
      </c>
      <c r="J21" s="635">
        <v>2739</v>
      </c>
      <c r="K21" s="635">
        <v>4330</v>
      </c>
      <c r="L21" s="635">
        <v>0</v>
      </c>
      <c r="M21" s="635">
        <v>5</v>
      </c>
      <c r="N21" s="635">
        <v>5</v>
      </c>
      <c r="O21" s="634">
        <v>951</v>
      </c>
      <c r="P21" s="634">
        <v>1841</v>
      </c>
      <c r="Q21" s="634">
        <v>2792</v>
      </c>
      <c r="R21" s="634">
        <v>641</v>
      </c>
      <c r="S21" s="634">
        <v>1032</v>
      </c>
      <c r="T21" s="634">
        <v>1673</v>
      </c>
      <c r="U21" s="634">
        <v>1</v>
      </c>
      <c r="V21" s="634">
        <v>0</v>
      </c>
      <c r="W21" s="634">
        <v>1</v>
      </c>
      <c r="X21" s="634">
        <v>0</v>
      </c>
      <c r="Y21" s="634">
        <v>0</v>
      </c>
      <c r="Z21" s="634">
        <v>0</v>
      </c>
    </row>
    <row r="22" spans="1:26" s="571" customFormat="1" ht="28.5" customHeight="1" x14ac:dyDescent="0.35">
      <c r="A22" s="569">
        <v>18</v>
      </c>
      <c r="B22" s="572" t="s">
        <v>72</v>
      </c>
      <c r="C22" s="635">
        <v>192</v>
      </c>
      <c r="D22" s="635">
        <v>321</v>
      </c>
      <c r="E22" s="635">
        <v>513</v>
      </c>
      <c r="F22" s="635">
        <v>0</v>
      </c>
      <c r="G22" s="635">
        <v>0</v>
      </c>
      <c r="H22" s="635">
        <v>0</v>
      </c>
      <c r="I22" s="635">
        <v>192</v>
      </c>
      <c r="J22" s="635">
        <v>321</v>
      </c>
      <c r="K22" s="635">
        <v>513</v>
      </c>
      <c r="L22" s="635">
        <v>0</v>
      </c>
      <c r="M22" s="635">
        <v>0</v>
      </c>
      <c r="N22" s="635">
        <v>0</v>
      </c>
      <c r="O22" s="634">
        <v>52</v>
      </c>
      <c r="P22" s="634">
        <v>140</v>
      </c>
      <c r="Q22" s="634">
        <v>192</v>
      </c>
      <c r="R22" s="634">
        <v>0</v>
      </c>
      <c r="S22" s="634">
        <v>0</v>
      </c>
      <c r="T22" s="634">
        <v>0</v>
      </c>
      <c r="U22" s="634">
        <v>2</v>
      </c>
      <c r="V22" s="634">
        <v>0</v>
      </c>
      <c r="W22" s="634">
        <v>2</v>
      </c>
      <c r="X22" s="634">
        <v>0</v>
      </c>
      <c r="Y22" s="634">
        <v>0</v>
      </c>
      <c r="Z22" s="634">
        <v>0</v>
      </c>
    </row>
    <row r="23" spans="1:26" s="571" customFormat="1" ht="28.5" customHeight="1" x14ac:dyDescent="0.35">
      <c r="A23" s="569">
        <v>19</v>
      </c>
      <c r="B23" s="572" t="s">
        <v>29</v>
      </c>
      <c r="C23" s="635">
        <v>1437451.5687109591</v>
      </c>
      <c r="D23" s="635">
        <v>1297797.2946802389</v>
      </c>
      <c r="E23" s="635">
        <v>2735248.8633911982</v>
      </c>
      <c r="F23" s="635">
        <v>218473.2733582842</v>
      </c>
      <c r="G23" s="635">
        <v>194940.53292235141</v>
      </c>
      <c r="H23" s="635">
        <v>413413.80628063559</v>
      </c>
      <c r="I23" s="635">
        <v>152187.5852856081</v>
      </c>
      <c r="J23" s="635">
        <v>164670.9134602113</v>
      </c>
      <c r="K23" s="635">
        <v>316858.49874581938</v>
      </c>
      <c r="L23" s="635">
        <v>572283.22391392826</v>
      </c>
      <c r="M23" s="635">
        <v>537475.790424873</v>
      </c>
      <c r="N23" s="635">
        <v>1109759.0143388009</v>
      </c>
      <c r="O23" s="634">
        <v>23574.367213905261</v>
      </c>
      <c r="P23" s="634">
        <v>17302.36230999275</v>
      </c>
      <c r="Q23" s="634">
        <v>40876.729523898</v>
      </c>
      <c r="R23" s="634">
        <v>10099.600307019869</v>
      </c>
      <c r="S23" s="634">
        <v>9111.4740377979506</v>
      </c>
      <c r="T23" s="634">
        <v>19211.074344817818</v>
      </c>
      <c r="U23" s="634">
        <v>1762.8326432022079</v>
      </c>
      <c r="V23" s="634">
        <v>1591.526742581091</v>
      </c>
      <c r="W23" s="634">
        <v>3354.3593857832989</v>
      </c>
      <c r="X23" s="634">
        <v>15052.99292173205</v>
      </c>
      <c r="Y23" s="634">
        <v>10337.48878315726</v>
      </c>
      <c r="Z23" s="634">
        <v>25390.481704889309</v>
      </c>
    </row>
    <row r="24" spans="1:26" s="571" customFormat="1" ht="28.5" customHeight="1" x14ac:dyDescent="0.35">
      <c r="A24" s="569">
        <v>20</v>
      </c>
      <c r="B24" s="572" t="s">
        <v>30</v>
      </c>
      <c r="C24" s="635">
        <v>2651540.4556586249</v>
      </c>
      <c r="D24" s="635">
        <v>2207589.0687756981</v>
      </c>
      <c r="E24" s="635">
        <v>4859129.5244343234</v>
      </c>
      <c r="F24" s="635">
        <v>327606.09532289929</v>
      </c>
      <c r="G24" s="635">
        <v>294749.66864030098</v>
      </c>
      <c r="H24" s="635">
        <v>622355.76396320038</v>
      </c>
      <c r="I24" s="635">
        <v>127649.2088028236</v>
      </c>
      <c r="J24" s="635">
        <v>104643.92103343341</v>
      </c>
      <c r="K24" s="635">
        <v>232293.12983625699</v>
      </c>
      <c r="L24" s="635">
        <v>839907.32933049358</v>
      </c>
      <c r="M24" s="635">
        <v>701544.64712424111</v>
      </c>
      <c r="N24" s="635">
        <v>1541451.976454735</v>
      </c>
      <c r="O24" s="634">
        <v>88186.35654110281</v>
      </c>
      <c r="P24" s="634">
        <v>82063.335111681692</v>
      </c>
      <c r="Q24" s="634">
        <v>170249.6916527845</v>
      </c>
      <c r="R24" s="634">
        <v>72725.088937678505</v>
      </c>
      <c r="S24" s="634">
        <v>71731.118949704076</v>
      </c>
      <c r="T24" s="634">
        <v>144456.2078873826</v>
      </c>
      <c r="U24" s="634">
        <v>5239.7123256706764</v>
      </c>
      <c r="V24" s="634">
        <v>3379.1961164234199</v>
      </c>
      <c r="W24" s="634">
        <v>8618.9084420940962</v>
      </c>
      <c r="X24" s="634">
        <v>60277.615598640397</v>
      </c>
      <c r="Y24" s="634">
        <v>48066.454795088859</v>
      </c>
      <c r="Z24" s="634">
        <v>108344.0703937293</v>
      </c>
    </row>
    <row r="25" spans="1:26" s="571" customFormat="1" ht="28.5" customHeight="1" x14ac:dyDescent="0.35">
      <c r="A25" s="569">
        <v>21</v>
      </c>
      <c r="B25" s="572" t="s">
        <v>31</v>
      </c>
      <c r="C25" s="635">
        <v>61774.737123557563</v>
      </c>
      <c r="D25" s="635">
        <v>61231.478187447217</v>
      </c>
      <c r="E25" s="635">
        <v>123006.21531100479</v>
      </c>
      <c r="F25" s="635">
        <v>3628.4411764705878</v>
      </c>
      <c r="G25" s="635">
        <v>3641.4165493948781</v>
      </c>
      <c r="H25" s="635">
        <v>7269.8577258654659</v>
      </c>
      <c r="I25" s="635">
        <v>22021.542217844071</v>
      </c>
      <c r="J25" s="635">
        <v>22352.584998592742</v>
      </c>
      <c r="K25" s="635">
        <v>44374.127216436813</v>
      </c>
      <c r="L25" s="635">
        <v>19986.33703912187</v>
      </c>
      <c r="M25" s="635">
        <v>20753.839994370948</v>
      </c>
      <c r="N25" s="635">
        <v>40740.177033492822</v>
      </c>
      <c r="O25" s="634">
        <v>2853.383478750352</v>
      </c>
      <c r="P25" s="634">
        <v>2219.1687306501549</v>
      </c>
      <c r="Q25" s="634">
        <v>5072.5522094005064</v>
      </c>
      <c r="R25" s="634">
        <v>5028.971432592175</v>
      </c>
      <c r="S25" s="634">
        <v>4288.3647621728114</v>
      </c>
      <c r="T25" s="634">
        <v>9317.3361947649864</v>
      </c>
      <c r="U25" s="634">
        <v>47.464396284829718</v>
      </c>
      <c r="V25" s="634">
        <v>31.294117647058819</v>
      </c>
      <c r="W25" s="634">
        <v>78.758513931888544</v>
      </c>
      <c r="X25" s="634">
        <v>669.29862088376012</v>
      </c>
      <c r="Y25" s="634">
        <v>438.24866310160428</v>
      </c>
      <c r="Z25" s="634">
        <v>1107.5472839853639</v>
      </c>
    </row>
    <row r="26" spans="1:26" s="571" customFormat="1" ht="28.5" customHeight="1" x14ac:dyDescent="0.35">
      <c r="A26" s="569">
        <v>22</v>
      </c>
      <c r="B26" s="572" t="s">
        <v>32</v>
      </c>
      <c r="C26" s="635">
        <v>45017.484848484848</v>
      </c>
      <c r="D26" s="635">
        <v>56914.878787878777</v>
      </c>
      <c r="E26" s="635">
        <v>101932.3636363636</v>
      </c>
      <c r="F26" s="635">
        <v>826.18181818181813</v>
      </c>
      <c r="G26" s="635">
        <v>783</v>
      </c>
      <c r="H26" s="635">
        <v>1609.181818181818</v>
      </c>
      <c r="I26" s="635">
        <v>34005.666666666657</v>
      </c>
      <c r="J26" s="635">
        <v>47133.42424242424</v>
      </c>
      <c r="K26" s="635">
        <v>81139.090909090912</v>
      </c>
      <c r="L26" s="635">
        <v>1512.606060606061</v>
      </c>
      <c r="M26" s="635">
        <v>1590</v>
      </c>
      <c r="N26" s="635">
        <v>3102.606060606061</v>
      </c>
      <c r="O26" s="634">
        <v>1716.393939393939</v>
      </c>
      <c r="P26" s="634">
        <v>1239.787878787879</v>
      </c>
      <c r="Q26" s="634">
        <v>2956.181818181818</v>
      </c>
      <c r="R26" s="634">
        <v>12180.45454545455</v>
      </c>
      <c r="S26" s="634">
        <v>15986.21212121212</v>
      </c>
      <c r="T26" s="634">
        <v>28166.666666666672</v>
      </c>
      <c r="U26" s="634">
        <v>567.27272727272725</v>
      </c>
      <c r="V26" s="634">
        <v>529.030303030303</v>
      </c>
      <c r="W26" s="634">
        <v>1096.30303030303</v>
      </c>
      <c r="X26" s="634">
        <v>599.12121212121212</v>
      </c>
      <c r="Y26" s="634">
        <v>506.36363636363637</v>
      </c>
      <c r="Z26" s="634">
        <v>1105.484848484848</v>
      </c>
    </row>
    <row r="27" spans="1:26" s="571" customFormat="1" ht="28.5" customHeight="1" x14ac:dyDescent="0.35">
      <c r="A27" s="569">
        <v>23</v>
      </c>
      <c r="B27" s="572" t="s">
        <v>33</v>
      </c>
      <c r="C27" s="635">
        <v>24181</v>
      </c>
      <c r="D27" s="635">
        <v>24430</v>
      </c>
      <c r="E27" s="635">
        <v>48611</v>
      </c>
      <c r="F27" s="635">
        <v>273</v>
      </c>
      <c r="G27" s="635">
        <v>160</v>
      </c>
      <c r="H27" s="635">
        <v>433</v>
      </c>
      <c r="I27" s="635">
        <v>22514</v>
      </c>
      <c r="J27" s="635">
        <v>23420</v>
      </c>
      <c r="K27" s="635">
        <v>45934</v>
      </c>
      <c r="L27" s="635">
        <v>423</v>
      </c>
      <c r="M27" s="635">
        <v>314</v>
      </c>
      <c r="N27" s="635">
        <v>737</v>
      </c>
      <c r="O27" s="634">
        <v>54</v>
      </c>
      <c r="P27" s="634">
        <v>26</v>
      </c>
      <c r="Q27" s="634">
        <v>80</v>
      </c>
      <c r="R27" s="634">
        <v>12251</v>
      </c>
      <c r="S27" s="634">
        <v>12379</v>
      </c>
      <c r="T27" s="634">
        <v>24630</v>
      </c>
      <c r="U27" s="634">
        <v>39</v>
      </c>
      <c r="V27" s="634">
        <v>44</v>
      </c>
      <c r="W27" s="634">
        <v>83</v>
      </c>
      <c r="X27" s="634">
        <v>59</v>
      </c>
      <c r="Y27" s="634">
        <v>51</v>
      </c>
      <c r="Z27" s="634">
        <v>110</v>
      </c>
    </row>
    <row r="28" spans="1:26" s="571" customFormat="1" ht="28.5" customHeight="1" x14ac:dyDescent="0.35">
      <c r="A28" s="569">
        <v>24</v>
      </c>
      <c r="B28" s="572" t="s">
        <v>34</v>
      </c>
      <c r="C28" s="635">
        <v>22939</v>
      </c>
      <c r="D28" s="635">
        <v>28367</v>
      </c>
      <c r="E28" s="635">
        <v>51306</v>
      </c>
      <c r="F28" s="635">
        <v>299</v>
      </c>
      <c r="G28" s="635">
        <v>185</v>
      </c>
      <c r="H28" s="635">
        <v>484</v>
      </c>
      <c r="I28" s="635">
        <v>20507</v>
      </c>
      <c r="J28" s="635">
        <v>26082</v>
      </c>
      <c r="K28" s="635">
        <v>46589</v>
      </c>
      <c r="L28" s="635">
        <v>639</v>
      </c>
      <c r="M28" s="635">
        <v>537</v>
      </c>
      <c r="N28" s="635">
        <v>1176</v>
      </c>
      <c r="O28" s="634">
        <v>107</v>
      </c>
      <c r="P28" s="634">
        <v>134</v>
      </c>
      <c r="Q28" s="634">
        <v>241</v>
      </c>
      <c r="R28" s="634">
        <v>10265</v>
      </c>
      <c r="S28" s="634">
        <v>12548</v>
      </c>
      <c r="T28" s="634">
        <v>22813</v>
      </c>
      <c r="U28" s="634">
        <v>11</v>
      </c>
      <c r="V28" s="634">
        <v>4</v>
      </c>
      <c r="W28" s="634">
        <v>15</v>
      </c>
      <c r="X28" s="634">
        <v>93</v>
      </c>
      <c r="Y28" s="634">
        <v>256</v>
      </c>
      <c r="Z28" s="634">
        <v>349</v>
      </c>
    </row>
    <row r="29" spans="1:26" s="571" customFormat="1" ht="28.5" customHeight="1" x14ac:dyDescent="0.35">
      <c r="A29" s="569">
        <v>25</v>
      </c>
      <c r="B29" s="572" t="s">
        <v>35</v>
      </c>
      <c r="C29" s="635">
        <v>583096</v>
      </c>
      <c r="D29" s="635">
        <v>518512</v>
      </c>
      <c r="E29" s="635">
        <v>1101608</v>
      </c>
      <c r="F29" s="635">
        <v>109702</v>
      </c>
      <c r="G29" s="635">
        <v>90277</v>
      </c>
      <c r="H29" s="635">
        <v>199979</v>
      </c>
      <c r="I29" s="635">
        <v>86365</v>
      </c>
      <c r="J29" s="635">
        <v>82475</v>
      </c>
      <c r="K29" s="635">
        <v>168840</v>
      </c>
      <c r="L29" s="635">
        <v>129749</v>
      </c>
      <c r="M29" s="635">
        <v>124860</v>
      </c>
      <c r="N29" s="635">
        <v>254609</v>
      </c>
      <c r="O29" s="634">
        <v>4742</v>
      </c>
      <c r="P29" s="634">
        <v>4477</v>
      </c>
      <c r="Q29" s="634">
        <v>9219</v>
      </c>
      <c r="R29" s="634">
        <v>1753</v>
      </c>
      <c r="S29" s="634">
        <v>2376</v>
      </c>
      <c r="T29" s="634">
        <v>4129</v>
      </c>
      <c r="U29" s="634">
        <v>1065</v>
      </c>
      <c r="V29" s="634">
        <v>815</v>
      </c>
      <c r="W29" s="634">
        <v>1880</v>
      </c>
      <c r="X29" s="634">
        <v>9254</v>
      </c>
      <c r="Y29" s="634">
        <v>8049</v>
      </c>
      <c r="Z29" s="634">
        <v>17303</v>
      </c>
    </row>
    <row r="30" spans="1:26" s="571" customFormat="1" ht="28.5" customHeight="1" x14ac:dyDescent="0.35">
      <c r="A30" s="569">
        <v>26</v>
      </c>
      <c r="B30" s="572" t="s">
        <v>36</v>
      </c>
      <c r="C30" s="635">
        <v>48058.569298245609</v>
      </c>
      <c r="D30" s="635">
        <v>52565.012280701747</v>
      </c>
      <c r="E30" s="635">
        <v>100623.5815789474</v>
      </c>
      <c r="F30" s="635">
        <v>6105.1868421052632</v>
      </c>
      <c r="G30" s="635">
        <v>6477.2280701754389</v>
      </c>
      <c r="H30" s="635">
        <v>12582.414912280699</v>
      </c>
      <c r="I30" s="635">
        <v>655.82456140350882</v>
      </c>
      <c r="J30" s="635">
        <v>458.54824561403512</v>
      </c>
      <c r="K30" s="635">
        <v>1114.3728070175439</v>
      </c>
      <c r="L30" s="635">
        <v>25794.34122807017</v>
      </c>
      <c r="M30" s="635">
        <v>30846.988596491228</v>
      </c>
      <c r="N30" s="635">
        <v>56641.329824561413</v>
      </c>
      <c r="O30" s="634">
        <v>1554.435964912281</v>
      </c>
      <c r="P30" s="634">
        <v>1853.863157894737</v>
      </c>
      <c r="Q30" s="634">
        <v>3408.2991228070182</v>
      </c>
      <c r="R30" s="634">
        <v>822.70701754385959</v>
      </c>
      <c r="S30" s="634">
        <v>1891.4552631578949</v>
      </c>
      <c r="T30" s="634">
        <v>2714.1622807017538</v>
      </c>
      <c r="U30" s="634">
        <v>126.65526315789469</v>
      </c>
      <c r="V30" s="634">
        <v>147.11315789473679</v>
      </c>
      <c r="W30" s="634">
        <v>273.7684210526316</v>
      </c>
      <c r="X30" s="634">
        <v>450.65614035087719</v>
      </c>
      <c r="Y30" s="634">
        <v>350.54035087719302</v>
      </c>
      <c r="Z30" s="634">
        <v>801.19649122807016</v>
      </c>
    </row>
    <row r="31" spans="1:26" s="571" customFormat="1" ht="28.5" customHeight="1" x14ac:dyDescent="0.35">
      <c r="A31" s="569">
        <v>27</v>
      </c>
      <c r="B31" s="572" t="s">
        <v>37</v>
      </c>
      <c r="C31" s="635">
        <v>466842.76086956519</v>
      </c>
      <c r="D31" s="635">
        <v>449103.02898550732</v>
      </c>
      <c r="E31" s="635">
        <v>915945.78985507251</v>
      </c>
      <c r="F31" s="635">
        <v>105369.7717391304</v>
      </c>
      <c r="G31" s="635">
        <v>125207.69927536231</v>
      </c>
      <c r="H31" s="635">
        <v>230577.4710144928</v>
      </c>
      <c r="I31" s="635">
        <v>2887.170289855072</v>
      </c>
      <c r="J31" s="635">
        <v>2314.43115942029</v>
      </c>
      <c r="K31" s="635">
        <v>5201.601449275362</v>
      </c>
      <c r="L31" s="635">
        <v>59382.10144927536</v>
      </c>
      <c r="M31" s="635">
        <v>63480.518115942032</v>
      </c>
      <c r="N31" s="635">
        <v>122862.61956521741</v>
      </c>
      <c r="O31" s="634">
        <v>14102.04347826087</v>
      </c>
      <c r="P31" s="634">
        <v>6640.086956521739</v>
      </c>
      <c r="Q31" s="634">
        <v>20742.130434782612</v>
      </c>
      <c r="R31" s="634">
        <v>65424.72463768116</v>
      </c>
      <c r="S31" s="634">
        <v>77176.268115942032</v>
      </c>
      <c r="T31" s="634">
        <v>142600.9927536232</v>
      </c>
      <c r="U31" s="634">
        <v>759.04347826086962</v>
      </c>
      <c r="V31" s="634">
        <v>397.04347826086962</v>
      </c>
      <c r="W31" s="634">
        <v>1156.086956521739</v>
      </c>
      <c r="X31" s="634">
        <v>8171.130434782609</v>
      </c>
      <c r="Y31" s="634">
        <v>6279.130434782609</v>
      </c>
      <c r="Z31" s="634">
        <v>14450.26086956522</v>
      </c>
    </row>
    <row r="32" spans="1:26" s="571" customFormat="1" ht="28.5" customHeight="1" x14ac:dyDescent="0.35">
      <c r="A32" s="569">
        <v>28</v>
      </c>
      <c r="B32" s="572" t="s">
        <v>38</v>
      </c>
      <c r="C32" s="635">
        <v>1358853.0212758339</v>
      </c>
      <c r="D32" s="635">
        <v>1276564.4111613811</v>
      </c>
      <c r="E32" s="635">
        <v>2635417.432437215</v>
      </c>
      <c r="F32" s="635">
        <v>241915.32055193</v>
      </c>
      <c r="G32" s="635">
        <v>218155.11795969281</v>
      </c>
      <c r="H32" s="635">
        <v>460070.43851162278</v>
      </c>
      <c r="I32" s="635">
        <v>167889.30865545719</v>
      </c>
      <c r="J32" s="635">
        <v>166076.32002466361</v>
      </c>
      <c r="K32" s="635">
        <v>333965.62868012069</v>
      </c>
      <c r="L32" s="635">
        <v>583706.09001306712</v>
      </c>
      <c r="M32" s="635">
        <v>553398.19263600034</v>
      </c>
      <c r="N32" s="635">
        <v>1137104.282649067</v>
      </c>
      <c r="O32" s="634">
        <v>24939.602585027889</v>
      </c>
      <c r="P32" s="634">
        <v>20684.07973312938</v>
      </c>
      <c r="Q32" s="634">
        <v>45623.682318157269</v>
      </c>
      <c r="R32" s="634">
        <v>12334.270878827479</v>
      </c>
      <c r="S32" s="634">
        <v>11531.61566333987</v>
      </c>
      <c r="T32" s="634">
        <v>23865.886542167362</v>
      </c>
      <c r="U32" s="634">
        <v>3479.7929601983128</v>
      </c>
      <c r="V32" s="634">
        <v>1336.081797760839</v>
      </c>
      <c r="W32" s="634">
        <v>4815.8747579591518</v>
      </c>
      <c r="X32" s="634">
        <v>42712.897217835118</v>
      </c>
      <c r="Y32" s="634">
        <v>41684.727387631603</v>
      </c>
      <c r="Z32" s="634">
        <v>84397.624605466714</v>
      </c>
    </row>
    <row r="33" spans="1:26" s="571" customFormat="1" ht="28.5" customHeight="1" x14ac:dyDescent="0.35">
      <c r="A33" s="569">
        <v>29</v>
      </c>
      <c r="B33" s="572" t="s">
        <v>39</v>
      </c>
      <c r="C33" s="635">
        <v>16146.55555555556</v>
      </c>
      <c r="D33" s="635">
        <v>17704.777777777781</v>
      </c>
      <c r="E33" s="635">
        <v>33851.333333333343</v>
      </c>
      <c r="F33" s="635">
        <v>971.66666666666663</v>
      </c>
      <c r="G33" s="635">
        <v>903.55555555555554</v>
      </c>
      <c r="H33" s="635">
        <v>1875.2222222222219</v>
      </c>
      <c r="I33" s="635">
        <v>4748.666666666667</v>
      </c>
      <c r="J33" s="635">
        <v>6354.1111111111113</v>
      </c>
      <c r="K33" s="635">
        <v>11102.777777777779</v>
      </c>
      <c r="L33" s="635">
        <v>4416</v>
      </c>
      <c r="M33" s="635">
        <v>5201</v>
      </c>
      <c r="N33" s="635">
        <v>9617</v>
      </c>
      <c r="O33" s="634">
        <v>108</v>
      </c>
      <c r="P33" s="634">
        <v>60.333333333333343</v>
      </c>
      <c r="Q33" s="634">
        <v>168.33333333333329</v>
      </c>
      <c r="R33" s="634">
        <v>1019.444444444444</v>
      </c>
      <c r="S33" s="634">
        <v>1394.8888888888889</v>
      </c>
      <c r="T33" s="634">
        <v>2414.333333333333</v>
      </c>
      <c r="U33" s="634">
        <v>17</v>
      </c>
      <c r="V33" s="634">
        <v>7</v>
      </c>
      <c r="W33" s="634">
        <v>24</v>
      </c>
      <c r="X33" s="634">
        <v>135</v>
      </c>
      <c r="Y33" s="634">
        <v>88</v>
      </c>
      <c r="Z33" s="634">
        <v>223</v>
      </c>
    </row>
    <row r="34" spans="1:26" s="571" customFormat="1" ht="28.5" customHeight="1" x14ac:dyDescent="0.35">
      <c r="A34" s="569">
        <v>30</v>
      </c>
      <c r="B34" s="572" t="s">
        <v>40</v>
      </c>
      <c r="C34" s="635">
        <v>1745879.743924835</v>
      </c>
      <c r="D34" s="635">
        <v>1659109.048077442</v>
      </c>
      <c r="E34" s="635">
        <v>3404988.7920022779</v>
      </c>
      <c r="F34" s="635">
        <v>315253.3371390985</v>
      </c>
      <c r="G34" s="635">
        <v>314212.18012706091</v>
      </c>
      <c r="H34" s="635">
        <v>629465.51726615941</v>
      </c>
      <c r="I34" s="635">
        <v>19156.99318418387</v>
      </c>
      <c r="J34" s="635">
        <v>15496.79240059702</v>
      </c>
      <c r="K34" s="635">
        <v>34653.78558478089</v>
      </c>
      <c r="L34" s="635">
        <v>1140322.806253877</v>
      </c>
      <c r="M34" s="635">
        <v>1106559.031107483</v>
      </c>
      <c r="N34" s="635">
        <v>2246881.83736136</v>
      </c>
      <c r="O34" s="634">
        <v>73836.922702221491</v>
      </c>
      <c r="P34" s="634">
        <v>58283.221086406636</v>
      </c>
      <c r="Q34" s="634">
        <v>132120.14378862811</v>
      </c>
      <c r="R34" s="634">
        <v>88871.926079449913</v>
      </c>
      <c r="S34" s="634">
        <v>98186.638239805601</v>
      </c>
      <c r="T34" s="634">
        <v>187058.5643192555</v>
      </c>
      <c r="U34" s="634">
        <v>5241.5835822219406</v>
      </c>
      <c r="V34" s="634">
        <v>5389.8641324714208</v>
      </c>
      <c r="W34" s="634">
        <v>10631.44771469336</v>
      </c>
      <c r="X34" s="634">
        <v>17761.111193141882</v>
      </c>
      <c r="Y34" s="634">
        <v>13056.00413353711</v>
      </c>
      <c r="Z34" s="634">
        <v>30817.115326678981</v>
      </c>
    </row>
    <row r="35" spans="1:26" s="571" customFormat="1" ht="28.5" customHeight="1" x14ac:dyDescent="0.35">
      <c r="A35" s="569">
        <v>31</v>
      </c>
      <c r="B35" s="572" t="s">
        <v>41</v>
      </c>
      <c r="C35" s="635">
        <v>818588.47943106527</v>
      </c>
      <c r="D35" s="635">
        <v>852973.73486957047</v>
      </c>
      <c r="E35" s="635">
        <v>1671562.214300636</v>
      </c>
      <c r="F35" s="635">
        <v>123455.27051618219</v>
      </c>
      <c r="G35" s="635">
        <v>142874.5502244423</v>
      </c>
      <c r="H35" s="635">
        <v>266329.82074062439</v>
      </c>
      <c r="I35" s="635">
        <v>75518.820576506885</v>
      </c>
      <c r="J35" s="635">
        <v>71209.789889471402</v>
      </c>
      <c r="K35" s="635">
        <v>146728.6104659783</v>
      </c>
      <c r="L35" s="635">
        <v>389406.84575923323</v>
      </c>
      <c r="M35" s="635">
        <v>400758.76571523992</v>
      </c>
      <c r="N35" s="635">
        <v>790165.61147447303</v>
      </c>
      <c r="O35" s="634">
        <v>76602.082872730476</v>
      </c>
      <c r="P35" s="634">
        <v>66549.514660938847</v>
      </c>
      <c r="Q35" s="634">
        <v>143151.59753366929</v>
      </c>
      <c r="R35" s="634">
        <v>4960.3106350553207</v>
      </c>
      <c r="S35" s="634">
        <v>9566.8534900354298</v>
      </c>
      <c r="T35" s="634">
        <v>14527.164125090751</v>
      </c>
      <c r="U35" s="634">
        <v>3888.7901680634441</v>
      </c>
      <c r="V35" s="634">
        <v>2241.6949924900368</v>
      </c>
      <c r="W35" s="634">
        <v>6130.4851605534814</v>
      </c>
      <c r="X35" s="634">
        <v>13650.553224743689</v>
      </c>
      <c r="Y35" s="634">
        <v>13847.292060055859</v>
      </c>
      <c r="Z35" s="634">
        <v>27497.84528479955</v>
      </c>
    </row>
    <row r="36" spans="1:26" s="571" customFormat="1" ht="28.5" customHeight="1" x14ac:dyDescent="0.35">
      <c r="A36" s="569">
        <v>32</v>
      </c>
      <c r="B36" s="570" t="s">
        <v>60</v>
      </c>
      <c r="C36" s="635">
        <v>6607</v>
      </c>
      <c r="D36" s="635">
        <v>6402</v>
      </c>
      <c r="E36" s="635">
        <v>13009</v>
      </c>
      <c r="F36" s="635">
        <v>264</v>
      </c>
      <c r="G36" s="635">
        <v>296</v>
      </c>
      <c r="H36" s="635">
        <v>560</v>
      </c>
      <c r="I36" s="635">
        <v>950</v>
      </c>
      <c r="J36" s="635">
        <v>1178</v>
      </c>
      <c r="K36" s="635">
        <v>2128</v>
      </c>
      <c r="L36" s="635">
        <v>1194</v>
      </c>
      <c r="M36" s="635">
        <v>1111</v>
      </c>
      <c r="N36" s="635">
        <v>2305</v>
      </c>
      <c r="O36" s="634">
        <v>103</v>
      </c>
      <c r="P36" s="634">
        <v>109</v>
      </c>
      <c r="Q36" s="634">
        <v>212</v>
      </c>
      <c r="R36" s="634">
        <v>18</v>
      </c>
      <c r="S36" s="634">
        <v>17</v>
      </c>
      <c r="T36" s="634">
        <v>35</v>
      </c>
      <c r="U36" s="634">
        <v>7</v>
      </c>
      <c r="V36" s="634">
        <v>7</v>
      </c>
      <c r="W36" s="634">
        <v>14</v>
      </c>
      <c r="X36" s="634">
        <v>82</v>
      </c>
      <c r="Y36" s="634">
        <v>58</v>
      </c>
      <c r="Z36" s="634">
        <v>140</v>
      </c>
    </row>
    <row r="37" spans="1:26" s="571" customFormat="1" ht="28.5" customHeight="1" x14ac:dyDescent="0.35">
      <c r="A37" s="569">
        <v>33</v>
      </c>
      <c r="B37" s="572" t="s">
        <v>42</v>
      </c>
      <c r="C37" s="635">
        <v>52168</v>
      </c>
      <c r="D37" s="635">
        <v>50156</v>
      </c>
      <c r="E37" s="635">
        <v>102324</v>
      </c>
      <c r="F37" s="635">
        <v>9387</v>
      </c>
      <c r="G37" s="635">
        <v>8824</v>
      </c>
      <c r="H37" s="635">
        <v>18211</v>
      </c>
      <c r="I37" s="635">
        <v>13956</v>
      </c>
      <c r="J37" s="635">
        <v>14058</v>
      </c>
      <c r="K37" s="635">
        <v>28014</v>
      </c>
      <c r="L37" s="635">
        <v>9625</v>
      </c>
      <c r="M37" s="635">
        <v>9265</v>
      </c>
      <c r="N37" s="635">
        <v>18890</v>
      </c>
      <c r="O37" s="634">
        <v>1335</v>
      </c>
      <c r="P37" s="634">
        <v>1159</v>
      </c>
      <c r="Q37" s="634">
        <v>2494</v>
      </c>
      <c r="R37" s="634">
        <v>370</v>
      </c>
      <c r="S37" s="634">
        <v>348</v>
      </c>
      <c r="T37" s="634">
        <v>718</v>
      </c>
      <c r="U37" s="634">
        <v>79</v>
      </c>
      <c r="V37" s="634">
        <v>27</v>
      </c>
      <c r="W37" s="634">
        <v>106</v>
      </c>
      <c r="X37" s="634">
        <v>708</v>
      </c>
      <c r="Y37" s="634">
        <v>360</v>
      </c>
      <c r="Z37" s="634">
        <v>1068</v>
      </c>
    </row>
    <row r="38" spans="1:26" s="571" customFormat="1" ht="28.5" customHeight="1" x14ac:dyDescent="0.35">
      <c r="A38" s="569">
        <v>34</v>
      </c>
      <c r="B38" s="572" t="s">
        <v>43</v>
      </c>
      <c r="C38" s="635">
        <v>3728800.4693300598</v>
      </c>
      <c r="D38" s="635">
        <v>3516152.1513036089</v>
      </c>
      <c r="E38" s="635">
        <v>7244952.6206336692</v>
      </c>
      <c r="F38" s="635">
        <v>687829.04273618117</v>
      </c>
      <c r="G38" s="635">
        <v>670188.41031321313</v>
      </c>
      <c r="H38" s="635">
        <v>1358017.4530493941</v>
      </c>
      <c r="I38" s="635">
        <v>34630.978560264077</v>
      </c>
      <c r="J38" s="635">
        <v>32382.398814395139</v>
      </c>
      <c r="K38" s="635">
        <v>67013.37737465922</v>
      </c>
      <c r="L38" s="635">
        <v>1577492.0782956791</v>
      </c>
      <c r="M38" s="635">
        <v>1543258.180577657</v>
      </c>
      <c r="N38" s="635">
        <v>3120750.258873336</v>
      </c>
      <c r="O38" s="634">
        <v>165915.69263114809</v>
      </c>
      <c r="P38" s="634">
        <v>180538.1715788079</v>
      </c>
      <c r="Q38" s="634">
        <v>346453.86420995608</v>
      </c>
      <c r="R38" s="634">
        <v>12055.478008537561</v>
      </c>
      <c r="S38" s="634">
        <v>14757.919311509409</v>
      </c>
      <c r="T38" s="634">
        <v>26813.39732004697</v>
      </c>
      <c r="U38" s="634">
        <v>6225.385965329875</v>
      </c>
      <c r="V38" s="634">
        <v>3883.6352282288308</v>
      </c>
      <c r="W38" s="634">
        <v>10109.02119355871</v>
      </c>
      <c r="X38" s="634">
        <v>55355.927736797923</v>
      </c>
      <c r="Y38" s="634">
        <v>40174.147139488327</v>
      </c>
      <c r="Z38" s="634">
        <v>95530.074876286235</v>
      </c>
    </row>
    <row r="39" spans="1:26" s="571" customFormat="1" ht="28.5" customHeight="1" x14ac:dyDescent="0.35">
      <c r="A39" s="569">
        <v>35</v>
      </c>
      <c r="B39" s="572" t="s">
        <v>44</v>
      </c>
      <c r="C39" s="635">
        <v>290727.55586492468</v>
      </c>
      <c r="D39" s="635">
        <v>288687.37506915041</v>
      </c>
      <c r="E39" s="635">
        <v>579414.93093407503</v>
      </c>
      <c r="F39" s="635">
        <v>39324.326215265377</v>
      </c>
      <c r="G39" s="635">
        <v>44596.763615978947</v>
      </c>
      <c r="H39" s="635">
        <v>83921.089831244331</v>
      </c>
      <c r="I39" s="635">
        <v>8367.5249613593696</v>
      </c>
      <c r="J39" s="635">
        <v>8257.7541064174875</v>
      </c>
      <c r="K39" s="635">
        <v>16625.279067776861</v>
      </c>
      <c r="L39" s="635">
        <v>58108.266029897139</v>
      </c>
      <c r="M39" s="635">
        <v>56356.134653979483</v>
      </c>
      <c r="N39" s="635">
        <v>114464.40068387661</v>
      </c>
      <c r="O39" s="634">
        <v>8197.1484774859218</v>
      </c>
      <c r="P39" s="634">
        <v>10349.273414818839</v>
      </c>
      <c r="Q39" s="634">
        <v>18546.421892304759</v>
      </c>
      <c r="R39" s="634">
        <v>1572.7862497322769</v>
      </c>
      <c r="S39" s="634">
        <v>2001.8571697667651</v>
      </c>
      <c r="T39" s="634">
        <v>3574.643419499042</v>
      </c>
      <c r="U39" s="634">
        <v>529.86427662237259</v>
      </c>
      <c r="V39" s="634">
        <v>275.48320946364419</v>
      </c>
      <c r="W39" s="634">
        <v>805.34748608601683</v>
      </c>
      <c r="X39" s="634">
        <v>4934.1733593215604</v>
      </c>
      <c r="Y39" s="634">
        <v>3159.1774963250982</v>
      </c>
      <c r="Z39" s="634">
        <v>8093.3508556466577</v>
      </c>
    </row>
    <row r="40" spans="1:26" s="571" customFormat="1" ht="28.5" customHeight="1" x14ac:dyDescent="0.35">
      <c r="A40" s="569">
        <v>36</v>
      </c>
      <c r="B40" s="572" t="s">
        <v>45</v>
      </c>
      <c r="C40" s="635">
        <v>1360800.666666667</v>
      </c>
      <c r="D40" s="635">
        <v>1332067.833333333</v>
      </c>
      <c r="E40" s="635">
        <v>2692868.5</v>
      </c>
      <c r="F40" s="635">
        <v>269484.08333333331</v>
      </c>
      <c r="G40" s="635">
        <v>257422.5</v>
      </c>
      <c r="H40" s="635">
        <v>526906.58333333337</v>
      </c>
      <c r="I40" s="635">
        <v>45452.25</v>
      </c>
      <c r="J40" s="635">
        <v>49616.5</v>
      </c>
      <c r="K40" s="635">
        <v>95068.75</v>
      </c>
      <c r="L40" s="635">
        <v>243568.5</v>
      </c>
      <c r="M40" s="635">
        <v>233706.66666666669</v>
      </c>
      <c r="N40" s="635">
        <v>477275.16666666669</v>
      </c>
      <c r="O40" s="634">
        <v>155340.41666666669</v>
      </c>
      <c r="P40" s="634">
        <v>165345.66666666669</v>
      </c>
      <c r="Q40" s="634">
        <v>320686.08333333331</v>
      </c>
      <c r="R40" s="634">
        <v>10479</v>
      </c>
      <c r="S40" s="634">
        <v>11887.66666666667</v>
      </c>
      <c r="T40" s="634">
        <v>22366.666666666672</v>
      </c>
      <c r="U40" s="634">
        <v>4905</v>
      </c>
      <c r="V40" s="634">
        <v>2896.166666666667</v>
      </c>
      <c r="W40" s="634">
        <v>7801.166666666667</v>
      </c>
      <c r="X40" s="634">
        <v>8588</v>
      </c>
      <c r="Y40" s="634">
        <v>8290</v>
      </c>
      <c r="Z40" s="634">
        <v>16878</v>
      </c>
    </row>
    <row r="41" spans="1:26" s="567" customFormat="1" ht="28.5" customHeight="1" x14ac:dyDescent="0.35">
      <c r="A41" s="802" t="s">
        <v>46</v>
      </c>
      <c r="B41" s="802"/>
      <c r="C41" s="640">
        <v>22877371.62561683</v>
      </c>
      <c r="D41" s="640">
        <v>21754889.615062039</v>
      </c>
      <c r="E41" s="640">
        <v>44632261.240678862</v>
      </c>
      <c r="F41" s="640">
        <v>3523780.8489900278</v>
      </c>
      <c r="G41" s="640">
        <v>3389285.8568060989</v>
      </c>
      <c r="H41" s="640">
        <v>6913066.7057961281</v>
      </c>
      <c r="I41" s="640">
        <v>1405119.7174815319</v>
      </c>
      <c r="J41" s="640">
        <v>1466852.8225853341</v>
      </c>
      <c r="K41" s="640">
        <v>2871972.5400668662</v>
      </c>
      <c r="L41" s="640">
        <v>8873533.6909617744</v>
      </c>
      <c r="M41" s="640">
        <v>8531510.5543305632</v>
      </c>
      <c r="N41" s="640">
        <v>17405044.245292339</v>
      </c>
      <c r="O41" s="640">
        <v>1120382.093536471</v>
      </c>
      <c r="P41" s="640">
        <v>1123430.4317668211</v>
      </c>
      <c r="Q41" s="636">
        <v>2243812.5253032921</v>
      </c>
      <c r="R41" s="640">
        <v>486130.05524035997</v>
      </c>
      <c r="S41" s="640">
        <v>560383.84263764741</v>
      </c>
      <c r="T41" s="640">
        <v>1046513.897878007</v>
      </c>
      <c r="U41" s="640">
        <v>53665.99032707412</v>
      </c>
      <c r="V41" s="640">
        <v>35150.175848665232</v>
      </c>
      <c r="W41" s="640">
        <v>88816.166175739345</v>
      </c>
      <c r="X41" s="640">
        <v>436708.32203368552</v>
      </c>
      <c r="Y41" s="640">
        <v>383665.51058628922</v>
      </c>
      <c r="Z41" s="640">
        <v>820373.83261997474</v>
      </c>
    </row>
    <row r="42" spans="1:26" ht="19.5" customHeight="1" x14ac:dyDescent="0.3">
      <c r="Q42" s="625"/>
      <c r="R42" s="625"/>
    </row>
    <row r="43" spans="1:26" x14ac:dyDescent="0.3">
      <c r="O43" s="797"/>
      <c r="P43" s="797"/>
      <c r="Q43" s="797"/>
    </row>
    <row r="45" spans="1:26" x14ac:dyDescent="0.3">
      <c r="O45" s="797"/>
      <c r="P45" s="797"/>
      <c r="Q45" s="797"/>
    </row>
    <row r="46" spans="1:26" x14ac:dyDescent="0.3">
      <c r="O46" s="623"/>
      <c r="P46" s="623"/>
      <c r="Q46" s="623"/>
    </row>
  </sheetData>
  <mergeCells count="15">
    <mergeCell ref="C1:N1"/>
    <mergeCell ref="O1:Z1"/>
    <mergeCell ref="A2:A3"/>
    <mergeCell ref="B2:B3"/>
    <mergeCell ref="C2:E2"/>
    <mergeCell ref="F2:H2"/>
    <mergeCell ref="I2:K2"/>
    <mergeCell ref="L2:N2"/>
    <mergeCell ref="O2:Q2"/>
    <mergeCell ref="R2:T2"/>
    <mergeCell ref="O43:Q43"/>
    <mergeCell ref="O45:Q45"/>
    <mergeCell ref="U2:W2"/>
    <mergeCell ref="X2:Z2"/>
    <mergeCell ref="A41:B41"/>
  </mergeCells>
  <pageMargins left="0.59055118110236227" right="0.11" top="0.39370078740157483" bottom="0.39370078740157483" header="0.31496062992125984" footer="0.19685039370078741"/>
  <pageSetup paperSize="9" scale="70" firstPageNumber="14" orientation="portrait" r:id="rId1"/>
  <headerFooter>
    <oddFooter>&amp;L&amp;"Arial,Italic"&amp;9AISHE 2022-23</oddFooter>
  </headerFooter>
  <colBreaks count="1" manualBreakCount="1">
    <brk id="14" max="40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9E8B-57B7-40D3-98D1-78D79C607045}">
  <sheetPr codeName="Sheet25">
    <tabColor rgb="FF92D050"/>
  </sheetPr>
  <dimension ref="A1:AC178"/>
  <sheetViews>
    <sheetView showGridLines="0" showZeros="0" view="pageBreakPreview" zoomScaleNormal="100" zoomScaleSheetLayoutView="100" workbookViewId="0">
      <pane xSplit="2" ySplit="4" topLeftCell="Q5" activePane="bottomRight" state="frozen"/>
      <selection activeCell="S20" sqref="S20"/>
      <selection pane="topRight" activeCell="S20" sqref="S20"/>
      <selection pane="bottomLeft" activeCell="S20" sqref="S20"/>
      <selection pane="bottomRight" activeCell="C5" sqref="C5:AC177"/>
    </sheetView>
  </sheetViews>
  <sheetFormatPr defaultColWidth="9.26953125" defaultRowHeight="14" x14ac:dyDescent="0.3"/>
  <cols>
    <col min="1" max="1" width="6" style="141" customWidth="1"/>
    <col min="2" max="2" width="35.54296875" style="148" customWidth="1"/>
    <col min="3" max="3" width="9" style="141" bestFit="1" customWidth="1"/>
    <col min="4" max="11" width="9" style="141" customWidth="1"/>
    <col min="12" max="13" width="9.26953125" style="141" customWidth="1"/>
    <col min="14" max="14" width="8.26953125" style="141" customWidth="1"/>
    <col min="15" max="15" width="8" style="141" customWidth="1"/>
    <col min="16" max="20" width="9.26953125" style="141" customWidth="1"/>
    <col min="21" max="29" width="9" style="141" customWidth="1"/>
    <col min="30" max="16384" width="9.26953125" style="141"/>
  </cols>
  <sheetData>
    <row r="1" spans="1:29" s="140" customFormat="1" ht="33.75" customHeight="1" x14ac:dyDescent="0.35">
      <c r="B1" s="26" t="s">
        <v>569</v>
      </c>
      <c r="C1" s="812" t="s">
        <v>1042</v>
      </c>
      <c r="D1" s="812"/>
      <c r="E1" s="812"/>
      <c r="F1" s="812"/>
      <c r="G1" s="812"/>
      <c r="H1" s="812"/>
      <c r="I1" s="812"/>
      <c r="J1" s="812"/>
      <c r="K1" s="812"/>
      <c r="L1" s="812" t="str">
        <f>C1</f>
        <v>Country-Wise Enrolment of Foreign Students at Various Levels (Based on Actual Responses)</v>
      </c>
      <c r="M1" s="812"/>
      <c r="N1" s="812"/>
      <c r="O1" s="812"/>
      <c r="P1" s="812"/>
      <c r="Q1" s="812"/>
      <c r="R1" s="812"/>
      <c r="S1" s="812"/>
      <c r="T1" s="812"/>
      <c r="U1" s="812" t="str">
        <f>L1</f>
        <v>Country-Wise Enrolment of Foreign Students at Various Levels (Based on Actual Responses)</v>
      </c>
      <c r="V1" s="812"/>
      <c r="W1" s="812"/>
      <c r="X1" s="812"/>
      <c r="Y1" s="812"/>
      <c r="Z1" s="812"/>
      <c r="AA1" s="812"/>
      <c r="AB1" s="812"/>
      <c r="AC1" s="812"/>
    </row>
    <row r="2" spans="1:29" ht="16.899999999999999" customHeight="1" x14ac:dyDescent="0.3">
      <c r="A2" s="810" t="s">
        <v>49</v>
      </c>
      <c r="B2" s="787" t="s">
        <v>570</v>
      </c>
      <c r="C2" s="811" t="s">
        <v>85</v>
      </c>
      <c r="D2" s="811"/>
      <c r="E2" s="811"/>
      <c r="F2" s="811" t="s">
        <v>86</v>
      </c>
      <c r="G2" s="811"/>
      <c r="H2" s="811"/>
      <c r="I2" s="811" t="s">
        <v>87</v>
      </c>
      <c r="J2" s="811"/>
      <c r="K2" s="811"/>
      <c r="L2" s="811" t="s">
        <v>88</v>
      </c>
      <c r="M2" s="811"/>
      <c r="N2" s="811"/>
      <c r="O2" s="811" t="s">
        <v>89</v>
      </c>
      <c r="P2" s="811"/>
      <c r="Q2" s="811"/>
      <c r="R2" s="811" t="s">
        <v>90</v>
      </c>
      <c r="S2" s="811"/>
      <c r="T2" s="811"/>
      <c r="U2" s="811" t="s">
        <v>91</v>
      </c>
      <c r="V2" s="811"/>
      <c r="W2" s="811"/>
      <c r="X2" s="811" t="s">
        <v>92</v>
      </c>
      <c r="Y2" s="811"/>
      <c r="Z2" s="811"/>
      <c r="AA2" s="811" t="s">
        <v>12</v>
      </c>
      <c r="AB2" s="811"/>
      <c r="AC2" s="811"/>
    </row>
    <row r="3" spans="1:29" ht="16.899999999999999" customHeight="1" x14ac:dyDescent="0.3">
      <c r="A3" s="810"/>
      <c r="B3" s="787"/>
      <c r="C3" s="142" t="s">
        <v>93</v>
      </c>
      <c r="D3" s="142" t="s">
        <v>94</v>
      </c>
      <c r="E3" s="142" t="s">
        <v>54</v>
      </c>
      <c r="F3" s="142" t="s">
        <v>93</v>
      </c>
      <c r="G3" s="142" t="s">
        <v>94</v>
      </c>
      <c r="H3" s="142" t="s">
        <v>54</v>
      </c>
      <c r="I3" s="142" t="s">
        <v>93</v>
      </c>
      <c r="J3" s="142" t="s">
        <v>94</v>
      </c>
      <c r="K3" s="142" t="s">
        <v>54</v>
      </c>
      <c r="L3" s="142" t="s">
        <v>93</v>
      </c>
      <c r="M3" s="142" t="s">
        <v>94</v>
      </c>
      <c r="N3" s="142" t="s">
        <v>54</v>
      </c>
      <c r="O3" s="142" t="s">
        <v>93</v>
      </c>
      <c r="P3" s="142" t="s">
        <v>94</v>
      </c>
      <c r="Q3" s="142" t="s">
        <v>54</v>
      </c>
      <c r="R3" s="142" t="s">
        <v>93</v>
      </c>
      <c r="S3" s="142" t="s">
        <v>94</v>
      </c>
      <c r="T3" s="142" t="s">
        <v>54</v>
      </c>
      <c r="U3" s="142" t="s">
        <v>93</v>
      </c>
      <c r="V3" s="142" t="s">
        <v>94</v>
      </c>
      <c r="W3" s="142" t="s">
        <v>54</v>
      </c>
      <c r="X3" s="142" t="s">
        <v>93</v>
      </c>
      <c r="Y3" s="142" t="s">
        <v>94</v>
      </c>
      <c r="Z3" s="142" t="s">
        <v>54</v>
      </c>
      <c r="AA3" s="142" t="s">
        <v>93</v>
      </c>
      <c r="AB3" s="142" t="s">
        <v>94</v>
      </c>
      <c r="AC3" s="142" t="s">
        <v>54</v>
      </c>
    </row>
    <row r="4" spans="1:29" s="144" customFormat="1" ht="10.9" customHeight="1" x14ac:dyDescent="0.25">
      <c r="A4" s="143">
        <v>1</v>
      </c>
      <c r="B4" s="143">
        <v>2</v>
      </c>
      <c r="C4" s="143">
        <v>3</v>
      </c>
      <c r="D4" s="143">
        <v>4</v>
      </c>
      <c r="E4" s="143">
        <v>5</v>
      </c>
      <c r="F4" s="143">
        <v>6</v>
      </c>
      <c r="G4" s="143">
        <v>7</v>
      </c>
      <c r="H4" s="143">
        <v>8</v>
      </c>
      <c r="I4" s="143">
        <v>9</v>
      </c>
      <c r="J4" s="143">
        <v>10</v>
      </c>
      <c r="K4" s="143">
        <v>11</v>
      </c>
      <c r="L4" s="143">
        <v>12</v>
      </c>
      <c r="M4" s="143">
        <v>13</v>
      </c>
      <c r="N4" s="143">
        <v>14</v>
      </c>
      <c r="O4" s="143">
        <v>15</v>
      </c>
      <c r="P4" s="143">
        <v>16</v>
      </c>
      <c r="Q4" s="143">
        <v>17</v>
      </c>
      <c r="R4" s="143">
        <v>18</v>
      </c>
      <c r="S4" s="143">
        <v>19</v>
      </c>
      <c r="T4" s="143">
        <v>20</v>
      </c>
      <c r="U4" s="143">
        <v>21</v>
      </c>
      <c r="V4" s="143">
        <v>22</v>
      </c>
      <c r="W4" s="143">
        <v>23</v>
      </c>
      <c r="X4" s="143">
        <v>24</v>
      </c>
      <c r="Y4" s="143">
        <v>25</v>
      </c>
      <c r="Z4" s="143">
        <v>26</v>
      </c>
      <c r="AA4" s="143">
        <v>27</v>
      </c>
      <c r="AB4" s="143">
        <v>28</v>
      </c>
      <c r="AC4" s="143">
        <v>29</v>
      </c>
    </row>
    <row r="5" spans="1:29" ht="15.75" customHeight="1" x14ac:dyDescent="0.3">
      <c r="A5" s="145">
        <v>1</v>
      </c>
      <c r="B5" s="146" t="s">
        <v>679</v>
      </c>
      <c r="C5" s="647">
        <v>136</v>
      </c>
      <c r="D5" s="647">
        <v>33</v>
      </c>
      <c r="E5" s="647">
        <v>169</v>
      </c>
      <c r="F5" s="647">
        <v>0</v>
      </c>
      <c r="G5" s="647">
        <v>2</v>
      </c>
      <c r="H5" s="647">
        <v>2</v>
      </c>
      <c r="I5" s="647">
        <v>1102</v>
      </c>
      <c r="J5" s="647">
        <v>554</v>
      </c>
      <c r="K5" s="647">
        <v>1656</v>
      </c>
      <c r="L5" s="647">
        <v>7693</v>
      </c>
      <c r="M5" s="647">
        <v>2777</v>
      </c>
      <c r="N5" s="647">
        <v>10470</v>
      </c>
      <c r="O5" s="647">
        <v>12</v>
      </c>
      <c r="P5" s="647">
        <v>5</v>
      </c>
      <c r="Q5" s="647">
        <v>17</v>
      </c>
      <c r="R5" s="647">
        <v>469</v>
      </c>
      <c r="S5" s="647">
        <v>103</v>
      </c>
      <c r="T5" s="647">
        <v>572</v>
      </c>
      <c r="U5" s="647">
        <v>16</v>
      </c>
      <c r="V5" s="647">
        <v>1</v>
      </c>
      <c r="W5" s="647">
        <v>17</v>
      </c>
      <c r="X5" s="647">
        <v>27</v>
      </c>
      <c r="Y5" s="647">
        <v>39</v>
      </c>
      <c r="Z5" s="647">
        <v>66</v>
      </c>
      <c r="AA5" s="647">
        <v>9455</v>
      </c>
      <c r="AB5" s="647">
        <v>3514</v>
      </c>
      <c r="AC5" s="647">
        <v>12969</v>
      </c>
    </row>
    <row r="6" spans="1:29" ht="15.75" customHeight="1" x14ac:dyDescent="0.3">
      <c r="A6" s="145">
        <v>2</v>
      </c>
      <c r="B6" s="146" t="s">
        <v>737</v>
      </c>
      <c r="C6" s="647">
        <v>9</v>
      </c>
      <c r="D6" s="647">
        <v>16</v>
      </c>
      <c r="E6" s="647">
        <v>25</v>
      </c>
      <c r="F6" s="647">
        <v>0</v>
      </c>
      <c r="G6" s="647">
        <v>0</v>
      </c>
      <c r="H6" s="647">
        <v>0</v>
      </c>
      <c r="I6" s="647">
        <v>66</v>
      </c>
      <c r="J6" s="647">
        <v>79</v>
      </c>
      <c r="K6" s="647">
        <v>145</v>
      </c>
      <c r="L6" s="647">
        <v>1073</v>
      </c>
      <c r="M6" s="647">
        <v>1121</v>
      </c>
      <c r="N6" s="647">
        <v>2194</v>
      </c>
      <c r="O6" s="647">
        <v>18</v>
      </c>
      <c r="P6" s="647">
        <v>8</v>
      </c>
      <c r="Q6" s="647">
        <v>26</v>
      </c>
      <c r="R6" s="647">
        <v>2</v>
      </c>
      <c r="S6" s="647">
        <v>293</v>
      </c>
      <c r="T6" s="647">
        <v>295</v>
      </c>
      <c r="U6" s="647">
        <v>3</v>
      </c>
      <c r="V6" s="647">
        <v>2</v>
      </c>
      <c r="W6" s="647">
        <v>5</v>
      </c>
      <c r="X6" s="647">
        <v>68</v>
      </c>
      <c r="Y6" s="647">
        <v>62</v>
      </c>
      <c r="Z6" s="647">
        <v>130</v>
      </c>
      <c r="AA6" s="647">
        <v>1239</v>
      </c>
      <c r="AB6" s="647">
        <v>1581</v>
      </c>
      <c r="AC6" s="647">
        <v>2820</v>
      </c>
    </row>
    <row r="7" spans="1:29" ht="15.75" customHeight="1" x14ac:dyDescent="0.3">
      <c r="A7" s="145">
        <v>3</v>
      </c>
      <c r="B7" s="146" t="s">
        <v>586</v>
      </c>
      <c r="C7" s="647">
        <v>77</v>
      </c>
      <c r="D7" s="647">
        <v>34</v>
      </c>
      <c r="E7" s="647">
        <v>111</v>
      </c>
      <c r="F7" s="647">
        <v>0</v>
      </c>
      <c r="G7" s="647">
        <v>1</v>
      </c>
      <c r="H7" s="647">
        <v>1</v>
      </c>
      <c r="I7" s="647">
        <v>234</v>
      </c>
      <c r="J7" s="647">
        <v>127</v>
      </c>
      <c r="K7" s="647">
        <v>361</v>
      </c>
      <c r="L7" s="647">
        <v>1656</v>
      </c>
      <c r="M7" s="647">
        <v>514</v>
      </c>
      <c r="N7" s="647">
        <v>2170</v>
      </c>
      <c r="O7" s="647">
        <v>2</v>
      </c>
      <c r="P7" s="647">
        <v>3</v>
      </c>
      <c r="Q7" s="647">
        <v>5</v>
      </c>
      <c r="R7" s="647">
        <v>7</v>
      </c>
      <c r="S7" s="647">
        <v>4</v>
      </c>
      <c r="T7" s="647">
        <v>11</v>
      </c>
      <c r="U7" s="647">
        <v>5</v>
      </c>
      <c r="V7" s="647">
        <v>5</v>
      </c>
      <c r="W7" s="647">
        <v>10</v>
      </c>
      <c r="X7" s="647">
        <v>20</v>
      </c>
      <c r="Y7" s="647">
        <v>17</v>
      </c>
      <c r="Z7" s="647">
        <v>37</v>
      </c>
      <c r="AA7" s="647">
        <v>2001</v>
      </c>
      <c r="AB7" s="647">
        <v>705</v>
      </c>
      <c r="AC7" s="647">
        <v>2706</v>
      </c>
    </row>
    <row r="8" spans="1:29" ht="15.75" customHeight="1" x14ac:dyDescent="0.3">
      <c r="A8" s="145">
        <v>4</v>
      </c>
      <c r="B8" s="146" t="s">
        <v>683</v>
      </c>
      <c r="C8" s="647">
        <v>57</v>
      </c>
      <c r="D8" s="647">
        <v>13</v>
      </c>
      <c r="E8" s="647">
        <v>70</v>
      </c>
      <c r="F8" s="647">
        <v>0</v>
      </c>
      <c r="G8" s="647">
        <v>0</v>
      </c>
      <c r="H8" s="647">
        <v>0</v>
      </c>
      <c r="I8" s="647">
        <v>338</v>
      </c>
      <c r="J8" s="647">
        <v>80</v>
      </c>
      <c r="K8" s="647">
        <v>418</v>
      </c>
      <c r="L8" s="647">
        <v>1606</v>
      </c>
      <c r="M8" s="647">
        <v>381</v>
      </c>
      <c r="N8" s="647">
        <v>1987</v>
      </c>
      <c r="O8" s="647">
        <v>6</v>
      </c>
      <c r="P8" s="647">
        <v>1</v>
      </c>
      <c r="Q8" s="647">
        <v>7</v>
      </c>
      <c r="R8" s="647">
        <v>2</v>
      </c>
      <c r="S8" s="647">
        <v>10</v>
      </c>
      <c r="T8" s="647">
        <v>12</v>
      </c>
      <c r="U8" s="647">
        <v>3</v>
      </c>
      <c r="V8" s="647">
        <v>0</v>
      </c>
      <c r="W8" s="647">
        <v>3</v>
      </c>
      <c r="X8" s="647">
        <v>15</v>
      </c>
      <c r="Y8" s="647">
        <v>9</v>
      </c>
      <c r="Z8" s="647">
        <v>24</v>
      </c>
      <c r="AA8" s="647">
        <v>2027</v>
      </c>
      <c r="AB8" s="647">
        <v>494</v>
      </c>
      <c r="AC8" s="647">
        <v>2521</v>
      </c>
    </row>
    <row r="9" spans="1:29" ht="15.75" customHeight="1" x14ac:dyDescent="0.3">
      <c r="A9" s="145">
        <v>5</v>
      </c>
      <c r="B9" s="146" t="s">
        <v>571</v>
      </c>
      <c r="C9" s="647">
        <v>313</v>
      </c>
      <c r="D9" s="647">
        <v>64</v>
      </c>
      <c r="E9" s="647">
        <v>377</v>
      </c>
      <c r="F9" s="647">
        <v>0</v>
      </c>
      <c r="G9" s="647">
        <v>1</v>
      </c>
      <c r="H9" s="647">
        <v>1</v>
      </c>
      <c r="I9" s="647">
        <v>818</v>
      </c>
      <c r="J9" s="647">
        <v>126</v>
      </c>
      <c r="K9" s="647">
        <v>944</v>
      </c>
      <c r="L9" s="647">
        <v>538</v>
      </c>
      <c r="M9" s="647">
        <v>129</v>
      </c>
      <c r="N9" s="647">
        <v>667</v>
      </c>
      <c r="O9" s="647">
        <v>1</v>
      </c>
      <c r="P9" s="647">
        <v>0</v>
      </c>
      <c r="Q9" s="647">
        <v>1</v>
      </c>
      <c r="R9" s="647">
        <v>1</v>
      </c>
      <c r="S9" s="647">
        <v>0</v>
      </c>
      <c r="T9" s="647">
        <v>1</v>
      </c>
      <c r="U9" s="647">
        <v>1</v>
      </c>
      <c r="V9" s="647">
        <v>0</v>
      </c>
      <c r="W9" s="647">
        <v>1</v>
      </c>
      <c r="X9" s="647">
        <v>17</v>
      </c>
      <c r="Y9" s="647">
        <v>2</v>
      </c>
      <c r="Z9" s="647">
        <v>19</v>
      </c>
      <c r="AA9" s="647">
        <v>1689</v>
      </c>
      <c r="AB9" s="647">
        <v>322</v>
      </c>
      <c r="AC9" s="647">
        <v>2011</v>
      </c>
    </row>
    <row r="10" spans="1:29" ht="15.75" customHeight="1" x14ac:dyDescent="0.3">
      <c r="A10" s="145">
        <v>6</v>
      </c>
      <c r="B10" s="146" t="s">
        <v>734</v>
      </c>
      <c r="C10" s="647">
        <v>4</v>
      </c>
      <c r="D10" s="647">
        <v>46</v>
      </c>
      <c r="E10" s="647">
        <v>50</v>
      </c>
      <c r="F10" s="647">
        <v>0</v>
      </c>
      <c r="G10" s="647">
        <v>0</v>
      </c>
      <c r="H10" s="647">
        <v>0</v>
      </c>
      <c r="I10" s="647">
        <v>45</v>
      </c>
      <c r="J10" s="647">
        <v>72</v>
      </c>
      <c r="K10" s="647">
        <v>117</v>
      </c>
      <c r="L10" s="647">
        <v>883</v>
      </c>
      <c r="M10" s="647">
        <v>678</v>
      </c>
      <c r="N10" s="647">
        <v>1561</v>
      </c>
      <c r="O10" s="647">
        <v>0</v>
      </c>
      <c r="P10" s="647">
        <v>0</v>
      </c>
      <c r="Q10" s="647">
        <v>0</v>
      </c>
      <c r="R10" s="647">
        <v>0</v>
      </c>
      <c r="S10" s="647">
        <v>0</v>
      </c>
      <c r="T10" s="647">
        <v>0</v>
      </c>
      <c r="U10" s="647">
        <v>0</v>
      </c>
      <c r="V10" s="647">
        <v>0</v>
      </c>
      <c r="W10" s="647">
        <v>0</v>
      </c>
      <c r="X10" s="647">
        <v>15</v>
      </c>
      <c r="Y10" s="647">
        <v>8</v>
      </c>
      <c r="Z10" s="647">
        <v>23</v>
      </c>
      <c r="AA10" s="647">
        <v>947</v>
      </c>
      <c r="AB10" s="647">
        <v>804</v>
      </c>
      <c r="AC10" s="647">
        <v>1751</v>
      </c>
    </row>
    <row r="11" spans="1:29" ht="15.75" customHeight="1" x14ac:dyDescent="0.3">
      <c r="A11" s="145">
        <v>7</v>
      </c>
      <c r="B11" s="146" t="s">
        <v>591</v>
      </c>
      <c r="C11" s="632">
        <v>3</v>
      </c>
      <c r="D11" s="647">
        <v>1</v>
      </c>
      <c r="E11" s="647">
        <v>4</v>
      </c>
      <c r="F11" s="647">
        <v>0</v>
      </c>
      <c r="G11" s="647">
        <v>0</v>
      </c>
      <c r="H11" s="647">
        <v>0</v>
      </c>
      <c r="I11" s="647">
        <v>104</v>
      </c>
      <c r="J11" s="647">
        <v>52</v>
      </c>
      <c r="K11" s="647">
        <v>156</v>
      </c>
      <c r="L11" s="647">
        <v>779</v>
      </c>
      <c r="M11" s="647">
        <v>592</v>
      </c>
      <c r="N11" s="647">
        <v>1371</v>
      </c>
      <c r="O11" s="647">
        <v>0</v>
      </c>
      <c r="P11" s="647">
        <v>2</v>
      </c>
      <c r="Q11" s="647">
        <v>2</v>
      </c>
      <c r="R11" s="647">
        <v>34</v>
      </c>
      <c r="S11" s="647">
        <v>43</v>
      </c>
      <c r="T11" s="647">
        <v>77</v>
      </c>
      <c r="U11" s="647">
        <v>8</v>
      </c>
      <c r="V11" s="647">
        <v>0</v>
      </c>
      <c r="W11" s="647">
        <v>8</v>
      </c>
      <c r="X11" s="647">
        <v>12</v>
      </c>
      <c r="Y11" s="647">
        <v>8</v>
      </c>
      <c r="Z11" s="647">
        <v>20</v>
      </c>
      <c r="AA11" s="647">
        <v>940</v>
      </c>
      <c r="AB11" s="647">
        <v>698</v>
      </c>
      <c r="AC11" s="647">
        <v>1638</v>
      </c>
    </row>
    <row r="12" spans="1:29" ht="15.75" customHeight="1" x14ac:dyDescent="0.3">
      <c r="A12" s="145">
        <v>8</v>
      </c>
      <c r="B12" s="146" t="s">
        <v>736</v>
      </c>
      <c r="C12" s="647">
        <v>23</v>
      </c>
      <c r="D12" s="647">
        <v>15</v>
      </c>
      <c r="E12" s="647">
        <v>38</v>
      </c>
      <c r="F12" s="647">
        <v>0</v>
      </c>
      <c r="G12" s="647">
        <v>0</v>
      </c>
      <c r="H12" s="647">
        <v>0</v>
      </c>
      <c r="I12" s="647">
        <v>130</v>
      </c>
      <c r="J12" s="647">
        <v>79</v>
      </c>
      <c r="K12" s="647">
        <v>209</v>
      </c>
      <c r="L12" s="647">
        <v>601</v>
      </c>
      <c r="M12" s="647">
        <v>557</v>
      </c>
      <c r="N12" s="647">
        <v>1158</v>
      </c>
      <c r="O12" s="647">
        <v>0</v>
      </c>
      <c r="P12" s="647">
        <v>0</v>
      </c>
      <c r="Q12" s="647">
        <v>0</v>
      </c>
      <c r="R12" s="647">
        <v>82</v>
      </c>
      <c r="S12" s="647">
        <v>77</v>
      </c>
      <c r="T12" s="647">
        <v>159</v>
      </c>
      <c r="U12" s="647">
        <v>2</v>
      </c>
      <c r="V12" s="647">
        <v>0</v>
      </c>
      <c r="W12" s="647">
        <v>2</v>
      </c>
      <c r="X12" s="647">
        <v>17</v>
      </c>
      <c r="Y12" s="647">
        <v>24</v>
      </c>
      <c r="Z12" s="647">
        <v>41</v>
      </c>
      <c r="AA12" s="647">
        <v>855</v>
      </c>
      <c r="AB12" s="647">
        <v>752</v>
      </c>
      <c r="AC12" s="647">
        <v>1607</v>
      </c>
    </row>
    <row r="13" spans="1:29" x14ac:dyDescent="0.3">
      <c r="A13" s="145">
        <v>9</v>
      </c>
      <c r="B13" s="146" t="s">
        <v>743</v>
      </c>
      <c r="C13" s="647">
        <v>3</v>
      </c>
      <c r="D13" s="647">
        <v>1</v>
      </c>
      <c r="E13" s="647">
        <v>4</v>
      </c>
      <c r="F13" s="647">
        <v>0</v>
      </c>
      <c r="G13" s="647">
        <v>0</v>
      </c>
      <c r="H13" s="647">
        <v>0</v>
      </c>
      <c r="I13" s="647">
        <v>84</v>
      </c>
      <c r="J13" s="647">
        <v>71</v>
      </c>
      <c r="K13" s="647">
        <v>155</v>
      </c>
      <c r="L13" s="647">
        <v>572</v>
      </c>
      <c r="M13" s="647">
        <v>449</v>
      </c>
      <c r="N13" s="647">
        <v>1021</v>
      </c>
      <c r="O13" s="647">
        <v>1</v>
      </c>
      <c r="P13" s="647">
        <v>0</v>
      </c>
      <c r="Q13" s="647">
        <v>1</v>
      </c>
      <c r="R13" s="647">
        <v>36</v>
      </c>
      <c r="S13" s="647">
        <v>36</v>
      </c>
      <c r="T13" s="647">
        <v>72</v>
      </c>
      <c r="U13" s="647">
        <v>2</v>
      </c>
      <c r="V13" s="647">
        <v>0</v>
      </c>
      <c r="W13" s="647">
        <v>2</v>
      </c>
      <c r="X13" s="647">
        <v>67</v>
      </c>
      <c r="Y13" s="647">
        <v>117</v>
      </c>
      <c r="Z13" s="647">
        <v>184</v>
      </c>
      <c r="AA13" s="647">
        <v>765</v>
      </c>
      <c r="AB13" s="647">
        <v>674</v>
      </c>
      <c r="AC13" s="647">
        <v>1439</v>
      </c>
    </row>
    <row r="14" spans="1:29" ht="15.75" customHeight="1" x14ac:dyDescent="0.3">
      <c r="A14" s="145">
        <v>10</v>
      </c>
      <c r="B14" s="146" t="s">
        <v>715</v>
      </c>
      <c r="C14" s="647">
        <v>21</v>
      </c>
      <c r="D14" s="647">
        <v>4</v>
      </c>
      <c r="E14" s="647">
        <v>25</v>
      </c>
      <c r="F14" s="647">
        <v>0</v>
      </c>
      <c r="G14" s="647">
        <v>0</v>
      </c>
      <c r="H14" s="647">
        <v>0</v>
      </c>
      <c r="I14" s="647">
        <v>135</v>
      </c>
      <c r="J14" s="647">
        <v>25</v>
      </c>
      <c r="K14" s="647">
        <v>160</v>
      </c>
      <c r="L14" s="647">
        <v>841</v>
      </c>
      <c r="M14" s="647">
        <v>118</v>
      </c>
      <c r="N14" s="647">
        <v>959</v>
      </c>
      <c r="O14" s="647">
        <v>0</v>
      </c>
      <c r="P14" s="647">
        <v>0</v>
      </c>
      <c r="Q14" s="647">
        <v>0</v>
      </c>
      <c r="R14" s="647">
        <v>1</v>
      </c>
      <c r="S14" s="647">
        <v>2</v>
      </c>
      <c r="T14" s="647">
        <v>3</v>
      </c>
      <c r="U14" s="647">
        <v>7</v>
      </c>
      <c r="V14" s="647">
        <v>0</v>
      </c>
      <c r="W14" s="647">
        <v>7</v>
      </c>
      <c r="X14" s="647">
        <v>5</v>
      </c>
      <c r="Y14" s="647">
        <v>0</v>
      </c>
      <c r="Z14" s="647">
        <v>5</v>
      </c>
      <c r="AA14" s="647">
        <v>1010</v>
      </c>
      <c r="AB14" s="647">
        <v>149</v>
      </c>
      <c r="AC14" s="647">
        <v>1159</v>
      </c>
    </row>
    <row r="15" spans="1:29" ht="15.75" customHeight="1" x14ac:dyDescent="0.3">
      <c r="A15" s="145">
        <v>11</v>
      </c>
      <c r="B15" s="146" t="s">
        <v>742</v>
      </c>
      <c r="C15" s="647">
        <v>4</v>
      </c>
      <c r="D15" s="647">
        <v>3</v>
      </c>
      <c r="E15" s="647">
        <v>7</v>
      </c>
      <c r="F15" s="647">
        <v>0</v>
      </c>
      <c r="G15" s="647">
        <v>0</v>
      </c>
      <c r="H15" s="647">
        <v>0</v>
      </c>
      <c r="I15" s="647">
        <v>301</v>
      </c>
      <c r="J15" s="647">
        <v>153</v>
      </c>
      <c r="K15" s="647">
        <v>454</v>
      </c>
      <c r="L15" s="647">
        <v>315</v>
      </c>
      <c r="M15" s="647">
        <v>192</v>
      </c>
      <c r="N15" s="647">
        <v>507</v>
      </c>
      <c r="O15" s="647">
        <v>1</v>
      </c>
      <c r="P15" s="647">
        <v>0</v>
      </c>
      <c r="Q15" s="647">
        <v>1</v>
      </c>
      <c r="R15" s="647">
        <v>1</v>
      </c>
      <c r="S15" s="647">
        <v>0</v>
      </c>
      <c r="T15" s="647">
        <v>1</v>
      </c>
      <c r="U15" s="647">
        <v>0</v>
      </c>
      <c r="V15" s="647">
        <v>0</v>
      </c>
      <c r="W15" s="647">
        <v>0</v>
      </c>
      <c r="X15" s="647">
        <v>2</v>
      </c>
      <c r="Y15" s="647">
        <v>5</v>
      </c>
      <c r="Z15" s="647">
        <v>7</v>
      </c>
      <c r="AA15" s="647">
        <v>624</v>
      </c>
      <c r="AB15" s="647">
        <v>353</v>
      </c>
      <c r="AC15" s="647">
        <v>977</v>
      </c>
    </row>
    <row r="16" spans="1:29" ht="15.75" customHeight="1" x14ac:dyDescent="0.3">
      <c r="A16" s="145">
        <v>12</v>
      </c>
      <c r="B16" s="146" t="s">
        <v>625</v>
      </c>
      <c r="C16" s="647">
        <v>213</v>
      </c>
      <c r="D16" s="647">
        <v>71</v>
      </c>
      <c r="E16" s="647">
        <v>284</v>
      </c>
      <c r="F16" s="647">
        <v>0</v>
      </c>
      <c r="G16" s="647">
        <v>0</v>
      </c>
      <c r="H16" s="647">
        <v>0</v>
      </c>
      <c r="I16" s="647">
        <v>164</v>
      </c>
      <c r="J16" s="647">
        <v>88</v>
      </c>
      <c r="K16" s="647">
        <v>252</v>
      </c>
      <c r="L16" s="647">
        <v>257</v>
      </c>
      <c r="M16" s="647">
        <v>73</v>
      </c>
      <c r="N16" s="647">
        <v>330</v>
      </c>
      <c r="O16" s="647">
        <v>1</v>
      </c>
      <c r="P16" s="647">
        <v>1</v>
      </c>
      <c r="Q16" s="647">
        <v>2</v>
      </c>
      <c r="R16" s="647">
        <v>0</v>
      </c>
      <c r="S16" s="647">
        <v>0</v>
      </c>
      <c r="T16" s="647">
        <v>0</v>
      </c>
      <c r="U16" s="647">
        <v>0</v>
      </c>
      <c r="V16" s="647">
        <v>0</v>
      </c>
      <c r="W16" s="647">
        <v>0</v>
      </c>
      <c r="X16" s="647">
        <v>2</v>
      </c>
      <c r="Y16" s="647">
        <v>0</v>
      </c>
      <c r="Z16" s="647">
        <v>2</v>
      </c>
      <c r="AA16" s="647">
        <v>637</v>
      </c>
      <c r="AB16" s="647">
        <v>233</v>
      </c>
      <c r="AC16" s="647">
        <v>870</v>
      </c>
    </row>
    <row r="17" spans="1:29" ht="15.75" customHeight="1" x14ac:dyDescent="0.3">
      <c r="A17" s="145">
        <v>13</v>
      </c>
      <c r="B17" s="146" t="s">
        <v>712</v>
      </c>
      <c r="C17" s="647">
        <v>1</v>
      </c>
      <c r="D17" s="647">
        <v>0</v>
      </c>
      <c r="E17" s="647">
        <v>1</v>
      </c>
      <c r="F17" s="647">
        <v>0</v>
      </c>
      <c r="G17" s="647">
        <v>0</v>
      </c>
      <c r="H17" s="647">
        <v>0</v>
      </c>
      <c r="I17" s="647">
        <v>41</v>
      </c>
      <c r="J17" s="647">
        <v>10</v>
      </c>
      <c r="K17" s="647">
        <v>51</v>
      </c>
      <c r="L17" s="647">
        <v>535</v>
      </c>
      <c r="M17" s="647">
        <v>222</v>
      </c>
      <c r="N17" s="647">
        <v>757</v>
      </c>
      <c r="O17" s="647">
        <v>1</v>
      </c>
      <c r="P17" s="647">
        <v>0</v>
      </c>
      <c r="Q17" s="647">
        <v>1</v>
      </c>
      <c r="R17" s="647">
        <v>1</v>
      </c>
      <c r="S17" s="647">
        <v>0</v>
      </c>
      <c r="T17" s="647">
        <v>1</v>
      </c>
      <c r="U17" s="647">
        <v>6</v>
      </c>
      <c r="V17" s="647">
        <v>3</v>
      </c>
      <c r="W17" s="647">
        <v>9</v>
      </c>
      <c r="X17" s="647">
        <v>22</v>
      </c>
      <c r="Y17" s="647">
        <v>19</v>
      </c>
      <c r="Z17" s="647">
        <v>41</v>
      </c>
      <c r="AA17" s="647">
        <v>607</v>
      </c>
      <c r="AB17" s="647">
        <v>254</v>
      </c>
      <c r="AC17" s="647">
        <v>861</v>
      </c>
    </row>
    <row r="18" spans="1:29" ht="15.75" customHeight="1" x14ac:dyDescent="0.3">
      <c r="A18" s="145">
        <v>14</v>
      </c>
      <c r="B18" s="146" t="s">
        <v>665</v>
      </c>
      <c r="C18" s="647">
        <v>5</v>
      </c>
      <c r="D18" s="647">
        <v>3</v>
      </c>
      <c r="E18" s="647">
        <v>8</v>
      </c>
      <c r="F18" s="647">
        <v>0</v>
      </c>
      <c r="G18" s="647">
        <v>0</v>
      </c>
      <c r="H18" s="647">
        <v>0</v>
      </c>
      <c r="I18" s="647">
        <v>228</v>
      </c>
      <c r="J18" s="647">
        <v>102</v>
      </c>
      <c r="K18" s="647">
        <v>330</v>
      </c>
      <c r="L18" s="647">
        <v>266</v>
      </c>
      <c r="M18" s="647">
        <v>151</v>
      </c>
      <c r="N18" s="647">
        <v>417</v>
      </c>
      <c r="O18" s="647">
        <v>0</v>
      </c>
      <c r="P18" s="647">
        <v>0</v>
      </c>
      <c r="Q18" s="647">
        <v>0</v>
      </c>
      <c r="R18" s="647">
        <v>1</v>
      </c>
      <c r="S18" s="647">
        <v>1</v>
      </c>
      <c r="T18" s="647">
        <v>2</v>
      </c>
      <c r="U18" s="647">
        <v>0</v>
      </c>
      <c r="V18" s="647">
        <v>1</v>
      </c>
      <c r="W18" s="647">
        <v>1</v>
      </c>
      <c r="X18" s="647">
        <v>12</v>
      </c>
      <c r="Y18" s="647">
        <v>14</v>
      </c>
      <c r="Z18" s="647">
        <v>26</v>
      </c>
      <c r="AA18" s="647">
        <v>512</v>
      </c>
      <c r="AB18" s="647">
        <v>272</v>
      </c>
      <c r="AC18" s="647">
        <v>784</v>
      </c>
    </row>
    <row r="19" spans="1:29" ht="15.75" customHeight="1" x14ac:dyDescent="0.3">
      <c r="A19" s="145">
        <v>15</v>
      </c>
      <c r="B19" s="146" t="s">
        <v>741</v>
      </c>
      <c r="C19" s="647">
        <v>95</v>
      </c>
      <c r="D19" s="647">
        <v>27</v>
      </c>
      <c r="E19" s="647">
        <v>122</v>
      </c>
      <c r="F19" s="647">
        <v>0</v>
      </c>
      <c r="G19" s="647">
        <v>0</v>
      </c>
      <c r="H19" s="647">
        <v>0</v>
      </c>
      <c r="I19" s="647">
        <v>144</v>
      </c>
      <c r="J19" s="647">
        <v>44</v>
      </c>
      <c r="K19" s="647">
        <v>188</v>
      </c>
      <c r="L19" s="647">
        <v>297</v>
      </c>
      <c r="M19" s="647">
        <v>56</v>
      </c>
      <c r="N19" s="647">
        <v>353</v>
      </c>
      <c r="O19" s="647">
        <v>0</v>
      </c>
      <c r="P19" s="647">
        <v>0</v>
      </c>
      <c r="Q19" s="647">
        <v>0</v>
      </c>
      <c r="R19" s="647">
        <v>10</v>
      </c>
      <c r="S19" s="647">
        <v>6</v>
      </c>
      <c r="T19" s="647">
        <v>16</v>
      </c>
      <c r="U19" s="647">
        <v>2</v>
      </c>
      <c r="V19" s="647">
        <v>0</v>
      </c>
      <c r="W19" s="647">
        <v>2</v>
      </c>
      <c r="X19" s="647">
        <v>5</v>
      </c>
      <c r="Y19" s="647">
        <v>0</v>
      </c>
      <c r="Z19" s="647">
        <v>5</v>
      </c>
      <c r="AA19" s="647">
        <v>553</v>
      </c>
      <c r="AB19" s="647">
        <v>133</v>
      </c>
      <c r="AC19" s="647">
        <v>686</v>
      </c>
    </row>
    <row r="20" spans="1:29" ht="15.75" customHeight="1" x14ac:dyDescent="0.3">
      <c r="A20" s="145">
        <v>16</v>
      </c>
      <c r="B20" s="146" t="s">
        <v>714</v>
      </c>
      <c r="C20" s="647">
        <v>13</v>
      </c>
      <c r="D20" s="647">
        <v>9</v>
      </c>
      <c r="E20" s="647">
        <v>22</v>
      </c>
      <c r="F20" s="647">
        <v>0</v>
      </c>
      <c r="G20" s="647">
        <v>0</v>
      </c>
      <c r="H20" s="647">
        <v>0</v>
      </c>
      <c r="I20" s="647">
        <v>69</v>
      </c>
      <c r="J20" s="647">
        <v>62</v>
      </c>
      <c r="K20" s="647">
        <v>131</v>
      </c>
      <c r="L20" s="647">
        <v>254</v>
      </c>
      <c r="M20" s="647">
        <v>219</v>
      </c>
      <c r="N20" s="647">
        <v>473</v>
      </c>
      <c r="O20" s="647">
        <v>1</v>
      </c>
      <c r="P20" s="647">
        <v>0</v>
      </c>
      <c r="Q20" s="647">
        <v>1</v>
      </c>
      <c r="R20" s="647">
        <v>18</v>
      </c>
      <c r="S20" s="647">
        <v>5</v>
      </c>
      <c r="T20" s="647">
        <v>23</v>
      </c>
      <c r="U20" s="647">
        <v>17</v>
      </c>
      <c r="V20" s="647">
        <v>0</v>
      </c>
      <c r="W20" s="647">
        <v>17</v>
      </c>
      <c r="X20" s="647">
        <v>4</v>
      </c>
      <c r="Y20" s="647">
        <v>9</v>
      </c>
      <c r="Z20" s="647">
        <v>13</v>
      </c>
      <c r="AA20" s="647">
        <v>376</v>
      </c>
      <c r="AB20" s="647">
        <v>304</v>
      </c>
      <c r="AC20" s="647">
        <v>680</v>
      </c>
    </row>
    <row r="21" spans="1:29" ht="15.75" customHeight="1" x14ac:dyDescent="0.3">
      <c r="A21" s="145">
        <v>17</v>
      </c>
      <c r="B21" s="146" t="s">
        <v>732</v>
      </c>
      <c r="C21" s="647">
        <v>13</v>
      </c>
      <c r="D21" s="647">
        <v>3</v>
      </c>
      <c r="E21" s="647">
        <v>16</v>
      </c>
      <c r="F21" s="647">
        <v>0</v>
      </c>
      <c r="G21" s="647">
        <v>0</v>
      </c>
      <c r="H21" s="647">
        <v>0</v>
      </c>
      <c r="I21" s="647">
        <v>208</v>
      </c>
      <c r="J21" s="647">
        <v>99</v>
      </c>
      <c r="K21" s="647">
        <v>307</v>
      </c>
      <c r="L21" s="647">
        <v>211</v>
      </c>
      <c r="M21" s="647">
        <v>82</v>
      </c>
      <c r="N21" s="647">
        <v>293</v>
      </c>
      <c r="O21" s="647">
        <v>0</v>
      </c>
      <c r="P21" s="647">
        <v>0</v>
      </c>
      <c r="Q21" s="647">
        <v>0</v>
      </c>
      <c r="R21" s="647">
        <v>4</v>
      </c>
      <c r="S21" s="647">
        <v>5</v>
      </c>
      <c r="T21" s="647">
        <v>9</v>
      </c>
      <c r="U21" s="647">
        <v>1</v>
      </c>
      <c r="V21" s="647">
        <v>0</v>
      </c>
      <c r="W21" s="647">
        <v>1</v>
      </c>
      <c r="X21" s="647">
        <v>1</v>
      </c>
      <c r="Y21" s="647">
        <v>1</v>
      </c>
      <c r="Z21" s="647">
        <v>2</v>
      </c>
      <c r="AA21" s="647">
        <v>438</v>
      </c>
      <c r="AB21" s="647">
        <v>190</v>
      </c>
      <c r="AC21" s="647">
        <v>628</v>
      </c>
    </row>
    <row r="22" spans="1:29" ht="15.75" customHeight="1" x14ac:dyDescent="0.3">
      <c r="A22" s="145">
        <v>18</v>
      </c>
      <c r="B22" s="146" t="s">
        <v>701</v>
      </c>
      <c r="C22" s="647">
        <v>5</v>
      </c>
      <c r="D22" s="647">
        <v>9</v>
      </c>
      <c r="E22" s="647">
        <v>14</v>
      </c>
      <c r="F22" s="647">
        <v>0</v>
      </c>
      <c r="G22" s="647">
        <v>0</v>
      </c>
      <c r="H22" s="647">
        <v>0</v>
      </c>
      <c r="I22" s="647">
        <v>23</v>
      </c>
      <c r="J22" s="647">
        <v>21</v>
      </c>
      <c r="K22" s="647">
        <v>44</v>
      </c>
      <c r="L22" s="647">
        <v>320</v>
      </c>
      <c r="M22" s="647">
        <v>218</v>
      </c>
      <c r="N22" s="647">
        <v>538</v>
      </c>
      <c r="O22" s="647">
        <v>0</v>
      </c>
      <c r="P22" s="647">
        <v>0</v>
      </c>
      <c r="Q22" s="647">
        <v>0</v>
      </c>
      <c r="R22" s="647">
        <v>1</v>
      </c>
      <c r="S22" s="647">
        <v>0</v>
      </c>
      <c r="T22" s="647">
        <v>1</v>
      </c>
      <c r="U22" s="647">
        <v>0</v>
      </c>
      <c r="V22" s="647">
        <v>0</v>
      </c>
      <c r="W22" s="647">
        <v>0</v>
      </c>
      <c r="X22" s="647">
        <v>3</v>
      </c>
      <c r="Y22" s="647">
        <v>3</v>
      </c>
      <c r="Z22" s="647">
        <v>6</v>
      </c>
      <c r="AA22" s="647">
        <v>352</v>
      </c>
      <c r="AB22" s="647">
        <v>251</v>
      </c>
      <c r="AC22" s="647">
        <v>603</v>
      </c>
    </row>
    <row r="23" spans="1:29" ht="15.75" customHeight="1" x14ac:dyDescent="0.3">
      <c r="A23" s="145">
        <v>19</v>
      </c>
      <c r="B23" s="146" t="s">
        <v>634</v>
      </c>
      <c r="C23" s="647">
        <v>19</v>
      </c>
      <c r="D23" s="647">
        <v>2</v>
      </c>
      <c r="E23" s="647">
        <v>21</v>
      </c>
      <c r="F23" s="647">
        <v>0</v>
      </c>
      <c r="G23" s="647">
        <v>0</v>
      </c>
      <c r="H23" s="647">
        <v>0</v>
      </c>
      <c r="I23" s="647">
        <v>237</v>
      </c>
      <c r="J23" s="647">
        <v>71</v>
      </c>
      <c r="K23" s="647">
        <v>308</v>
      </c>
      <c r="L23" s="647">
        <v>196</v>
      </c>
      <c r="M23" s="647">
        <v>64</v>
      </c>
      <c r="N23" s="647">
        <v>260</v>
      </c>
      <c r="O23" s="647">
        <v>0</v>
      </c>
      <c r="P23" s="647">
        <v>0</v>
      </c>
      <c r="Q23" s="647">
        <v>0</v>
      </c>
      <c r="R23" s="647">
        <v>1</v>
      </c>
      <c r="S23" s="647">
        <v>3</v>
      </c>
      <c r="T23" s="647">
        <v>4</v>
      </c>
      <c r="U23" s="647">
        <v>0</v>
      </c>
      <c r="V23" s="647">
        <v>0</v>
      </c>
      <c r="W23" s="647">
        <v>0</v>
      </c>
      <c r="X23" s="647">
        <v>3</v>
      </c>
      <c r="Y23" s="647">
        <v>4</v>
      </c>
      <c r="Z23" s="647">
        <v>7</v>
      </c>
      <c r="AA23" s="647">
        <v>456</v>
      </c>
      <c r="AB23" s="647">
        <v>144</v>
      </c>
      <c r="AC23" s="647">
        <v>600</v>
      </c>
    </row>
    <row r="24" spans="1:29" ht="15.75" customHeight="1" x14ac:dyDescent="0.3">
      <c r="A24" s="145">
        <v>20</v>
      </c>
      <c r="B24" s="146" t="s">
        <v>661</v>
      </c>
      <c r="C24" s="647">
        <v>3</v>
      </c>
      <c r="D24" s="647">
        <v>0</v>
      </c>
      <c r="E24" s="647">
        <v>3</v>
      </c>
      <c r="F24" s="647">
        <v>0</v>
      </c>
      <c r="G24" s="647">
        <v>0</v>
      </c>
      <c r="H24" s="647">
        <v>0</v>
      </c>
      <c r="I24" s="647">
        <v>91</v>
      </c>
      <c r="J24" s="647">
        <v>42</v>
      </c>
      <c r="K24" s="647">
        <v>133</v>
      </c>
      <c r="L24" s="647">
        <v>277</v>
      </c>
      <c r="M24" s="647">
        <v>126</v>
      </c>
      <c r="N24" s="647">
        <v>403</v>
      </c>
      <c r="O24" s="647">
        <v>0</v>
      </c>
      <c r="P24" s="647">
        <v>0</v>
      </c>
      <c r="Q24" s="647">
        <v>0</v>
      </c>
      <c r="R24" s="647">
        <v>3</v>
      </c>
      <c r="S24" s="647">
        <v>4</v>
      </c>
      <c r="T24" s="647">
        <v>7</v>
      </c>
      <c r="U24" s="647">
        <v>1</v>
      </c>
      <c r="V24" s="647">
        <v>0</v>
      </c>
      <c r="W24" s="647">
        <v>1</v>
      </c>
      <c r="X24" s="647">
        <v>5</v>
      </c>
      <c r="Y24" s="647">
        <v>13</v>
      </c>
      <c r="Z24" s="647">
        <v>18</v>
      </c>
      <c r="AA24" s="647">
        <v>380</v>
      </c>
      <c r="AB24" s="647">
        <v>185</v>
      </c>
      <c r="AC24" s="647">
        <v>565</v>
      </c>
    </row>
    <row r="25" spans="1:29" ht="15.75" customHeight="1" x14ac:dyDescent="0.3">
      <c r="A25" s="145">
        <v>21</v>
      </c>
      <c r="B25" s="146" t="s">
        <v>655</v>
      </c>
      <c r="C25" s="647">
        <v>1</v>
      </c>
      <c r="D25" s="647">
        <v>1</v>
      </c>
      <c r="E25" s="647">
        <v>2</v>
      </c>
      <c r="F25" s="647">
        <v>0</v>
      </c>
      <c r="G25" s="647">
        <v>0</v>
      </c>
      <c r="H25" s="647">
        <v>0</v>
      </c>
      <c r="I25" s="647">
        <v>6</v>
      </c>
      <c r="J25" s="647">
        <v>6</v>
      </c>
      <c r="K25" s="647">
        <v>12</v>
      </c>
      <c r="L25" s="647">
        <v>255</v>
      </c>
      <c r="M25" s="647">
        <v>181</v>
      </c>
      <c r="N25" s="647">
        <v>436</v>
      </c>
      <c r="O25" s="647">
        <v>0</v>
      </c>
      <c r="P25" s="647">
        <v>0</v>
      </c>
      <c r="Q25" s="647">
        <v>0</v>
      </c>
      <c r="R25" s="647">
        <v>0</v>
      </c>
      <c r="S25" s="647">
        <v>0</v>
      </c>
      <c r="T25" s="647">
        <v>0</v>
      </c>
      <c r="U25" s="647">
        <v>0</v>
      </c>
      <c r="V25" s="647">
        <v>0</v>
      </c>
      <c r="W25" s="647">
        <v>0</v>
      </c>
      <c r="X25" s="647">
        <v>3</v>
      </c>
      <c r="Y25" s="647">
        <v>4</v>
      </c>
      <c r="Z25" s="647">
        <v>7</v>
      </c>
      <c r="AA25" s="647">
        <v>265</v>
      </c>
      <c r="AB25" s="647">
        <v>192</v>
      </c>
      <c r="AC25" s="647">
        <v>457</v>
      </c>
    </row>
    <row r="26" spans="1:29" x14ac:dyDescent="0.3">
      <c r="A26" s="145">
        <v>22</v>
      </c>
      <c r="B26" s="146" t="s">
        <v>677</v>
      </c>
      <c r="C26" s="647">
        <v>84</v>
      </c>
      <c r="D26" s="647">
        <v>19</v>
      </c>
      <c r="E26" s="647">
        <v>103</v>
      </c>
      <c r="F26" s="647">
        <v>0</v>
      </c>
      <c r="G26" s="647">
        <v>0</v>
      </c>
      <c r="H26" s="647">
        <v>0</v>
      </c>
      <c r="I26" s="647">
        <v>88</v>
      </c>
      <c r="J26" s="647">
        <v>42</v>
      </c>
      <c r="K26" s="647">
        <v>130</v>
      </c>
      <c r="L26" s="647">
        <v>112</v>
      </c>
      <c r="M26" s="647">
        <v>83</v>
      </c>
      <c r="N26" s="647">
        <v>195</v>
      </c>
      <c r="O26" s="647">
        <v>0</v>
      </c>
      <c r="P26" s="647">
        <v>3</v>
      </c>
      <c r="Q26" s="647">
        <v>3</v>
      </c>
      <c r="R26" s="647">
        <v>11</v>
      </c>
      <c r="S26" s="647">
        <v>0</v>
      </c>
      <c r="T26" s="647">
        <v>11</v>
      </c>
      <c r="U26" s="647">
        <v>15</v>
      </c>
      <c r="V26" s="647">
        <v>0</v>
      </c>
      <c r="W26" s="647">
        <v>15</v>
      </c>
      <c r="X26" s="647">
        <v>0</v>
      </c>
      <c r="Y26" s="647">
        <v>0</v>
      </c>
      <c r="Z26" s="647">
        <v>0</v>
      </c>
      <c r="AA26" s="647">
        <v>310</v>
      </c>
      <c r="AB26" s="647">
        <v>147</v>
      </c>
      <c r="AC26" s="647">
        <v>457</v>
      </c>
    </row>
    <row r="27" spans="1:29" x14ac:dyDescent="0.3">
      <c r="A27" s="145">
        <v>23</v>
      </c>
      <c r="B27" s="146" t="s">
        <v>694</v>
      </c>
      <c r="C27" s="647">
        <v>3</v>
      </c>
      <c r="D27" s="647">
        <v>0</v>
      </c>
      <c r="E27" s="647">
        <v>3</v>
      </c>
      <c r="F27" s="647">
        <v>0</v>
      </c>
      <c r="G27" s="647">
        <v>0</v>
      </c>
      <c r="H27" s="647">
        <v>0</v>
      </c>
      <c r="I27" s="647">
        <v>13</v>
      </c>
      <c r="J27" s="647">
        <v>6</v>
      </c>
      <c r="K27" s="647">
        <v>19</v>
      </c>
      <c r="L27" s="647">
        <v>246</v>
      </c>
      <c r="M27" s="647">
        <v>163</v>
      </c>
      <c r="N27" s="647">
        <v>409</v>
      </c>
      <c r="O27" s="647">
        <v>0</v>
      </c>
      <c r="P27" s="647">
        <v>2</v>
      </c>
      <c r="Q27" s="647">
        <v>2</v>
      </c>
      <c r="R27" s="647">
        <v>0</v>
      </c>
      <c r="S27" s="647">
        <v>0</v>
      </c>
      <c r="T27" s="647">
        <v>0</v>
      </c>
      <c r="U27" s="647">
        <v>0</v>
      </c>
      <c r="V27" s="647">
        <v>0</v>
      </c>
      <c r="W27" s="647">
        <v>0</v>
      </c>
      <c r="X27" s="647">
        <v>2</v>
      </c>
      <c r="Y27" s="647">
        <v>0</v>
      </c>
      <c r="Z27" s="647">
        <v>2</v>
      </c>
      <c r="AA27" s="647">
        <v>264</v>
      </c>
      <c r="AB27" s="647">
        <v>171</v>
      </c>
      <c r="AC27" s="647">
        <v>435</v>
      </c>
    </row>
    <row r="28" spans="1:29" x14ac:dyDescent="0.3">
      <c r="A28" s="145">
        <v>24</v>
      </c>
      <c r="B28" s="146" t="s">
        <v>654</v>
      </c>
      <c r="C28" s="647">
        <v>10</v>
      </c>
      <c r="D28" s="647">
        <v>5</v>
      </c>
      <c r="E28" s="647">
        <v>15</v>
      </c>
      <c r="F28" s="647">
        <v>0</v>
      </c>
      <c r="G28" s="647">
        <v>0</v>
      </c>
      <c r="H28" s="647">
        <v>0</v>
      </c>
      <c r="I28" s="647">
        <v>56</v>
      </c>
      <c r="J28" s="647">
        <v>33</v>
      </c>
      <c r="K28" s="647">
        <v>89</v>
      </c>
      <c r="L28" s="647">
        <v>229</v>
      </c>
      <c r="M28" s="647">
        <v>90</v>
      </c>
      <c r="N28" s="647">
        <v>319</v>
      </c>
      <c r="O28" s="647">
        <v>0</v>
      </c>
      <c r="P28" s="647">
        <v>0</v>
      </c>
      <c r="Q28" s="647">
        <v>0</v>
      </c>
      <c r="R28" s="647">
        <v>6</v>
      </c>
      <c r="S28" s="647">
        <v>0</v>
      </c>
      <c r="T28" s="647">
        <v>6</v>
      </c>
      <c r="U28" s="647">
        <v>3</v>
      </c>
      <c r="V28" s="647">
        <v>0</v>
      </c>
      <c r="W28" s="647">
        <v>3</v>
      </c>
      <c r="X28" s="647">
        <v>2</v>
      </c>
      <c r="Y28" s="647">
        <v>0</v>
      </c>
      <c r="Z28" s="647">
        <v>2</v>
      </c>
      <c r="AA28" s="647">
        <v>306</v>
      </c>
      <c r="AB28" s="647">
        <v>128</v>
      </c>
      <c r="AC28" s="647">
        <v>434</v>
      </c>
    </row>
    <row r="29" spans="1:29" x14ac:dyDescent="0.3">
      <c r="A29" s="145">
        <v>25</v>
      </c>
      <c r="B29" s="146" t="s">
        <v>660</v>
      </c>
      <c r="C29" s="647">
        <v>0</v>
      </c>
      <c r="D29" s="647">
        <v>0</v>
      </c>
      <c r="E29" s="647">
        <v>0</v>
      </c>
      <c r="F29" s="647">
        <v>0</v>
      </c>
      <c r="G29" s="647">
        <v>0</v>
      </c>
      <c r="H29" s="647">
        <v>0</v>
      </c>
      <c r="I29" s="647">
        <v>34</v>
      </c>
      <c r="J29" s="647">
        <v>54</v>
      </c>
      <c r="K29" s="647">
        <v>88</v>
      </c>
      <c r="L29" s="647">
        <v>147</v>
      </c>
      <c r="M29" s="647">
        <v>152</v>
      </c>
      <c r="N29" s="647">
        <v>299</v>
      </c>
      <c r="O29" s="647">
        <v>0</v>
      </c>
      <c r="P29" s="647">
        <v>0</v>
      </c>
      <c r="Q29" s="647">
        <v>0</v>
      </c>
      <c r="R29" s="647">
        <v>0</v>
      </c>
      <c r="S29" s="647">
        <v>2</v>
      </c>
      <c r="T29" s="647">
        <v>2</v>
      </c>
      <c r="U29" s="647">
        <v>0</v>
      </c>
      <c r="V29" s="647">
        <v>0</v>
      </c>
      <c r="W29" s="647">
        <v>0</v>
      </c>
      <c r="X29" s="647">
        <v>7</v>
      </c>
      <c r="Y29" s="647">
        <v>15</v>
      </c>
      <c r="Z29" s="647">
        <v>22</v>
      </c>
      <c r="AA29" s="647">
        <v>188</v>
      </c>
      <c r="AB29" s="647">
        <v>223</v>
      </c>
      <c r="AC29" s="647">
        <v>411</v>
      </c>
    </row>
    <row r="30" spans="1:29" x14ac:dyDescent="0.3">
      <c r="A30" s="145">
        <v>26</v>
      </c>
      <c r="B30" s="146" t="s">
        <v>685</v>
      </c>
      <c r="C30" s="647">
        <v>4</v>
      </c>
      <c r="D30" s="647">
        <v>19</v>
      </c>
      <c r="E30" s="647">
        <v>23</v>
      </c>
      <c r="F30" s="647">
        <v>0</v>
      </c>
      <c r="G30" s="647">
        <v>0</v>
      </c>
      <c r="H30" s="647">
        <v>0</v>
      </c>
      <c r="I30" s="647">
        <v>12</v>
      </c>
      <c r="J30" s="647">
        <v>5</v>
      </c>
      <c r="K30" s="647">
        <v>17</v>
      </c>
      <c r="L30" s="647">
        <v>201</v>
      </c>
      <c r="M30" s="647">
        <v>163</v>
      </c>
      <c r="N30" s="647">
        <v>364</v>
      </c>
      <c r="O30" s="647">
        <v>0</v>
      </c>
      <c r="P30" s="647">
        <v>0</v>
      </c>
      <c r="Q30" s="647">
        <v>0</v>
      </c>
      <c r="R30" s="647">
        <v>0</v>
      </c>
      <c r="S30" s="647">
        <v>0</v>
      </c>
      <c r="T30" s="647">
        <v>0</v>
      </c>
      <c r="U30" s="647">
        <v>0</v>
      </c>
      <c r="V30" s="647">
        <v>0</v>
      </c>
      <c r="W30" s="647">
        <v>0</v>
      </c>
      <c r="X30" s="647">
        <v>1</v>
      </c>
      <c r="Y30" s="647">
        <v>1</v>
      </c>
      <c r="Z30" s="647">
        <v>2</v>
      </c>
      <c r="AA30" s="647">
        <v>218</v>
      </c>
      <c r="AB30" s="647">
        <v>188</v>
      </c>
      <c r="AC30" s="647">
        <v>406</v>
      </c>
    </row>
    <row r="31" spans="1:29" x14ac:dyDescent="0.3">
      <c r="A31" s="145">
        <v>27</v>
      </c>
      <c r="B31" s="146" t="s">
        <v>720</v>
      </c>
      <c r="C31" s="647">
        <v>59</v>
      </c>
      <c r="D31" s="647">
        <v>35</v>
      </c>
      <c r="E31" s="647">
        <v>94</v>
      </c>
      <c r="F31" s="647">
        <v>0</v>
      </c>
      <c r="G31" s="647">
        <v>0</v>
      </c>
      <c r="H31" s="647">
        <v>0</v>
      </c>
      <c r="I31" s="647">
        <v>38</v>
      </c>
      <c r="J31" s="647">
        <v>8</v>
      </c>
      <c r="K31" s="647">
        <v>46</v>
      </c>
      <c r="L31" s="647">
        <v>174</v>
      </c>
      <c r="M31" s="647">
        <v>31</v>
      </c>
      <c r="N31" s="647">
        <v>205</v>
      </c>
      <c r="O31" s="647">
        <v>0</v>
      </c>
      <c r="P31" s="647">
        <v>0</v>
      </c>
      <c r="Q31" s="647">
        <v>0</v>
      </c>
      <c r="R31" s="647">
        <v>0</v>
      </c>
      <c r="S31" s="647">
        <v>0</v>
      </c>
      <c r="T31" s="647">
        <v>0</v>
      </c>
      <c r="U31" s="647">
        <v>0</v>
      </c>
      <c r="V31" s="647">
        <v>0</v>
      </c>
      <c r="W31" s="647">
        <v>0</v>
      </c>
      <c r="X31" s="647">
        <v>0</v>
      </c>
      <c r="Y31" s="647">
        <v>2</v>
      </c>
      <c r="Z31" s="647">
        <v>2</v>
      </c>
      <c r="AA31" s="647">
        <v>271</v>
      </c>
      <c r="AB31" s="647">
        <v>76</v>
      </c>
      <c r="AC31" s="647">
        <v>347</v>
      </c>
    </row>
    <row r="32" spans="1:29" x14ac:dyDescent="0.3">
      <c r="A32" s="145">
        <v>28</v>
      </c>
      <c r="B32" s="146" t="s">
        <v>735</v>
      </c>
      <c r="C32" s="647">
        <v>5</v>
      </c>
      <c r="D32" s="647">
        <v>2</v>
      </c>
      <c r="E32" s="647">
        <v>7</v>
      </c>
      <c r="F32" s="647">
        <v>0</v>
      </c>
      <c r="G32" s="647">
        <v>0</v>
      </c>
      <c r="H32" s="647">
        <v>0</v>
      </c>
      <c r="I32" s="647">
        <v>13</v>
      </c>
      <c r="J32" s="647">
        <v>27</v>
      </c>
      <c r="K32" s="647">
        <v>40</v>
      </c>
      <c r="L32" s="647">
        <v>108</v>
      </c>
      <c r="M32" s="647">
        <v>130</v>
      </c>
      <c r="N32" s="647">
        <v>238</v>
      </c>
      <c r="O32" s="647">
        <v>0</v>
      </c>
      <c r="P32" s="647">
        <v>4</v>
      </c>
      <c r="Q32" s="647">
        <v>4</v>
      </c>
      <c r="R32" s="647">
        <v>0</v>
      </c>
      <c r="S32" s="647">
        <v>0</v>
      </c>
      <c r="T32" s="647">
        <v>0</v>
      </c>
      <c r="U32" s="647">
        <v>0</v>
      </c>
      <c r="V32" s="647">
        <v>0</v>
      </c>
      <c r="W32" s="647">
        <v>0</v>
      </c>
      <c r="X32" s="647">
        <v>13</v>
      </c>
      <c r="Y32" s="647">
        <v>13</v>
      </c>
      <c r="Z32" s="647">
        <v>26</v>
      </c>
      <c r="AA32" s="647">
        <v>139</v>
      </c>
      <c r="AB32" s="647">
        <v>176</v>
      </c>
      <c r="AC32" s="647">
        <v>315</v>
      </c>
    </row>
    <row r="33" spans="1:29" x14ac:dyDescent="0.3">
      <c r="A33" s="145">
        <v>29</v>
      </c>
      <c r="B33" s="146" t="s">
        <v>643</v>
      </c>
      <c r="C33" s="647">
        <v>16</v>
      </c>
      <c r="D33" s="647">
        <v>22</v>
      </c>
      <c r="E33" s="647">
        <v>38</v>
      </c>
      <c r="F33" s="647">
        <v>0</v>
      </c>
      <c r="G33" s="647">
        <v>0</v>
      </c>
      <c r="H33" s="647">
        <v>0</v>
      </c>
      <c r="I33" s="647">
        <v>47</v>
      </c>
      <c r="J33" s="647">
        <v>61</v>
      </c>
      <c r="K33" s="647">
        <v>108</v>
      </c>
      <c r="L33" s="647">
        <v>70</v>
      </c>
      <c r="M33" s="647">
        <v>84</v>
      </c>
      <c r="N33" s="647">
        <v>154</v>
      </c>
      <c r="O33" s="647">
        <v>0</v>
      </c>
      <c r="P33" s="647">
        <v>0</v>
      </c>
      <c r="Q33" s="647">
        <v>0</v>
      </c>
      <c r="R33" s="647">
        <v>5</v>
      </c>
      <c r="S33" s="647">
        <v>5</v>
      </c>
      <c r="T33" s="647">
        <v>10</v>
      </c>
      <c r="U33" s="647">
        <v>0</v>
      </c>
      <c r="V33" s="647">
        <v>0</v>
      </c>
      <c r="W33" s="647">
        <v>0</v>
      </c>
      <c r="X33" s="647">
        <v>0</v>
      </c>
      <c r="Y33" s="647">
        <v>0</v>
      </c>
      <c r="Z33" s="647">
        <v>0</v>
      </c>
      <c r="AA33" s="647">
        <v>138</v>
      </c>
      <c r="AB33" s="647">
        <v>172</v>
      </c>
      <c r="AC33" s="647">
        <v>310</v>
      </c>
    </row>
    <row r="34" spans="1:29" x14ac:dyDescent="0.3">
      <c r="A34" s="145">
        <v>30</v>
      </c>
      <c r="B34" s="146" t="s">
        <v>676</v>
      </c>
      <c r="C34" s="647">
        <v>0</v>
      </c>
      <c r="D34" s="647">
        <v>1</v>
      </c>
      <c r="E34" s="647">
        <v>1</v>
      </c>
      <c r="F34" s="647">
        <v>0</v>
      </c>
      <c r="G34" s="647">
        <v>0</v>
      </c>
      <c r="H34" s="647">
        <v>0</v>
      </c>
      <c r="I34" s="647">
        <v>82</v>
      </c>
      <c r="J34" s="647">
        <v>16</v>
      </c>
      <c r="K34" s="647">
        <v>98</v>
      </c>
      <c r="L34" s="647">
        <v>111</v>
      </c>
      <c r="M34" s="647">
        <v>60</v>
      </c>
      <c r="N34" s="647">
        <v>171</v>
      </c>
      <c r="O34" s="647">
        <v>0</v>
      </c>
      <c r="P34" s="647">
        <v>0</v>
      </c>
      <c r="Q34" s="647">
        <v>0</v>
      </c>
      <c r="R34" s="647">
        <v>3</v>
      </c>
      <c r="S34" s="647">
        <v>0</v>
      </c>
      <c r="T34" s="647">
        <v>3</v>
      </c>
      <c r="U34" s="647">
        <v>11</v>
      </c>
      <c r="V34" s="647">
        <v>14</v>
      </c>
      <c r="W34" s="647">
        <v>25</v>
      </c>
      <c r="X34" s="647">
        <v>0</v>
      </c>
      <c r="Y34" s="647">
        <v>1</v>
      </c>
      <c r="Z34" s="647">
        <v>1</v>
      </c>
      <c r="AA34" s="647">
        <v>207</v>
      </c>
      <c r="AB34" s="647">
        <v>92</v>
      </c>
      <c r="AC34" s="647">
        <v>299</v>
      </c>
    </row>
    <row r="35" spans="1:29" x14ac:dyDescent="0.3">
      <c r="A35" s="145">
        <v>31</v>
      </c>
      <c r="B35" s="146" t="s">
        <v>705</v>
      </c>
      <c r="C35" s="647">
        <v>2</v>
      </c>
      <c r="D35" s="647">
        <v>0</v>
      </c>
      <c r="E35" s="647">
        <v>2</v>
      </c>
      <c r="F35" s="647">
        <v>1</v>
      </c>
      <c r="G35" s="647">
        <v>0</v>
      </c>
      <c r="H35" s="647">
        <v>1</v>
      </c>
      <c r="I35" s="647">
        <v>160</v>
      </c>
      <c r="J35" s="647">
        <v>26</v>
      </c>
      <c r="K35" s="647">
        <v>186</v>
      </c>
      <c r="L35" s="647">
        <v>74</v>
      </c>
      <c r="M35" s="647">
        <v>13</v>
      </c>
      <c r="N35" s="647">
        <v>87</v>
      </c>
      <c r="O35" s="647">
        <v>0</v>
      </c>
      <c r="P35" s="647">
        <v>0</v>
      </c>
      <c r="Q35" s="647">
        <v>0</v>
      </c>
      <c r="R35" s="647">
        <v>0</v>
      </c>
      <c r="S35" s="647">
        <v>0</v>
      </c>
      <c r="T35" s="647">
        <v>0</v>
      </c>
      <c r="U35" s="647">
        <v>1</v>
      </c>
      <c r="V35" s="647">
        <v>0</v>
      </c>
      <c r="W35" s="647">
        <v>1</v>
      </c>
      <c r="X35" s="647">
        <v>13</v>
      </c>
      <c r="Y35" s="647">
        <v>3</v>
      </c>
      <c r="Z35" s="647">
        <v>16</v>
      </c>
      <c r="AA35" s="647">
        <v>251</v>
      </c>
      <c r="AB35" s="647">
        <v>42</v>
      </c>
      <c r="AC35" s="647">
        <v>293</v>
      </c>
    </row>
    <row r="36" spans="1:29" x14ac:dyDescent="0.3">
      <c r="A36" s="145">
        <v>32</v>
      </c>
      <c r="B36" s="146" t="s">
        <v>600</v>
      </c>
      <c r="C36" s="647">
        <v>4</v>
      </c>
      <c r="D36" s="647">
        <v>2</v>
      </c>
      <c r="E36" s="647">
        <v>6</v>
      </c>
      <c r="F36" s="647">
        <v>0</v>
      </c>
      <c r="G36" s="647">
        <v>0</v>
      </c>
      <c r="H36" s="647">
        <v>0</v>
      </c>
      <c r="I36" s="647">
        <v>42</v>
      </c>
      <c r="J36" s="647">
        <v>13</v>
      </c>
      <c r="K36" s="647">
        <v>55</v>
      </c>
      <c r="L36" s="647">
        <v>152</v>
      </c>
      <c r="M36" s="647">
        <v>65</v>
      </c>
      <c r="N36" s="647">
        <v>217</v>
      </c>
      <c r="O36" s="647">
        <v>2</v>
      </c>
      <c r="P36" s="647">
        <v>0</v>
      </c>
      <c r="Q36" s="647">
        <v>2</v>
      </c>
      <c r="R36" s="647">
        <v>2</v>
      </c>
      <c r="S36" s="647">
        <v>0</v>
      </c>
      <c r="T36" s="647">
        <v>2</v>
      </c>
      <c r="U36" s="647">
        <v>1</v>
      </c>
      <c r="V36" s="647">
        <v>0</v>
      </c>
      <c r="W36" s="647">
        <v>1</v>
      </c>
      <c r="X36" s="647">
        <v>4</v>
      </c>
      <c r="Y36" s="647">
        <v>0</v>
      </c>
      <c r="Z36" s="647">
        <v>4</v>
      </c>
      <c r="AA36" s="647">
        <v>207</v>
      </c>
      <c r="AB36" s="647">
        <v>80</v>
      </c>
      <c r="AC36" s="647">
        <v>287</v>
      </c>
    </row>
    <row r="37" spans="1:29" x14ac:dyDescent="0.3">
      <c r="A37" s="145">
        <v>33</v>
      </c>
      <c r="B37" s="146" t="s">
        <v>642</v>
      </c>
      <c r="C37" s="647">
        <v>17</v>
      </c>
      <c r="D37" s="647">
        <v>13</v>
      </c>
      <c r="E37" s="647">
        <v>30</v>
      </c>
      <c r="F37" s="647">
        <v>0</v>
      </c>
      <c r="G37" s="647">
        <v>0</v>
      </c>
      <c r="H37" s="647">
        <v>0</v>
      </c>
      <c r="I37" s="647">
        <v>37</v>
      </c>
      <c r="J37" s="647">
        <v>19</v>
      </c>
      <c r="K37" s="647">
        <v>56</v>
      </c>
      <c r="L37" s="647">
        <v>131</v>
      </c>
      <c r="M37" s="647">
        <v>65</v>
      </c>
      <c r="N37" s="647">
        <v>196</v>
      </c>
      <c r="O37" s="647">
        <v>0</v>
      </c>
      <c r="P37" s="647">
        <v>0</v>
      </c>
      <c r="Q37" s="647">
        <v>0</v>
      </c>
      <c r="R37" s="647">
        <v>0</v>
      </c>
      <c r="S37" s="647">
        <v>0</v>
      </c>
      <c r="T37" s="647">
        <v>0</v>
      </c>
      <c r="U37" s="647">
        <v>0</v>
      </c>
      <c r="V37" s="647">
        <v>0</v>
      </c>
      <c r="W37" s="647">
        <v>0</v>
      </c>
      <c r="X37" s="647">
        <v>2</v>
      </c>
      <c r="Y37" s="647">
        <v>0</v>
      </c>
      <c r="Z37" s="647">
        <v>2</v>
      </c>
      <c r="AA37" s="647">
        <v>187</v>
      </c>
      <c r="AB37" s="647">
        <v>97</v>
      </c>
      <c r="AC37" s="647">
        <v>284</v>
      </c>
    </row>
    <row r="38" spans="1:29" x14ac:dyDescent="0.3">
      <c r="A38" s="145">
        <v>34</v>
      </c>
      <c r="B38" s="146" t="s">
        <v>698</v>
      </c>
      <c r="C38" s="647">
        <v>1</v>
      </c>
      <c r="D38" s="647">
        <v>0</v>
      </c>
      <c r="E38" s="647">
        <v>1</v>
      </c>
      <c r="F38" s="647">
        <v>0</v>
      </c>
      <c r="G38" s="647">
        <v>0</v>
      </c>
      <c r="H38" s="647">
        <v>0</v>
      </c>
      <c r="I38" s="647">
        <v>28</v>
      </c>
      <c r="J38" s="647">
        <v>6</v>
      </c>
      <c r="K38" s="647">
        <v>34</v>
      </c>
      <c r="L38" s="647">
        <v>171</v>
      </c>
      <c r="M38" s="647">
        <v>70</v>
      </c>
      <c r="N38" s="647">
        <v>241</v>
      </c>
      <c r="O38" s="647">
        <v>1</v>
      </c>
      <c r="P38" s="647">
        <v>0</v>
      </c>
      <c r="Q38" s="647">
        <v>1</v>
      </c>
      <c r="R38" s="647">
        <v>1</v>
      </c>
      <c r="S38" s="647">
        <v>0</v>
      </c>
      <c r="T38" s="647">
        <v>1</v>
      </c>
      <c r="U38" s="647">
        <v>0</v>
      </c>
      <c r="V38" s="647">
        <v>0</v>
      </c>
      <c r="W38" s="647">
        <v>0</v>
      </c>
      <c r="X38" s="647">
        <v>3</v>
      </c>
      <c r="Y38" s="647">
        <v>1</v>
      </c>
      <c r="Z38" s="647">
        <v>4</v>
      </c>
      <c r="AA38" s="647">
        <v>205</v>
      </c>
      <c r="AB38" s="647">
        <v>77</v>
      </c>
      <c r="AC38" s="647">
        <v>282</v>
      </c>
    </row>
    <row r="39" spans="1:29" x14ac:dyDescent="0.3">
      <c r="A39" s="145">
        <v>35</v>
      </c>
      <c r="B39" s="146" t="s">
        <v>612</v>
      </c>
      <c r="C39" s="647">
        <v>2</v>
      </c>
      <c r="D39" s="647">
        <v>1</v>
      </c>
      <c r="E39" s="647">
        <v>3</v>
      </c>
      <c r="F39" s="647">
        <v>0</v>
      </c>
      <c r="G39" s="647">
        <v>0</v>
      </c>
      <c r="H39" s="647">
        <v>0</v>
      </c>
      <c r="I39" s="647">
        <v>43</v>
      </c>
      <c r="J39" s="647">
        <v>13</v>
      </c>
      <c r="K39" s="647">
        <v>56</v>
      </c>
      <c r="L39" s="647">
        <v>158</v>
      </c>
      <c r="M39" s="647">
        <v>42</v>
      </c>
      <c r="N39" s="647">
        <v>200</v>
      </c>
      <c r="O39" s="647">
        <v>0</v>
      </c>
      <c r="P39" s="647">
        <v>0</v>
      </c>
      <c r="Q39" s="647">
        <v>0</v>
      </c>
      <c r="R39" s="647">
        <v>2</v>
      </c>
      <c r="S39" s="647">
        <v>0</v>
      </c>
      <c r="T39" s="647">
        <v>2</v>
      </c>
      <c r="U39" s="647">
        <v>3</v>
      </c>
      <c r="V39" s="647">
        <v>2</v>
      </c>
      <c r="W39" s="647">
        <v>5</v>
      </c>
      <c r="X39" s="647">
        <v>1</v>
      </c>
      <c r="Y39" s="647">
        <v>0</v>
      </c>
      <c r="Z39" s="647">
        <v>1</v>
      </c>
      <c r="AA39" s="647">
        <v>209</v>
      </c>
      <c r="AB39" s="647">
        <v>58</v>
      </c>
      <c r="AC39" s="647">
        <v>267</v>
      </c>
    </row>
    <row r="40" spans="1:29" x14ac:dyDescent="0.3">
      <c r="A40" s="145">
        <v>36</v>
      </c>
      <c r="B40" s="146" t="s">
        <v>724</v>
      </c>
      <c r="C40" s="647">
        <v>2</v>
      </c>
      <c r="D40" s="647">
        <v>0</v>
      </c>
      <c r="E40" s="647">
        <v>2</v>
      </c>
      <c r="F40" s="647">
        <v>1</v>
      </c>
      <c r="G40" s="647">
        <v>1</v>
      </c>
      <c r="H40" s="647">
        <v>2</v>
      </c>
      <c r="I40" s="647">
        <v>15</v>
      </c>
      <c r="J40" s="647">
        <v>26</v>
      </c>
      <c r="K40" s="647">
        <v>41</v>
      </c>
      <c r="L40" s="647">
        <v>59</v>
      </c>
      <c r="M40" s="647">
        <v>144</v>
      </c>
      <c r="N40" s="647">
        <v>203</v>
      </c>
      <c r="O40" s="647">
        <v>1</v>
      </c>
      <c r="P40" s="647">
        <v>1</v>
      </c>
      <c r="Q40" s="647">
        <v>2</v>
      </c>
      <c r="R40" s="647">
        <v>0</v>
      </c>
      <c r="S40" s="647">
        <v>3</v>
      </c>
      <c r="T40" s="647">
        <v>3</v>
      </c>
      <c r="U40" s="647">
        <v>0</v>
      </c>
      <c r="V40" s="647">
        <v>0</v>
      </c>
      <c r="W40" s="647">
        <v>0</v>
      </c>
      <c r="X40" s="647">
        <v>0</v>
      </c>
      <c r="Y40" s="647">
        <v>1</v>
      </c>
      <c r="Z40" s="647">
        <v>1</v>
      </c>
      <c r="AA40" s="647">
        <v>78</v>
      </c>
      <c r="AB40" s="647">
        <v>176</v>
      </c>
      <c r="AC40" s="647">
        <v>254</v>
      </c>
    </row>
    <row r="41" spans="1:29" x14ac:dyDescent="0.3">
      <c r="A41" s="145">
        <v>37</v>
      </c>
      <c r="B41" s="146" t="s">
        <v>585</v>
      </c>
      <c r="C41" s="647">
        <v>0</v>
      </c>
      <c r="D41" s="647">
        <v>3</v>
      </c>
      <c r="E41" s="647">
        <v>3</v>
      </c>
      <c r="F41" s="647">
        <v>0</v>
      </c>
      <c r="G41" s="647">
        <v>0</v>
      </c>
      <c r="H41" s="647">
        <v>0</v>
      </c>
      <c r="I41" s="647">
        <v>5</v>
      </c>
      <c r="J41" s="647">
        <v>2</v>
      </c>
      <c r="K41" s="647">
        <v>7</v>
      </c>
      <c r="L41" s="647">
        <v>126</v>
      </c>
      <c r="M41" s="647">
        <v>115</v>
      </c>
      <c r="N41" s="647">
        <v>241</v>
      </c>
      <c r="O41" s="647">
        <v>0</v>
      </c>
      <c r="P41" s="647">
        <v>0</v>
      </c>
      <c r="Q41" s="647">
        <v>0</v>
      </c>
      <c r="R41" s="647">
        <v>0</v>
      </c>
      <c r="S41" s="647">
        <v>0</v>
      </c>
      <c r="T41" s="647">
        <v>0</v>
      </c>
      <c r="U41" s="647">
        <v>0</v>
      </c>
      <c r="V41" s="647">
        <v>0</v>
      </c>
      <c r="W41" s="647">
        <v>0</v>
      </c>
      <c r="X41" s="647">
        <v>1</v>
      </c>
      <c r="Y41" s="647">
        <v>0</v>
      </c>
      <c r="Z41" s="647">
        <v>1</v>
      </c>
      <c r="AA41" s="647">
        <v>132</v>
      </c>
      <c r="AB41" s="647">
        <v>120</v>
      </c>
      <c r="AC41" s="647">
        <v>252</v>
      </c>
    </row>
    <row r="42" spans="1:29" x14ac:dyDescent="0.3">
      <c r="A42" s="145">
        <v>38</v>
      </c>
      <c r="B42" s="146" t="s">
        <v>644</v>
      </c>
      <c r="C42" s="647">
        <v>105</v>
      </c>
      <c r="D42" s="647">
        <v>40</v>
      </c>
      <c r="E42" s="647">
        <v>145</v>
      </c>
      <c r="F42" s="647">
        <v>0</v>
      </c>
      <c r="G42" s="647">
        <v>0</v>
      </c>
      <c r="H42" s="647">
        <v>0</v>
      </c>
      <c r="I42" s="647">
        <v>26</v>
      </c>
      <c r="J42" s="647">
        <v>15</v>
      </c>
      <c r="K42" s="647">
        <v>41</v>
      </c>
      <c r="L42" s="647">
        <v>32</v>
      </c>
      <c r="M42" s="647">
        <v>22</v>
      </c>
      <c r="N42" s="647">
        <v>54</v>
      </c>
      <c r="O42" s="647">
        <v>0</v>
      </c>
      <c r="P42" s="647">
        <v>0</v>
      </c>
      <c r="Q42" s="647">
        <v>0</v>
      </c>
      <c r="R42" s="647">
        <v>0</v>
      </c>
      <c r="S42" s="647">
        <v>0</v>
      </c>
      <c r="T42" s="647">
        <v>0</v>
      </c>
      <c r="U42" s="647">
        <v>0</v>
      </c>
      <c r="V42" s="647">
        <v>0</v>
      </c>
      <c r="W42" s="647">
        <v>0</v>
      </c>
      <c r="X42" s="647">
        <v>0</v>
      </c>
      <c r="Y42" s="647">
        <v>1</v>
      </c>
      <c r="Z42" s="647">
        <v>1</v>
      </c>
      <c r="AA42" s="647">
        <v>163</v>
      </c>
      <c r="AB42" s="647">
        <v>78</v>
      </c>
      <c r="AC42" s="647">
        <v>241</v>
      </c>
    </row>
    <row r="43" spans="1:29" x14ac:dyDescent="0.3">
      <c r="A43" s="145">
        <v>39</v>
      </c>
      <c r="B43" s="146" t="s">
        <v>723</v>
      </c>
      <c r="C43" s="647">
        <v>14</v>
      </c>
      <c r="D43" s="647">
        <v>9</v>
      </c>
      <c r="E43" s="647">
        <v>23</v>
      </c>
      <c r="F43" s="647">
        <v>1</v>
      </c>
      <c r="G43" s="647">
        <v>0</v>
      </c>
      <c r="H43" s="647">
        <v>1</v>
      </c>
      <c r="I43" s="647">
        <v>29</v>
      </c>
      <c r="J43" s="647">
        <v>19</v>
      </c>
      <c r="K43" s="647">
        <v>48</v>
      </c>
      <c r="L43" s="647">
        <v>89</v>
      </c>
      <c r="M43" s="647">
        <v>73</v>
      </c>
      <c r="N43" s="647">
        <v>162</v>
      </c>
      <c r="O43" s="647">
        <v>0</v>
      </c>
      <c r="P43" s="647">
        <v>0</v>
      </c>
      <c r="Q43" s="647">
        <v>0</v>
      </c>
      <c r="R43" s="647">
        <v>0</v>
      </c>
      <c r="S43" s="647">
        <v>0</v>
      </c>
      <c r="T43" s="647">
        <v>0</v>
      </c>
      <c r="U43" s="647">
        <v>0</v>
      </c>
      <c r="V43" s="647">
        <v>0</v>
      </c>
      <c r="W43" s="647">
        <v>0</v>
      </c>
      <c r="X43" s="647">
        <v>0</v>
      </c>
      <c r="Y43" s="647">
        <v>1</v>
      </c>
      <c r="Z43" s="647">
        <v>1</v>
      </c>
      <c r="AA43" s="647">
        <v>133</v>
      </c>
      <c r="AB43" s="647">
        <v>102</v>
      </c>
      <c r="AC43" s="647">
        <v>235</v>
      </c>
    </row>
    <row r="44" spans="1:29" x14ac:dyDescent="0.3">
      <c r="A44" s="145">
        <v>40</v>
      </c>
      <c r="B44" s="146" t="s">
        <v>710</v>
      </c>
      <c r="C44" s="647">
        <v>0</v>
      </c>
      <c r="D44" s="647">
        <v>0</v>
      </c>
      <c r="E44" s="647">
        <v>0</v>
      </c>
      <c r="F44" s="647">
        <v>0</v>
      </c>
      <c r="G44" s="647">
        <v>0</v>
      </c>
      <c r="H44" s="647">
        <v>0</v>
      </c>
      <c r="I44" s="647">
        <v>121</v>
      </c>
      <c r="J44" s="647">
        <v>14</v>
      </c>
      <c r="K44" s="647">
        <v>135</v>
      </c>
      <c r="L44" s="647">
        <v>75</v>
      </c>
      <c r="M44" s="647">
        <v>11</v>
      </c>
      <c r="N44" s="647">
        <v>86</v>
      </c>
      <c r="O44" s="647">
        <v>0</v>
      </c>
      <c r="P44" s="647">
        <v>0</v>
      </c>
      <c r="Q44" s="647">
        <v>0</v>
      </c>
      <c r="R44" s="647">
        <v>0</v>
      </c>
      <c r="S44" s="647">
        <v>0</v>
      </c>
      <c r="T44" s="647">
        <v>0</v>
      </c>
      <c r="U44" s="647">
        <v>4</v>
      </c>
      <c r="V44" s="647">
        <v>0</v>
      </c>
      <c r="W44" s="647">
        <v>4</v>
      </c>
      <c r="X44" s="647">
        <v>0</v>
      </c>
      <c r="Y44" s="647">
        <v>1</v>
      </c>
      <c r="Z44" s="647">
        <v>1</v>
      </c>
      <c r="AA44" s="647">
        <v>200</v>
      </c>
      <c r="AB44" s="647">
        <v>26</v>
      </c>
      <c r="AC44" s="647">
        <v>226</v>
      </c>
    </row>
    <row r="45" spans="1:29" x14ac:dyDescent="0.3">
      <c r="A45" s="145">
        <v>41</v>
      </c>
      <c r="B45" s="146" t="s">
        <v>601</v>
      </c>
      <c r="C45" s="647">
        <v>0</v>
      </c>
      <c r="D45" s="647">
        <v>0</v>
      </c>
      <c r="E45" s="647">
        <v>0</v>
      </c>
      <c r="F45" s="647">
        <v>0</v>
      </c>
      <c r="G45" s="647">
        <v>0</v>
      </c>
      <c r="H45" s="647">
        <v>0</v>
      </c>
      <c r="I45" s="647">
        <v>15</v>
      </c>
      <c r="J45" s="647">
        <v>17</v>
      </c>
      <c r="K45" s="647">
        <v>32</v>
      </c>
      <c r="L45" s="647">
        <v>74</v>
      </c>
      <c r="M45" s="647">
        <v>73</v>
      </c>
      <c r="N45" s="647">
        <v>147</v>
      </c>
      <c r="O45" s="647">
        <v>2</v>
      </c>
      <c r="P45" s="647">
        <v>0</v>
      </c>
      <c r="Q45" s="647">
        <v>2</v>
      </c>
      <c r="R45" s="647">
        <v>0</v>
      </c>
      <c r="S45" s="647">
        <v>0</v>
      </c>
      <c r="T45" s="647">
        <v>0</v>
      </c>
      <c r="U45" s="647">
        <v>0</v>
      </c>
      <c r="V45" s="647">
        <v>0</v>
      </c>
      <c r="W45" s="647">
        <v>0</v>
      </c>
      <c r="X45" s="647">
        <v>27</v>
      </c>
      <c r="Y45" s="647">
        <v>12</v>
      </c>
      <c r="Z45" s="647">
        <v>39</v>
      </c>
      <c r="AA45" s="647">
        <v>118</v>
      </c>
      <c r="AB45" s="647">
        <v>102</v>
      </c>
      <c r="AC45" s="647">
        <v>220</v>
      </c>
    </row>
    <row r="46" spans="1:29" x14ac:dyDescent="0.3">
      <c r="A46" s="145">
        <v>42</v>
      </c>
      <c r="B46" s="146" t="s">
        <v>740</v>
      </c>
      <c r="C46" s="647">
        <v>44</v>
      </c>
      <c r="D46" s="647">
        <v>33</v>
      </c>
      <c r="E46" s="647">
        <v>77</v>
      </c>
      <c r="F46" s="647">
        <v>0</v>
      </c>
      <c r="G46" s="647">
        <v>0</v>
      </c>
      <c r="H46" s="647">
        <v>0</v>
      </c>
      <c r="I46" s="647">
        <v>48</v>
      </c>
      <c r="J46" s="647">
        <v>64</v>
      </c>
      <c r="K46" s="647">
        <v>112</v>
      </c>
      <c r="L46" s="647">
        <v>11</v>
      </c>
      <c r="M46" s="647">
        <v>3</v>
      </c>
      <c r="N46" s="647">
        <v>14</v>
      </c>
      <c r="O46" s="647">
        <v>0</v>
      </c>
      <c r="P46" s="647">
        <v>0</v>
      </c>
      <c r="Q46" s="647">
        <v>0</v>
      </c>
      <c r="R46" s="647">
        <v>0</v>
      </c>
      <c r="S46" s="647">
        <v>0</v>
      </c>
      <c r="T46" s="647">
        <v>0</v>
      </c>
      <c r="U46" s="647">
        <v>1</v>
      </c>
      <c r="V46" s="647">
        <v>1</v>
      </c>
      <c r="W46" s="647">
        <v>2</v>
      </c>
      <c r="X46" s="647">
        <v>0</v>
      </c>
      <c r="Y46" s="647">
        <v>0</v>
      </c>
      <c r="Z46" s="647">
        <v>0</v>
      </c>
      <c r="AA46" s="647">
        <v>104</v>
      </c>
      <c r="AB46" s="647">
        <v>101</v>
      </c>
      <c r="AC46" s="647">
        <v>205</v>
      </c>
    </row>
    <row r="47" spans="1:29" x14ac:dyDescent="0.3">
      <c r="A47" s="145">
        <v>43</v>
      </c>
      <c r="B47" s="146" t="s">
        <v>711</v>
      </c>
      <c r="C47" s="647">
        <v>2</v>
      </c>
      <c r="D47" s="647">
        <v>2</v>
      </c>
      <c r="E47" s="647">
        <v>4</v>
      </c>
      <c r="F47" s="647">
        <v>1</v>
      </c>
      <c r="G47" s="647">
        <v>0</v>
      </c>
      <c r="H47" s="647">
        <v>1</v>
      </c>
      <c r="I47" s="647">
        <v>53</v>
      </c>
      <c r="J47" s="647">
        <v>28</v>
      </c>
      <c r="K47" s="647">
        <v>81</v>
      </c>
      <c r="L47" s="647">
        <v>54</v>
      </c>
      <c r="M47" s="647">
        <v>47</v>
      </c>
      <c r="N47" s="647">
        <v>101</v>
      </c>
      <c r="O47" s="647">
        <v>0</v>
      </c>
      <c r="P47" s="647">
        <v>3</v>
      </c>
      <c r="Q47" s="647">
        <v>3</v>
      </c>
      <c r="R47" s="647">
        <v>8</v>
      </c>
      <c r="S47" s="647">
        <v>5</v>
      </c>
      <c r="T47" s="647">
        <v>13</v>
      </c>
      <c r="U47" s="647">
        <v>0</v>
      </c>
      <c r="V47" s="647">
        <v>0</v>
      </c>
      <c r="W47" s="647">
        <v>0</v>
      </c>
      <c r="X47" s="647">
        <v>0</v>
      </c>
      <c r="Y47" s="647">
        <v>1</v>
      </c>
      <c r="Z47" s="647">
        <v>1</v>
      </c>
      <c r="AA47" s="647">
        <v>118</v>
      </c>
      <c r="AB47" s="647">
        <v>86</v>
      </c>
      <c r="AC47" s="647">
        <v>204</v>
      </c>
    </row>
    <row r="48" spans="1:29" x14ac:dyDescent="0.3">
      <c r="A48" s="145">
        <v>44</v>
      </c>
      <c r="B48" s="146" t="s">
        <v>577</v>
      </c>
      <c r="C48" s="647">
        <v>0</v>
      </c>
      <c r="D48" s="647">
        <v>0</v>
      </c>
      <c r="E48" s="647">
        <v>0</v>
      </c>
      <c r="F48" s="647">
        <v>0</v>
      </c>
      <c r="G48" s="647">
        <v>0</v>
      </c>
      <c r="H48" s="647">
        <v>0</v>
      </c>
      <c r="I48" s="647">
        <v>6</v>
      </c>
      <c r="J48" s="647">
        <v>5</v>
      </c>
      <c r="K48" s="647">
        <v>11</v>
      </c>
      <c r="L48" s="647">
        <v>115</v>
      </c>
      <c r="M48" s="647">
        <v>72</v>
      </c>
      <c r="N48" s="647">
        <v>187</v>
      </c>
      <c r="O48" s="647">
        <v>0</v>
      </c>
      <c r="P48" s="647">
        <v>0</v>
      </c>
      <c r="Q48" s="647">
        <v>0</v>
      </c>
      <c r="R48" s="647">
        <v>0</v>
      </c>
      <c r="S48" s="647">
        <v>0</v>
      </c>
      <c r="T48" s="647">
        <v>0</v>
      </c>
      <c r="U48" s="647">
        <v>1</v>
      </c>
      <c r="V48" s="647">
        <v>1</v>
      </c>
      <c r="W48" s="647">
        <v>2</v>
      </c>
      <c r="X48" s="647">
        <v>0</v>
      </c>
      <c r="Y48" s="647">
        <v>1</v>
      </c>
      <c r="Z48" s="647">
        <v>1</v>
      </c>
      <c r="AA48" s="647">
        <v>122</v>
      </c>
      <c r="AB48" s="647">
        <v>79</v>
      </c>
      <c r="AC48" s="647">
        <v>201</v>
      </c>
    </row>
    <row r="49" spans="1:29" x14ac:dyDescent="0.3">
      <c r="A49" s="145">
        <v>45</v>
      </c>
      <c r="B49" s="146" t="s">
        <v>631</v>
      </c>
      <c r="C49" s="647">
        <v>1</v>
      </c>
      <c r="D49" s="647">
        <v>0</v>
      </c>
      <c r="E49" s="647">
        <v>1</v>
      </c>
      <c r="F49" s="647">
        <v>0</v>
      </c>
      <c r="G49" s="647">
        <v>0</v>
      </c>
      <c r="H49" s="647">
        <v>0</v>
      </c>
      <c r="I49" s="647">
        <v>35</v>
      </c>
      <c r="J49" s="647">
        <v>8</v>
      </c>
      <c r="K49" s="647">
        <v>43</v>
      </c>
      <c r="L49" s="647">
        <v>127</v>
      </c>
      <c r="M49" s="647">
        <v>21</v>
      </c>
      <c r="N49" s="647">
        <v>148</v>
      </c>
      <c r="O49" s="647">
        <v>0</v>
      </c>
      <c r="P49" s="647">
        <v>0</v>
      </c>
      <c r="Q49" s="647">
        <v>0</v>
      </c>
      <c r="R49" s="647">
        <v>0</v>
      </c>
      <c r="S49" s="647">
        <v>0</v>
      </c>
      <c r="T49" s="647">
        <v>0</v>
      </c>
      <c r="U49" s="647">
        <v>0</v>
      </c>
      <c r="V49" s="647">
        <v>0</v>
      </c>
      <c r="W49" s="647">
        <v>0</v>
      </c>
      <c r="X49" s="647">
        <v>0</v>
      </c>
      <c r="Y49" s="647">
        <v>0</v>
      </c>
      <c r="Z49" s="647">
        <v>0</v>
      </c>
      <c r="AA49" s="647">
        <v>163</v>
      </c>
      <c r="AB49" s="647">
        <v>29</v>
      </c>
      <c r="AC49" s="647">
        <v>192</v>
      </c>
    </row>
    <row r="50" spans="1:29" x14ac:dyDescent="0.3">
      <c r="A50" s="145">
        <v>46</v>
      </c>
      <c r="B50" s="146" t="s">
        <v>706</v>
      </c>
      <c r="C50" s="647">
        <v>2</v>
      </c>
      <c r="D50" s="647">
        <v>1</v>
      </c>
      <c r="E50" s="647">
        <v>3</v>
      </c>
      <c r="F50" s="647">
        <v>0</v>
      </c>
      <c r="G50" s="647">
        <v>0</v>
      </c>
      <c r="H50" s="647">
        <v>0</v>
      </c>
      <c r="I50" s="647">
        <v>13</v>
      </c>
      <c r="J50" s="647">
        <v>15</v>
      </c>
      <c r="K50" s="647">
        <v>28</v>
      </c>
      <c r="L50" s="647">
        <v>84</v>
      </c>
      <c r="M50" s="647">
        <v>65</v>
      </c>
      <c r="N50" s="647">
        <v>149</v>
      </c>
      <c r="O50" s="647">
        <v>0</v>
      </c>
      <c r="P50" s="647">
        <v>0</v>
      </c>
      <c r="Q50" s="647">
        <v>0</v>
      </c>
      <c r="R50" s="647">
        <v>0</v>
      </c>
      <c r="S50" s="647">
        <v>7</v>
      </c>
      <c r="T50" s="647">
        <v>7</v>
      </c>
      <c r="U50" s="647">
        <v>0</v>
      </c>
      <c r="V50" s="647">
        <v>0</v>
      </c>
      <c r="W50" s="647">
        <v>0</v>
      </c>
      <c r="X50" s="647">
        <v>2</v>
      </c>
      <c r="Y50" s="647">
        <v>1</v>
      </c>
      <c r="Z50" s="647">
        <v>3</v>
      </c>
      <c r="AA50" s="647">
        <v>101</v>
      </c>
      <c r="AB50" s="647">
        <v>89</v>
      </c>
      <c r="AC50" s="647">
        <v>190</v>
      </c>
    </row>
    <row r="51" spans="1:29" x14ac:dyDescent="0.3">
      <c r="A51" s="145">
        <v>47</v>
      </c>
      <c r="B51" s="146" t="s">
        <v>672</v>
      </c>
      <c r="C51" s="647">
        <v>7</v>
      </c>
      <c r="D51" s="647">
        <v>6</v>
      </c>
      <c r="E51" s="647">
        <v>13</v>
      </c>
      <c r="F51" s="647">
        <v>0</v>
      </c>
      <c r="G51" s="647">
        <v>2</v>
      </c>
      <c r="H51" s="647">
        <v>2</v>
      </c>
      <c r="I51" s="647">
        <v>65</v>
      </c>
      <c r="J51" s="647">
        <v>26</v>
      </c>
      <c r="K51" s="647">
        <v>91</v>
      </c>
      <c r="L51" s="647">
        <v>38</v>
      </c>
      <c r="M51" s="647">
        <v>20</v>
      </c>
      <c r="N51" s="647">
        <v>58</v>
      </c>
      <c r="O51" s="647">
        <v>0</v>
      </c>
      <c r="P51" s="647">
        <v>0</v>
      </c>
      <c r="Q51" s="647">
        <v>0</v>
      </c>
      <c r="R51" s="647">
        <v>6</v>
      </c>
      <c r="S51" s="647">
        <v>0</v>
      </c>
      <c r="T51" s="647">
        <v>6</v>
      </c>
      <c r="U51" s="647">
        <v>8</v>
      </c>
      <c r="V51" s="647">
        <v>0</v>
      </c>
      <c r="W51" s="647">
        <v>8</v>
      </c>
      <c r="X51" s="647">
        <v>0</v>
      </c>
      <c r="Y51" s="647">
        <v>0</v>
      </c>
      <c r="Z51" s="647">
        <v>0</v>
      </c>
      <c r="AA51" s="647">
        <v>124</v>
      </c>
      <c r="AB51" s="647">
        <v>54</v>
      </c>
      <c r="AC51" s="647">
        <v>178</v>
      </c>
    </row>
    <row r="52" spans="1:29" x14ac:dyDescent="0.3">
      <c r="A52" s="145">
        <v>48</v>
      </c>
      <c r="B52" s="146" t="s">
        <v>666</v>
      </c>
      <c r="C52" s="647">
        <v>1</v>
      </c>
      <c r="D52" s="647">
        <v>0</v>
      </c>
      <c r="E52" s="647">
        <v>1</v>
      </c>
      <c r="F52" s="647">
        <v>0</v>
      </c>
      <c r="G52" s="647">
        <v>0</v>
      </c>
      <c r="H52" s="647">
        <v>0</v>
      </c>
      <c r="I52" s="647">
        <v>9</v>
      </c>
      <c r="J52" s="647">
        <v>16</v>
      </c>
      <c r="K52" s="647">
        <v>25</v>
      </c>
      <c r="L52" s="647">
        <v>66</v>
      </c>
      <c r="M52" s="647">
        <v>48</v>
      </c>
      <c r="N52" s="647">
        <v>114</v>
      </c>
      <c r="O52" s="647">
        <v>1</v>
      </c>
      <c r="P52" s="647">
        <v>0</v>
      </c>
      <c r="Q52" s="647">
        <v>1</v>
      </c>
      <c r="R52" s="647">
        <v>2</v>
      </c>
      <c r="S52" s="647">
        <v>0</v>
      </c>
      <c r="T52" s="647">
        <v>2</v>
      </c>
      <c r="U52" s="647">
        <v>1</v>
      </c>
      <c r="V52" s="647">
        <v>0</v>
      </c>
      <c r="W52" s="647">
        <v>1</v>
      </c>
      <c r="X52" s="647">
        <v>0</v>
      </c>
      <c r="Y52" s="647">
        <v>2</v>
      </c>
      <c r="Z52" s="647">
        <v>2</v>
      </c>
      <c r="AA52" s="647">
        <v>80</v>
      </c>
      <c r="AB52" s="647">
        <v>66</v>
      </c>
      <c r="AC52" s="647">
        <v>146</v>
      </c>
    </row>
    <row r="53" spans="1:29" x14ac:dyDescent="0.3">
      <c r="A53" s="145">
        <v>49</v>
      </c>
      <c r="B53" s="146" t="s">
        <v>610</v>
      </c>
      <c r="C53" s="647">
        <v>1</v>
      </c>
      <c r="D53" s="647">
        <v>1</v>
      </c>
      <c r="E53" s="647">
        <v>2</v>
      </c>
      <c r="F53" s="647">
        <v>0</v>
      </c>
      <c r="G53" s="647">
        <v>0</v>
      </c>
      <c r="H53" s="647">
        <v>0</v>
      </c>
      <c r="I53" s="647">
        <v>24</v>
      </c>
      <c r="J53" s="647">
        <v>10</v>
      </c>
      <c r="K53" s="647">
        <v>34</v>
      </c>
      <c r="L53" s="647">
        <v>49</v>
      </c>
      <c r="M53" s="647">
        <v>30</v>
      </c>
      <c r="N53" s="647">
        <v>79</v>
      </c>
      <c r="O53" s="647">
        <v>0</v>
      </c>
      <c r="P53" s="647">
        <v>0</v>
      </c>
      <c r="Q53" s="647">
        <v>0</v>
      </c>
      <c r="R53" s="647">
        <v>0</v>
      </c>
      <c r="S53" s="647">
        <v>0</v>
      </c>
      <c r="T53" s="647">
        <v>0</v>
      </c>
      <c r="U53" s="647">
        <v>1</v>
      </c>
      <c r="V53" s="647">
        <v>0</v>
      </c>
      <c r="W53" s="647">
        <v>1</v>
      </c>
      <c r="X53" s="647">
        <v>2</v>
      </c>
      <c r="Y53" s="647">
        <v>4</v>
      </c>
      <c r="Z53" s="647">
        <v>6</v>
      </c>
      <c r="AA53" s="647">
        <v>77</v>
      </c>
      <c r="AB53" s="647">
        <v>45</v>
      </c>
      <c r="AC53" s="647">
        <v>122</v>
      </c>
    </row>
    <row r="54" spans="1:29" x14ac:dyDescent="0.3">
      <c r="A54" s="145">
        <v>50</v>
      </c>
      <c r="B54" s="146" t="s">
        <v>624</v>
      </c>
      <c r="C54" s="647">
        <v>0</v>
      </c>
      <c r="D54" s="647">
        <v>0</v>
      </c>
      <c r="E54" s="647">
        <v>0</v>
      </c>
      <c r="F54" s="647">
        <v>0</v>
      </c>
      <c r="G54" s="647">
        <v>0</v>
      </c>
      <c r="H54" s="647">
        <v>0</v>
      </c>
      <c r="I54" s="647">
        <v>24</v>
      </c>
      <c r="J54" s="647">
        <v>6</v>
      </c>
      <c r="K54" s="647">
        <v>30</v>
      </c>
      <c r="L54" s="647">
        <v>54</v>
      </c>
      <c r="M54" s="647">
        <v>36</v>
      </c>
      <c r="N54" s="647">
        <v>90</v>
      </c>
      <c r="O54" s="647">
        <v>0</v>
      </c>
      <c r="P54" s="647">
        <v>0</v>
      </c>
      <c r="Q54" s="647">
        <v>0</v>
      </c>
      <c r="R54" s="647">
        <v>0</v>
      </c>
      <c r="S54" s="647">
        <v>0</v>
      </c>
      <c r="T54" s="647">
        <v>0</v>
      </c>
      <c r="U54" s="647">
        <v>0</v>
      </c>
      <c r="V54" s="647">
        <v>0</v>
      </c>
      <c r="W54" s="647">
        <v>0</v>
      </c>
      <c r="X54" s="647">
        <v>0</v>
      </c>
      <c r="Y54" s="647">
        <v>0</v>
      </c>
      <c r="Z54" s="647">
        <v>0</v>
      </c>
      <c r="AA54" s="647">
        <v>78</v>
      </c>
      <c r="AB54" s="647">
        <v>42</v>
      </c>
      <c r="AC54" s="647">
        <v>120</v>
      </c>
    </row>
    <row r="55" spans="1:29" ht="31.5" customHeight="1" x14ac:dyDescent="0.3">
      <c r="A55" s="145">
        <v>51</v>
      </c>
      <c r="B55" s="146" t="s">
        <v>616</v>
      </c>
      <c r="C55" s="647">
        <v>0</v>
      </c>
      <c r="D55" s="647">
        <v>0</v>
      </c>
      <c r="E55" s="647">
        <v>0</v>
      </c>
      <c r="F55" s="647">
        <v>0</v>
      </c>
      <c r="G55" s="647">
        <v>0</v>
      </c>
      <c r="H55" s="647">
        <v>0</v>
      </c>
      <c r="I55" s="647">
        <v>16</v>
      </c>
      <c r="J55" s="647">
        <v>3</v>
      </c>
      <c r="K55" s="647">
        <v>19</v>
      </c>
      <c r="L55" s="647">
        <v>67</v>
      </c>
      <c r="M55" s="647">
        <v>30</v>
      </c>
      <c r="N55" s="647">
        <v>97</v>
      </c>
      <c r="O55" s="647">
        <v>0</v>
      </c>
      <c r="P55" s="647">
        <v>0</v>
      </c>
      <c r="Q55" s="647">
        <v>0</v>
      </c>
      <c r="R55" s="647">
        <v>0</v>
      </c>
      <c r="S55" s="647">
        <v>1</v>
      </c>
      <c r="T55" s="647">
        <v>1</v>
      </c>
      <c r="U55" s="647">
        <v>1</v>
      </c>
      <c r="V55" s="647">
        <v>0</v>
      </c>
      <c r="W55" s="647">
        <v>1</v>
      </c>
      <c r="X55" s="647">
        <v>1</v>
      </c>
      <c r="Y55" s="647">
        <v>0</v>
      </c>
      <c r="Z55" s="647">
        <v>1</v>
      </c>
      <c r="AA55" s="647">
        <v>85</v>
      </c>
      <c r="AB55" s="647">
        <v>34</v>
      </c>
      <c r="AC55" s="647">
        <v>119</v>
      </c>
    </row>
    <row r="56" spans="1:29" x14ac:dyDescent="0.3">
      <c r="A56" s="145">
        <v>52</v>
      </c>
      <c r="B56" s="146" t="s">
        <v>668</v>
      </c>
      <c r="C56" s="647">
        <v>1</v>
      </c>
      <c r="D56" s="647">
        <v>2</v>
      </c>
      <c r="E56" s="647">
        <v>3</v>
      </c>
      <c r="F56" s="647">
        <v>0</v>
      </c>
      <c r="G56" s="647">
        <v>0</v>
      </c>
      <c r="H56" s="647">
        <v>0</v>
      </c>
      <c r="I56" s="647">
        <v>24</v>
      </c>
      <c r="J56" s="647">
        <v>13</v>
      </c>
      <c r="K56" s="647">
        <v>37</v>
      </c>
      <c r="L56" s="647">
        <v>50</v>
      </c>
      <c r="M56" s="647">
        <v>19</v>
      </c>
      <c r="N56" s="647">
        <v>69</v>
      </c>
      <c r="O56" s="647">
        <v>0</v>
      </c>
      <c r="P56" s="647">
        <v>0</v>
      </c>
      <c r="Q56" s="647">
        <v>0</v>
      </c>
      <c r="R56" s="647">
        <v>0</v>
      </c>
      <c r="S56" s="647">
        <v>0</v>
      </c>
      <c r="T56" s="647">
        <v>0</v>
      </c>
      <c r="U56" s="647">
        <v>0</v>
      </c>
      <c r="V56" s="647">
        <v>1</v>
      </c>
      <c r="W56" s="647">
        <v>1</v>
      </c>
      <c r="X56" s="647">
        <v>0</v>
      </c>
      <c r="Y56" s="647">
        <v>0</v>
      </c>
      <c r="Z56" s="647">
        <v>0</v>
      </c>
      <c r="AA56" s="647">
        <v>75</v>
      </c>
      <c r="AB56" s="647">
        <v>35</v>
      </c>
      <c r="AC56" s="647">
        <v>110</v>
      </c>
    </row>
    <row r="57" spans="1:29" x14ac:dyDescent="0.3">
      <c r="A57" s="145">
        <v>53</v>
      </c>
      <c r="B57" s="146" t="s">
        <v>678</v>
      </c>
      <c r="C57" s="647">
        <v>3</v>
      </c>
      <c r="D57" s="647">
        <v>3</v>
      </c>
      <c r="E57" s="647">
        <v>6</v>
      </c>
      <c r="F57" s="647">
        <v>0</v>
      </c>
      <c r="G57" s="647">
        <v>0</v>
      </c>
      <c r="H57" s="647">
        <v>0</v>
      </c>
      <c r="I57" s="647">
        <v>12</v>
      </c>
      <c r="J57" s="647">
        <v>6</v>
      </c>
      <c r="K57" s="647">
        <v>18</v>
      </c>
      <c r="L57" s="647">
        <v>25</v>
      </c>
      <c r="M57" s="647">
        <v>48</v>
      </c>
      <c r="N57" s="647">
        <v>73</v>
      </c>
      <c r="O57" s="647">
        <v>0</v>
      </c>
      <c r="P57" s="647">
        <v>0</v>
      </c>
      <c r="Q57" s="647">
        <v>0</v>
      </c>
      <c r="R57" s="647">
        <v>5</v>
      </c>
      <c r="S57" s="647">
        <v>0</v>
      </c>
      <c r="T57" s="647">
        <v>5</v>
      </c>
      <c r="U57" s="647">
        <v>0</v>
      </c>
      <c r="V57" s="647">
        <v>0</v>
      </c>
      <c r="W57" s="647">
        <v>0</v>
      </c>
      <c r="X57" s="647">
        <v>4</v>
      </c>
      <c r="Y57" s="647">
        <v>2</v>
      </c>
      <c r="Z57" s="647">
        <v>6</v>
      </c>
      <c r="AA57" s="647">
        <v>49</v>
      </c>
      <c r="AB57" s="647">
        <v>59</v>
      </c>
      <c r="AC57" s="647">
        <v>108</v>
      </c>
    </row>
    <row r="58" spans="1:29" x14ac:dyDescent="0.3">
      <c r="A58" s="145">
        <v>54</v>
      </c>
      <c r="B58" s="146" t="s">
        <v>726</v>
      </c>
      <c r="C58" s="647">
        <v>5</v>
      </c>
      <c r="D58" s="647">
        <v>0</v>
      </c>
      <c r="E58" s="647">
        <v>5</v>
      </c>
      <c r="F58" s="647">
        <v>0</v>
      </c>
      <c r="G58" s="647">
        <v>0</v>
      </c>
      <c r="H58" s="647">
        <v>0</v>
      </c>
      <c r="I58" s="647">
        <v>23</v>
      </c>
      <c r="J58" s="647">
        <v>2</v>
      </c>
      <c r="K58" s="647">
        <v>25</v>
      </c>
      <c r="L58" s="647">
        <v>61</v>
      </c>
      <c r="M58" s="647">
        <v>9</v>
      </c>
      <c r="N58" s="647">
        <v>70</v>
      </c>
      <c r="O58" s="647">
        <v>1</v>
      </c>
      <c r="P58" s="647">
        <v>0</v>
      </c>
      <c r="Q58" s="647">
        <v>1</v>
      </c>
      <c r="R58" s="647">
        <v>1</v>
      </c>
      <c r="S58" s="647">
        <v>0</v>
      </c>
      <c r="T58" s="647">
        <v>1</v>
      </c>
      <c r="U58" s="647">
        <v>0</v>
      </c>
      <c r="V58" s="647">
        <v>0</v>
      </c>
      <c r="W58" s="647">
        <v>0</v>
      </c>
      <c r="X58" s="647">
        <v>0</v>
      </c>
      <c r="Y58" s="647">
        <v>0</v>
      </c>
      <c r="Z58" s="647">
        <v>0</v>
      </c>
      <c r="AA58" s="647">
        <v>91</v>
      </c>
      <c r="AB58" s="647">
        <v>11</v>
      </c>
      <c r="AC58" s="647">
        <v>102</v>
      </c>
    </row>
    <row r="59" spans="1:29" x14ac:dyDescent="0.3">
      <c r="A59" s="145">
        <v>55</v>
      </c>
      <c r="B59" s="146" t="s">
        <v>594</v>
      </c>
      <c r="C59" s="647">
        <v>0</v>
      </c>
      <c r="D59" s="647">
        <v>0</v>
      </c>
      <c r="E59" s="647">
        <v>0</v>
      </c>
      <c r="F59" s="647">
        <v>0</v>
      </c>
      <c r="G59" s="647">
        <v>0</v>
      </c>
      <c r="H59" s="647">
        <v>0</v>
      </c>
      <c r="I59" s="647">
        <v>0</v>
      </c>
      <c r="J59" s="647">
        <v>0</v>
      </c>
      <c r="K59" s="647">
        <v>0</v>
      </c>
      <c r="L59" s="647">
        <v>62</v>
      </c>
      <c r="M59" s="647">
        <v>38</v>
      </c>
      <c r="N59" s="647">
        <v>100</v>
      </c>
      <c r="O59" s="647">
        <v>0</v>
      </c>
      <c r="P59" s="647">
        <v>0</v>
      </c>
      <c r="Q59" s="647">
        <v>0</v>
      </c>
      <c r="R59" s="647">
        <v>1</v>
      </c>
      <c r="S59" s="647">
        <v>1</v>
      </c>
      <c r="T59" s="647">
        <v>2</v>
      </c>
      <c r="U59" s="647">
        <v>0</v>
      </c>
      <c r="V59" s="647">
        <v>0</v>
      </c>
      <c r="W59" s="647">
        <v>0</v>
      </c>
      <c r="X59" s="647">
        <v>0</v>
      </c>
      <c r="Y59" s="647">
        <v>0</v>
      </c>
      <c r="Z59" s="647">
        <v>0</v>
      </c>
      <c r="AA59" s="647">
        <v>63</v>
      </c>
      <c r="AB59" s="647">
        <v>39</v>
      </c>
      <c r="AC59" s="647">
        <v>102</v>
      </c>
    </row>
    <row r="60" spans="1:29" x14ac:dyDescent="0.3">
      <c r="A60" s="145">
        <v>56</v>
      </c>
      <c r="B60" s="146" t="s">
        <v>664</v>
      </c>
      <c r="C60" s="647">
        <v>0</v>
      </c>
      <c r="D60" s="647">
        <v>0</v>
      </c>
      <c r="E60" s="647">
        <v>0</v>
      </c>
      <c r="F60" s="647">
        <v>0</v>
      </c>
      <c r="G60" s="647">
        <v>0</v>
      </c>
      <c r="H60" s="647">
        <v>0</v>
      </c>
      <c r="I60" s="647">
        <v>28</v>
      </c>
      <c r="J60" s="647">
        <v>12</v>
      </c>
      <c r="K60" s="647">
        <v>40</v>
      </c>
      <c r="L60" s="647">
        <v>32</v>
      </c>
      <c r="M60" s="647">
        <v>23</v>
      </c>
      <c r="N60" s="647">
        <v>55</v>
      </c>
      <c r="O60" s="647">
        <v>0</v>
      </c>
      <c r="P60" s="647">
        <v>0</v>
      </c>
      <c r="Q60" s="647">
        <v>0</v>
      </c>
      <c r="R60" s="647">
        <v>0</v>
      </c>
      <c r="S60" s="647">
        <v>1</v>
      </c>
      <c r="T60" s="647">
        <v>1</v>
      </c>
      <c r="U60" s="647">
        <v>0</v>
      </c>
      <c r="V60" s="647">
        <v>0</v>
      </c>
      <c r="W60" s="647">
        <v>0</v>
      </c>
      <c r="X60" s="647">
        <v>1</v>
      </c>
      <c r="Y60" s="647">
        <v>1</v>
      </c>
      <c r="Z60" s="647">
        <v>2</v>
      </c>
      <c r="AA60" s="647">
        <v>61</v>
      </c>
      <c r="AB60" s="647">
        <v>37</v>
      </c>
      <c r="AC60" s="647">
        <v>98</v>
      </c>
    </row>
    <row r="61" spans="1:29" x14ac:dyDescent="0.3">
      <c r="A61" s="145">
        <v>57</v>
      </c>
      <c r="B61" s="146" t="s">
        <v>603</v>
      </c>
      <c r="C61" s="647">
        <v>0</v>
      </c>
      <c r="D61" s="647">
        <v>0</v>
      </c>
      <c r="E61" s="647">
        <v>0</v>
      </c>
      <c r="F61" s="647">
        <v>0</v>
      </c>
      <c r="G61" s="647">
        <v>0</v>
      </c>
      <c r="H61" s="647">
        <v>0</v>
      </c>
      <c r="I61" s="647">
        <v>15</v>
      </c>
      <c r="J61" s="647">
        <v>1</v>
      </c>
      <c r="K61" s="647">
        <v>16</v>
      </c>
      <c r="L61" s="647">
        <v>62</v>
      </c>
      <c r="M61" s="647">
        <v>15</v>
      </c>
      <c r="N61" s="647">
        <v>77</v>
      </c>
      <c r="O61" s="647">
        <v>0</v>
      </c>
      <c r="P61" s="647">
        <v>0</v>
      </c>
      <c r="Q61" s="647">
        <v>0</v>
      </c>
      <c r="R61" s="647">
        <v>0</v>
      </c>
      <c r="S61" s="647">
        <v>0</v>
      </c>
      <c r="T61" s="647">
        <v>0</v>
      </c>
      <c r="U61" s="647">
        <v>0</v>
      </c>
      <c r="V61" s="647">
        <v>1</v>
      </c>
      <c r="W61" s="647">
        <v>1</v>
      </c>
      <c r="X61" s="647">
        <v>0</v>
      </c>
      <c r="Y61" s="647">
        <v>0</v>
      </c>
      <c r="Z61" s="647">
        <v>0</v>
      </c>
      <c r="AA61" s="647">
        <v>77</v>
      </c>
      <c r="AB61" s="647">
        <v>17</v>
      </c>
      <c r="AC61" s="647">
        <v>94</v>
      </c>
    </row>
    <row r="62" spans="1:29" x14ac:dyDescent="0.3">
      <c r="A62" s="145">
        <v>58</v>
      </c>
      <c r="B62" s="146" t="s">
        <v>581</v>
      </c>
      <c r="C62" s="647">
        <v>2</v>
      </c>
      <c r="D62" s="647">
        <v>0</v>
      </c>
      <c r="E62" s="647">
        <v>2</v>
      </c>
      <c r="F62" s="647">
        <v>0</v>
      </c>
      <c r="G62" s="647">
        <v>0</v>
      </c>
      <c r="H62" s="647">
        <v>0</v>
      </c>
      <c r="I62" s="647">
        <v>8</v>
      </c>
      <c r="J62" s="647">
        <v>2</v>
      </c>
      <c r="K62" s="647">
        <v>10</v>
      </c>
      <c r="L62" s="647">
        <v>26</v>
      </c>
      <c r="M62" s="647">
        <v>52</v>
      </c>
      <c r="N62" s="647">
        <v>78</v>
      </c>
      <c r="O62" s="647">
        <v>0</v>
      </c>
      <c r="P62" s="647">
        <v>0</v>
      </c>
      <c r="Q62" s="647">
        <v>0</v>
      </c>
      <c r="R62" s="647">
        <v>1</v>
      </c>
      <c r="S62" s="647">
        <v>0</v>
      </c>
      <c r="T62" s="647">
        <v>1</v>
      </c>
      <c r="U62" s="647">
        <v>0</v>
      </c>
      <c r="V62" s="647">
        <v>0</v>
      </c>
      <c r="W62" s="647">
        <v>0</v>
      </c>
      <c r="X62" s="647">
        <v>1</v>
      </c>
      <c r="Y62" s="647">
        <v>1</v>
      </c>
      <c r="Z62" s="647">
        <v>2</v>
      </c>
      <c r="AA62" s="647">
        <v>38</v>
      </c>
      <c r="AB62" s="647">
        <v>55</v>
      </c>
      <c r="AC62" s="647">
        <v>93</v>
      </c>
    </row>
    <row r="63" spans="1:29" x14ac:dyDescent="0.3">
      <c r="A63" s="145">
        <v>59</v>
      </c>
      <c r="B63" s="146" t="s">
        <v>592</v>
      </c>
      <c r="C63" s="647">
        <v>0</v>
      </c>
      <c r="D63" s="647">
        <v>2</v>
      </c>
      <c r="E63" s="647">
        <v>2</v>
      </c>
      <c r="F63" s="647">
        <v>0</v>
      </c>
      <c r="G63" s="647">
        <v>0</v>
      </c>
      <c r="H63" s="647">
        <v>0</v>
      </c>
      <c r="I63" s="647">
        <v>8</v>
      </c>
      <c r="J63" s="647">
        <v>15</v>
      </c>
      <c r="K63" s="647">
        <v>23</v>
      </c>
      <c r="L63" s="647">
        <v>28</v>
      </c>
      <c r="M63" s="647">
        <v>37</v>
      </c>
      <c r="N63" s="647">
        <v>65</v>
      </c>
      <c r="O63" s="647">
        <v>0</v>
      </c>
      <c r="P63" s="647">
        <v>1</v>
      </c>
      <c r="Q63" s="647">
        <v>1</v>
      </c>
      <c r="R63" s="647">
        <v>0</v>
      </c>
      <c r="S63" s="647">
        <v>0</v>
      </c>
      <c r="T63" s="647">
        <v>0</v>
      </c>
      <c r="U63" s="647">
        <v>0</v>
      </c>
      <c r="V63" s="647">
        <v>0</v>
      </c>
      <c r="W63" s="647">
        <v>0</v>
      </c>
      <c r="X63" s="647">
        <v>0</v>
      </c>
      <c r="Y63" s="647">
        <v>2</v>
      </c>
      <c r="Z63" s="647">
        <v>2</v>
      </c>
      <c r="AA63" s="647">
        <v>36</v>
      </c>
      <c r="AB63" s="647">
        <v>57</v>
      </c>
      <c r="AC63" s="647">
        <v>93</v>
      </c>
    </row>
    <row r="64" spans="1:29" ht="15.75" customHeight="1" x14ac:dyDescent="0.3">
      <c r="A64" s="145">
        <v>60</v>
      </c>
      <c r="B64" s="146" t="s">
        <v>628</v>
      </c>
      <c r="C64" s="647">
        <v>1</v>
      </c>
      <c r="D64" s="647">
        <v>0</v>
      </c>
      <c r="E64" s="647">
        <v>1</v>
      </c>
      <c r="F64" s="647">
        <v>0</v>
      </c>
      <c r="G64" s="647">
        <v>0</v>
      </c>
      <c r="H64" s="647">
        <v>0</v>
      </c>
      <c r="I64" s="647">
        <v>25</v>
      </c>
      <c r="J64" s="647">
        <v>19</v>
      </c>
      <c r="K64" s="647">
        <v>44</v>
      </c>
      <c r="L64" s="647">
        <v>16</v>
      </c>
      <c r="M64" s="647">
        <v>14</v>
      </c>
      <c r="N64" s="647">
        <v>30</v>
      </c>
      <c r="O64" s="647">
        <v>0</v>
      </c>
      <c r="P64" s="647">
        <v>0</v>
      </c>
      <c r="Q64" s="647">
        <v>0</v>
      </c>
      <c r="R64" s="647">
        <v>0</v>
      </c>
      <c r="S64" s="647">
        <v>0</v>
      </c>
      <c r="T64" s="647">
        <v>0</v>
      </c>
      <c r="U64" s="647">
        <v>0</v>
      </c>
      <c r="V64" s="647">
        <v>0</v>
      </c>
      <c r="W64" s="647">
        <v>0</v>
      </c>
      <c r="X64" s="647">
        <v>1</v>
      </c>
      <c r="Y64" s="647">
        <v>0</v>
      </c>
      <c r="Z64" s="647">
        <v>1</v>
      </c>
      <c r="AA64" s="647">
        <v>43</v>
      </c>
      <c r="AB64" s="647">
        <v>33</v>
      </c>
      <c r="AC64" s="647">
        <v>76</v>
      </c>
    </row>
    <row r="65" spans="1:29" x14ac:dyDescent="0.3">
      <c r="A65" s="145">
        <v>61</v>
      </c>
      <c r="B65" s="146" t="s">
        <v>650</v>
      </c>
      <c r="C65" s="647">
        <v>2</v>
      </c>
      <c r="D65" s="647">
        <v>2</v>
      </c>
      <c r="E65" s="647">
        <v>4</v>
      </c>
      <c r="F65" s="647">
        <v>0</v>
      </c>
      <c r="G65" s="647">
        <v>0</v>
      </c>
      <c r="H65" s="647">
        <v>0</v>
      </c>
      <c r="I65" s="647">
        <v>8</v>
      </c>
      <c r="J65" s="647">
        <v>7</v>
      </c>
      <c r="K65" s="647">
        <v>15</v>
      </c>
      <c r="L65" s="647">
        <v>15</v>
      </c>
      <c r="M65" s="647">
        <v>34</v>
      </c>
      <c r="N65" s="647">
        <v>49</v>
      </c>
      <c r="O65" s="647">
        <v>1</v>
      </c>
      <c r="P65" s="647">
        <v>3</v>
      </c>
      <c r="Q65" s="647">
        <v>4</v>
      </c>
      <c r="R65" s="647">
        <v>0</v>
      </c>
      <c r="S65" s="647">
        <v>0</v>
      </c>
      <c r="T65" s="647">
        <v>0</v>
      </c>
      <c r="U65" s="647">
        <v>0</v>
      </c>
      <c r="V65" s="647">
        <v>0</v>
      </c>
      <c r="W65" s="647">
        <v>0</v>
      </c>
      <c r="X65" s="647">
        <v>0</v>
      </c>
      <c r="Y65" s="647">
        <v>0</v>
      </c>
      <c r="Z65" s="647">
        <v>0</v>
      </c>
      <c r="AA65" s="647">
        <v>26</v>
      </c>
      <c r="AB65" s="647">
        <v>46</v>
      </c>
      <c r="AC65" s="647">
        <v>72</v>
      </c>
    </row>
    <row r="66" spans="1:29" x14ac:dyDescent="0.3">
      <c r="A66" s="145">
        <v>62</v>
      </c>
      <c r="B66" s="146" t="s">
        <v>695</v>
      </c>
      <c r="C66" s="647">
        <v>5</v>
      </c>
      <c r="D66" s="647">
        <v>1</v>
      </c>
      <c r="E66" s="647">
        <v>6</v>
      </c>
      <c r="F66" s="647">
        <v>0</v>
      </c>
      <c r="G66" s="647">
        <v>0</v>
      </c>
      <c r="H66" s="647">
        <v>0</v>
      </c>
      <c r="I66" s="647">
        <v>5</v>
      </c>
      <c r="J66" s="647">
        <v>9</v>
      </c>
      <c r="K66" s="647">
        <v>14</v>
      </c>
      <c r="L66" s="647">
        <v>32</v>
      </c>
      <c r="M66" s="647">
        <v>18</v>
      </c>
      <c r="N66" s="647">
        <v>50</v>
      </c>
      <c r="O66" s="647">
        <v>0</v>
      </c>
      <c r="P66" s="647">
        <v>0</v>
      </c>
      <c r="Q66" s="647">
        <v>0</v>
      </c>
      <c r="R66" s="647">
        <v>0</v>
      </c>
      <c r="S66" s="647">
        <v>0</v>
      </c>
      <c r="T66" s="647">
        <v>0</v>
      </c>
      <c r="U66" s="647">
        <v>0</v>
      </c>
      <c r="V66" s="647">
        <v>0</v>
      </c>
      <c r="W66" s="647">
        <v>0</v>
      </c>
      <c r="X66" s="647">
        <v>1</v>
      </c>
      <c r="Y66" s="647">
        <v>1</v>
      </c>
      <c r="Z66" s="647">
        <v>2</v>
      </c>
      <c r="AA66" s="647">
        <v>43</v>
      </c>
      <c r="AB66" s="647">
        <v>29</v>
      </c>
      <c r="AC66" s="647">
        <v>72</v>
      </c>
    </row>
    <row r="67" spans="1:29" x14ac:dyDescent="0.3">
      <c r="A67" s="145">
        <v>63</v>
      </c>
      <c r="B67" s="146" t="s">
        <v>691</v>
      </c>
      <c r="C67" s="647">
        <v>1</v>
      </c>
      <c r="D67" s="647">
        <v>1</v>
      </c>
      <c r="E67" s="647">
        <v>2</v>
      </c>
      <c r="F67" s="647">
        <v>0</v>
      </c>
      <c r="G67" s="647">
        <v>0</v>
      </c>
      <c r="H67" s="647">
        <v>0</v>
      </c>
      <c r="I67" s="647">
        <v>2</v>
      </c>
      <c r="J67" s="647">
        <v>1</v>
      </c>
      <c r="K67" s="647">
        <v>3</v>
      </c>
      <c r="L67" s="647">
        <v>36</v>
      </c>
      <c r="M67" s="647">
        <v>27</v>
      </c>
      <c r="N67" s="647">
        <v>63</v>
      </c>
      <c r="O67" s="647">
        <v>0</v>
      </c>
      <c r="P67" s="647">
        <v>1</v>
      </c>
      <c r="Q67" s="647">
        <v>1</v>
      </c>
      <c r="R67" s="647">
        <v>0</v>
      </c>
      <c r="S67" s="647">
        <v>0</v>
      </c>
      <c r="T67" s="647">
        <v>0</v>
      </c>
      <c r="U67" s="647">
        <v>0</v>
      </c>
      <c r="V67" s="647">
        <v>0</v>
      </c>
      <c r="W67" s="647">
        <v>0</v>
      </c>
      <c r="X67" s="647">
        <v>0</v>
      </c>
      <c r="Y67" s="647">
        <v>0</v>
      </c>
      <c r="Z67" s="647">
        <v>0</v>
      </c>
      <c r="AA67" s="647">
        <v>39</v>
      </c>
      <c r="AB67" s="647">
        <v>30</v>
      </c>
      <c r="AC67" s="647">
        <v>69</v>
      </c>
    </row>
    <row r="68" spans="1:29" x14ac:dyDescent="0.3">
      <c r="A68" s="145">
        <v>64</v>
      </c>
      <c r="B68" s="146" t="s">
        <v>597</v>
      </c>
      <c r="C68" s="647">
        <v>3</v>
      </c>
      <c r="D68" s="647">
        <v>0</v>
      </c>
      <c r="E68" s="647">
        <v>3</v>
      </c>
      <c r="F68" s="647">
        <v>0</v>
      </c>
      <c r="G68" s="647">
        <v>0</v>
      </c>
      <c r="H68" s="647">
        <v>0</v>
      </c>
      <c r="I68" s="647">
        <v>8</v>
      </c>
      <c r="J68" s="647">
        <v>3</v>
      </c>
      <c r="K68" s="647">
        <v>11</v>
      </c>
      <c r="L68" s="647">
        <v>32</v>
      </c>
      <c r="M68" s="647">
        <v>13</v>
      </c>
      <c r="N68" s="647">
        <v>45</v>
      </c>
      <c r="O68" s="647">
        <v>0</v>
      </c>
      <c r="P68" s="647">
        <v>1</v>
      </c>
      <c r="Q68" s="647">
        <v>1</v>
      </c>
      <c r="R68" s="647">
        <v>0</v>
      </c>
      <c r="S68" s="647">
        <v>0</v>
      </c>
      <c r="T68" s="647">
        <v>0</v>
      </c>
      <c r="U68" s="647">
        <v>0</v>
      </c>
      <c r="V68" s="647">
        <v>0</v>
      </c>
      <c r="W68" s="647">
        <v>0</v>
      </c>
      <c r="X68" s="647">
        <v>0</v>
      </c>
      <c r="Y68" s="647">
        <v>0</v>
      </c>
      <c r="Z68" s="647">
        <v>0</v>
      </c>
      <c r="AA68" s="647">
        <v>43</v>
      </c>
      <c r="AB68" s="647">
        <v>17</v>
      </c>
      <c r="AC68" s="647">
        <v>60</v>
      </c>
    </row>
    <row r="69" spans="1:29" x14ac:dyDescent="0.3">
      <c r="A69" s="145">
        <v>65</v>
      </c>
      <c r="B69" s="146" t="s">
        <v>730</v>
      </c>
      <c r="C69" s="647">
        <v>2</v>
      </c>
      <c r="D69" s="647">
        <v>1</v>
      </c>
      <c r="E69" s="647">
        <v>3</v>
      </c>
      <c r="F69" s="647">
        <v>0</v>
      </c>
      <c r="G69" s="647">
        <v>0</v>
      </c>
      <c r="H69" s="647">
        <v>0</v>
      </c>
      <c r="I69" s="647">
        <v>8</v>
      </c>
      <c r="J69" s="647">
        <v>22</v>
      </c>
      <c r="K69" s="647">
        <v>30</v>
      </c>
      <c r="L69" s="647">
        <v>9</v>
      </c>
      <c r="M69" s="647">
        <v>16</v>
      </c>
      <c r="N69" s="647">
        <v>25</v>
      </c>
      <c r="O69" s="647">
        <v>0</v>
      </c>
      <c r="P69" s="647">
        <v>0</v>
      </c>
      <c r="Q69" s="647">
        <v>0</v>
      </c>
      <c r="R69" s="647">
        <v>0</v>
      </c>
      <c r="S69" s="647">
        <v>0</v>
      </c>
      <c r="T69" s="647">
        <v>0</v>
      </c>
      <c r="U69" s="647">
        <v>0</v>
      </c>
      <c r="V69" s="647">
        <v>0</v>
      </c>
      <c r="W69" s="647">
        <v>0</v>
      </c>
      <c r="X69" s="647">
        <v>0</v>
      </c>
      <c r="Y69" s="647">
        <v>1</v>
      </c>
      <c r="Z69" s="647">
        <v>1</v>
      </c>
      <c r="AA69" s="647">
        <v>19</v>
      </c>
      <c r="AB69" s="647">
        <v>40</v>
      </c>
      <c r="AC69" s="647">
        <v>59</v>
      </c>
    </row>
    <row r="70" spans="1:29" x14ac:dyDescent="0.3">
      <c r="A70" s="145">
        <v>66</v>
      </c>
      <c r="B70" s="146" t="s">
        <v>633</v>
      </c>
      <c r="C70" s="647">
        <v>2</v>
      </c>
      <c r="D70" s="647">
        <v>1</v>
      </c>
      <c r="E70" s="647">
        <v>3</v>
      </c>
      <c r="F70" s="647">
        <v>0</v>
      </c>
      <c r="G70" s="647">
        <v>0</v>
      </c>
      <c r="H70" s="647">
        <v>0</v>
      </c>
      <c r="I70" s="647">
        <v>6</v>
      </c>
      <c r="J70" s="647">
        <v>10</v>
      </c>
      <c r="K70" s="647">
        <v>16</v>
      </c>
      <c r="L70" s="647">
        <v>12</v>
      </c>
      <c r="M70" s="647">
        <v>20</v>
      </c>
      <c r="N70" s="647">
        <v>32</v>
      </c>
      <c r="O70" s="647">
        <v>1</v>
      </c>
      <c r="P70" s="647">
        <v>0</v>
      </c>
      <c r="Q70" s="647">
        <v>1</v>
      </c>
      <c r="R70" s="647">
        <v>1</v>
      </c>
      <c r="S70" s="647">
        <v>1</v>
      </c>
      <c r="T70" s="647">
        <v>2</v>
      </c>
      <c r="U70" s="647">
        <v>0</v>
      </c>
      <c r="V70" s="647">
        <v>0</v>
      </c>
      <c r="W70" s="647">
        <v>0</v>
      </c>
      <c r="X70" s="647">
        <v>2</v>
      </c>
      <c r="Y70" s="647">
        <v>0</v>
      </c>
      <c r="Z70" s="647">
        <v>2</v>
      </c>
      <c r="AA70" s="647">
        <v>24</v>
      </c>
      <c r="AB70" s="647">
        <v>32</v>
      </c>
      <c r="AC70" s="647">
        <v>56</v>
      </c>
    </row>
    <row r="71" spans="1:29" x14ac:dyDescent="0.3">
      <c r="A71" s="145">
        <v>67</v>
      </c>
      <c r="B71" s="146" t="s">
        <v>596</v>
      </c>
      <c r="C71" s="647">
        <v>0</v>
      </c>
      <c r="D71" s="647">
        <v>0</v>
      </c>
      <c r="E71" s="647">
        <v>0</v>
      </c>
      <c r="F71" s="647">
        <v>0</v>
      </c>
      <c r="G71" s="647">
        <v>0</v>
      </c>
      <c r="H71" s="647">
        <v>0</v>
      </c>
      <c r="I71" s="647">
        <v>6</v>
      </c>
      <c r="J71" s="647">
        <v>1</v>
      </c>
      <c r="K71" s="647">
        <v>7</v>
      </c>
      <c r="L71" s="647">
        <v>39</v>
      </c>
      <c r="M71" s="647">
        <v>9</v>
      </c>
      <c r="N71" s="647">
        <v>48</v>
      </c>
      <c r="O71" s="647">
        <v>0</v>
      </c>
      <c r="P71" s="647">
        <v>0</v>
      </c>
      <c r="Q71" s="647">
        <v>0</v>
      </c>
      <c r="R71" s="647">
        <v>0</v>
      </c>
      <c r="S71" s="647">
        <v>0</v>
      </c>
      <c r="T71" s="647">
        <v>0</v>
      </c>
      <c r="U71" s="647">
        <v>0</v>
      </c>
      <c r="V71" s="647">
        <v>0</v>
      </c>
      <c r="W71" s="647">
        <v>0</v>
      </c>
      <c r="X71" s="647">
        <v>0</v>
      </c>
      <c r="Y71" s="647">
        <v>0</v>
      </c>
      <c r="Z71" s="647">
        <v>0</v>
      </c>
      <c r="AA71" s="647">
        <v>45</v>
      </c>
      <c r="AB71" s="647">
        <v>10</v>
      </c>
      <c r="AC71" s="647">
        <v>55</v>
      </c>
    </row>
    <row r="72" spans="1:29" x14ac:dyDescent="0.3">
      <c r="A72" s="145">
        <v>68</v>
      </c>
      <c r="B72" s="146" t="s">
        <v>609</v>
      </c>
      <c r="C72" s="647">
        <v>1</v>
      </c>
      <c r="D72" s="647">
        <v>0</v>
      </c>
      <c r="E72" s="647">
        <v>1</v>
      </c>
      <c r="F72" s="647">
        <v>0</v>
      </c>
      <c r="G72" s="647">
        <v>0</v>
      </c>
      <c r="H72" s="647">
        <v>0</v>
      </c>
      <c r="I72" s="647">
        <v>11</v>
      </c>
      <c r="J72" s="647">
        <v>7</v>
      </c>
      <c r="K72" s="647">
        <v>18</v>
      </c>
      <c r="L72" s="647">
        <v>24</v>
      </c>
      <c r="M72" s="647">
        <v>9</v>
      </c>
      <c r="N72" s="647">
        <v>33</v>
      </c>
      <c r="O72" s="647">
        <v>0</v>
      </c>
      <c r="P72" s="647">
        <v>0</v>
      </c>
      <c r="Q72" s="647">
        <v>0</v>
      </c>
      <c r="R72" s="647">
        <v>0</v>
      </c>
      <c r="S72" s="647">
        <v>0</v>
      </c>
      <c r="T72" s="647">
        <v>0</v>
      </c>
      <c r="U72" s="647">
        <v>0</v>
      </c>
      <c r="V72" s="647">
        <v>0</v>
      </c>
      <c r="W72" s="647">
        <v>0</v>
      </c>
      <c r="X72" s="647">
        <v>0</v>
      </c>
      <c r="Y72" s="647">
        <v>0</v>
      </c>
      <c r="Z72" s="647">
        <v>0</v>
      </c>
      <c r="AA72" s="647">
        <v>36</v>
      </c>
      <c r="AB72" s="647">
        <v>16</v>
      </c>
      <c r="AC72" s="647">
        <v>52</v>
      </c>
    </row>
    <row r="73" spans="1:29" x14ac:dyDescent="0.3">
      <c r="A73" s="145">
        <v>69</v>
      </c>
      <c r="B73" s="146" t="s">
        <v>674</v>
      </c>
      <c r="C73" s="647">
        <v>1</v>
      </c>
      <c r="D73" s="647">
        <v>1</v>
      </c>
      <c r="E73" s="647">
        <v>2</v>
      </c>
      <c r="F73" s="647">
        <v>0</v>
      </c>
      <c r="G73" s="647">
        <v>0</v>
      </c>
      <c r="H73" s="647">
        <v>0</v>
      </c>
      <c r="I73" s="647">
        <v>4</v>
      </c>
      <c r="J73" s="647">
        <v>8</v>
      </c>
      <c r="K73" s="647">
        <v>12</v>
      </c>
      <c r="L73" s="647">
        <v>12</v>
      </c>
      <c r="M73" s="647">
        <v>13</v>
      </c>
      <c r="N73" s="647">
        <v>25</v>
      </c>
      <c r="O73" s="647">
        <v>0</v>
      </c>
      <c r="P73" s="647">
        <v>0</v>
      </c>
      <c r="Q73" s="647">
        <v>0</v>
      </c>
      <c r="R73" s="647">
        <v>0</v>
      </c>
      <c r="S73" s="647">
        <v>0</v>
      </c>
      <c r="T73" s="647">
        <v>0</v>
      </c>
      <c r="U73" s="647">
        <v>0</v>
      </c>
      <c r="V73" s="647">
        <v>0</v>
      </c>
      <c r="W73" s="647">
        <v>0</v>
      </c>
      <c r="X73" s="647">
        <v>5</v>
      </c>
      <c r="Y73" s="647">
        <v>8</v>
      </c>
      <c r="Z73" s="647">
        <v>13</v>
      </c>
      <c r="AA73" s="647">
        <v>22</v>
      </c>
      <c r="AB73" s="647">
        <v>30</v>
      </c>
      <c r="AC73" s="647">
        <v>52</v>
      </c>
    </row>
    <row r="74" spans="1:29" x14ac:dyDescent="0.3">
      <c r="A74" s="145">
        <v>70</v>
      </c>
      <c r="B74" s="146" t="s">
        <v>673</v>
      </c>
      <c r="C74" s="647">
        <v>0</v>
      </c>
      <c r="D74" s="647">
        <v>0</v>
      </c>
      <c r="E74" s="647">
        <v>0</v>
      </c>
      <c r="F74" s="647">
        <v>0</v>
      </c>
      <c r="G74" s="647">
        <v>0</v>
      </c>
      <c r="H74" s="647">
        <v>0</v>
      </c>
      <c r="I74" s="647">
        <v>0</v>
      </c>
      <c r="J74" s="647">
        <v>0</v>
      </c>
      <c r="K74" s="647">
        <v>0</v>
      </c>
      <c r="L74" s="647">
        <v>35</v>
      </c>
      <c r="M74" s="647">
        <v>15</v>
      </c>
      <c r="N74" s="647">
        <v>50</v>
      </c>
      <c r="O74" s="647">
        <v>0</v>
      </c>
      <c r="P74" s="647">
        <v>0</v>
      </c>
      <c r="Q74" s="647">
        <v>0</v>
      </c>
      <c r="R74" s="647">
        <v>0</v>
      </c>
      <c r="S74" s="647">
        <v>0</v>
      </c>
      <c r="T74" s="647">
        <v>0</v>
      </c>
      <c r="U74" s="647">
        <v>0</v>
      </c>
      <c r="V74" s="647">
        <v>0</v>
      </c>
      <c r="W74" s="647">
        <v>0</v>
      </c>
      <c r="X74" s="647">
        <v>0</v>
      </c>
      <c r="Y74" s="647">
        <v>0</v>
      </c>
      <c r="Z74" s="647">
        <v>0</v>
      </c>
      <c r="AA74" s="647">
        <v>35</v>
      </c>
      <c r="AB74" s="647">
        <v>15</v>
      </c>
      <c r="AC74" s="647">
        <v>50</v>
      </c>
    </row>
    <row r="75" spans="1:29" x14ac:dyDescent="0.3">
      <c r="A75" s="145">
        <v>71</v>
      </c>
      <c r="B75" s="146" t="s">
        <v>599</v>
      </c>
      <c r="C75" s="647">
        <v>5</v>
      </c>
      <c r="D75" s="647">
        <v>0</v>
      </c>
      <c r="E75" s="647">
        <v>5</v>
      </c>
      <c r="F75" s="647">
        <v>1</v>
      </c>
      <c r="G75" s="647">
        <v>0</v>
      </c>
      <c r="H75" s="647">
        <v>1</v>
      </c>
      <c r="I75" s="647">
        <v>15</v>
      </c>
      <c r="J75" s="647">
        <v>8</v>
      </c>
      <c r="K75" s="647">
        <v>23</v>
      </c>
      <c r="L75" s="647">
        <v>14</v>
      </c>
      <c r="M75" s="647">
        <v>5</v>
      </c>
      <c r="N75" s="647">
        <v>19</v>
      </c>
      <c r="O75" s="647">
        <v>0</v>
      </c>
      <c r="P75" s="647">
        <v>0</v>
      </c>
      <c r="Q75" s="647">
        <v>0</v>
      </c>
      <c r="R75" s="647">
        <v>0</v>
      </c>
      <c r="S75" s="647">
        <v>0</v>
      </c>
      <c r="T75" s="647">
        <v>0</v>
      </c>
      <c r="U75" s="647">
        <v>0</v>
      </c>
      <c r="V75" s="647">
        <v>0</v>
      </c>
      <c r="W75" s="647">
        <v>0</v>
      </c>
      <c r="X75" s="647">
        <v>0</v>
      </c>
      <c r="Y75" s="647">
        <v>0</v>
      </c>
      <c r="Z75" s="647">
        <v>0</v>
      </c>
      <c r="AA75" s="647">
        <v>35</v>
      </c>
      <c r="AB75" s="647">
        <v>13</v>
      </c>
      <c r="AC75" s="647">
        <v>48</v>
      </c>
    </row>
    <row r="76" spans="1:29" x14ac:dyDescent="0.3">
      <c r="A76" s="145">
        <v>72</v>
      </c>
      <c r="B76" s="146" t="s">
        <v>620</v>
      </c>
      <c r="C76" s="647">
        <v>4</v>
      </c>
      <c r="D76" s="647">
        <v>3</v>
      </c>
      <c r="E76" s="647">
        <v>7</v>
      </c>
      <c r="F76" s="647">
        <v>0</v>
      </c>
      <c r="G76" s="647">
        <v>0</v>
      </c>
      <c r="H76" s="647">
        <v>0</v>
      </c>
      <c r="I76" s="647">
        <v>9</v>
      </c>
      <c r="J76" s="647">
        <v>4</v>
      </c>
      <c r="K76" s="647">
        <v>13</v>
      </c>
      <c r="L76" s="647">
        <v>18</v>
      </c>
      <c r="M76" s="647">
        <v>8</v>
      </c>
      <c r="N76" s="647">
        <v>26</v>
      </c>
      <c r="O76" s="647">
        <v>0</v>
      </c>
      <c r="P76" s="647">
        <v>0</v>
      </c>
      <c r="Q76" s="647">
        <v>0</v>
      </c>
      <c r="R76" s="647">
        <v>0</v>
      </c>
      <c r="S76" s="647">
        <v>0</v>
      </c>
      <c r="T76" s="647">
        <v>0</v>
      </c>
      <c r="U76" s="647">
        <v>0</v>
      </c>
      <c r="V76" s="647">
        <v>0</v>
      </c>
      <c r="W76" s="647">
        <v>0</v>
      </c>
      <c r="X76" s="647">
        <v>0</v>
      </c>
      <c r="Y76" s="647">
        <v>0</v>
      </c>
      <c r="Z76" s="647">
        <v>0</v>
      </c>
      <c r="AA76" s="647">
        <v>31</v>
      </c>
      <c r="AB76" s="647">
        <v>15</v>
      </c>
      <c r="AC76" s="647">
        <v>46</v>
      </c>
    </row>
    <row r="77" spans="1:29" x14ac:dyDescent="0.3">
      <c r="A77" s="145">
        <v>73</v>
      </c>
      <c r="B77" s="146" t="s">
        <v>738</v>
      </c>
      <c r="C77" s="647">
        <v>2</v>
      </c>
      <c r="D77" s="647">
        <v>3</v>
      </c>
      <c r="E77" s="647">
        <v>5</v>
      </c>
      <c r="F77" s="647">
        <v>0</v>
      </c>
      <c r="G77" s="647">
        <v>0</v>
      </c>
      <c r="H77" s="647">
        <v>0</v>
      </c>
      <c r="I77" s="647">
        <v>1</v>
      </c>
      <c r="J77" s="647">
        <v>4</v>
      </c>
      <c r="K77" s="647">
        <v>5</v>
      </c>
      <c r="L77" s="647">
        <v>18</v>
      </c>
      <c r="M77" s="647">
        <v>13</v>
      </c>
      <c r="N77" s="647">
        <v>31</v>
      </c>
      <c r="O77" s="647">
        <v>0</v>
      </c>
      <c r="P77" s="647">
        <v>0</v>
      </c>
      <c r="Q77" s="647">
        <v>0</v>
      </c>
      <c r="R77" s="647">
        <v>0</v>
      </c>
      <c r="S77" s="647">
        <v>0</v>
      </c>
      <c r="T77" s="647">
        <v>0</v>
      </c>
      <c r="U77" s="647">
        <v>0</v>
      </c>
      <c r="V77" s="647">
        <v>0</v>
      </c>
      <c r="W77" s="647">
        <v>0</v>
      </c>
      <c r="X77" s="647">
        <v>1</v>
      </c>
      <c r="Y77" s="647">
        <v>0</v>
      </c>
      <c r="Z77" s="647">
        <v>1</v>
      </c>
      <c r="AA77" s="647">
        <v>22</v>
      </c>
      <c r="AB77" s="647">
        <v>20</v>
      </c>
      <c r="AC77" s="647">
        <v>42</v>
      </c>
    </row>
    <row r="78" spans="1:29" x14ac:dyDescent="0.3">
      <c r="A78" s="145">
        <v>74</v>
      </c>
      <c r="B78" s="146" t="s">
        <v>637</v>
      </c>
      <c r="C78" s="647">
        <v>1</v>
      </c>
      <c r="D78" s="647">
        <v>0</v>
      </c>
      <c r="E78" s="647">
        <v>1</v>
      </c>
      <c r="F78" s="647">
        <v>0</v>
      </c>
      <c r="G78" s="647">
        <v>0</v>
      </c>
      <c r="H78" s="647">
        <v>0</v>
      </c>
      <c r="I78" s="647">
        <v>6</v>
      </c>
      <c r="J78" s="647">
        <v>2</v>
      </c>
      <c r="K78" s="647">
        <v>8</v>
      </c>
      <c r="L78" s="647">
        <v>18</v>
      </c>
      <c r="M78" s="647">
        <v>10</v>
      </c>
      <c r="N78" s="647">
        <v>28</v>
      </c>
      <c r="O78" s="647">
        <v>0</v>
      </c>
      <c r="P78" s="647">
        <v>0</v>
      </c>
      <c r="Q78" s="647">
        <v>0</v>
      </c>
      <c r="R78" s="647">
        <v>0</v>
      </c>
      <c r="S78" s="647">
        <v>0</v>
      </c>
      <c r="T78" s="647">
        <v>0</v>
      </c>
      <c r="U78" s="647">
        <v>2</v>
      </c>
      <c r="V78" s="647">
        <v>0</v>
      </c>
      <c r="W78" s="647">
        <v>2</v>
      </c>
      <c r="X78" s="647">
        <v>0</v>
      </c>
      <c r="Y78" s="647">
        <v>0</v>
      </c>
      <c r="Z78" s="647">
        <v>0</v>
      </c>
      <c r="AA78" s="647">
        <v>27</v>
      </c>
      <c r="AB78" s="647">
        <v>12</v>
      </c>
      <c r="AC78" s="647">
        <v>39</v>
      </c>
    </row>
    <row r="79" spans="1:29" x14ac:dyDescent="0.3">
      <c r="A79" s="145">
        <v>75</v>
      </c>
      <c r="B79" s="146" t="s">
        <v>687</v>
      </c>
      <c r="C79" s="647">
        <v>9</v>
      </c>
      <c r="D79" s="647">
        <v>2</v>
      </c>
      <c r="E79" s="647">
        <v>11</v>
      </c>
      <c r="F79" s="647">
        <v>0</v>
      </c>
      <c r="G79" s="647">
        <v>0</v>
      </c>
      <c r="H79" s="647">
        <v>0</v>
      </c>
      <c r="I79" s="647">
        <v>14</v>
      </c>
      <c r="J79" s="647">
        <v>6</v>
      </c>
      <c r="K79" s="647">
        <v>20</v>
      </c>
      <c r="L79" s="647">
        <v>6</v>
      </c>
      <c r="M79" s="647">
        <v>2</v>
      </c>
      <c r="N79" s="647">
        <v>8</v>
      </c>
      <c r="O79" s="647">
        <v>0</v>
      </c>
      <c r="P79" s="647">
        <v>0</v>
      </c>
      <c r="Q79" s="647">
        <v>0</v>
      </c>
      <c r="R79" s="647">
        <v>0</v>
      </c>
      <c r="S79" s="647">
        <v>0</v>
      </c>
      <c r="T79" s="647">
        <v>0</v>
      </c>
      <c r="U79" s="647">
        <v>0</v>
      </c>
      <c r="V79" s="647">
        <v>0</v>
      </c>
      <c r="W79" s="647">
        <v>0</v>
      </c>
      <c r="X79" s="647">
        <v>0</v>
      </c>
      <c r="Y79" s="647">
        <v>0</v>
      </c>
      <c r="Z79" s="647">
        <v>0</v>
      </c>
      <c r="AA79" s="647">
        <v>29</v>
      </c>
      <c r="AB79" s="647">
        <v>10</v>
      </c>
      <c r="AC79" s="647">
        <v>39</v>
      </c>
    </row>
    <row r="80" spans="1:29" x14ac:dyDescent="0.3">
      <c r="A80" s="145">
        <v>76</v>
      </c>
      <c r="B80" s="146" t="s">
        <v>667</v>
      </c>
      <c r="C80" s="647">
        <v>0</v>
      </c>
      <c r="D80" s="647">
        <v>1</v>
      </c>
      <c r="E80" s="647">
        <v>1</v>
      </c>
      <c r="F80" s="647">
        <v>0</v>
      </c>
      <c r="G80" s="647">
        <v>0</v>
      </c>
      <c r="H80" s="647">
        <v>0</v>
      </c>
      <c r="I80" s="647">
        <v>9</v>
      </c>
      <c r="J80" s="647">
        <v>14</v>
      </c>
      <c r="K80" s="647">
        <v>23</v>
      </c>
      <c r="L80" s="647">
        <v>5</v>
      </c>
      <c r="M80" s="647">
        <v>5</v>
      </c>
      <c r="N80" s="647">
        <v>10</v>
      </c>
      <c r="O80" s="647">
        <v>0</v>
      </c>
      <c r="P80" s="647">
        <v>0</v>
      </c>
      <c r="Q80" s="647">
        <v>0</v>
      </c>
      <c r="R80" s="647">
        <v>3</v>
      </c>
      <c r="S80" s="647">
        <v>0</v>
      </c>
      <c r="T80" s="647">
        <v>3</v>
      </c>
      <c r="U80" s="647">
        <v>0</v>
      </c>
      <c r="V80" s="647">
        <v>0</v>
      </c>
      <c r="W80" s="647">
        <v>0</v>
      </c>
      <c r="X80" s="647">
        <v>0</v>
      </c>
      <c r="Y80" s="647">
        <v>0</v>
      </c>
      <c r="Z80" s="647">
        <v>0</v>
      </c>
      <c r="AA80" s="647">
        <v>17</v>
      </c>
      <c r="AB80" s="647">
        <v>20</v>
      </c>
      <c r="AC80" s="647">
        <v>37</v>
      </c>
    </row>
    <row r="81" spans="1:29" x14ac:dyDescent="0.3">
      <c r="A81" s="145">
        <v>77</v>
      </c>
      <c r="B81" s="146" t="s">
        <v>618</v>
      </c>
      <c r="C81" s="647">
        <v>0</v>
      </c>
      <c r="D81" s="647">
        <v>0</v>
      </c>
      <c r="E81" s="647">
        <v>0</v>
      </c>
      <c r="F81" s="647">
        <v>0</v>
      </c>
      <c r="G81" s="647">
        <v>0</v>
      </c>
      <c r="H81" s="647">
        <v>0</v>
      </c>
      <c r="I81" s="647">
        <v>9</v>
      </c>
      <c r="J81" s="647">
        <v>6</v>
      </c>
      <c r="K81" s="647">
        <v>15</v>
      </c>
      <c r="L81" s="647">
        <v>17</v>
      </c>
      <c r="M81" s="647">
        <v>3</v>
      </c>
      <c r="N81" s="647">
        <v>20</v>
      </c>
      <c r="O81" s="647">
        <v>0</v>
      </c>
      <c r="P81" s="647">
        <v>0</v>
      </c>
      <c r="Q81" s="647">
        <v>0</v>
      </c>
      <c r="R81" s="647">
        <v>0</v>
      </c>
      <c r="S81" s="647">
        <v>0</v>
      </c>
      <c r="T81" s="647">
        <v>0</v>
      </c>
      <c r="U81" s="647">
        <v>0</v>
      </c>
      <c r="V81" s="647">
        <v>0</v>
      </c>
      <c r="W81" s="647">
        <v>0</v>
      </c>
      <c r="X81" s="647">
        <v>0</v>
      </c>
      <c r="Y81" s="647">
        <v>0</v>
      </c>
      <c r="Z81" s="647">
        <v>0</v>
      </c>
      <c r="AA81" s="647">
        <v>26</v>
      </c>
      <c r="AB81" s="647">
        <v>9</v>
      </c>
      <c r="AC81" s="647">
        <v>35</v>
      </c>
    </row>
    <row r="82" spans="1:29" ht="29.25" customHeight="1" x14ac:dyDescent="0.3">
      <c r="A82" s="145">
        <v>78</v>
      </c>
      <c r="B82" s="146" t="s">
        <v>697</v>
      </c>
      <c r="C82" s="647">
        <v>1</v>
      </c>
      <c r="D82" s="647">
        <v>4</v>
      </c>
      <c r="E82" s="647">
        <v>5</v>
      </c>
      <c r="F82" s="647">
        <v>0</v>
      </c>
      <c r="G82" s="647">
        <v>0</v>
      </c>
      <c r="H82" s="647">
        <v>0</v>
      </c>
      <c r="I82" s="647">
        <v>0</v>
      </c>
      <c r="J82" s="647">
        <v>2</v>
      </c>
      <c r="K82" s="647">
        <v>2</v>
      </c>
      <c r="L82" s="647">
        <v>10</v>
      </c>
      <c r="M82" s="647">
        <v>14</v>
      </c>
      <c r="N82" s="647">
        <v>24</v>
      </c>
      <c r="O82" s="647">
        <v>0</v>
      </c>
      <c r="P82" s="647">
        <v>0</v>
      </c>
      <c r="Q82" s="647">
        <v>0</v>
      </c>
      <c r="R82" s="647">
        <v>1</v>
      </c>
      <c r="S82" s="647">
        <v>1</v>
      </c>
      <c r="T82" s="647">
        <v>2</v>
      </c>
      <c r="U82" s="647">
        <v>0</v>
      </c>
      <c r="V82" s="647">
        <v>0</v>
      </c>
      <c r="W82" s="647">
        <v>0</v>
      </c>
      <c r="X82" s="647">
        <v>0</v>
      </c>
      <c r="Y82" s="647">
        <v>1</v>
      </c>
      <c r="Z82" s="647">
        <v>1</v>
      </c>
      <c r="AA82" s="647">
        <v>12</v>
      </c>
      <c r="AB82" s="647">
        <v>22</v>
      </c>
      <c r="AC82" s="647">
        <v>34</v>
      </c>
    </row>
    <row r="83" spans="1:29" x14ac:dyDescent="0.3">
      <c r="A83" s="145">
        <v>79</v>
      </c>
      <c r="B83" s="146" t="s">
        <v>605</v>
      </c>
      <c r="C83" s="647">
        <v>4</v>
      </c>
      <c r="D83" s="647">
        <v>3</v>
      </c>
      <c r="E83" s="647">
        <v>7</v>
      </c>
      <c r="F83" s="647">
        <v>0</v>
      </c>
      <c r="G83" s="647">
        <v>0</v>
      </c>
      <c r="H83" s="647">
        <v>0</v>
      </c>
      <c r="I83" s="647">
        <v>3</v>
      </c>
      <c r="J83" s="647">
        <v>2</v>
      </c>
      <c r="K83" s="647">
        <v>5</v>
      </c>
      <c r="L83" s="647">
        <v>9</v>
      </c>
      <c r="M83" s="647">
        <v>9</v>
      </c>
      <c r="N83" s="647">
        <v>18</v>
      </c>
      <c r="O83" s="647">
        <v>0</v>
      </c>
      <c r="P83" s="647">
        <v>0</v>
      </c>
      <c r="Q83" s="647">
        <v>0</v>
      </c>
      <c r="R83" s="647">
        <v>0</v>
      </c>
      <c r="S83" s="647">
        <v>0</v>
      </c>
      <c r="T83" s="647">
        <v>0</v>
      </c>
      <c r="U83" s="647">
        <v>2</v>
      </c>
      <c r="V83" s="647">
        <v>1</v>
      </c>
      <c r="W83" s="647">
        <v>3</v>
      </c>
      <c r="X83" s="647">
        <v>0</v>
      </c>
      <c r="Y83" s="647">
        <v>0</v>
      </c>
      <c r="Z83" s="647">
        <v>0</v>
      </c>
      <c r="AA83" s="647">
        <v>18</v>
      </c>
      <c r="AB83" s="647">
        <v>15</v>
      </c>
      <c r="AC83" s="647">
        <v>33</v>
      </c>
    </row>
    <row r="84" spans="1:29" x14ac:dyDescent="0.3">
      <c r="A84" s="145">
        <v>80</v>
      </c>
      <c r="B84" s="146" t="s">
        <v>722</v>
      </c>
      <c r="C84" s="647">
        <v>1</v>
      </c>
      <c r="D84" s="647">
        <v>0</v>
      </c>
      <c r="E84" s="647">
        <v>1</v>
      </c>
      <c r="F84" s="647">
        <v>0</v>
      </c>
      <c r="G84" s="647">
        <v>0</v>
      </c>
      <c r="H84" s="647">
        <v>0</v>
      </c>
      <c r="I84" s="647">
        <v>8</v>
      </c>
      <c r="J84" s="647">
        <v>9</v>
      </c>
      <c r="K84" s="647">
        <v>17</v>
      </c>
      <c r="L84" s="647">
        <v>7</v>
      </c>
      <c r="M84" s="647">
        <v>3</v>
      </c>
      <c r="N84" s="647">
        <v>10</v>
      </c>
      <c r="O84" s="647">
        <v>1</v>
      </c>
      <c r="P84" s="647">
        <v>0</v>
      </c>
      <c r="Q84" s="647">
        <v>1</v>
      </c>
      <c r="R84" s="647">
        <v>0</v>
      </c>
      <c r="S84" s="647">
        <v>0</v>
      </c>
      <c r="T84" s="647">
        <v>0</v>
      </c>
      <c r="U84" s="647">
        <v>0</v>
      </c>
      <c r="V84" s="647">
        <v>0</v>
      </c>
      <c r="W84" s="647">
        <v>0</v>
      </c>
      <c r="X84" s="647">
        <v>0</v>
      </c>
      <c r="Y84" s="647">
        <v>0</v>
      </c>
      <c r="Z84" s="647">
        <v>0</v>
      </c>
      <c r="AA84" s="647">
        <v>17</v>
      </c>
      <c r="AB84" s="647">
        <v>12</v>
      </c>
      <c r="AC84" s="647">
        <v>29</v>
      </c>
    </row>
    <row r="85" spans="1:29" ht="29.25" customHeight="1" x14ac:dyDescent="0.3">
      <c r="A85" s="145">
        <v>81</v>
      </c>
      <c r="B85" s="146" t="s">
        <v>686</v>
      </c>
      <c r="C85" s="647">
        <v>0</v>
      </c>
      <c r="D85" s="647">
        <v>0</v>
      </c>
      <c r="E85" s="647">
        <v>0</v>
      </c>
      <c r="F85" s="647">
        <v>0</v>
      </c>
      <c r="G85" s="647">
        <v>0</v>
      </c>
      <c r="H85" s="647">
        <v>0</v>
      </c>
      <c r="I85" s="647">
        <v>6</v>
      </c>
      <c r="J85" s="647">
        <v>1</v>
      </c>
      <c r="K85" s="647">
        <v>7</v>
      </c>
      <c r="L85" s="647">
        <v>10</v>
      </c>
      <c r="M85" s="647">
        <v>8</v>
      </c>
      <c r="N85" s="647">
        <v>18</v>
      </c>
      <c r="O85" s="647">
        <v>0</v>
      </c>
      <c r="P85" s="647">
        <v>0</v>
      </c>
      <c r="Q85" s="647">
        <v>0</v>
      </c>
      <c r="R85" s="647">
        <v>0</v>
      </c>
      <c r="S85" s="647">
        <v>0</v>
      </c>
      <c r="T85" s="647">
        <v>0</v>
      </c>
      <c r="U85" s="647">
        <v>0</v>
      </c>
      <c r="V85" s="647">
        <v>0</v>
      </c>
      <c r="W85" s="647">
        <v>0</v>
      </c>
      <c r="X85" s="647">
        <v>0</v>
      </c>
      <c r="Y85" s="647">
        <v>3</v>
      </c>
      <c r="Z85" s="647">
        <v>3</v>
      </c>
      <c r="AA85" s="647">
        <v>16</v>
      </c>
      <c r="AB85" s="647">
        <v>12</v>
      </c>
      <c r="AC85" s="647">
        <v>28</v>
      </c>
    </row>
    <row r="86" spans="1:29" x14ac:dyDescent="0.3">
      <c r="A86" s="145">
        <v>82</v>
      </c>
      <c r="B86" s="146" t="s">
        <v>719</v>
      </c>
      <c r="C86" s="647">
        <v>0</v>
      </c>
      <c r="D86" s="647">
        <v>1</v>
      </c>
      <c r="E86" s="647">
        <v>1</v>
      </c>
      <c r="F86" s="647">
        <v>0</v>
      </c>
      <c r="G86" s="647">
        <v>0</v>
      </c>
      <c r="H86" s="647">
        <v>0</v>
      </c>
      <c r="I86" s="647">
        <v>4</v>
      </c>
      <c r="J86" s="647">
        <v>3</v>
      </c>
      <c r="K86" s="647">
        <v>7</v>
      </c>
      <c r="L86" s="647">
        <v>8</v>
      </c>
      <c r="M86" s="647">
        <v>10</v>
      </c>
      <c r="N86" s="647">
        <v>18</v>
      </c>
      <c r="O86" s="647">
        <v>0</v>
      </c>
      <c r="P86" s="647">
        <v>0</v>
      </c>
      <c r="Q86" s="647">
        <v>0</v>
      </c>
      <c r="R86" s="647">
        <v>0</v>
      </c>
      <c r="S86" s="647">
        <v>0</v>
      </c>
      <c r="T86" s="647">
        <v>0</v>
      </c>
      <c r="U86" s="647">
        <v>0</v>
      </c>
      <c r="V86" s="647">
        <v>0</v>
      </c>
      <c r="W86" s="647">
        <v>0</v>
      </c>
      <c r="X86" s="647">
        <v>1</v>
      </c>
      <c r="Y86" s="647">
        <v>0</v>
      </c>
      <c r="Z86" s="647">
        <v>1</v>
      </c>
      <c r="AA86" s="647">
        <v>13</v>
      </c>
      <c r="AB86" s="647">
        <v>14</v>
      </c>
      <c r="AC86" s="647">
        <v>27</v>
      </c>
    </row>
    <row r="87" spans="1:29" x14ac:dyDescent="0.3">
      <c r="A87" s="145">
        <v>83</v>
      </c>
      <c r="B87" s="146" t="s">
        <v>593</v>
      </c>
      <c r="C87" s="647">
        <v>0</v>
      </c>
      <c r="D87" s="647">
        <v>1</v>
      </c>
      <c r="E87" s="647">
        <v>1</v>
      </c>
      <c r="F87" s="647">
        <v>0</v>
      </c>
      <c r="G87" s="647">
        <v>0</v>
      </c>
      <c r="H87" s="647">
        <v>0</v>
      </c>
      <c r="I87" s="647">
        <v>1</v>
      </c>
      <c r="J87" s="647">
        <v>0</v>
      </c>
      <c r="K87" s="647">
        <v>1</v>
      </c>
      <c r="L87" s="647">
        <v>10</v>
      </c>
      <c r="M87" s="647">
        <v>6</v>
      </c>
      <c r="N87" s="647">
        <v>16</v>
      </c>
      <c r="O87" s="647">
        <v>1</v>
      </c>
      <c r="P87" s="647">
        <v>1</v>
      </c>
      <c r="Q87" s="647">
        <v>2</v>
      </c>
      <c r="R87" s="647">
        <v>1</v>
      </c>
      <c r="S87" s="647">
        <v>0</v>
      </c>
      <c r="T87" s="647">
        <v>1</v>
      </c>
      <c r="U87" s="647">
        <v>0</v>
      </c>
      <c r="V87" s="647">
        <v>0</v>
      </c>
      <c r="W87" s="647">
        <v>0</v>
      </c>
      <c r="X87" s="647">
        <v>0</v>
      </c>
      <c r="Y87" s="647">
        <v>0</v>
      </c>
      <c r="Z87" s="647">
        <v>0</v>
      </c>
      <c r="AA87" s="647">
        <v>13</v>
      </c>
      <c r="AB87" s="647">
        <v>8</v>
      </c>
      <c r="AC87" s="647">
        <v>21</v>
      </c>
    </row>
    <row r="88" spans="1:29" x14ac:dyDescent="0.3">
      <c r="A88" s="145">
        <v>84</v>
      </c>
      <c r="B88" s="146" t="s">
        <v>693</v>
      </c>
      <c r="C88" s="647">
        <v>1</v>
      </c>
      <c r="D88" s="647">
        <v>0</v>
      </c>
      <c r="E88" s="647">
        <v>1</v>
      </c>
      <c r="F88" s="647">
        <v>0</v>
      </c>
      <c r="G88" s="647">
        <v>0</v>
      </c>
      <c r="H88" s="647">
        <v>0</v>
      </c>
      <c r="I88" s="647">
        <v>0</v>
      </c>
      <c r="J88" s="647">
        <v>1</v>
      </c>
      <c r="K88" s="647">
        <v>1</v>
      </c>
      <c r="L88" s="647">
        <v>7</v>
      </c>
      <c r="M88" s="647">
        <v>10</v>
      </c>
      <c r="N88" s="647">
        <v>17</v>
      </c>
      <c r="O88" s="647">
        <v>0</v>
      </c>
      <c r="P88" s="647">
        <v>0</v>
      </c>
      <c r="Q88" s="647">
        <v>0</v>
      </c>
      <c r="R88" s="647">
        <v>1</v>
      </c>
      <c r="S88" s="647">
        <v>0</v>
      </c>
      <c r="T88" s="647">
        <v>1</v>
      </c>
      <c r="U88" s="647">
        <v>0</v>
      </c>
      <c r="V88" s="647">
        <v>0</v>
      </c>
      <c r="W88" s="647">
        <v>0</v>
      </c>
      <c r="X88" s="647">
        <v>0</v>
      </c>
      <c r="Y88" s="647">
        <v>0</v>
      </c>
      <c r="Z88" s="647">
        <v>0</v>
      </c>
      <c r="AA88" s="647">
        <v>9</v>
      </c>
      <c r="AB88" s="647">
        <v>11</v>
      </c>
      <c r="AC88" s="647">
        <v>20</v>
      </c>
    </row>
    <row r="89" spans="1:29" x14ac:dyDescent="0.3">
      <c r="A89" s="145">
        <v>85</v>
      </c>
      <c r="B89" s="146" t="s">
        <v>622</v>
      </c>
      <c r="C89" s="647">
        <v>1</v>
      </c>
      <c r="D89" s="647">
        <v>0</v>
      </c>
      <c r="E89" s="647">
        <v>1</v>
      </c>
      <c r="F89" s="647">
        <v>0</v>
      </c>
      <c r="G89" s="647">
        <v>0</v>
      </c>
      <c r="H89" s="647">
        <v>0</v>
      </c>
      <c r="I89" s="647">
        <v>11</v>
      </c>
      <c r="J89" s="647">
        <v>3</v>
      </c>
      <c r="K89" s="647">
        <v>14</v>
      </c>
      <c r="L89" s="647">
        <v>5</v>
      </c>
      <c r="M89" s="647">
        <v>0</v>
      </c>
      <c r="N89" s="647">
        <v>5</v>
      </c>
      <c r="O89" s="647">
        <v>0</v>
      </c>
      <c r="P89" s="647">
        <v>0</v>
      </c>
      <c r="Q89" s="647">
        <v>0</v>
      </c>
      <c r="R89" s="647">
        <v>0</v>
      </c>
      <c r="S89" s="647">
        <v>0</v>
      </c>
      <c r="T89" s="647">
        <v>0</v>
      </c>
      <c r="U89" s="647">
        <v>0</v>
      </c>
      <c r="V89" s="647">
        <v>0</v>
      </c>
      <c r="W89" s="647">
        <v>0</v>
      </c>
      <c r="X89" s="647">
        <v>0</v>
      </c>
      <c r="Y89" s="647">
        <v>0</v>
      </c>
      <c r="Z89" s="647">
        <v>0</v>
      </c>
      <c r="AA89" s="647">
        <v>17</v>
      </c>
      <c r="AB89" s="647">
        <v>3</v>
      </c>
      <c r="AC89" s="647">
        <v>20</v>
      </c>
    </row>
    <row r="90" spans="1:29" x14ac:dyDescent="0.3">
      <c r="A90" s="145">
        <v>86</v>
      </c>
      <c r="B90" s="146" t="s">
        <v>621</v>
      </c>
      <c r="C90" s="647">
        <v>0</v>
      </c>
      <c r="D90" s="647">
        <v>0</v>
      </c>
      <c r="E90" s="647">
        <v>0</v>
      </c>
      <c r="F90" s="647">
        <v>0</v>
      </c>
      <c r="G90" s="647">
        <v>0</v>
      </c>
      <c r="H90" s="647">
        <v>0</v>
      </c>
      <c r="I90" s="647">
        <v>2</v>
      </c>
      <c r="J90" s="647">
        <v>0</v>
      </c>
      <c r="K90" s="647">
        <v>2</v>
      </c>
      <c r="L90" s="647">
        <v>10</v>
      </c>
      <c r="M90" s="647">
        <v>5</v>
      </c>
      <c r="N90" s="647">
        <v>15</v>
      </c>
      <c r="O90" s="647">
        <v>1</v>
      </c>
      <c r="P90" s="647">
        <v>1</v>
      </c>
      <c r="Q90" s="647">
        <v>2</v>
      </c>
      <c r="R90" s="647">
        <v>0</v>
      </c>
      <c r="S90" s="647">
        <v>0</v>
      </c>
      <c r="T90" s="647">
        <v>0</v>
      </c>
      <c r="U90" s="647">
        <v>0</v>
      </c>
      <c r="V90" s="647">
        <v>0</v>
      </c>
      <c r="W90" s="647">
        <v>0</v>
      </c>
      <c r="X90" s="647">
        <v>0</v>
      </c>
      <c r="Y90" s="647">
        <v>0</v>
      </c>
      <c r="Z90" s="647">
        <v>0</v>
      </c>
      <c r="AA90" s="647">
        <v>13</v>
      </c>
      <c r="AB90" s="647">
        <v>6</v>
      </c>
      <c r="AC90" s="647">
        <v>19</v>
      </c>
    </row>
    <row r="91" spans="1:29" x14ac:dyDescent="0.3">
      <c r="A91" s="145">
        <v>87</v>
      </c>
      <c r="B91" s="146" t="s">
        <v>652</v>
      </c>
      <c r="C91" s="647">
        <v>4</v>
      </c>
      <c r="D91" s="647">
        <v>4</v>
      </c>
      <c r="E91" s="647">
        <v>8</v>
      </c>
      <c r="F91" s="647">
        <v>0</v>
      </c>
      <c r="G91" s="647">
        <v>0</v>
      </c>
      <c r="H91" s="647">
        <v>0</v>
      </c>
      <c r="I91" s="647">
        <v>6</v>
      </c>
      <c r="J91" s="647">
        <v>1</v>
      </c>
      <c r="K91" s="647">
        <v>7</v>
      </c>
      <c r="L91" s="647">
        <v>2</v>
      </c>
      <c r="M91" s="647">
        <v>2</v>
      </c>
      <c r="N91" s="647">
        <v>4</v>
      </c>
      <c r="O91" s="647">
        <v>0</v>
      </c>
      <c r="P91" s="647">
        <v>0</v>
      </c>
      <c r="Q91" s="647">
        <v>0</v>
      </c>
      <c r="R91" s="647">
        <v>0</v>
      </c>
      <c r="S91" s="647">
        <v>0</v>
      </c>
      <c r="T91" s="647">
        <v>0</v>
      </c>
      <c r="U91" s="647">
        <v>0</v>
      </c>
      <c r="V91" s="647">
        <v>0</v>
      </c>
      <c r="W91" s="647">
        <v>0</v>
      </c>
      <c r="X91" s="647">
        <v>0</v>
      </c>
      <c r="Y91" s="647">
        <v>0</v>
      </c>
      <c r="Z91" s="647">
        <v>0</v>
      </c>
      <c r="AA91" s="647">
        <v>12</v>
      </c>
      <c r="AB91" s="647">
        <v>7</v>
      </c>
      <c r="AC91" s="647">
        <v>19</v>
      </c>
    </row>
    <row r="92" spans="1:29" x14ac:dyDescent="0.3">
      <c r="A92" s="145">
        <v>88</v>
      </c>
      <c r="B92" s="146" t="s">
        <v>626</v>
      </c>
      <c r="C92" s="647">
        <v>0</v>
      </c>
      <c r="D92" s="647">
        <v>3</v>
      </c>
      <c r="E92" s="647">
        <v>3</v>
      </c>
      <c r="F92" s="647">
        <v>0</v>
      </c>
      <c r="G92" s="647">
        <v>0</v>
      </c>
      <c r="H92" s="647">
        <v>0</v>
      </c>
      <c r="I92" s="647">
        <v>3</v>
      </c>
      <c r="J92" s="647">
        <v>1</v>
      </c>
      <c r="K92" s="647">
        <v>4</v>
      </c>
      <c r="L92" s="647">
        <v>3</v>
      </c>
      <c r="M92" s="647">
        <v>4</v>
      </c>
      <c r="N92" s="647">
        <v>7</v>
      </c>
      <c r="O92" s="647">
        <v>0</v>
      </c>
      <c r="P92" s="647">
        <v>0</v>
      </c>
      <c r="Q92" s="647">
        <v>0</v>
      </c>
      <c r="R92" s="647">
        <v>1</v>
      </c>
      <c r="S92" s="647">
        <v>0</v>
      </c>
      <c r="T92" s="647">
        <v>1</v>
      </c>
      <c r="U92" s="647">
        <v>0</v>
      </c>
      <c r="V92" s="647">
        <v>1</v>
      </c>
      <c r="W92" s="647">
        <v>1</v>
      </c>
      <c r="X92" s="647">
        <v>1</v>
      </c>
      <c r="Y92" s="647">
        <v>1</v>
      </c>
      <c r="Z92" s="647">
        <v>2</v>
      </c>
      <c r="AA92" s="647">
        <v>8</v>
      </c>
      <c r="AB92" s="647">
        <v>10</v>
      </c>
      <c r="AC92" s="647">
        <v>18</v>
      </c>
    </row>
    <row r="93" spans="1:29" x14ac:dyDescent="0.3">
      <c r="A93" s="145">
        <v>89</v>
      </c>
      <c r="B93" s="146" t="s">
        <v>681</v>
      </c>
      <c r="C93" s="647">
        <v>0</v>
      </c>
      <c r="D93" s="647">
        <v>0</v>
      </c>
      <c r="E93" s="647">
        <v>0</v>
      </c>
      <c r="F93" s="647">
        <v>0</v>
      </c>
      <c r="G93" s="647">
        <v>0</v>
      </c>
      <c r="H93" s="647">
        <v>0</v>
      </c>
      <c r="I93" s="647">
        <v>1</v>
      </c>
      <c r="J93" s="647">
        <v>3</v>
      </c>
      <c r="K93" s="647">
        <v>4</v>
      </c>
      <c r="L93" s="647">
        <v>5</v>
      </c>
      <c r="M93" s="647">
        <v>9</v>
      </c>
      <c r="N93" s="647">
        <v>14</v>
      </c>
      <c r="O93" s="647">
        <v>0</v>
      </c>
      <c r="P93" s="647">
        <v>0</v>
      </c>
      <c r="Q93" s="647">
        <v>0</v>
      </c>
      <c r="R93" s="647">
        <v>0</v>
      </c>
      <c r="S93" s="647">
        <v>0</v>
      </c>
      <c r="T93" s="647">
        <v>0</v>
      </c>
      <c r="U93" s="647">
        <v>0</v>
      </c>
      <c r="V93" s="647">
        <v>0</v>
      </c>
      <c r="W93" s="647">
        <v>0</v>
      </c>
      <c r="X93" s="647">
        <v>0</v>
      </c>
      <c r="Y93" s="647">
        <v>0</v>
      </c>
      <c r="Z93" s="647">
        <v>0</v>
      </c>
      <c r="AA93" s="647">
        <v>6</v>
      </c>
      <c r="AB93" s="647">
        <v>12</v>
      </c>
      <c r="AC93" s="647">
        <v>18</v>
      </c>
    </row>
    <row r="94" spans="1:29" x14ac:dyDescent="0.3">
      <c r="A94" s="145">
        <v>90</v>
      </c>
      <c r="B94" s="146" t="s">
        <v>662</v>
      </c>
      <c r="C94" s="647">
        <v>2</v>
      </c>
      <c r="D94" s="647">
        <v>1</v>
      </c>
      <c r="E94" s="647">
        <v>3</v>
      </c>
      <c r="F94" s="647">
        <v>0</v>
      </c>
      <c r="G94" s="647">
        <v>0</v>
      </c>
      <c r="H94" s="647">
        <v>0</v>
      </c>
      <c r="I94" s="647">
        <v>3</v>
      </c>
      <c r="J94" s="647">
        <v>1</v>
      </c>
      <c r="K94" s="647">
        <v>4</v>
      </c>
      <c r="L94" s="647">
        <v>10</v>
      </c>
      <c r="M94" s="647">
        <v>0</v>
      </c>
      <c r="N94" s="647">
        <v>10</v>
      </c>
      <c r="O94" s="647">
        <v>0</v>
      </c>
      <c r="P94" s="647">
        <v>0</v>
      </c>
      <c r="Q94" s="647">
        <v>0</v>
      </c>
      <c r="R94" s="647">
        <v>0</v>
      </c>
      <c r="S94" s="647">
        <v>0</v>
      </c>
      <c r="T94" s="647">
        <v>0</v>
      </c>
      <c r="U94" s="647">
        <v>0</v>
      </c>
      <c r="V94" s="647">
        <v>0</v>
      </c>
      <c r="W94" s="647">
        <v>0</v>
      </c>
      <c r="X94" s="647">
        <v>0</v>
      </c>
      <c r="Y94" s="647">
        <v>0</v>
      </c>
      <c r="Z94" s="647">
        <v>0</v>
      </c>
      <c r="AA94" s="647">
        <v>15</v>
      </c>
      <c r="AB94" s="647">
        <v>2</v>
      </c>
      <c r="AC94" s="647">
        <v>17</v>
      </c>
    </row>
    <row r="95" spans="1:29" x14ac:dyDescent="0.3">
      <c r="A95" s="145">
        <v>91</v>
      </c>
      <c r="B95" s="146" t="s">
        <v>657</v>
      </c>
      <c r="C95" s="647">
        <v>0</v>
      </c>
      <c r="D95" s="647">
        <v>0</v>
      </c>
      <c r="E95" s="647">
        <v>0</v>
      </c>
      <c r="F95" s="647">
        <v>0</v>
      </c>
      <c r="G95" s="647">
        <v>0</v>
      </c>
      <c r="H95" s="647">
        <v>0</v>
      </c>
      <c r="I95" s="647">
        <v>9</v>
      </c>
      <c r="J95" s="647">
        <v>0</v>
      </c>
      <c r="K95" s="647">
        <v>9</v>
      </c>
      <c r="L95" s="647">
        <v>7</v>
      </c>
      <c r="M95" s="647">
        <v>0</v>
      </c>
      <c r="N95" s="647">
        <v>7</v>
      </c>
      <c r="O95" s="647">
        <v>0</v>
      </c>
      <c r="P95" s="647">
        <v>0</v>
      </c>
      <c r="Q95" s="647">
        <v>0</v>
      </c>
      <c r="R95" s="647">
        <v>0</v>
      </c>
      <c r="S95" s="647">
        <v>0</v>
      </c>
      <c r="T95" s="647">
        <v>0</v>
      </c>
      <c r="U95" s="647">
        <v>0</v>
      </c>
      <c r="V95" s="647">
        <v>0</v>
      </c>
      <c r="W95" s="647">
        <v>0</v>
      </c>
      <c r="X95" s="647">
        <v>0</v>
      </c>
      <c r="Y95" s="647">
        <v>0</v>
      </c>
      <c r="Z95" s="647">
        <v>0</v>
      </c>
      <c r="AA95" s="647">
        <v>16</v>
      </c>
      <c r="AB95" s="647">
        <v>0</v>
      </c>
      <c r="AC95" s="647">
        <v>16</v>
      </c>
    </row>
    <row r="96" spans="1:29" x14ac:dyDescent="0.3">
      <c r="A96" s="145">
        <v>92</v>
      </c>
      <c r="B96" s="146" t="s">
        <v>602</v>
      </c>
      <c r="C96" s="647">
        <v>0</v>
      </c>
      <c r="D96" s="647">
        <v>0</v>
      </c>
      <c r="E96" s="647">
        <v>0</v>
      </c>
      <c r="F96" s="647">
        <v>0</v>
      </c>
      <c r="G96" s="647">
        <v>0</v>
      </c>
      <c r="H96" s="647">
        <v>0</v>
      </c>
      <c r="I96" s="647">
        <v>1</v>
      </c>
      <c r="J96" s="647">
        <v>0</v>
      </c>
      <c r="K96" s="647">
        <v>1</v>
      </c>
      <c r="L96" s="647">
        <v>1</v>
      </c>
      <c r="M96" s="647">
        <v>8</v>
      </c>
      <c r="N96" s="647">
        <v>9</v>
      </c>
      <c r="O96" s="647">
        <v>3</v>
      </c>
      <c r="P96" s="647">
        <v>3</v>
      </c>
      <c r="Q96" s="647">
        <v>6</v>
      </c>
      <c r="R96" s="647">
        <v>0</v>
      </c>
      <c r="S96" s="647">
        <v>0</v>
      </c>
      <c r="T96" s="647">
        <v>0</v>
      </c>
      <c r="U96" s="647">
        <v>0</v>
      </c>
      <c r="V96" s="647">
        <v>0</v>
      </c>
      <c r="W96" s="647">
        <v>0</v>
      </c>
      <c r="X96" s="647">
        <v>0</v>
      </c>
      <c r="Y96" s="647">
        <v>0</v>
      </c>
      <c r="Z96" s="647">
        <v>0</v>
      </c>
      <c r="AA96" s="647">
        <v>5</v>
      </c>
      <c r="AB96" s="647">
        <v>11</v>
      </c>
      <c r="AC96" s="647">
        <v>16</v>
      </c>
    </row>
    <row r="97" spans="1:29" ht="15.75" customHeight="1" x14ac:dyDescent="0.3">
      <c r="A97" s="145">
        <v>93</v>
      </c>
      <c r="B97" s="146" t="s">
        <v>682</v>
      </c>
      <c r="C97" s="647">
        <v>2</v>
      </c>
      <c r="D97" s="647">
        <v>0</v>
      </c>
      <c r="E97" s="647">
        <v>2</v>
      </c>
      <c r="F97" s="647">
        <v>0</v>
      </c>
      <c r="G97" s="647">
        <v>0</v>
      </c>
      <c r="H97" s="647">
        <v>0</v>
      </c>
      <c r="I97" s="647">
        <v>6</v>
      </c>
      <c r="J97" s="647">
        <v>0</v>
      </c>
      <c r="K97" s="647">
        <v>6</v>
      </c>
      <c r="L97" s="647">
        <v>6</v>
      </c>
      <c r="M97" s="647">
        <v>0</v>
      </c>
      <c r="N97" s="647">
        <v>6</v>
      </c>
      <c r="O97" s="647">
        <v>0</v>
      </c>
      <c r="P97" s="647">
        <v>0</v>
      </c>
      <c r="Q97" s="647">
        <v>0</v>
      </c>
      <c r="R97" s="647">
        <v>0</v>
      </c>
      <c r="S97" s="647">
        <v>0</v>
      </c>
      <c r="T97" s="647">
        <v>0</v>
      </c>
      <c r="U97" s="647">
        <v>1</v>
      </c>
      <c r="V97" s="647">
        <v>1</v>
      </c>
      <c r="W97" s="647">
        <v>2</v>
      </c>
      <c r="X97" s="647">
        <v>0</v>
      </c>
      <c r="Y97" s="647">
        <v>0</v>
      </c>
      <c r="Z97" s="647">
        <v>0</v>
      </c>
      <c r="AA97" s="647">
        <v>15</v>
      </c>
      <c r="AB97" s="647">
        <v>1</v>
      </c>
      <c r="AC97" s="647">
        <v>16</v>
      </c>
    </row>
    <row r="98" spans="1:29" x14ac:dyDescent="0.3">
      <c r="A98" s="145">
        <v>94</v>
      </c>
      <c r="B98" s="146" t="s">
        <v>689</v>
      </c>
      <c r="C98" s="647">
        <v>0</v>
      </c>
      <c r="D98" s="647">
        <v>0</v>
      </c>
      <c r="E98" s="647">
        <v>0</v>
      </c>
      <c r="F98" s="647">
        <v>0</v>
      </c>
      <c r="G98" s="647">
        <v>0</v>
      </c>
      <c r="H98" s="647">
        <v>0</v>
      </c>
      <c r="I98" s="647">
        <v>1</v>
      </c>
      <c r="J98" s="647">
        <v>2</v>
      </c>
      <c r="K98" s="647">
        <v>3</v>
      </c>
      <c r="L98" s="647">
        <v>8</v>
      </c>
      <c r="M98" s="647">
        <v>2</v>
      </c>
      <c r="N98" s="647">
        <v>10</v>
      </c>
      <c r="O98" s="647">
        <v>0</v>
      </c>
      <c r="P98" s="647">
        <v>0</v>
      </c>
      <c r="Q98" s="647">
        <v>0</v>
      </c>
      <c r="R98" s="647">
        <v>0</v>
      </c>
      <c r="S98" s="647">
        <v>0</v>
      </c>
      <c r="T98" s="647">
        <v>0</v>
      </c>
      <c r="U98" s="647">
        <v>0</v>
      </c>
      <c r="V98" s="647">
        <v>0</v>
      </c>
      <c r="W98" s="647">
        <v>0</v>
      </c>
      <c r="X98" s="647">
        <v>1</v>
      </c>
      <c r="Y98" s="647">
        <v>0</v>
      </c>
      <c r="Z98" s="647">
        <v>1</v>
      </c>
      <c r="AA98" s="647">
        <v>10</v>
      </c>
      <c r="AB98" s="647">
        <v>4</v>
      </c>
      <c r="AC98" s="647">
        <v>14</v>
      </c>
    </row>
    <row r="99" spans="1:29" x14ac:dyDescent="0.3">
      <c r="A99" s="145">
        <v>95</v>
      </c>
      <c r="B99" s="146" t="s">
        <v>702</v>
      </c>
      <c r="C99" s="647">
        <v>0</v>
      </c>
      <c r="D99" s="647">
        <v>0</v>
      </c>
      <c r="E99" s="647">
        <v>0</v>
      </c>
      <c r="F99" s="647">
        <v>0</v>
      </c>
      <c r="G99" s="647">
        <v>0</v>
      </c>
      <c r="H99" s="647">
        <v>0</v>
      </c>
      <c r="I99" s="647">
        <v>4</v>
      </c>
      <c r="J99" s="647">
        <v>2</v>
      </c>
      <c r="K99" s="647">
        <v>6</v>
      </c>
      <c r="L99" s="647">
        <v>3</v>
      </c>
      <c r="M99" s="647">
        <v>1</v>
      </c>
      <c r="N99" s="647">
        <v>4</v>
      </c>
      <c r="O99" s="647">
        <v>0</v>
      </c>
      <c r="P99" s="647">
        <v>0</v>
      </c>
      <c r="Q99" s="647">
        <v>0</v>
      </c>
      <c r="R99" s="647">
        <v>1</v>
      </c>
      <c r="S99" s="647">
        <v>0</v>
      </c>
      <c r="T99" s="647">
        <v>1</v>
      </c>
      <c r="U99" s="647">
        <v>3</v>
      </c>
      <c r="V99" s="647">
        <v>0</v>
      </c>
      <c r="W99" s="647">
        <v>3</v>
      </c>
      <c r="X99" s="647">
        <v>0</v>
      </c>
      <c r="Y99" s="647">
        <v>0</v>
      </c>
      <c r="Z99" s="647">
        <v>0</v>
      </c>
      <c r="AA99" s="647">
        <v>11</v>
      </c>
      <c r="AB99" s="647">
        <v>3</v>
      </c>
      <c r="AC99" s="647">
        <v>14</v>
      </c>
    </row>
    <row r="100" spans="1:29" x14ac:dyDescent="0.3">
      <c r="A100" s="145">
        <v>96</v>
      </c>
      <c r="B100" s="146" t="s">
        <v>733</v>
      </c>
      <c r="C100" s="647">
        <v>1</v>
      </c>
      <c r="D100" s="647">
        <v>0</v>
      </c>
      <c r="E100" s="647">
        <v>1</v>
      </c>
      <c r="F100" s="647">
        <v>0</v>
      </c>
      <c r="G100" s="647">
        <v>0</v>
      </c>
      <c r="H100" s="647">
        <v>0</v>
      </c>
      <c r="I100" s="647">
        <v>1</v>
      </c>
      <c r="J100" s="647">
        <v>0</v>
      </c>
      <c r="K100" s="647">
        <v>1</v>
      </c>
      <c r="L100" s="647">
        <v>5</v>
      </c>
      <c r="M100" s="647">
        <v>7</v>
      </c>
      <c r="N100" s="647">
        <v>12</v>
      </c>
      <c r="O100" s="647">
        <v>0</v>
      </c>
      <c r="P100" s="647">
        <v>0</v>
      </c>
      <c r="Q100" s="647">
        <v>0</v>
      </c>
      <c r="R100" s="647">
        <v>0</v>
      </c>
      <c r="S100" s="647">
        <v>0</v>
      </c>
      <c r="T100" s="647">
        <v>0</v>
      </c>
      <c r="U100" s="647">
        <v>0</v>
      </c>
      <c r="V100" s="647">
        <v>0</v>
      </c>
      <c r="W100" s="647">
        <v>0</v>
      </c>
      <c r="X100" s="647">
        <v>0</v>
      </c>
      <c r="Y100" s="647">
        <v>0</v>
      </c>
      <c r="Z100" s="647">
        <v>0</v>
      </c>
      <c r="AA100" s="647">
        <v>7</v>
      </c>
      <c r="AB100" s="647">
        <v>7</v>
      </c>
      <c r="AC100" s="647">
        <v>14</v>
      </c>
    </row>
    <row r="101" spans="1:29" x14ac:dyDescent="0.3">
      <c r="A101" s="145">
        <v>97</v>
      </c>
      <c r="B101" s="146" t="s">
        <v>615</v>
      </c>
      <c r="C101" s="647">
        <v>0</v>
      </c>
      <c r="D101" s="647">
        <v>0</v>
      </c>
      <c r="E101" s="647">
        <v>0</v>
      </c>
      <c r="F101" s="647">
        <v>0</v>
      </c>
      <c r="G101" s="647">
        <v>0</v>
      </c>
      <c r="H101" s="647">
        <v>0</v>
      </c>
      <c r="I101" s="647">
        <v>3</v>
      </c>
      <c r="J101" s="647">
        <v>0</v>
      </c>
      <c r="K101" s="647">
        <v>3</v>
      </c>
      <c r="L101" s="647">
        <v>5</v>
      </c>
      <c r="M101" s="647">
        <v>6</v>
      </c>
      <c r="N101" s="647">
        <v>11</v>
      </c>
      <c r="O101" s="647">
        <v>0</v>
      </c>
      <c r="P101" s="647">
        <v>0</v>
      </c>
      <c r="Q101" s="647">
        <v>0</v>
      </c>
      <c r="R101" s="647">
        <v>0</v>
      </c>
      <c r="S101" s="647">
        <v>0</v>
      </c>
      <c r="T101" s="647">
        <v>0</v>
      </c>
      <c r="U101" s="647">
        <v>0</v>
      </c>
      <c r="V101" s="647">
        <v>0</v>
      </c>
      <c r="W101" s="647">
        <v>0</v>
      </c>
      <c r="X101" s="647">
        <v>0</v>
      </c>
      <c r="Y101" s="647">
        <v>0</v>
      </c>
      <c r="Z101" s="647">
        <v>0</v>
      </c>
      <c r="AA101" s="647">
        <v>8</v>
      </c>
      <c r="AB101" s="647">
        <v>6</v>
      </c>
      <c r="AC101" s="647">
        <v>14</v>
      </c>
    </row>
    <row r="102" spans="1:29" x14ac:dyDescent="0.3">
      <c r="A102" s="145">
        <v>98</v>
      </c>
      <c r="B102" s="146" t="s">
        <v>645</v>
      </c>
      <c r="C102" s="647">
        <v>0</v>
      </c>
      <c r="D102" s="647">
        <v>0</v>
      </c>
      <c r="E102" s="647">
        <v>0</v>
      </c>
      <c r="F102" s="647">
        <v>0</v>
      </c>
      <c r="G102" s="647">
        <v>0</v>
      </c>
      <c r="H102" s="647">
        <v>0</v>
      </c>
      <c r="I102" s="647">
        <v>0</v>
      </c>
      <c r="J102" s="647">
        <v>0</v>
      </c>
      <c r="K102" s="647">
        <v>0</v>
      </c>
      <c r="L102" s="647">
        <v>6</v>
      </c>
      <c r="M102" s="647">
        <v>5</v>
      </c>
      <c r="N102" s="647">
        <v>11</v>
      </c>
      <c r="O102" s="647">
        <v>0</v>
      </c>
      <c r="P102" s="647">
        <v>0</v>
      </c>
      <c r="Q102" s="647">
        <v>0</v>
      </c>
      <c r="R102" s="647">
        <v>0</v>
      </c>
      <c r="S102" s="647">
        <v>0</v>
      </c>
      <c r="T102" s="647">
        <v>0</v>
      </c>
      <c r="U102" s="647">
        <v>0</v>
      </c>
      <c r="V102" s="647">
        <v>0</v>
      </c>
      <c r="W102" s="647">
        <v>0</v>
      </c>
      <c r="X102" s="647">
        <v>2</v>
      </c>
      <c r="Y102" s="647">
        <v>1</v>
      </c>
      <c r="Z102" s="647">
        <v>3</v>
      </c>
      <c r="AA102" s="647">
        <v>8</v>
      </c>
      <c r="AB102" s="647">
        <v>6</v>
      </c>
      <c r="AC102" s="647">
        <v>14</v>
      </c>
    </row>
    <row r="103" spans="1:29" x14ac:dyDescent="0.3">
      <c r="A103" s="145">
        <v>99</v>
      </c>
      <c r="B103" s="146" t="s">
        <v>675</v>
      </c>
      <c r="C103" s="647">
        <v>0</v>
      </c>
      <c r="D103" s="647">
        <v>2</v>
      </c>
      <c r="E103" s="647">
        <v>2</v>
      </c>
      <c r="F103" s="647">
        <v>0</v>
      </c>
      <c r="G103" s="647">
        <v>0</v>
      </c>
      <c r="H103" s="647">
        <v>0</v>
      </c>
      <c r="I103" s="647">
        <v>1</v>
      </c>
      <c r="J103" s="647">
        <v>2</v>
      </c>
      <c r="K103" s="647">
        <v>3</v>
      </c>
      <c r="L103" s="647">
        <v>2</v>
      </c>
      <c r="M103" s="647">
        <v>3</v>
      </c>
      <c r="N103" s="647">
        <v>5</v>
      </c>
      <c r="O103" s="647">
        <v>0</v>
      </c>
      <c r="P103" s="647">
        <v>2</v>
      </c>
      <c r="Q103" s="647">
        <v>2</v>
      </c>
      <c r="R103" s="647">
        <v>0</v>
      </c>
      <c r="S103" s="647">
        <v>0</v>
      </c>
      <c r="T103" s="647">
        <v>0</v>
      </c>
      <c r="U103" s="647">
        <v>0</v>
      </c>
      <c r="V103" s="647">
        <v>0</v>
      </c>
      <c r="W103" s="647">
        <v>0</v>
      </c>
      <c r="X103" s="647">
        <v>0</v>
      </c>
      <c r="Y103" s="647">
        <v>0</v>
      </c>
      <c r="Z103" s="647">
        <v>0</v>
      </c>
      <c r="AA103" s="647">
        <v>3</v>
      </c>
      <c r="AB103" s="647">
        <v>9</v>
      </c>
      <c r="AC103" s="647">
        <v>12</v>
      </c>
    </row>
    <row r="104" spans="1:29" x14ac:dyDescent="0.3">
      <c r="A104" s="145">
        <v>100</v>
      </c>
      <c r="B104" s="146" t="s">
        <v>573</v>
      </c>
      <c r="C104" s="647">
        <v>0</v>
      </c>
      <c r="D104" s="647">
        <v>0</v>
      </c>
      <c r="E104" s="647">
        <v>0</v>
      </c>
      <c r="F104" s="647">
        <v>0</v>
      </c>
      <c r="G104" s="647">
        <v>0</v>
      </c>
      <c r="H104" s="647">
        <v>0</v>
      </c>
      <c r="I104" s="647">
        <v>0</v>
      </c>
      <c r="J104" s="647">
        <v>0</v>
      </c>
      <c r="K104" s="647">
        <v>0</v>
      </c>
      <c r="L104" s="647">
        <v>8</v>
      </c>
      <c r="M104" s="647">
        <v>3</v>
      </c>
      <c r="N104" s="647">
        <v>11</v>
      </c>
      <c r="O104" s="647">
        <v>0</v>
      </c>
      <c r="P104" s="647">
        <v>0</v>
      </c>
      <c r="Q104" s="647">
        <v>0</v>
      </c>
      <c r="R104" s="647">
        <v>0</v>
      </c>
      <c r="S104" s="647">
        <v>0</v>
      </c>
      <c r="T104" s="647">
        <v>0</v>
      </c>
      <c r="U104" s="647">
        <v>0</v>
      </c>
      <c r="V104" s="647">
        <v>0</v>
      </c>
      <c r="W104" s="647">
        <v>0</v>
      </c>
      <c r="X104" s="647">
        <v>0</v>
      </c>
      <c r="Y104" s="647">
        <v>0</v>
      </c>
      <c r="Z104" s="647">
        <v>0</v>
      </c>
      <c r="AA104" s="647">
        <v>8</v>
      </c>
      <c r="AB104" s="647">
        <v>3</v>
      </c>
      <c r="AC104" s="647">
        <v>11</v>
      </c>
    </row>
    <row r="105" spans="1:29" x14ac:dyDescent="0.3">
      <c r="A105" s="145">
        <v>101</v>
      </c>
      <c r="B105" s="146" t="s">
        <v>606</v>
      </c>
      <c r="C105" s="647">
        <v>0</v>
      </c>
      <c r="D105" s="647">
        <v>1</v>
      </c>
      <c r="E105" s="647">
        <v>1</v>
      </c>
      <c r="F105" s="647">
        <v>0</v>
      </c>
      <c r="G105" s="647">
        <v>0</v>
      </c>
      <c r="H105" s="647">
        <v>0</v>
      </c>
      <c r="I105" s="647">
        <v>1</v>
      </c>
      <c r="J105" s="647">
        <v>0</v>
      </c>
      <c r="K105" s="647">
        <v>1</v>
      </c>
      <c r="L105" s="647">
        <v>3</v>
      </c>
      <c r="M105" s="647">
        <v>6</v>
      </c>
      <c r="N105" s="647">
        <v>9</v>
      </c>
      <c r="O105" s="647">
        <v>0</v>
      </c>
      <c r="P105" s="647">
        <v>0</v>
      </c>
      <c r="Q105" s="647">
        <v>0</v>
      </c>
      <c r="R105" s="647">
        <v>0</v>
      </c>
      <c r="S105" s="647">
        <v>0</v>
      </c>
      <c r="T105" s="647">
        <v>0</v>
      </c>
      <c r="U105" s="647">
        <v>0</v>
      </c>
      <c r="V105" s="647">
        <v>0</v>
      </c>
      <c r="W105" s="647">
        <v>0</v>
      </c>
      <c r="X105" s="647">
        <v>0</v>
      </c>
      <c r="Y105" s="647">
        <v>0</v>
      </c>
      <c r="Z105" s="647">
        <v>0</v>
      </c>
      <c r="AA105" s="647">
        <v>4</v>
      </c>
      <c r="AB105" s="647">
        <v>7</v>
      </c>
      <c r="AC105" s="647">
        <v>11</v>
      </c>
    </row>
    <row r="106" spans="1:29" x14ac:dyDescent="0.3">
      <c r="A106" s="145">
        <v>102</v>
      </c>
      <c r="B106" s="146" t="s">
        <v>729</v>
      </c>
      <c r="C106" s="647">
        <v>0</v>
      </c>
      <c r="D106" s="647">
        <v>1</v>
      </c>
      <c r="E106" s="647">
        <v>1</v>
      </c>
      <c r="F106" s="647">
        <v>1</v>
      </c>
      <c r="G106" s="647">
        <v>0</v>
      </c>
      <c r="H106" s="647">
        <v>1</v>
      </c>
      <c r="I106" s="647">
        <v>1</v>
      </c>
      <c r="J106" s="647">
        <v>2</v>
      </c>
      <c r="K106" s="647">
        <v>3</v>
      </c>
      <c r="L106" s="647">
        <v>3</v>
      </c>
      <c r="M106" s="647">
        <v>2</v>
      </c>
      <c r="N106" s="647">
        <v>5</v>
      </c>
      <c r="O106" s="647">
        <v>0</v>
      </c>
      <c r="P106" s="647">
        <v>0</v>
      </c>
      <c r="Q106" s="647">
        <v>0</v>
      </c>
      <c r="R106" s="647">
        <v>0</v>
      </c>
      <c r="S106" s="647">
        <v>0</v>
      </c>
      <c r="T106" s="647">
        <v>0</v>
      </c>
      <c r="U106" s="647">
        <v>0</v>
      </c>
      <c r="V106" s="647">
        <v>0</v>
      </c>
      <c r="W106" s="647">
        <v>0</v>
      </c>
      <c r="X106" s="647">
        <v>0</v>
      </c>
      <c r="Y106" s="647">
        <v>0</v>
      </c>
      <c r="Z106" s="647">
        <v>0</v>
      </c>
      <c r="AA106" s="647">
        <v>5</v>
      </c>
      <c r="AB106" s="647">
        <v>5</v>
      </c>
      <c r="AC106" s="647">
        <v>10</v>
      </c>
    </row>
    <row r="107" spans="1:29" x14ac:dyDescent="0.3">
      <c r="A107" s="145">
        <v>103</v>
      </c>
      <c r="B107" s="146" t="s">
        <v>648</v>
      </c>
      <c r="C107" s="647">
        <v>0</v>
      </c>
      <c r="D107" s="647">
        <v>0</v>
      </c>
      <c r="E107" s="647">
        <v>0</v>
      </c>
      <c r="F107" s="647">
        <v>0</v>
      </c>
      <c r="G107" s="647">
        <v>0</v>
      </c>
      <c r="H107" s="647">
        <v>0</v>
      </c>
      <c r="I107" s="647">
        <v>2</v>
      </c>
      <c r="J107" s="647">
        <v>6</v>
      </c>
      <c r="K107" s="647">
        <v>8</v>
      </c>
      <c r="L107" s="647">
        <v>0</v>
      </c>
      <c r="M107" s="647">
        <v>2</v>
      </c>
      <c r="N107" s="647">
        <v>2</v>
      </c>
      <c r="O107" s="647">
        <v>0</v>
      </c>
      <c r="P107" s="647">
        <v>0</v>
      </c>
      <c r="Q107" s="647">
        <v>0</v>
      </c>
      <c r="R107" s="647">
        <v>0</v>
      </c>
      <c r="S107" s="647">
        <v>0</v>
      </c>
      <c r="T107" s="647">
        <v>0</v>
      </c>
      <c r="U107" s="647">
        <v>0</v>
      </c>
      <c r="V107" s="647">
        <v>0</v>
      </c>
      <c r="W107" s="647">
        <v>0</v>
      </c>
      <c r="X107" s="647">
        <v>0</v>
      </c>
      <c r="Y107" s="647">
        <v>0</v>
      </c>
      <c r="Z107" s="647">
        <v>0</v>
      </c>
      <c r="AA107" s="647">
        <v>2</v>
      </c>
      <c r="AB107" s="647">
        <v>8</v>
      </c>
      <c r="AC107" s="647">
        <v>10</v>
      </c>
    </row>
    <row r="108" spans="1:29" x14ac:dyDescent="0.3">
      <c r="A108" s="145">
        <v>104</v>
      </c>
      <c r="B108" s="146" t="s">
        <v>692</v>
      </c>
      <c r="C108" s="647">
        <v>0</v>
      </c>
      <c r="D108" s="647">
        <v>0</v>
      </c>
      <c r="E108" s="647">
        <v>0</v>
      </c>
      <c r="F108" s="647">
        <v>0</v>
      </c>
      <c r="G108" s="647">
        <v>0</v>
      </c>
      <c r="H108" s="647">
        <v>0</v>
      </c>
      <c r="I108" s="647">
        <v>3</v>
      </c>
      <c r="J108" s="647">
        <v>4</v>
      </c>
      <c r="K108" s="647">
        <v>7</v>
      </c>
      <c r="L108" s="647">
        <v>0</v>
      </c>
      <c r="M108" s="647">
        <v>3</v>
      </c>
      <c r="N108" s="647">
        <v>3</v>
      </c>
      <c r="O108" s="647">
        <v>0</v>
      </c>
      <c r="P108" s="647">
        <v>0</v>
      </c>
      <c r="Q108" s="647">
        <v>0</v>
      </c>
      <c r="R108" s="647">
        <v>0</v>
      </c>
      <c r="S108" s="647">
        <v>0</v>
      </c>
      <c r="T108" s="647">
        <v>0</v>
      </c>
      <c r="U108" s="647">
        <v>0</v>
      </c>
      <c r="V108" s="647">
        <v>0</v>
      </c>
      <c r="W108" s="647">
        <v>0</v>
      </c>
      <c r="X108" s="647">
        <v>0</v>
      </c>
      <c r="Y108" s="647">
        <v>0</v>
      </c>
      <c r="Z108" s="647">
        <v>0</v>
      </c>
      <c r="AA108" s="647">
        <v>3</v>
      </c>
      <c r="AB108" s="647">
        <v>7</v>
      </c>
      <c r="AC108" s="647">
        <v>10</v>
      </c>
    </row>
    <row r="109" spans="1:29" x14ac:dyDescent="0.3">
      <c r="A109" s="145">
        <v>105</v>
      </c>
      <c r="B109" s="146" t="s">
        <v>583</v>
      </c>
      <c r="C109" s="647">
        <v>0</v>
      </c>
      <c r="D109" s="647">
        <v>0</v>
      </c>
      <c r="E109" s="647">
        <v>0</v>
      </c>
      <c r="F109" s="647">
        <v>0</v>
      </c>
      <c r="G109" s="647">
        <v>0</v>
      </c>
      <c r="H109" s="647">
        <v>0</v>
      </c>
      <c r="I109" s="647">
        <v>3</v>
      </c>
      <c r="J109" s="647">
        <v>1</v>
      </c>
      <c r="K109" s="647">
        <v>4</v>
      </c>
      <c r="L109" s="647">
        <v>3</v>
      </c>
      <c r="M109" s="647">
        <v>3</v>
      </c>
      <c r="N109" s="647">
        <v>6</v>
      </c>
      <c r="O109" s="647">
        <v>0</v>
      </c>
      <c r="P109" s="647">
        <v>0</v>
      </c>
      <c r="Q109" s="647">
        <v>0</v>
      </c>
      <c r="R109" s="647">
        <v>0</v>
      </c>
      <c r="S109" s="647">
        <v>0</v>
      </c>
      <c r="T109" s="647">
        <v>0</v>
      </c>
      <c r="U109" s="647">
        <v>0</v>
      </c>
      <c r="V109" s="647">
        <v>0</v>
      </c>
      <c r="W109" s="647">
        <v>0</v>
      </c>
      <c r="X109" s="647">
        <v>0</v>
      </c>
      <c r="Y109" s="647">
        <v>0</v>
      </c>
      <c r="Z109" s="647">
        <v>0</v>
      </c>
      <c r="AA109" s="647">
        <v>6</v>
      </c>
      <c r="AB109" s="647">
        <v>4</v>
      </c>
      <c r="AC109" s="647">
        <v>10</v>
      </c>
    </row>
    <row r="110" spans="1:29" x14ac:dyDescent="0.3">
      <c r="A110" s="145">
        <v>106</v>
      </c>
      <c r="B110" s="146" t="s">
        <v>680</v>
      </c>
      <c r="C110" s="647">
        <v>2</v>
      </c>
      <c r="D110" s="647">
        <v>0</v>
      </c>
      <c r="E110" s="647">
        <v>2</v>
      </c>
      <c r="F110" s="647">
        <v>0</v>
      </c>
      <c r="G110" s="647">
        <v>0</v>
      </c>
      <c r="H110" s="647">
        <v>0</v>
      </c>
      <c r="I110" s="647">
        <v>0</v>
      </c>
      <c r="J110" s="647">
        <v>0</v>
      </c>
      <c r="K110" s="647">
        <v>0</v>
      </c>
      <c r="L110" s="647">
        <v>3</v>
      </c>
      <c r="M110" s="647">
        <v>3</v>
      </c>
      <c r="N110" s="647">
        <v>6</v>
      </c>
      <c r="O110" s="647">
        <v>0</v>
      </c>
      <c r="P110" s="647">
        <v>0</v>
      </c>
      <c r="Q110" s="647">
        <v>0</v>
      </c>
      <c r="R110" s="647">
        <v>0</v>
      </c>
      <c r="S110" s="647">
        <v>0</v>
      </c>
      <c r="T110" s="647">
        <v>0</v>
      </c>
      <c r="U110" s="647">
        <v>0</v>
      </c>
      <c r="V110" s="647">
        <v>0</v>
      </c>
      <c r="W110" s="647">
        <v>0</v>
      </c>
      <c r="X110" s="647">
        <v>1</v>
      </c>
      <c r="Y110" s="647">
        <v>1</v>
      </c>
      <c r="Z110" s="647">
        <v>2</v>
      </c>
      <c r="AA110" s="647">
        <v>6</v>
      </c>
      <c r="AB110" s="647">
        <v>4</v>
      </c>
      <c r="AC110" s="647">
        <v>10</v>
      </c>
    </row>
    <row r="111" spans="1:29" x14ac:dyDescent="0.3">
      <c r="A111" s="145">
        <v>107</v>
      </c>
      <c r="B111" s="146" t="s">
        <v>575</v>
      </c>
      <c r="C111" s="647">
        <v>0</v>
      </c>
      <c r="D111" s="647">
        <v>1</v>
      </c>
      <c r="E111" s="647">
        <v>1</v>
      </c>
      <c r="F111" s="647">
        <v>0</v>
      </c>
      <c r="G111" s="647">
        <v>0</v>
      </c>
      <c r="H111" s="647">
        <v>0</v>
      </c>
      <c r="I111" s="647">
        <v>1</v>
      </c>
      <c r="J111" s="647">
        <v>0</v>
      </c>
      <c r="K111" s="647">
        <v>1</v>
      </c>
      <c r="L111" s="647">
        <v>2</v>
      </c>
      <c r="M111" s="647">
        <v>5</v>
      </c>
      <c r="N111" s="647">
        <v>7</v>
      </c>
      <c r="O111" s="647">
        <v>0</v>
      </c>
      <c r="P111" s="647">
        <v>0</v>
      </c>
      <c r="Q111" s="647">
        <v>0</v>
      </c>
      <c r="R111" s="647">
        <v>0</v>
      </c>
      <c r="S111" s="647">
        <v>0</v>
      </c>
      <c r="T111" s="647">
        <v>0</v>
      </c>
      <c r="U111" s="647">
        <v>0</v>
      </c>
      <c r="V111" s="647">
        <v>0</v>
      </c>
      <c r="W111" s="647">
        <v>0</v>
      </c>
      <c r="X111" s="647">
        <v>0</v>
      </c>
      <c r="Y111" s="647">
        <v>0</v>
      </c>
      <c r="Z111" s="647">
        <v>0</v>
      </c>
      <c r="AA111" s="647">
        <v>3</v>
      </c>
      <c r="AB111" s="647">
        <v>6</v>
      </c>
      <c r="AC111" s="647">
        <v>9</v>
      </c>
    </row>
    <row r="112" spans="1:29" x14ac:dyDescent="0.3">
      <c r="A112" s="145">
        <v>108</v>
      </c>
      <c r="B112" s="146" t="s">
        <v>579</v>
      </c>
      <c r="C112" s="647">
        <v>0</v>
      </c>
      <c r="D112" s="647">
        <v>0</v>
      </c>
      <c r="E112" s="647">
        <v>0</v>
      </c>
      <c r="F112" s="647">
        <v>0</v>
      </c>
      <c r="G112" s="647">
        <v>0</v>
      </c>
      <c r="H112" s="647">
        <v>0</v>
      </c>
      <c r="I112" s="647">
        <v>3</v>
      </c>
      <c r="J112" s="647">
        <v>2</v>
      </c>
      <c r="K112" s="647">
        <v>5</v>
      </c>
      <c r="L112" s="647">
        <v>4</v>
      </c>
      <c r="M112" s="647">
        <v>0</v>
      </c>
      <c r="N112" s="647">
        <v>4</v>
      </c>
      <c r="O112" s="647">
        <v>0</v>
      </c>
      <c r="P112" s="647">
        <v>0</v>
      </c>
      <c r="Q112" s="647">
        <v>0</v>
      </c>
      <c r="R112" s="647">
        <v>0</v>
      </c>
      <c r="S112" s="647">
        <v>0</v>
      </c>
      <c r="T112" s="647">
        <v>0</v>
      </c>
      <c r="U112" s="647">
        <v>0</v>
      </c>
      <c r="V112" s="647">
        <v>0</v>
      </c>
      <c r="W112" s="647">
        <v>0</v>
      </c>
      <c r="X112" s="647">
        <v>0</v>
      </c>
      <c r="Y112" s="647">
        <v>0</v>
      </c>
      <c r="Z112" s="647">
        <v>0</v>
      </c>
      <c r="AA112" s="647">
        <v>7</v>
      </c>
      <c r="AB112" s="647">
        <v>2</v>
      </c>
      <c r="AC112" s="647">
        <v>9</v>
      </c>
    </row>
    <row r="113" spans="1:29" x14ac:dyDescent="0.3">
      <c r="A113" s="145">
        <v>109</v>
      </c>
      <c r="B113" s="146" t="s">
        <v>639</v>
      </c>
      <c r="C113" s="647">
        <v>0</v>
      </c>
      <c r="D113" s="647">
        <v>0</v>
      </c>
      <c r="E113" s="647">
        <v>0</v>
      </c>
      <c r="F113" s="647">
        <v>0</v>
      </c>
      <c r="G113" s="647">
        <v>0</v>
      </c>
      <c r="H113" s="647">
        <v>0</v>
      </c>
      <c r="I113" s="647">
        <v>2</v>
      </c>
      <c r="J113" s="647">
        <v>3</v>
      </c>
      <c r="K113" s="647">
        <v>5</v>
      </c>
      <c r="L113" s="647">
        <v>0</v>
      </c>
      <c r="M113" s="647">
        <v>1</v>
      </c>
      <c r="N113" s="647">
        <v>1</v>
      </c>
      <c r="O113" s="647">
        <v>0</v>
      </c>
      <c r="P113" s="647">
        <v>0</v>
      </c>
      <c r="Q113" s="647">
        <v>0</v>
      </c>
      <c r="R113" s="647">
        <v>3</v>
      </c>
      <c r="S113" s="647">
        <v>0</v>
      </c>
      <c r="T113" s="647">
        <v>3</v>
      </c>
      <c r="U113" s="647">
        <v>0</v>
      </c>
      <c r="V113" s="647">
        <v>0</v>
      </c>
      <c r="W113" s="647">
        <v>0</v>
      </c>
      <c r="X113" s="647">
        <v>0</v>
      </c>
      <c r="Y113" s="647">
        <v>0</v>
      </c>
      <c r="Z113" s="647">
        <v>0</v>
      </c>
      <c r="AA113" s="647">
        <v>5</v>
      </c>
      <c r="AB113" s="647">
        <v>4</v>
      </c>
      <c r="AC113" s="647">
        <v>9</v>
      </c>
    </row>
    <row r="114" spans="1:29" x14ac:dyDescent="0.3">
      <c r="A114" s="145">
        <v>110</v>
      </c>
      <c r="B114" s="146" t="s">
        <v>653</v>
      </c>
      <c r="C114" s="647">
        <v>0</v>
      </c>
      <c r="D114" s="647">
        <v>1</v>
      </c>
      <c r="E114" s="647">
        <v>1</v>
      </c>
      <c r="F114" s="647">
        <v>0</v>
      </c>
      <c r="G114" s="647">
        <v>0</v>
      </c>
      <c r="H114" s="647">
        <v>0</v>
      </c>
      <c r="I114" s="647">
        <v>0</v>
      </c>
      <c r="J114" s="647">
        <v>1</v>
      </c>
      <c r="K114" s="647">
        <v>1</v>
      </c>
      <c r="L114" s="647">
        <v>1</v>
      </c>
      <c r="M114" s="647">
        <v>4</v>
      </c>
      <c r="N114" s="647">
        <v>5</v>
      </c>
      <c r="O114" s="647">
        <v>0</v>
      </c>
      <c r="P114" s="647">
        <v>0</v>
      </c>
      <c r="Q114" s="647">
        <v>0</v>
      </c>
      <c r="R114" s="647">
        <v>1</v>
      </c>
      <c r="S114" s="647">
        <v>0</v>
      </c>
      <c r="T114" s="647">
        <v>1</v>
      </c>
      <c r="U114" s="647">
        <v>0</v>
      </c>
      <c r="V114" s="647">
        <v>0</v>
      </c>
      <c r="W114" s="647">
        <v>0</v>
      </c>
      <c r="X114" s="647">
        <v>0</v>
      </c>
      <c r="Y114" s="647">
        <v>0</v>
      </c>
      <c r="Z114" s="647">
        <v>0</v>
      </c>
      <c r="AA114" s="647">
        <v>2</v>
      </c>
      <c r="AB114" s="647">
        <v>6</v>
      </c>
      <c r="AC114" s="647">
        <v>8</v>
      </c>
    </row>
    <row r="115" spans="1:29" x14ac:dyDescent="0.3">
      <c r="A115" s="145">
        <v>111</v>
      </c>
      <c r="B115" s="146" t="s">
        <v>718</v>
      </c>
      <c r="C115" s="647">
        <v>0</v>
      </c>
      <c r="D115" s="647">
        <v>0</v>
      </c>
      <c r="E115" s="647">
        <v>0</v>
      </c>
      <c r="F115" s="647">
        <v>0</v>
      </c>
      <c r="G115" s="647">
        <v>0</v>
      </c>
      <c r="H115" s="647">
        <v>0</v>
      </c>
      <c r="I115" s="647">
        <v>1</v>
      </c>
      <c r="J115" s="647">
        <v>1</v>
      </c>
      <c r="K115" s="647">
        <v>2</v>
      </c>
      <c r="L115" s="647">
        <v>3</v>
      </c>
      <c r="M115" s="647">
        <v>2</v>
      </c>
      <c r="N115" s="647">
        <v>5</v>
      </c>
      <c r="O115" s="647">
        <v>0</v>
      </c>
      <c r="P115" s="647">
        <v>0</v>
      </c>
      <c r="Q115" s="647">
        <v>0</v>
      </c>
      <c r="R115" s="647">
        <v>0</v>
      </c>
      <c r="S115" s="647">
        <v>1</v>
      </c>
      <c r="T115" s="647">
        <v>1</v>
      </c>
      <c r="U115" s="647">
        <v>0</v>
      </c>
      <c r="V115" s="647">
        <v>0</v>
      </c>
      <c r="W115" s="647">
        <v>0</v>
      </c>
      <c r="X115" s="647">
        <v>0</v>
      </c>
      <c r="Y115" s="647">
        <v>0</v>
      </c>
      <c r="Z115" s="647">
        <v>0</v>
      </c>
      <c r="AA115" s="647">
        <v>4</v>
      </c>
      <c r="AB115" s="647">
        <v>4</v>
      </c>
      <c r="AC115" s="647">
        <v>8</v>
      </c>
    </row>
    <row r="116" spans="1:29" x14ac:dyDescent="0.3">
      <c r="A116" s="145">
        <v>112</v>
      </c>
      <c r="B116" s="146" t="s">
        <v>584</v>
      </c>
      <c r="C116" s="647">
        <v>0</v>
      </c>
      <c r="D116" s="647">
        <v>0</v>
      </c>
      <c r="E116" s="647">
        <v>0</v>
      </c>
      <c r="F116" s="647">
        <v>0</v>
      </c>
      <c r="G116" s="647">
        <v>0</v>
      </c>
      <c r="H116" s="647">
        <v>0</v>
      </c>
      <c r="I116" s="647">
        <v>0</v>
      </c>
      <c r="J116" s="647">
        <v>0</v>
      </c>
      <c r="K116" s="647">
        <v>0</v>
      </c>
      <c r="L116" s="647">
        <v>6</v>
      </c>
      <c r="M116" s="647">
        <v>1</v>
      </c>
      <c r="N116" s="647">
        <v>7</v>
      </c>
      <c r="O116" s="647">
        <v>0</v>
      </c>
      <c r="P116" s="647">
        <v>0</v>
      </c>
      <c r="Q116" s="647">
        <v>0</v>
      </c>
      <c r="R116" s="647">
        <v>0</v>
      </c>
      <c r="S116" s="647">
        <v>0</v>
      </c>
      <c r="T116" s="647">
        <v>0</v>
      </c>
      <c r="U116" s="647">
        <v>0</v>
      </c>
      <c r="V116" s="647">
        <v>0</v>
      </c>
      <c r="W116" s="647">
        <v>0</v>
      </c>
      <c r="X116" s="647">
        <v>0</v>
      </c>
      <c r="Y116" s="647">
        <v>0</v>
      </c>
      <c r="Z116" s="647">
        <v>0</v>
      </c>
      <c r="AA116" s="647">
        <v>6</v>
      </c>
      <c r="AB116" s="647">
        <v>1</v>
      </c>
      <c r="AC116" s="647">
        <v>7</v>
      </c>
    </row>
    <row r="117" spans="1:29" x14ac:dyDescent="0.3">
      <c r="A117" s="145">
        <v>113</v>
      </c>
      <c r="B117" s="146" t="s">
        <v>590</v>
      </c>
      <c r="C117" s="647">
        <v>0</v>
      </c>
      <c r="D117" s="647">
        <v>0</v>
      </c>
      <c r="E117" s="647">
        <v>0</v>
      </c>
      <c r="F117" s="647">
        <v>0</v>
      </c>
      <c r="G117" s="647">
        <v>0</v>
      </c>
      <c r="H117" s="647">
        <v>0</v>
      </c>
      <c r="I117" s="647">
        <v>1</v>
      </c>
      <c r="J117" s="647">
        <v>0</v>
      </c>
      <c r="K117" s="647">
        <v>1</v>
      </c>
      <c r="L117" s="647">
        <v>2</v>
      </c>
      <c r="M117" s="647">
        <v>0</v>
      </c>
      <c r="N117" s="647">
        <v>2</v>
      </c>
      <c r="O117" s="647">
        <v>0</v>
      </c>
      <c r="P117" s="647">
        <v>0</v>
      </c>
      <c r="Q117" s="647">
        <v>0</v>
      </c>
      <c r="R117" s="647">
        <v>2</v>
      </c>
      <c r="S117" s="647">
        <v>0</v>
      </c>
      <c r="T117" s="647">
        <v>2</v>
      </c>
      <c r="U117" s="647">
        <v>2</v>
      </c>
      <c r="V117" s="647">
        <v>0</v>
      </c>
      <c r="W117" s="647">
        <v>2</v>
      </c>
      <c r="X117" s="647">
        <v>0</v>
      </c>
      <c r="Y117" s="647">
        <v>0</v>
      </c>
      <c r="Z117" s="647">
        <v>0</v>
      </c>
      <c r="AA117" s="647">
        <v>7</v>
      </c>
      <c r="AB117" s="647">
        <v>0</v>
      </c>
      <c r="AC117" s="647">
        <v>7</v>
      </c>
    </row>
    <row r="118" spans="1:29" x14ac:dyDescent="0.3">
      <c r="A118" s="145">
        <v>114</v>
      </c>
      <c r="B118" s="146" t="s">
        <v>704</v>
      </c>
      <c r="C118" s="647">
        <v>1</v>
      </c>
      <c r="D118" s="647">
        <v>0</v>
      </c>
      <c r="E118" s="647">
        <v>1</v>
      </c>
      <c r="F118" s="647">
        <v>0</v>
      </c>
      <c r="G118" s="647">
        <v>0</v>
      </c>
      <c r="H118" s="647">
        <v>0</v>
      </c>
      <c r="I118" s="647">
        <v>1</v>
      </c>
      <c r="J118" s="647">
        <v>0</v>
      </c>
      <c r="K118" s="647">
        <v>1</v>
      </c>
      <c r="L118" s="647">
        <v>0</v>
      </c>
      <c r="M118" s="647">
        <v>5</v>
      </c>
      <c r="N118" s="647">
        <v>5</v>
      </c>
      <c r="O118" s="647">
        <v>0</v>
      </c>
      <c r="P118" s="647">
        <v>0</v>
      </c>
      <c r="Q118" s="647">
        <v>0</v>
      </c>
      <c r="R118" s="647">
        <v>0</v>
      </c>
      <c r="S118" s="647">
        <v>0</v>
      </c>
      <c r="T118" s="647">
        <v>0</v>
      </c>
      <c r="U118" s="647">
        <v>0</v>
      </c>
      <c r="V118" s="647">
        <v>0</v>
      </c>
      <c r="W118" s="647">
        <v>0</v>
      </c>
      <c r="X118" s="647">
        <v>0</v>
      </c>
      <c r="Y118" s="647">
        <v>0</v>
      </c>
      <c r="Z118" s="647">
        <v>0</v>
      </c>
      <c r="AA118" s="647">
        <v>2</v>
      </c>
      <c r="AB118" s="647">
        <v>5</v>
      </c>
      <c r="AC118" s="647">
        <v>7</v>
      </c>
    </row>
    <row r="119" spans="1:29" ht="16.5" customHeight="1" x14ac:dyDescent="0.3">
      <c r="A119" s="145">
        <v>115</v>
      </c>
      <c r="B119" s="146" t="s">
        <v>608</v>
      </c>
      <c r="C119" s="647">
        <v>2</v>
      </c>
      <c r="D119" s="647">
        <v>0</v>
      </c>
      <c r="E119" s="647">
        <v>2</v>
      </c>
      <c r="F119" s="647">
        <v>0</v>
      </c>
      <c r="G119" s="647">
        <v>0</v>
      </c>
      <c r="H119" s="647">
        <v>0</v>
      </c>
      <c r="I119" s="647">
        <v>1</v>
      </c>
      <c r="J119" s="647">
        <v>0</v>
      </c>
      <c r="K119" s="647">
        <v>1</v>
      </c>
      <c r="L119" s="647">
        <v>2</v>
      </c>
      <c r="M119" s="647">
        <v>0</v>
      </c>
      <c r="N119" s="647">
        <v>2</v>
      </c>
      <c r="O119" s="647">
        <v>0</v>
      </c>
      <c r="P119" s="647">
        <v>0</v>
      </c>
      <c r="Q119" s="647">
        <v>0</v>
      </c>
      <c r="R119" s="647">
        <v>0</v>
      </c>
      <c r="S119" s="647">
        <v>0</v>
      </c>
      <c r="T119" s="647">
        <v>0</v>
      </c>
      <c r="U119" s="647">
        <v>1</v>
      </c>
      <c r="V119" s="647">
        <v>0</v>
      </c>
      <c r="W119" s="647">
        <v>1</v>
      </c>
      <c r="X119" s="647">
        <v>0</v>
      </c>
      <c r="Y119" s="647">
        <v>0</v>
      </c>
      <c r="Z119" s="647">
        <v>0</v>
      </c>
      <c r="AA119" s="647">
        <v>6</v>
      </c>
      <c r="AB119" s="647">
        <v>0</v>
      </c>
      <c r="AC119" s="647">
        <v>6</v>
      </c>
    </row>
    <row r="120" spans="1:29" x14ac:dyDescent="0.3">
      <c r="A120" s="145">
        <v>116</v>
      </c>
      <c r="B120" s="146" t="s">
        <v>713</v>
      </c>
      <c r="C120" s="647">
        <v>0</v>
      </c>
      <c r="D120" s="647">
        <v>0</v>
      </c>
      <c r="E120" s="647">
        <v>0</v>
      </c>
      <c r="F120" s="647">
        <v>0</v>
      </c>
      <c r="G120" s="647">
        <v>0</v>
      </c>
      <c r="H120" s="647">
        <v>0</v>
      </c>
      <c r="I120" s="647">
        <v>0</v>
      </c>
      <c r="J120" s="647">
        <v>1</v>
      </c>
      <c r="K120" s="647">
        <v>1</v>
      </c>
      <c r="L120" s="647">
        <v>2</v>
      </c>
      <c r="M120" s="647">
        <v>2</v>
      </c>
      <c r="N120" s="647">
        <v>4</v>
      </c>
      <c r="O120" s="647">
        <v>0</v>
      </c>
      <c r="P120" s="647">
        <v>0</v>
      </c>
      <c r="Q120" s="647">
        <v>0</v>
      </c>
      <c r="R120" s="647">
        <v>1</v>
      </c>
      <c r="S120" s="647">
        <v>0</v>
      </c>
      <c r="T120" s="647">
        <v>1</v>
      </c>
      <c r="U120" s="647">
        <v>0</v>
      </c>
      <c r="V120" s="647">
        <v>0</v>
      </c>
      <c r="W120" s="647">
        <v>0</v>
      </c>
      <c r="X120" s="647">
        <v>0</v>
      </c>
      <c r="Y120" s="647">
        <v>0</v>
      </c>
      <c r="Z120" s="647">
        <v>0</v>
      </c>
      <c r="AA120" s="647">
        <v>3</v>
      </c>
      <c r="AB120" s="647">
        <v>3</v>
      </c>
      <c r="AC120" s="647">
        <v>6</v>
      </c>
    </row>
    <row r="121" spans="1:29" x14ac:dyDescent="0.3">
      <c r="A121" s="145">
        <v>117</v>
      </c>
      <c r="B121" s="146" t="s">
        <v>696</v>
      </c>
      <c r="C121" s="647">
        <v>0</v>
      </c>
      <c r="D121" s="647">
        <v>1</v>
      </c>
      <c r="E121" s="647">
        <v>1</v>
      </c>
      <c r="F121" s="647">
        <v>0</v>
      </c>
      <c r="G121" s="647">
        <v>0</v>
      </c>
      <c r="H121" s="647">
        <v>0</v>
      </c>
      <c r="I121" s="647">
        <v>0</v>
      </c>
      <c r="J121" s="647">
        <v>0</v>
      </c>
      <c r="K121" s="647">
        <v>0</v>
      </c>
      <c r="L121" s="647">
        <v>2</v>
      </c>
      <c r="M121" s="647">
        <v>2</v>
      </c>
      <c r="N121" s="647">
        <v>4</v>
      </c>
      <c r="O121" s="647">
        <v>0</v>
      </c>
      <c r="P121" s="647">
        <v>0</v>
      </c>
      <c r="Q121" s="647">
        <v>0</v>
      </c>
      <c r="R121" s="647">
        <v>0</v>
      </c>
      <c r="S121" s="647">
        <v>0</v>
      </c>
      <c r="T121" s="647">
        <v>0</v>
      </c>
      <c r="U121" s="647">
        <v>0</v>
      </c>
      <c r="V121" s="647">
        <v>1</v>
      </c>
      <c r="W121" s="647">
        <v>1</v>
      </c>
      <c r="X121" s="647">
        <v>0</v>
      </c>
      <c r="Y121" s="647">
        <v>0</v>
      </c>
      <c r="Z121" s="647">
        <v>0</v>
      </c>
      <c r="AA121" s="647">
        <v>2</v>
      </c>
      <c r="AB121" s="647">
        <v>4</v>
      </c>
      <c r="AC121" s="647">
        <v>6</v>
      </c>
    </row>
    <row r="122" spans="1:29" x14ac:dyDescent="0.3">
      <c r="A122" s="145">
        <v>118</v>
      </c>
      <c r="B122" s="146" t="s">
        <v>630</v>
      </c>
      <c r="C122" s="647">
        <v>0</v>
      </c>
      <c r="D122" s="647">
        <v>1</v>
      </c>
      <c r="E122" s="647">
        <v>1</v>
      </c>
      <c r="F122" s="647">
        <v>0</v>
      </c>
      <c r="G122" s="647">
        <v>0</v>
      </c>
      <c r="H122" s="647">
        <v>0</v>
      </c>
      <c r="I122" s="647">
        <v>2</v>
      </c>
      <c r="J122" s="647">
        <v>0</v>
      </c>
      <c r="K122" s="647">
        <v>2</v>
      </c>
      <c r="L122" s="647">
        <v>1</v>
      </c>
      <c r="M122" s="647">
        <v>0</v>
      </c>
      <c r="N122" s="647">
        <v>1</v>
      </c>
      <c r="O122" s="647">
        <v>0</v>
      </c>
      <c r="P122" s="647">
        <v>0</v>
      </c>
      <c r="Q122" s="647">
        <v>0</v>
      </c>
      <c r="R122" s="647">
        <v>0</v>
      </c>
      <c r="S122" s="647">
        <v>0</v>
      </c>
      <c r="T122" s="647">
        <v>0</v>
      </c>
      <c r="U122" s="647">
        <v>1</v>
      </c>
      <c r="V122" s="647">
        <v>0</v>
      </c>
      <c r="W122" s="647">
        <v>1</v>
      </c>
      <c r="X122" s="647">
        <v>0</v>
      </c>
      <c r="Y122" s="647">
        <v>0</v>
      </c>
      <c r="Z122" s="647">
        <v>0</v>
      </c>
      <c r="AA122" s="647">
        <v>4</v>
      </c>
      <c r="AB122" s="647">
        <v>1</v>
      </c>
      <c r="AC122" s="647">
        <v>5</v>
      </c>
    </row>
    <row r="123" spans="1:29" x14ac:dyDescent="0.3">
      <c r="A123" s="145">
        <v>119</v>
      </c>
      <c r="B123" s="146" t="s">
        <v>582</v>
      </c>
      <c r="C123" s="647">
        <v>0</v>
      </c>
      <c r="D123" s="647">
        <v>0</v>
      </c>
      <c r="E123" s="647">
        <v>0</v>
      </c>
      <c r="F123" s="647">
        <v>0</v>
      </c>
      <c r="G123" s="647">
        <v>0</v>
      </c>
      <c r="H123" s="647">
        <v>0</v>
      </c>
      <c r="I123" s="647">
        <v>2</v>
      </c>
      <c r="J123" s="647">
        <v>0</v>
      </c>
      <c r="K123" s="647">
        <v>2</v>
      </c>
      <c r="L123" s="647">
        <v>3</v>
      </c>
      <c r="M123" s="647">
        <v>0</v>
      </c>
      <c r="N123" s="647">
        <v>3</v>
      </c>
      <c r="O123" s="647">
        <v>0</v>
      </c>
      <c r="P123" s="647">
        <v>0</v>
      </c>
      <c r="Q123" s="647">
        <v>0</v>
      </c>
      <c r="R123" s="647">
        <v>0</v>
      </c>
      <c r="S123" s="647">
        <v>0</v>
      </c>
      <c r="T123" s="647">
        <v>0</v>
      </c>
      <c r="U123" s="647">
        <v>0</v>
      </c>
      <c r="V123" s="647">
        <v>0</v>
      </c>
      <c r="W123" s="647">
        <v>0</v>
      </c>
      <c r="X123" s="647">
        <v>0</v>
      </c>
      <c r="Y123" s="647">
        <v>0</v>
      </c>
      <c r="Z123" s="647">
        <v>0</v>
      </c>
      <c r="AA123" s="647">
        <v>5</v>
      </c>
      <c r="AB123" s="647">
        <v>0</v>
      </c>
      <c r="AC123" s="647">
        <v>5</v>
      </c>
    </row>
    <row r="124" spans="1:29" x14ac:dyDescent="0.3">
      <c r="A124" s="145">
        <v>120</v>
      </c>
      <c r="B124" s="146" t="s">
        <v>659</v>
      </c>
      <c r="C124" s="647">
        <v>0</v>
      </c>
      <c r="D124" s="647">
        <v>0</v>
      </c>
      <c r="E124" s="647">
        <v>0</v>
      </c>
      <c r="F124" s="647">
        <v>0</v>
      </c>
      <c r="G124" s="647">
        <v>0</v>
      </c>
      <c r="H124" s="647">
        <v>0</v>
      </c>
      <c r="I124" s="647">
        <v>0</v>
      </c>
      <c r="J124" s="647">
        <v>0</v>
      </c>
      <c r="K124" s="647">
        <v>0</v>
      </c>
      <c r="L124" s="647">
        <v>3</v>
      </c>
      <c r="M124" s="647">
        <v>1</v>
      </c>
      <c r="N124" s="647">
        <v>4</v>
      </c>
      <c r="O124" s="647">
        <v>0</v>
      </c>
      <c r="P124" s="647">
        <v>1</v>
      </c>
      <c r="Q124" s="647">
        <v>1</v>
      </c>
      <c r="R124" s="647">
        <v>0</v>
      </c>
      <c r="S124" s="647">
        <v>0</v>
      </c>
      <c r="T124" s="647">
        <v>0</v>
      </c>
      <c r="U124" s="647">
        <v>0</v>
      </c>
      <c r="V124" s="647">
        <v>0</v>
      </c>
      <c r="W124" s="647">
        <v>0</v>
      </c>
      <c r="X124" s="647">
        <v>0</v>
      </c>
      <c r="Y124" s="647">
        <v>0</v>
      </c>
      <c r="Z124" s="647">
        <v>0</v>
      </c>
      <c r="AA124" s="647">
        <v>3</v>
      </c>
      <c r="AB124" s="647">
        <v>2</v>
      </c>
      <c r="AC124" s="647">
        <v>5</v>
      </c>
    </row>
    <row r="125" spans="1:29" x14ac:dyDescent="0.3">
      <c r="A125" s="145">
        <v>121</v>
      </c>
      <c r="B125" s="146" t="s">
        <v>727</v>
      </c>
      <c r="C125" s="647">
        <v>1</v>
      </c>
      <c r="D125" s="647">
        <v>1</v>
      </c>
      <c r="E125" s="647">
        <v>2</v>
      </c>
      <c r="F125" s="647">
        <v>0</v>
      </c>
      <c r="G125" s="647">
        <v>0</v>
      </c>
      <c r="H125" s="647">
        <v>0</v>
      </c>
      <c r="I125" s="647">
        <v>0</v>
      </c>
      <c r="J125" s="647">
        <v>0</v>
      </c>
      <c r="K125" s="647">
        <v>0</v>
      </c>
      <c r="L125" s="647">
        <v>1</v>
      </c>
      <c r="M125" s="647">
        <v>0</v>
      </c>
      <c r="N125" s="647">
        <v>1</v>
      </c>
      <c r="O125" s="647">
        <v>1</v>
      </c>
      <c r="P125" s="647">
        <v>0</v>
      </c>
      <c r="Q125" s="647">
        <v>1</v>
      </c>
      <c r="R125" s="647">
        <v>0</v>
      </c>
      <c r="S125" s="647">
        <v>0</v>
      </c>
      <c r="T125" s="647">
        <v>0</v>
      </c>
      <c r="U125" s="647">
        <v>0</v>
      </c>
      <c r="V125" s="647">
        <v>0</v>
      </c>
      <c r="W125" s="647">
        <v>0</v>
      </c>
      <c r="X125" s="647">
        <v>0</v>
      </c>
      <c r="Y125" s="647">
        <v>0</v>
      </c>
      <c r="Z125" s="647">
        <v>0</v>
      </c>
      <c r="AA125" s="647">
        <v>3</v>
      </c>
      <c r="AB125" s="647">
        <v>1</v>
      </c>
      <c r="AC125" s="647">
        <v>4</v>
      </c>
    </row>
    <row r="126" spans="1:29" x14ac:dyDescent="0.3">
      <c r="A126" s="145">
        <v>122</v>
      </c>
      <c r="B126" s="146" t="s">
        <v>656</v>
      </c>
      <c r="C126" s="647">
        <v>0</v>
      </c>
      <c r="D126" s="647">
        <v>0</v>
      </c>
      <c r="E126" s="647">
        <v>0</v>
      </c>
      <c r="F126" s="647">
        <v>0</v>
      </c>
      <c r="G126" s="647">
        <v>0</v>
      </c>
      <c r="H126" s="647">
        <v>0</v>
      </c>
      <c r="I126" s="647">
        <v>0</v>
      </c>
      <c r="J126" s="647">
        <v>0</v>
      </c>
      <c r="K126" s="647">
        <v>0</v>
      </c>
      <c r="L126" s="647">
        <v>2</v>
      </c>
      <c r="M126" s="647">
        <v>2</v>
      </c>
      <c r="N126" s="647">
        <v>4</v>
      </c>
      <c r="O126" s="647">
        <v>0</v>
      </c>
      <c r="P126" s="647">
        <v>0</v>
      </c>
      <c r="Q126" s="647">
        <v>0</v>
      </c>
      <c r="R126" s="647">
        <v>0</v>
      </c>
      <c r="S126" s="647">
        <v>0</v>
      </c>
      <c r="T126" s="647">
        <v>0</v>
      </c>
      <c r="U126" s="647">
        <v>0</v>
      </c>
      <c r="V126" s="647">
        <v>0</v>
      </c>
      <c r="W126" s="647">
        <v>0</v>
      </c>
      <c r="X126" s="647">
        <v>0</v>
      </c>
      <c r="Y126" s="647">
        <v>0</v>
      </c>
      <c r="Z126" s="647">
        <v>0</v>
      </c>
      <c r="AA126" s="647">
        <v>2</v>
      </c>
      <c r="AB126" s="647">
        <v>2</v>
      </c>
      <c r="AC126" s="647">
        <v>4</v>
      </c>
    </row>
    <row r="127" spans="1:29" x14ac:dyDescent="0.3">
      <c r="A127" s="145">
        <v>123</v>
      </c>
      <c r="B127" s="146" t="s">
        <v>617</v>
      </c>
      <c r="C127" s="647">
        <v>0</v>
      </c>
      <c r="D127" s="647">
        <v>0</v>
      </c>
      <c r="E127" s="647">
        <v>0</v>
      </c>
      <c r="F127" s="647">
        <v>0</v>
      </c>
      <c r="G127" s="647">
        <v>0</v>
      </c>
      <c r="H127" s="647">
        <v>0</v>
      </c>
      <c r="I127" s="647">
        <v>0</v>
      </c>
      <c r="J127" s="647">
        <v>2</v>
      </c>
      <c r="K127" s="647">
        <v>2</v>
      </c>
      <c r="L127" s="647">
        <v>2</v>
      </c>
      <c r="M127" s="647">
        <v>0</v>
      </c>
      <c r="N127" s="647">
        <v>2</v>
      </c>
      <c r="O127" s="647">
        <v>0</v>
      </c>
      <c r="P127" s="647">
        <v>0</v>
      </c>
      <c r="Q127" s="647">
        <v>0</v>
      </c>
      <c r="R127" s="647">
        <v>0</v>
      </c>
      <c r="S127" s="647">
        <v>0</v>
      </c>
      <c r="T127" s="647">
        <v>0</v>
      </c>
      <c r="U127" s="647">
        <v>0</v>
      </c>
      <c r="V127" s="647">
        <v>0</v>
      </c>
      <c r="W127" s="647">
        <v>0</v>
      </c>
      <c r="X127" s="647">
        <v>0</v>
      </c>
      <c r="Y127" s="647">
        <v>0</v>
      </c>
      <c r="Z127" s="647">
        <v>0</v>
      </c>
      <c r="AA127" s="647">
        <v>2</v>
      </c>
      <c r="AB127" s="647">
        <v>2</v>
      </c>
      <c r="AC127" s="647">
        <v>4</v>
      </c>
    </row>
    <row r="128" spans="1:29" x14ac:dyDescent="0.3">
      <c r="A128" s="145">
        <v>124</v>
      </c>
      <c r="B128" s="146" t="s">
        <v>688</v>
      </c>
      <c r="C128" s="647">
        <v>0</v>
      </c>
      <c r="D128" s="647">
        <v>0</v>
      </c>
      <c r="E128" s="647">
        <v>0</v>
      </c>
      <c r="F128" s="647">
        <v>0</v>
      </c>
      <c r="G128" s="647">
        <v>0</v>
      </c>
      <c r="H128" s="647">
        <v>0</v>
      </c>
      <c r="I128" s="647">
        <v>0</v>
      </c>
      <c r="J128" s="647">
        <v>0</v>
      </c>
      <c r="K128" s="647">
        <v>0</v>
      </c>
      <c r="L128" s="647">
        <v>1</v>
      </c>
      <c r="M128" s="647">
        <v>2</v>
      </c>
      <c r="N128" s="647">
        <v>3</v>
      </c>
      <c r="O128" s="647">
        <v>0</v>
      </c>
      <c r="P128" s="647">
        <v>0</v>
      </c>
      <c r="Q128" s="647">
        <v>0</v>
      </c>
      <c r="R128" s="647">
        <v>0</v>
      </c>
      <c r="S128" s="647">
        <v>0</v>
      </c>
      <c r="T128" s="647">
        <v>0</v>
      </c>
      <c r="U128" s="647">
        <v>1</v>
      </c>
      <c r="V128" s="647">
        <v>0</v>
      </c>
      <c r="W128" s="647">
        <v>1</v>
      </c>
      <c r="X128" s="647">
        <v>0</v>
      </c>
      <c r="Y128" s="647">
        <v>0</v>
      </c>
      <c r="Z128" s="647">
        <v>0</v>
      </c>
      <c r="AA128" s="647">
        <v>2</v>
      </c>
      <c r="AB128" s="647">
        <v>2</v>
      </c>
      <c r="AC128" s="647">
        <v>4</v>
      </c>
    </row>
    <row r="129" spans="1:29" x14ac:dyDescent="0.3">
      <c r="A129" s="145">
        <v>125</v>
      </c>
      <c r="B129" s="146" t="s">
        <v>588</v>
      </c>
      <c r="C129" s="647">
        <v>0</v>
      </c>
      <c r="D129" s="647">
        <v>0</v>
      </c>
      <c r="E129" s="647">
        <v>0</v>
      </c>
      <c r="F129" s="647">
        <v>0</v>
      </c>
      <c r="G129" s="647">
        <v>0</v>
      </c>
      <c r="H129" s="647">
        <v>0</v>
      </c>
      <c r="I129" s="647">
        <v>1</v>
      </c>
      <c r="J129" s="647">
        <v>0</v>
      </c>
      <c r="K129" s="647">
        <v>1</v>
      </c>
      <c r="L129" s="647">
        <v>1</v>
      </c>
      <c r="M129" s="647">
        <v>2</v>
      </c>
      <c r="N129" s="647">
        <v>3</v>
      </c>
      <c r="O129" s="647">
        <v>0</v>
      </c>
      <c r="P129" s="647">
        <v>0</v>
      </c>
      <c r="Q129" s="647">
        <v>0</v>
      </c>
      <c r="R129" s="647">
        <v>0</v>
      </c>
      <c r="S129" s="647">
        <v>0</v>
      </c>
      <c r="T129" s="647">
        <v>0</v>
      </c>
      <c r="U129" s="647">
        <v>0</v>
      </c>
      <c r="V129" s="647">
        <v>0</v>
      </c>
      <c r="W129" s="647">
        <v>0</v>
      </c>
      <c r="X129" s="647">
        <v>0</v>
      </c>
      <c r="Y129" s="647">
        <v>0</v>
      </c>
      <c r="Z129" s="647">
        <v>0</v>
      </c>
      <c r="AA129" s="647">
        <v>2</v>
      </c>
      <c r="AB129" s="647">
        <v>2</v>
      </c>
      <c r="AC129" s="647">
        <v>4</v>
      </c>
    </row>
    <row r="130" spans="1:29" x14ac:dyDescent="0.3">
      <c r="A130" s="145">
        <v>126</v>
      </c>
      <c r="B130" s="146" t="s">
        <v>690</v>
      </c>
      <c r="C130" s="647">
        <v>0</v>
      </c>
      <c r="D130" s="647">
        <v>0</v>
      </c>
      <c r="E130" s="647">
        <v>0</v>
      </c>
      <c r="F130" s="647">
        <v>0</v>
      </c>
      <c r="G130" s="647">
        <v>0</v>
      </c>
      <c r="H130" s="647">
        <v>0</v>
      </c>
      <c r="I130" s="647">
        <v>2</v>
      </c>
      <c r="J130" s="647">
        <v>0</v>
      </c>
      <c r="K130" s="647">
        <v>2</v>
      </c>
      <c r="L130" s="647">
        <v>1</v>
      </c>
      <c r="M130" s="647">
        <v>1</v>
      </c>
      <c r="N130" s="647">
        <v>2</v>
      </c>
      <c r="O130" s="647">
        <v>0</v>
      </c>
      <c r="P130" s="647">
        <v>0</v>
      </c>
      <c r="Q130" s="647">
        <v>0</v>
      </c>
      <c r="R130" s="647">
        <v>0</v>
      </c>
      <c r="S130" s="647">
        <v>0</v>
      </c>
      <c r="T130" s="647">
        <v>0</v>
      </c>
      <c r="U130" s="647">
        <v>0</v>
      </c>
      <c r="V130" s="647">
        <v>0</v>
      </c>
      <c r="W130" s="647">
        <v>0</v>
      </c>
      <c r="X130" s="647">
        <v>0</v>
      </c>
      <c r="Y130" s="647">
        <v>0</v>
      </c>
      <c r="Z130" s="647">
        <v>0</v>
      </c>
      <c r="AA130" s="647">
        <v>3</v>
      </c>
      <c r="AB130" s="647">
        <v>1</v>
      </c>
      <c r="AC130" s="647">
        <v>4</v>
      </c>
    </row>
    <row r="131" spans="1:29" x14ac:dyDescent="0.3">
      <c r="A131" s="145">
        <v>127</v>
      </c>
      <c r="B131" s="146" t="s">
        <v>708</v>
      </c>
      <c r="C131" s="647">
        <v>0</v>
      </c>
      <c r="D131" s="647">
        <v>0</v>
      </c>
      <c r="E131" s="647">
        <v>0</v>
      </c>
      <c r="F131" s="647">
        <v>0</v>
      </c>
      <c r="G131" s="647">
        <v>0</v>
      </c>
      <c r="H131" s="647">
        <v>0</v>
      </c>
      <c r="I131" s="647">
        <v>1</v>
      </c>
      <c r="J131" s="647">
        <v>2</v>
      </c>
      <c r="K131" s="647">
        <v>3</v>
      </c>
      <c r="L131" s="647">
        <v>0</v>
      </c>
      <c r="M131" s="647">
        <v>0</v>
      </c>
      <c r="N131" s="647">
        <v>0</v>
      </c>
      <c r="O131" s="647">
        <v>0</v>
      </c>
      <c r="P131" s="647">
        <v>0</v>
      </c>
      <c r="Q131" s="647">
        <v>0</v>
      </c>
      <c r="R131" s="647">
        <v>0</v>
      </c>
      <c r="S131" s="647">
        <v>0</v>
      </c>
      <c r="T131" s="647">
        <v>0</v>
      </c>
      <c r="U131" s="647">
        <v>0</v>
      </c>
      <c r="V131" s="647">
        <v>0</v>
      </c>
      <c r="W131" s="647">
        <v>0</v>
      </c>
      <c r="X131" s="647">
        <v>0</v>
      </c>
      <c r="Y131" s="647">
        <v>0</v>
      </c>
      <c r="Z131" s="647">
        <v>0</v>
      </c>
      <c r="AA131" s="647">
        <v>1</v>
      </c>
      <c r="AB131" s="647">
        <v>2</v>
      </c>
      <c r="AC131" s="647">
        <v>3</v>
      </c>
    </row>
    <row r="132" spans="1:29" x14ac:dyDescent="0.3">
      <c r="A132" s="145">
        <v>128</v>
      </c>
      <c r="B132" s="146" t="s">
        <v>604</v>
      </c>
      <c r="C132" s="647">
        <v>0</v>
      </c>
      <c r="D132" s="647">
        <v>0</v>
      </c>
      <c r="E132" s="647">
        <v>0</v>
      </c>
      <c r="F132" s="647">
        <v>0</v>
      </c>
      <c r="G132" s="647">
        <v>0</v>
      </c>
      <c r="H132" s="647">
        <v>0</v>
      </c>
      <c r="I132" s="647">
        <v>0</v>
      </c>
      <c r="J132" s="647">
        <v>1</v>
      </c>
      <c r="K132" s="647">
        <v>1</v>
      </c>
      <c r="L132" s="647">
        <v>0</v>
      </c>
      <c r="M132" s="647">
        <v>2</v>
      </c>
      <c r="N132" s="647">
        <v>2</v>
      </c>
      <c r="O132" s="647">
        <v>0</v>
      </c>
      <c r="P132" s="647">
        <v>0</v>
      </c>
      <c r="Q132" s="647">
        <v>0</v>
      </c>
      <c r="R132" s="647">
        <v>0</v>
      </c>
      <c r="S132" s="647">
        <v>0</v>
      </c>
      <c r="T132" s="647">
        <v>0</v>
      </c>
      <c r="U132" s="647">
        <v>0</v>
      </c>
      <c r="V132" s="647">
        <v>0</v>
      </c>
      <c r="W132" s="647">
        <v>0</v>
      </c>
      <c r="X132" s="647">
        <v>0</v>
      </c>
      <c r="Y132" s="647">
        <v>0</v>
      </c>
      <c r="Z132" s="647">
        <v>0</v>
      </c>
      <c r="AA132" s="647">
        <v>0</v>
      </c>
      <c r="AB132" s="647">
        <v>3</v>
      </c>
      <c r="AC132" s="647">
        <v>3</v>
      </c>
    </row>
    <row r="133" spans="1:29" x14ac:dyDescent="0.3">
      <c r="A133" s="145">
        <v>129</v>
      </c>
      <c r="B133" s="146" t="s">
        <v>716</v>
      </c>
      <c r="C133" s="647">
        <v>0</v>
      </c>
      <c r="D133" s="647">
        <v>0</v>
      </c>
      <c r="E133" s="647">
        <v>0</v>
      </c>
      <c r="F133" s="647">
        <v>0</v>
      </c>
      <c r="G133" s="647">
        <v>0</v>
      </c>
      <c r="H133" s="647">
        <v>0</v>
      </c>
      <c r="I133" s="647">
        <v>0</v>
      </c>
      <c r="J133" s="647">
        <v>0</v>
      </c>
      <c r="K133" s="647">
        <v>0</v>
      </c>
      <c r="L133" s="647">
        <v>3</v>
      </c>
      <c r="M133" s="647">
        <v>0</v>
      </c>
      <c r="N133" s="647">
        <v>3</v>
      </c>
      <c r="O133" s="647">
        <v>0</v>
      </c>
      <c r="P133" s="647">
        <v>0</v>
      </c>
      <c r="Q133" s="647">
        <v>0</v>
      </c>
      <c r="R133" s="647">
        <v>0</v>
      </c>
      <c r="S133" s="647">
        <v>0</v>
      </c>
      <c r="T133" s="647">
        <v>0</v>
      </c>
      <c r="U133" s="647">
        <v>0</v>
      </c>
      <c r="V133" s="647">
        <v>0</v>
      </c>
      <c r="W133" s="647">
        <v>0</v>
      </c>
      <c r="X133" s="647">
        <v>0</v>
      </c>
      <c r="Y133" s="647">
        <v>0</v>
      </c>
      <c r="Z133" s="647">
        <v>0</v>
      </c>
      <c r="AA133" s="647">
        <v>3</v>
      </c>
      <c r="AB133" s="647">
        <v>0</v>
      </c>
      <c r="AC133" s="647">
        <v>3</v>
      </c>
    </row>
    <row r="134" spans="1:29" x14ac:dyDescent="0.3">
      <c r="A134" s="145">
        <v>130</v>
      </c>
      <c r="B134" s="146" t="s">
        <v>669</v>
      </c>
      <c r="C134" s="647">
        <v>0</v>
      </c>
      <c r="D134" s="647">
        <v>0</v>
      </c>
      <c r="E134" s="647">
        <v>0</v>
      </c>
      <c r="F134" s="647">
        <v>0</v>
      </c>
      <c r="G134" s="647">
        <v>0</v>
      </c>
      <c r="H134" s="647">
        <v>0</v>
      </c>
      <c r="I134" s="647">
        <v>0</v>
      </c>
      <c r="J134" s="647">
        <v>0</v>
      </c>
      <c r="K134" s="647">
        <v>0</v>
      </c>
      <c r="L134" s="647">
        <v>1</v>
      </c>
      <c r="M134" s="647">
        <v>0</v>
      </c>
      <c r="N134" s="647">
        <v>1</v>
      </c>
      <c r="O134" s="647">
        <v>0</v>
      </c>
      <c r="P134" s="647">
        <v>0</v>
      </c>
      <c r="Q134" s="647">
        <v>0</v>
      </c>
      <c r="R134" s="647">
        <v>0</v>
      </c>
      <c r="S134" s="647">
        <v>0</v>
      </c>
      <c r="T134" s="647">
        <v>0</v>
      </c>
      <c r="U134" s="647">
        <v>0</v>
      </c>
      <c r="V134" s="647">
        <v>0</v>
      </c>
      <c r="W134" s="647">
        <v>0</v>
      </c>
      <c r="X134" s="647">
        <v>1</v>
      </c>
      <c r="Y134" s="647">
        <v>1</v>
      </c>
      <c r="Z134" s="647">
        <v>2</v>
      </c>
      <c r="AA134" s="647">
        <v>2</v>
      </c>
      <c r="AB134" s="647">
        <v>1</v>
      </c>
      <c r="AC134" s="647">
        <v>3</v>
      </c>
    </row>
    <row r="135" spans="1:29" x14ac:dyDescent="0.3">
      <c r="A135" s="145">
        <v>131</v>
      </c>
      <c r="B135" s="146" t="s">
        <v>589</v>
      </c>
      <c r="C135" s="647">
        <v>0</v>
      </c>
      <c r="D135" s="647">
        <v>0</v>
      </c>
      <c r="E135" s="647">
        <v>0</v>
      </c>
      <c r="F135" s="647">
        <v>0</v>
      </c>
      <c r="G135" s="647">
        <v>0</v>
      </c>
      <c r="H135" s="647">
        <v>0</v>
      </c>
      <c r="I135" s="647">
        <v>0</v>
      </c>
      <c r="J135" s="647">
        <v>0</v>
      </c>
      <c r="K135" s="647">
        <v>0</v>
      </c>
      <c r="L135" s="647">
        <v>2</v>
      </c>
      <c r="M135" s="647">
        <v>1</v>
      </c>
      <c r="N135" s="647">
        <v>3</v>
      </c>
      <c r="O135" s="647">
        <v>0</v>
      </c>
      <c r="P135" s="647">
        <v>0</v>
      </c>
      <c r="Q135" s="647">
        <v>0</v>
      </c>
      <c r="R135" s="647">
        <v>0</v>
      </c>
      <c r="S135" s="647">
        <v>0</v>
      </c>
      <c r="T135" s="647">
        <v>0</v>
      </c>
      <c r="U135" s="647">
        <v>0</v>
      </c>
      <c r="V135" s="647">
        <v>0</v>
      </c>
      <c r="W135" s="647">
        <v>0</v>
      </c>
      <c r="X135" s="647">
        <v>0</v>
      </c>
      <c r="Y135" s="647">
        <v>0</v>
      </c>
      <c r="Z135" s="647">
        <v>0</v>
      </c>
      <c r="AA135" s="647">
        <v>2</v>
      </c>
      <c r="AB135" s="647">
        <v>1</v>
      </c>
      <c r="AC135" s="647">
        <v>3</v>
      </c>
    </row>
    <row r="136" spans="1:29" x14ac:dyDescent="0.3">
      <c r="A136" s="145">
        <v>132</v>
      </c>
      <c r="B136" s="146" t="s">
        <v>728</v>
      </c>
      <c r="C136" s="647">
        <v>0</v>
      </c>
      <c r="D136" s="647">
        <v>1</v>
      </c>
      <c r="E136" s="647">
        <v>1</v>
      </c>
      <c r="F136" s="647">
        <v>0</v>
      </c>
      <c r="G136" s="647">
        <v>0</v>
      </c>
      <c r="H136" s="647">
        <v>0</v>
      </c>
      <c r="I136" s="647">
        <v>0</v>
      </c>
      <c r="J136" s="647">
        <v>2</v>
      </c>
      <c r="K136" s="647">
        <v>2</v>
      </c>
      <c r="L136" s="647">
        <v>0</v>
      </c>
      <c r="M136" s="647">
        <v>0</v>
      </c>
      <c r="N136" s="647">
        <v>0</v>
      </c>
      <c r="O136" s="647">
        <v>0</v>
      </c>
      <c r="P136" s="647">
        <v>0</v>
      </c>
      <c r="Q136" s="647">
        <v>0</v>
      </c>
      <c r="R136" s="647">
        <v>0</v>
      </c>
      <c r="S136" s="647">
        <v>0</v>
      </c>
      <c r="T136" s="647">
        <v>0</v>
      </c>
      <c r="U136" s="647">
        <v>0</v>
      </c>
      <c r="V136" s="647">
        <v>0</v>
      </c>
      <c r="W136" s="647">
        <v>0</v>
      </c>
      <c r="X136" s="647">
        <v>0</v>
      </c>
      <c r="Y136" s="647">
        <v>0</v>
      </c>
      <c r="Z136" s="647">
        <v>0</v>
      </c>
      <c r="AA136" s="647">
        <v>0</v>
      </c>
      <c r="AB136" s="647">
        <v>3</v>
      </c>
      <c r="AC136" s="647">
        <v>3</v>
      </c>
    </row>
    <row r="137" spans="1:29" x14ac:dyDescent="0.3">
      <c r="A137" s="145">
        <v>133</v>
      </c>
      <c r="B137" s="146" t="s">
        <v>671</v>
      </c>
      <c r="C137" s="647">
        <v>0</v>
      </c>
      <c r="D137" s="647">
        <v>0</v>
      </c>
      <c r="E137" s="647">
        <v>0</v>
      </c>
      <c r="F137" s="647">
        <v>0</v>
      </c>
      <c r="G137" s="647">
        <v>0</v>
      </c>
      <c r="H137" s="647">
        <v>0</v>
      </c>
      <c r="I137" s="647">
        <v>0</v>
      </c>
      <c r="J137" s="647">
        <v>0</v>
      </c>
      <c r="K137" s="647">
        <v>0</v>
      </c>
      <c r="L137" s="647">
        <v>2</v>
      </c>
      <c r="M137" s="647">
        <v>0</v>
      </c>
      <c r="N137" s="647">
        <v>2</v>
      </c>
      <c r="O137" s="647">
        <v>0</v>
      </c>
      <c r="P137" s="647">
        <v>0</v>
      </c>
      <c r="Q137" s="647">
        <v>0</v>
      </c>
      <c r="R137" s="647">
        <v>0</v>
      </c>
      <c r="S137" s="647">
        <v>0</v>
      </c>
      <c r="T137" s="647">
        <v>0</v>
      </c>
      <c r="U137" s="647">
        <v>0</v>
      </c>
      <c r="V137" s="647">
        <v>0</v>
      </c>
      <c r="W137" s="647">
        <v>0</v>
      </c>
      <c r="X137" s="647">
        <v>1</v>
      </c>
      <c r="Y137" s="647">
        <v>0</v>
      </c>
      <c r="Z137" s="647">
        <v>1</v>
      </c>
      <c r="AA137" s="647">
        <v>3</v>
      </c>
      <c r="AB137" s="647">
        <v>0</v>
      </c>
      <c r="AC137" s="647">
        <v>3</v>
      </c>
    </row>
    <row r="138" spans="1:29" x14ac:dyDescent="0.3">
      <c r="A138" s="145">
        <v>134</v>
      </c>
      <c r="B138" s="146" t="s">
        <v>635</v>
      </c>
      <c r="C138" s="647">
        <v>0</v>
      </c>
      <c r="D138" s="647">
        <v>0</v>
      </c>
      <c r="E138" s="647">
        <v>0</v>
      </c>
      <c r="F138" s="647">
        <v>0</v>
      </c>
      <c r="G138" s="647">
        <v>0</v>
      </c>
      <c r="H138" s="647">
        <v>0</v>
      </c>
      <c r="I138" s="647">
        <v>0</v>
      </c>
      <c r="J138" s="647">
        <v>0</v>
      </c>
      <c r="K138" s="647">
        <v>0</v>
      </c>
      <c r="L138" s="647">
        <v>2</v>
      </c>
      <c r="M138" s="647">
        <v>1</v>
      </c>
      <c r="N138" s="647">
        <v>3</v>
      </c>
      <c r="O138" s="647">
        <v>0</v>
      </c>
      <c r="P138" s="647">
        <v>0</v>
      </c>
      <c r="Q138" s="647">
        <v>0</v>
      </c>
      <c r="R138" s="647">
        <v>0</v>
      </c>
      <c r="S138" s="647">
        <v>0</v>
      </c>
      <c r="T138" s="647">
        <v>0</v>
      </c>
      <c r="U138" s="647">
        <v>0</v>
      </c>
      <c r="V138" s="647">
        <v>0</v>
      </c>
      <c r="W138" s="647">
        <v>0</v>
      </c>
      <c r="X138" s="647">
        <v>0</v>
      </c>
      <c r="Y138" s="647">
        <v>0</v>
      </c>
      <c r="Z138" s="647">
        <v>0</v>
      </c>
      <c r="AA138" s="647">
        <v>2</v>
      </c>
      <c r="AB138" s="647">
        <v>1</v>
      </c>
      <c r="AC138" s="647">
        <v>3</v>
      </c>
    </row>
    <row r="139" spans="1:29" x14ac:dyDescent="0.3">
      <c r="A139" s="145">
        <v>135</v>
      </c>
      <c r="B139" s="146" t="s">
        <v>647</v>
      </c>
      <c r="C139" s="647">
        <v>0</v>
      </c>
      <c r="D139" s="647">
        <v>0</v>
      </c>
      <c r="E139" s="647">
        <v>0</v>
      </c>
      <c r="F139" s="647">
        <v>0</v>
      </c>
      <c r="G139" s="647">
        <v>0</v>
      </c>
      <c r="H139" s="647">
        <v>0</v>
      </c>
      <c r="I139" s="647">
        <v>0</v>
      </c>
      <c r="J139" s="647">
        <v>0</v>
      </c>
      <c r="K139" s="647">
        <v>0</v>
      </c>
      <c r="L139" s="647">
        <v>3</v>
      </c>
      <c r="M139" s="647">
        <v>0</v>
      </c>
      <c r="N139" s="647">
        <v>3</v>
      </c>
      <c r="O139" s="647">
        <v>0</v>
      </c>
      <c r="P139" s="647">
        <v>0</v>
      </c>
      <c r="Q139" s="647">
        <v>0</v>
      </c>
      <c r="R139" s="647">
        <v>0</v>
      </c>
      <c r="S139" s="647">
        <v>0</v>
      </c>
      <c r="T139" s="647">
        <v>0</v>
      </c>
      <c r="U139" s="647">
        <v>0</v>
      </c>
      <c r="V139" s="647">
        <v>0</v>
      </c>
      <c r="W139" s="647">
        <v>0</v>
      </c>
      <c r="X139" s="647">
        <v>0</v>
      </c>
      <c r="Y139" s="647">
        <v>0</v>
      </c>
      <c r="Z139" s="647">
        <v>0</v>
      </c>
      <c r="AA139" s="647">
        <v>3</v>
      </c>
      <c r="AB139" s="647">
        <v>0</v>
      </c>
      <c r="AC139" s="647">
        <v>3</v>
      </c>
    </row>
    <row r="140" spans="1:29" x14ac:dyDescent="0.3">
      <c r="A140" s="145">
        <v>136</v>
      </c>
      <c r="B140" s="146" t="s">
        <v>640</v>
      </c>
      <c r="C140" s="647">
        <v>1</v>
      </c>
      <c r="D140" s="647">
        <v>0</v>
      </c>
      <c r="E140" s="647">
        <v>1</v>
      </c>
      <c r="F140" s="647">
        <v>0</v>
      </c>
      <c r="G140" s="647">
        <v>0</v>
      </c>
      <c r="H140" s="647">
        <v>0</v>
      </c>
      <c r="I140" s="647">
        <v>0</v>
      </c>
      <c r="J140" s="647">
        <v>0</v>
      </c>
      <c r="K140" s="647">
        <v>0</v>
      </c>
      <c r="L140" s="647">
        <v>2</v>
      </c>
      <c r="M140" s="647">
        <v>0</v>
      </c>
      <c r="N140" s="647">
        <v>2</v>
      </c>
      <c r="O140" s="647">
        <v>0</v>
      </c>
      <c r="P140" s="647">
        <v>0</v>
      </c>
      <c r="Q140" s="647">
        <v>0</v>
      </c>
      <c r="R140" s="647">
        <v>0</v>
      </c>
      <c r="S140" s="647">
        <v>0</v>
      </c>
      <c r="T140" s="647">
        <v>0</v>
      </c>
      <c r="U140" s="647">
        <v>0</v>
      </c>
      <c r="V140" s="647">
        <v>0</v>
      </c>
      <c r="W140" s="647">
        <v>0</v>
      </c>
      <c r="X140" s="647">
        <v>0</v>
      </c>
      <c r="Y140" s="647">
        <v>0</v>
      </c>
      <c r="Z140" s="647">
        <v>0</v>
      </c>
      <c r="AA140" s="647">
        <v>3</v>
      </c>
      <c r="AB140" s="647">
        <v>0</v>
      </c>
      <c r="AC140" s="647">
        <v>3</v>
      </c>
    </row>
    <row r="141" spans="1:29" x14ac:dyDescent="0.3">
      <c r="A141" s="145">
        <v>137</v>
      </c>
      <c r="B141" s="146" t="s">
        <v>641</v>
      </c>
      <c r="C141" s="647">
        <v>0</v>
      </c>
      <c r="D141" s="647">
        <v>0</v>
      </c>
      <c r="E141" s="647">
        <v>0</v>
      </c>
      <c r="F141" s="647">
        <v>0</v>
      </c>
      <c r="G141" s="647">
        <v>0</v>
      </c>
      <c r="H141" s="647">
        <v>0</v>
      </c>
      <c r="I141" s="647">
        <v>0</v>
      </c>
      <c r="J141" s="647">
        <v>0</v>
      </c>
      <c r="K141" s="647">
        <v>0</v>
      </c>
      <c r="L141" s="647">
        <v>2</v>
      </c>
      <c r="M141" s="647">
        <v>1</v>
      </c>
      <c r="N141" s="647">
        <v>3</v>
      </c>
      <c r="O141" s="647">
        <v>0</v>
      </c>
      <c r="P141" s="647">
        <v>0</v>
      </c>
      <c r="Q141" s="647">
        <v>0</v>
      </c>
      <c r="R141" s="647">
        <v>0</v>
      </c>
      <c r="S141" s="647">
        <v>0</v>
      </c>
      <c r="T141" s="647">
        <v>0</v>
      </c>
      <c r="U141" s="647">
        <v>0</v>
      </c>
      <c r="V141" s="647">
        <v>0</v>
      </c>
      <c r="W141" s="647">
        <v>0</v>
      </c>
      <c r="X141" s="647">
        <v>0</v>
      </c>
      <c r="Y141" s="647">
        <v>0</v>
      </c>
      <c r="Z141" s="647">
        <v>0</v>
      </c>
      <c r="AA141" s="647">
        <v>2</v>
      </c>
      <c r="AB141" s="647">
        <v>1</v>
      </c>
      <c r="AC141" s="647">
        <v>3</v>
      </c>
    </row>
    <row r="142" spans="1:29" x14ac:dyDescent="0.3">
      <c r="A142" s="145">
        <v>138</v>
      </c>
      <c r="B142" s="146" t="s">
        <v>638</v>
      </c>
      <c r="C142" s="647">
        <v>0</v>
      </c>
      <c r="D142" s="647">
        <v>0</v>
      </c>
      <c r="E142" s="647">
        <v>0</v>
      </c>
      <c r="F142" s="647">
        <v>0</v>
      </c>
      <c r="G142" s="647">
        <v>0</v>
      </c>
      <c r="H142" s="647">
        <v>0</v>
      </c>
      <c r="I142" s="647">
        <v>0</v>
      </c>
      <c r="J142" s="647">
        <v>0</v>
      </c>
      <c r="K142" s="647">
        <v>0</v>
      </c>
      <c r="L142" s="647">
        <v>1</v>
      </c>
      <c r="M142" s="647">
        <v>0</v>
      </c>
      <c r="N142" s="647">
        <v>1</v>
      </c>
      <c r="O142" s="647">
        <v>1</v>
      </c>
      <c r="P142" s="647">
        <v>0</v>
      </c>
      <c r="Q142" s="647">
        <v>1</v>
      </c>
      <c r="R142" s="647">
        <v>0</v>
      </c>
      <c r="S142" s="647">
        <v>0</v>
      </c>
      <c r="T142" s="647">
        <v>0</v>
      </c>
      <c r="U142" s="647">
        <v>0</v>
      </c>
      <c r="V142" s="647">
        <v>0</v>
      </c>
      <c r="W142" s="647">
        <v>0</v>
      </c>
      <c r="X142" s="647">
        <v>0</v>
      </c>
      <c r="Y142" s="647">
        <v>0</v>
      </c>
      <c r="Z142" s="647">
        <v>0</v>
      </c>
      <c r="AA142" s="647">
        <v>2</v>
      </c>
      <c r="AB142" s="647">
        <v>0</v>
      </c>
      <c r="AC142" s="647">
        <v>2</v>
      </c>
    </row>
    <row r="143" spans="1:29" x14ac:dyDescent="0.3">
      <c r="A143" s="145">
        <v>139</v>
      </c>
      <c r="B143" s="146" t="s">
        <v>725</v>
      </c>
      <c r="C143" s="647">
        <v>0</v>
      </c>
      <c r="D143" s="647">
        <v>0</v>
      </c>
      <c r="E143" s="647">
        <v>0</v>
      </c>
      <c r="F143" s="647">
        <v>0</v>
      </c>
      <c r="G143" s="647">
        <v>0</v>
      </c>
      <c r="H143" s="647">
        <v>0</v>
      </c>
      <c r="I143" s="647">
        <v>0</v>
      </c>
      <c r="J143" s="647">
        <v>0</v>
      </c>
      <c r="K143" s="647">
        <v>0</v>
      </c>
      <c r="L143" s="647">
        <v>0</v>
      </c>
      <c r="M143" s="647">
        <v>0</v>
      </c>
      <c r="N143" s="647">
        <v>0</v>
      </c>
      <c r="O143" s="647">
        <v>0</v>
      </c>
      <c r="P143" s="647">
        <v>0</v>
      </c>
      <c r="Q143" s="647">
        <v>0</v>
      </c>
      <c r="R143" s="647">
        <v>0</v>
      </c>
      <c r="S143" s="647">
        <v>2</v>
      </c>
      <c r="T143" s="647">
        <v>2</v>
      </c>
      <c r="U143" s="647">
        <v>0</v>
      </c>
      <c r="V143" s="647">
        <v>0</v>
      </c>
      <c r="W143" s="647">
        <v>0</v>
      </c>
      <c r="X143" s="647">
        <v>0</v>
      </c>
      <c r="Y143" s="647">
        <v>0</v>
      </c>
      <c r="Z143" s="647">
        <v>0</v>
      </c>
      <c r="AA143" s="647">
        <v>0</v>
      </c>
      <c r="AB143" s="647">
        <v>2</v>
      </c>
      <c r="AC143" s="647">
        <v>2</v>
      </c>
    </row>
    <row r="144" spans="1:29" x14ac:dyDescent="0.3">
      <c r="A144" s="145">
        <v>140</v>
      </c>
      <c r="B144" s="146" t="s">
        <v>614</v>
      </c>
      <c r="C144" s="647">
        <v>0</v>
      </c>
      <c r="D144" s="647">
        <v>0</v>
      </c>
      <c r="E144" s="647">
        <v>0</v>
      </c>
      <c r="F144" s="647">
        <v>0</v>
      </c>
      <c r="G144" s="647">
        <v>0</v>
      </c>
      <c r="H144" s="647">
        <v>0</v>
      </c>
      <c r="I144" s="647">
        <v>0</v>
      </c>
      <c r="J144" s="647">
        <v>0</v>
      </c>
      <c r="K144" s="647">
        <v>0</v>
      </c>
      <c r="L144" s="647">
        <v>0</v>
      </c>
      <c r="M144" s="647">
        <v>1</v>
      </c>
      <c r="N144" s="647">
        <v>1</v>
      </c>
      <c r="O144" s="647">
        <v>1</v>
      </c>
      <c r="P144" s="647">
        <v>0</v>
      </c>
      <c r="Q144" s="647">
        <v>1</v>
      </c>
      <c r="R144" s="647">
        <v>0</v>
      </c>
      <c r="S144" s="647">
        <v>0</v>
      </c>
      <c r="T144" s="647">
        <v>0</v>
      </c>
      <c r="U144" s="647">
        <v>0</v>
      </c>
      <c r="V144" s="647">
        <v>0</v>
      </c>
      <c r="W144" s="647">
        <v>0</v>
      </c>
      <c r="X144" s="647">
        <v>0</v>
      </c>
      <c r="Y144" s="647">
        <v>0</v>
      </c>
      <c r="Z144" s="647">
        <v>0</v>
      </c>
      <c r="AA144" s="647">
        <v>1</v>
      </c>
      <c r="AB144" s="647">
        <v>1</v>
      </c>
      <c r="AC144" s="647">
        <v>2</v>
      </c>
    </row>
    <row r="145" spans="1:29" x14ac:dyDescent="0.3">
      <c r="A145" s="145">
        <v>141</v>
      </c>
      <c r="B145" s="146" t="s">
        <v>607</v>
      </c>
      <c r="C145" s="647">
        <v>0</v>
      </c>
      <c r="D145" s="647">
        <v>0</v>
      </c>
      <c r="E145" s="647">
        <v>0</v>
      </c>
      <c r="F145" s="647">
        <v>0</v>
      </c>
      <c r="G145" s="647">
        <v>0</v>
      </c>
      <c r="H145" s="647">
        <v>0</v>
      </c>
      <c r="I145" s="647">
        <v>2</v>
      </c>
      <c r="J145" s="647">
        <v>0</v>
      </c>
      <c r="K145" s="647">
        <v>2</v>
      </c>
      <c r="L145" s="647">
        <v>0</v>
      </c>
      <c r="M145" s="647">
        <v>0</v>
      </c>
      <c r="N145" s="647">
        <v>0</v>
      </c>
      <c r="O145" s="647">
        <v>0</v>
      </c>
      <c r="P145" s="647">
        <v>0</v>
      </c>
      <c r="Q145" s="647">
        <v>0</v>
      </c>
      <c r="R145" s="647">
        <v>0</v>
      </c>
      <c r="S145" s="647">
        <v>0</v>
      </c>
      <c r="T145" s="647">
        <v>0</v>
      </c>
      <c r="U145" s="647">
        <v>0</v>
      </c>
      <c r="V145" s="647">
        <v>0</v>
      </c>
      <c r="W145" s="647">
        <v>0</v>
      </c>
      <c r="X145" s="647">
        <v>0</v>
      </c>
      <c r="Y145" s="647">
        <v>0</v>
      </c>
      <c r="Z145" s="647">
        <v>0</v>
      </c>
      <c r="AA145" s="647">
        <v>2</v>
      </c>
      <c r="AB145" s="647">
        <v>0</v>
      </c>
      <c r="AC145" s="647">
        <v>2</v>
      </c>
    </row>
    <row r="146" spans="1:29" x14ac:dyDescent="0.3">
      <c r="A146" s="145">
        <v>142</v>
      </c>
      <c r="B146" s="146" t="s">
        <v>684</v>
      </c>
      <c r="C146" s="647">
        <v>0</v>
      </c>
      <c r="D146" s="647">
        <v>0</v>
      </c>
      <c r="E146" s="647">
        <v>0</v>
      </c>
      <c r="F146" s="647">
        <v>0</v>
      </c>
      <c r="G146" s="647">
        <v>0</v>
      </c>
      <c r="H146" s="647">
        <v>0</v>
      </c>
      <c r="I146" s="647">
        <v>0</v>
      </c>
      <c r="J146" s="647">
        <v>0</v>
      </c>
      <c r="K146" s="647">
        <v>0</v>
      </c>
      <c r="L146" s="647">
        <v>0</v>
      </c>
      <c r="M146" s="647">
        <v>0</v>
      </c>
      <c r="N146" s="647">
        <v>0</v>
      </c>
      <c r="O146" s="647">
        <v>0</v>
      </c>
      <c r="P146" s="647">
        <v>0</v>
      </c>
      <c r="Q146" s="647">
        <v>0</v>
      </c>
      <c r="R146" s="647">
        <v>0</v>
      </c>
      <c r="S146" s="647">
        <v>2</v>
      </c>
      <c r="T146" s="647">
        <v>2</v>
      </c>
      <c r="U146" s="647">
        <v>0</v>
      </c>
      <c r="V146" s="647">
        <v>0</v>
      </c>
      <c r="W146" s="647">
        <v>0</v>
      </c>
      <c r="X146" s="647">
        <v>0</v>
      </c>
      <c r="Y146" s="647">
        <v>0</v>
      </c>
      <c r="Z146" s="647">
        <v>0</v>
      </c>
      <c r="AA146" s="647">
        <v>0</v>
      </c>
      <c r="AB146" s="647">
        <v>2</v>
      </c>
      <c r="AC146" s="647">
        <v>2</v>
      </c>
    </row>
    <row r="147" spans="1:29" x14ac:dyDescent="0.3">
      <c r="A147" s="145">
        <v>143</v>
      </c>
      <c r="B147" s="146" t="s">
        <v>598</v>
      </c>
      <c r="C147" s="647">
        <v>0</v>
      </c>
      <c r="D147" s="647">
        <v>0</v>
      </c>
      <c r="E147" s="647">
        <v>0</v>
      </c>
      <c r="F147" s="647">
        <v>0</v>
      </c>
      <c r="G147" s="647">
        <v>0</v>
      </c>
      <c r="H147" s="647">
        <v>0</v>
      </c>
      <c r="I147" s="647">
        <v>0</v>
      </c>
      <c r="J147" s="647">
        <v>1</v>
      </c>
      <c r="K147" s="647">
        <v>1</v>
      </c>
      <c r="L147" s="647">
        <v>1</v>
      </c>
      <c r="M147" s="647">
        <v>0</v>
      </c>
      <c r="N147" s="647">
        <v>1</v>
      </c>
      <c r="O147" s="647">
        <v>0</v>
      </c>
      <c r="P147" s="647">
        <v>0</v>
      </c>
      <c r="Q147" s="647">
        <v>0</v>
      </c>
      <c r="R147" s="647">
        <v>0</v>
      </c>
      <c r="S147" s="647">
        <v>0</v>
      </c>
      <c r="T147" s="647">
        <v>0</v>
      </c>
      <c r="U147" s="647">
        <v>0</v>
      </c>
      <c r="V147" s="647">
        <v>0</v>
      </c>
      <c r="W147" s="647">
        <v>0</v>
      </c>
      <c r="X147" s="647">
        <v>0</v>
      </c>
      <c r="Y147" s="647">
        <v>0</v>
      </c>
      <c r="Z147" s="647">
        <v>0</v>
      </c>
      <c r="AA147" s="647">
        <v>1</v>
      </c>
      <c r="AB147" s="647">
        <v>1</v>
      </c>
      <c r="AC147" s="647">
        <v>2</v>
      </c>
    </row>
    <row r="148" spans="1:29" x14ac:dyDescent="0.3">
      <c r="A148" s="145">
        <v>144</v>
      </c>
      <c r="B148" s="146" t="s">
        <v>595</v>
      </c>
      <c r="C148" s="647">
        <v>0</v>
      </c>
      <c r="D148" s="647">
        <v>0</v>
      </c>
      <c r="E148" s="647">
        <v>0</v>
      </c>
      <c r="F148" s="647">
        <v>0</v>
      </c>
      <c r="G148" s="647">
        <v>0</v>
      </c>
      <c r="H148" s="647">
        <v>0</v>
      </c>
      <c r="I148" s="647">
        <v>0</v>
      </c>
      <c r="J148" s="647">
        <v>0</v>
      </c>
      <c r="K148" s="647">
        <v>0</v>
      </c>
      <c r="L148" s="647">
        <v>1</v>
      </c>
      <c r="M148" s="647">
        <v>0</v>
      </c>
      <c r="N148" s="647">
        <v>1</v>
      </c>
      <c r="O148" s="647">
        <v>0</v>
      </c>
      <c r="P148" s="647">
        <v>0</v>
      </c>
      <c r="Q148" s="647">
        <v>0</v>
      </c>
      <c r="R148" s="647">
        <v>0</v>
      </c>
      <c r="S148" s="647">
        <v>0</v>
      </c>
      <c r="T148" s="647">
        <v>0</v>
      </c>
      <c r="U148" s="647">
        <v>0</v>
      </c>
      <c r="V148" s="647">
        <v>0</v>
      </c>
      <c r="W148" s="647">
        <v>0</v>
      </c>
      <c r="X148" s="647">
        <v>1</v>
      </c>
      <c r="Y148" s="647">
        <v>0</v>
      </c>
      <c r="Z148" s="647">
        <v>1</v>
      </c>
      <c r="AA148" s="647">
        <v>2</v>
      </c>
      <c r="AB148" s="647">
        <v>0</v>
      </c>
      <c r="AC148" s="647">
        <v>2</v>
      </c>
    </row>
    <row r="149" spans="1:29" x14ac:dyDescent="0.3">
      <c r="A149" s="145">
        <v>145</v>
      </c>
      <c r="B149" s="146" t="s">
        <v>580</v>
      </c>
      <c r="C149" s="647">
        <v>0</v>
      </c>
      <c r="D149" s="647">
        <v>0</v>
      </c>
      <c r="E149" s="647">
        <v>0</v>
      </c>
      <c r="F149" s="647">
        <v>0</v>
      </c>
      <c r="G149" s="647">
        <v>0</v>
      </c>
      <c r="H149" s="647">
        <v>0</v>
      </c>
      <c r="I149" s="647">
        <v>0</v>
      </c>
      <c r="J149" s="647">
        <v>0</v>
      </c>
      <c r="K149" s="647">
        <v>0</v>
      </c>
      <c r="L149" s="647">
        <v>1</v>
      </c>
      <c r="M149" s="647">
        <v>1</v>
      </c>
      <c r="N149" s="647">
        <v>2</v>
      </c>
      <c r="O149" s="647">
        <v>0</v>
      </c>
      <c r="P149" s="647">
        <v>0</v>
      </c>
      <c r="Q149" s="647">
        <v>0</v>
      </c>
      <c r="R149" s="647">
        <v>0</v>
      </c>
      <c r="S149" s="647">
        <v>0</v>
      </c>
      <c r="T149" s="647">
        <v>0</v>
      </c>
      <c r="U149" s="647">
        <v>0</v>
      </c>
      <c r="V149" s="647">
        <v>0</v>
      </c>
      <c r="W149" s="647">
        <v>0</v>
      </c>
      <c r="X149" s="647">
        <v>0</v>
      </c>
      <c r="Y149" s="647">
        <v>0</v>
      </c>
      <c r="Z149" s="647">
        <v>0</v>
      </c>
      <c r="AA149" s="647">
        <v>1</v>
      </c>
      <c r="AB149" s="647">
        <v>1</v>
      </c>
      <c r="AC149" s="647">
        <v>2</v>
      </c>
    </row>
    <row r="150" spans="1:29" x14ac:dyDescent="0.3">
      <c r="A150" s="145">
        <v>146</v>
      </c>
      <c r="B150" s="146" t="s">
        <v>658</v>
      </c>
      <c r="C150" s="647">
        <v>1</v>
      </c>
      <c r="D150" s="647">
        <v>0</v>
      </c>
      <c r="E150" s="647">
        <v>1</v>
      </c>
      <c r="F150" s="647">
        <v>0</v>
      </c>
      <c r="G150" s="647">
        <v>0</v>
      </c>
      <c r="H150" s="647">
        <v>0</v>
      </c>
      <c r="I150" s="647">
        <v>0</v>
      </c>
      <c r="J150" s="647">
        <v>1</v>
      </c>
      <c r="K150" s="647">
        <v>1</v>
      </c>
      <c r="L150" s="647">
        <v>0</v>
      </c>
      <c r="M150" s="647">
        <v>0</v>
      </c>
      <c r="N150" s="647">
        <v>0</v>
      </c>
      <c r="O150" s="647">
        <v>0</v>
      </c>
      <c r="P150" s="647">
        <v>0</v>
      </c>
      <c r="Q150" s="647">
        <v>0</v>
      </c>
      <c r="R150" s="647">
        <v>0</v>
      </c>
      <c r="S150" s="647">
        <v>0</v>
      </c>
      <c r="T150" s="647">
        <v>0</v>
      </c>
      <c r="U150" s="647">
        <v>0</v>
      </c>
      <c r="V150" s="647">
        <v>0</v>
      </c>
      <c r="W150" s="647">
        <v>0</v>
      </c>
      <c r="X150" s="647">
        <v>0</v>
      </c>
      <c r="Y150" s="647">
        <v>0</v>
      </c>
      <c r="Z150" s="647">
        <v>0</v>
      </c>
      <c r="AA150" s="647">
        <v>1</v>
      </c>
      <c r="AB150" s="647">
        <v>1</v>
      </c>
      <c r="AC150" s="647">
        <v>2</v>
      </c>
    </row>
    <row r="151" spans="1:29" x14ac:dyDescent="0.3">
      <c r="A151" s="145">
        <v>147</v>
      </c>
      <c r="B151" s="146" t="s">
        <v>670</v>
      </c>
      <c r="C151" s="647">
        <v>0</v>
      </c>
      <c r="D151" s="647">
        <v>0</v>
      </c>
      <c r="E151" s="647">
        <v>0</v>
      </c>
      <c r="F151" s="647">
        <v>0</v>
      </c>
      <c r="G151" s="647">
        <v>0</v>
      </c>
      <c r="H151" s="647">
        <v>0</v>
      </c>
      <c r="I151" s="647">
        <v>0</v>
      </c>
      <c r="J151" s="647">
        <v>1</v>
      </c>
      <c r="K151" s="647">
        <v>1</v>
      </c>
      <c r="L151" s="647">
        <v>0</v>
      </c>
      <c r="M151" s="647">
        <v>0</v>
      </c>
      <c r="N151" s="647">
        <v>0</v>
      </c>
      <c r="O151" s="647">
        <v>0</v>
      </c>
      <c r="P151" s="647">
        <v>0</v>
      </c>
      <c r="Q151" s="647">
        <v>0</v>
      </c>
      <c r="R151" s="647">
        <v>0</v>
      </c>
      <c r="S151" s="647">
        <v>0</v>
      </c>
      <c r="T151" s="647">
        <v>0</v>
      </c>
      <c r="U151" s="647">
        <v>0</v>
      </c>
      <c r="V151" s="647">
        <v>0</v>
      </c>
      <c r="W151" s="647">
        <v>0</v>
      </c>
      <c r="X151" s="647">
        <v>0</v>
      </c>
      <c r="Y151" s="647">
        <v>0</v>
      </c>
      <c r="Z151" s="647">
        <v>0</v>
      </c>
      <c r="AA151" s="647">
        <v>0</v>
      </c>
      <c r="AB151" s="647">
        <v>1</v>
      </c>
      <c r="AC151" s="647">
        <v>1</v>
      </c>
    </row>
    <row r="152" spans="1:29" x14ac:dyDescent="0.3">
      <c r="A152" s="145">
        <v>148</v>
      </c>
      <c r="B152" s="146" t="s">
        <v>572</v>
      </c>
      <c r="C152" s="647">
        <v>0</v>
      </c>
      <c r="D152" s="647">
        <v>0</v>
      </c>
      <c r="E152" s="647">
        <v>0</v>
      </c>
      <c r="F152" s="647">
        <v>0</v>
      </c>
      <c r="G152" s="647">
        <v>0</v>
      </c>
      <c r="H152" s="647">
        <v>0</v>
      </c>
      <c r="I152" s="647">
        <v>0</v>
      </c>
      <c r="J152" s="647">
        <v>0</v>
      </c>
      <c r="K152" s="647">
        <v>0</v>
      </c>
      <c r="L152" s="647">
        <v>0</v>
      </c>
      <c r="M152" s="647">
        <v>1</v>
      </c>
      <c r="N152" s="647">
        <v>1</v>
      </c>
      <c r="O152" s="647">
        <v>0</v>
      </c>
      <c r="P152" s="647">
        <v>0</v>
      </c>
      <c r="Q152" s="647">
        <v>0</v>
      </c>
      <c r="R152" s="647">
        <v>0</v>
      </c>
      <c r="S152" s="647">
        <v>0</v>
      </c>
      <c r="T152" s="647">
        <v>0</v>
      </c>
      <c r="U152" s="647">
        <v>0</v>
      </c>
      <c r="V152" s="647">
        <v>0</v>
      </c>
      <c r="W152" s="647">
        <v>0</v>
      </c>
      <c r="X152" s="647">
        <v>0</v>
      </c>
      <c r="Y152" s="647">
        <v>0</v>
      </c>
      <c r="Z152" s="647">
        <v>0</v>
      </c>
      <c r="AA152" s="647">
        <v>0</v>
      </c>
      <c r="AB152" s="647">
        <v>1</v>
      </c>
      <c r="AC152" s="647">
        <v>1</v>
      </c>
    </row>
    <row r="153" spans="1:29" x14ac:dyDescent="0.3">
      <c r="A153" s="145">
        <v>149</v>
      </c>
      <c r="B153" s="146" t="s">
        <v>731</v>
      </c>
      <c r="C153" s="647">
        <v>0</v>
      </c>
      <c r="D153" s="647">
        <v>0</v>
      </c>
      <c r="E153" s="647">
        <v>0</v>
      </c>
      <c r="F153" s="647">
        <v>0</v>
      </c>
      <c r="G153" s="647">
        <v>0</v>
      </c>
      <c r="H153" s="647">
        <v>0</v>
      </c>
      <c r="I153" s="647">
        <v>0</v>
      </c>
      <c r="J153" s="647">
        <v>1</v>
      </c>
      <c r="K153" s="647">
        <v>1</v>
      </c>
      <c r="L153" s="647">
        <v>0</v>
      </c>
      <c r="M153" s="647">
        <v>0</v>
      </c>
      <c r="N153" s="647">
        <v>0</v>
      </c>
      <c r="O153" s="647">
        <v>0</v>
      </c>
      <c r="P153" s="647">
        <v>0</v>
      </c>
      <c r="Q153" s="647">
        <v>0</v>
      </c>
      <c r="R153" s="647">
        <v>0</v>
      </c>
      <c r="S153" s="647">
        <v>0</v>
      </c>
      <c r="T153" s="647">
        <v>0</v>
      </c>
      <c r="U153" s="647">
        <v>0</v>
      </c>
      <c r="V153" s="647">
        <v>0</v>
      </c>
      <c r="W153" s="647">
        <v>0</v>
      </c>
      <c r="X153" s="647">
        <v>0</v>
      </c>
      <c r="Y153" s="647">
        <v>0</v>
      </c>
      <c r="Z153" s="647">
        <v>0</v>
      </c>
      <c r="AA153" s="647">
        <v>0</v>
      </c>
      <c r="AB153" s="647">
        <v>1</v>
      </c>
      <c r="AC153" s="647">
        <v>1</v>
      </c>
    </row>
    <row r="154" spans="1:29" x14ac:dyDescent="0.3">
      <c r="A154" s="145">
        <v>150</v>
      </c>
      <c r="B154" s="146" t="s">
        <v>663</v>
      </c>
      <c r="C154" s="647">
        <v>0</v>
      </c>
      <c r="D154" s="647">
        <v>0</v>
      </c>
      <c r="E154" s="647">
        <v>0</v>
      </c>
      <c r="F154" s="647">
        <v>0</v>
      </c>
      <c r="G154" s="647">
        <v>0</v>
      </c>
      <c r="H154" s="647">
        <v>0</v>
      </c>
      <c r="I154" s="647">
        <v>1</v>
      </c>
      <c r="J154" s="647">
        <v>0</v>
      </c>
      <c r="K154" s="647">
        <v>1</v>
      </c>
      <c r="L154" s="647">
        <v>0</v>
      </c>
      <c r="M154" s="647">
        <v>0</v>
      </c>
      <c r="N154" s="647">
        <v>0</v>
      </c>
      <c r="O154" s="647">
        <v>0</v>
      </c>
      <c r="P154" s="647">
        <v>0</v>
      </c>
      <c r="Q154" s="647">
        <v>0</v>
      </c>
      <c r="R154" s="647">
        <v>0</v>
      </c>
      <c r="S154" s="647">
        <v>0</v>
      </c>
      <c r="T154" s="647">
        <v>0</v>
      </c>
      <c r="U154" s="647">
        <v>0</v>
      </c>
      <c r="V154" s="647">
        <v>0</v>
      </c>
      <c r="W154" s="647">
        <v>0</v>
      </c>
      <c r="X154" s="647">
        <v>0</v>
      </c>
      <c r="Y154" s="647">
        <v>0</v>
      </c>
      <c r="Z154" s="647">
        <v>0</v>
      </c>
      <c r="AA154" s="647">
        <v>1</v>
      </c>
      <c r="AB154" s="647">
        <v>0</v>
      </c>
      <c r="AC154" s="647">
        <v>1</v>
      </c>
    </row>
    <row r="155" spans="1:29" x14ac:dyDescent="0.3">
      <c r="A155" s="145">
        <v>151</v>
      </c>
      <c r="B155" s="146" t="s">
        <v>578</v>
      </c>
      <c r="C155" s="647">
        <v>0</v>
      </c>
      <c r="D155" s="647">
        <v>0</v>
      </c>
      <c r="E155" s="647">
        <v>0</v>
      </c>
      <c r="F155" s="647">
        <v>0</v>
      </c>
      <c r="G155" s="647">
        <v>0</v>
      </c>
      <c r="H155" s="647">
        <v>0</v>
      </c>
      <c r="I155" s="647">
        <v>0</v>
      </c>
      <c r="J155" s="647">
        <v>0</v>
      </c>
      <c r="K155" s="647">
        <v>0</v>
      </c>
      <c r="L155" s="647">
        <v>1</v>
      </c>
      <c r="M155" s="647">
        <v>0</v>
      </c>
      <c r="N155" s="647">
        <v>1</v>
      </c>
      <c r="O155" s="647">
        <v>0</v>
      </c>
      <c r="P155" s="647">
        <v>0</v>
      </c>
      <c r="Q155" s="647">
        <v>0</v>
      </c>
      <c r="R155" s="647">
        <v>0</v>
      </c>
      <c r="S155" s="647">
        <v>0</v>
      </c>
      <c r="T155" s="647">
        <v>0</v>
      </c>
      <c r="U155" s="647">
        <v>0</v>
      </c>
      <c r="V155" s="647">
        <v>0</v>
      </c>
      <c r="W155" s="647">
        <v>0</v>
      </c>
      <c r="X155" s="647">
        <v>0</v>
      </c>
      <c r="Y155" s="647">
        <v>0</v>
      </c>
      <c r="Z155" s="647">
        <v>0</v>
      </c>
      <c r="AA155" s="647">
        <v>1</v>
      </c>
      <c r="AB155" s="647">
        <v>0</v>
      </c>
      <c r="AC155" s="647">
        <v>1</v>
      </c>
    </row>
    <row r="156" spans="1:29" x14ac:dyDescent="0.3">
      <c r="A156" s="145">
        <v>152</v>
      </c>
      <c r="B156" s="146" t="s">
        <v>739</v>
      </c>
      <c r="C156" s="647">
        <v>0</v>
      </c>
      <c r="D156" s="647">
        <v>0</v>
      </c>
      <c r="E156" s="647">
        <v>0</v>
      </c>
      <c r="F156" s="647">
        <v>0</v>
      </c>
      <c r="G156" s="647">
        <v>0</v>
      </c>
      <c r="H156" s="647">
        <v>0</v>
      </c>
      <c r="I156" s="647">
        <v>0</v>
      </c>
      <c r="J156" s="647">
        <v>1</v>
      </c>
      <c r="K156" s="647">
        <v>1</v>
      </c>
      <c r="L156" s="647">
        <v>0</v>
      </c>
      <c r="M156" s="647">
        <v>0</v>
      </c>
      <c r="N156" s="647">
        <v>0</v>
      </c>
      <c r="O156" s="647">
        <v>0</v>
      </c>
      <c r="P156" s="647">
        <v>0</v>
      </c>
      <c r="Q156" s="647">
        <v>0</v>
      </c>
      <c r="R156" s="647">
        <v>0</v>
      </c>
      <c r="S156" s="647">
        <v>0</v>
      </c>
      <c r="T156" s="647">
        <v>0</v>
      </c>
      <c r="U156" s="647">
        <v>0</v>
      </c>
      <c r="V156" s="647">
        <v>0</v>
      </c>
      <c r="W156" s="647">
        <v>0</v>
      </c>
      <c r="X156" s="647">
        <v>0</v>
      </c>
      <c r="Y156" s="647">
        <v>0</v>
      </c>
      <c r="Z156" s="647">
        <v>0</v>
      </c>
      <c r="AA156" s="647">
        <v>0</v>
      </c>
      <c r="AB156" s="647">
        <v>1</v>
      </c>
      <c r="AC156" s="647">
        <v>1</v>
      </c>
    </row>
    <row r="157" spans="1:29" x14ac:dyDescent="0.3">
      <c r="A157" s="145">
        <v>153</v>
      </c>
      <c r="B157" s="146" t="s">
        <v>611</v>
      </c>
      <c r="C157" s="647">
        <v>0</v>
      </c>
      <c r="D157" s="647">
        <v>0</v>
      </c>
      <c r="E157" s="647">
        <v>0</v>
      </c>
      <c r="F157" s="647">
        <v>0</v>
      </c>
      <c r="G157" s="647">
        <v>0</v>
      </c>
      <c r="H157" s="647">
        <v>0</v>
      </c>
      <c r="I157" s="647">
        <v>1</v>
      </c>
      <c r="J157" s="647">
        <v>0</v>
      </c>
      <c r="K157" s="647">
        <v>1</v>
      </c>
      <c r="L157" s="647">
        <v>0</v>
      </c>
      <c r="M157" s="647">
        <v>0</v>
      </c>
      <c r="N157" s="647">
        <v>0</v>
      </c>
      <c r="O157" s="647">
        <v>0</v>
      </c>
      <c r="P157" s="647">
        <v>0</v>
      </c>
      <c r="Q157" s="647">
        <v>0</v>
      </c>
      <c r="R157" s="647">
        <v>0</v>
      </c>
      <c r="S157" s="647">
        <v>0</v>
      </c>
      <c r="T157" s="647">
        <v>0</v>
      </c>
      <c r="U157" s="647">
        <v>0</v>
      </c>
      <c r="V157" s="647">
        <v>0</v>
      </c>
      <c r="W157" s="647">
        <v>0</v>
      </c>
      <c r="X157" s="647">
        <v>0</v>
      </c>
      <c r="Y157" s="647">
        <v>0</v>
      </c>
      <c r="Z157" s="647">
        <v>0</v>
      </c>
      <c r="AA157" s="647">
        <v>1</v>
      </c>
      <c r="AB157" s="647">
        <v>0</v>
      </c>
      <c r="AC157" s="647">
        <v>1</v>
      </c>
    </row>
    <row r="158" spans="1:29" x14ac:dyDescent="0.3">
      <c r="A158" s="145">
        <v>154</v>
      </c>
      <c r="B158" s="146" t="s">
        <v>587</v>
      </c>
      <c r="C158" s="647">
        <v>0</v>
      </c>
      <c r="D158" s="647">
        <v>0</v>
      </c>
      <c r="E158" s="647">
        <v>0</v>
      </c>
      <c r="F158" s="647">
        <v>0</v>
      </c>
      <c r="G158" s="647">
        <v>0</v>
      </c>
      <c r="H158" s="647">
        <v>0</v>
      </c>
      <c r="I158" s="647">
        <v>0</v>
      </c>
      <c r="J158" s="647">
        <v>0</v>
      </c>
      <c r="K158" s="647">
        <v>0</v>
      </c>
      <c r="L158" s="647">
        <v>0</v>
      </c>
      <c r="M158" s="647">
        <v>0</v>
      </c>
      <c r="N158" s="647">
        <v>0</v>
      </c>
      <c r="O158" s="647">
        <v>0</v>
      </c>
      <c r="P158" s="647">
        <v>0</v>
      </c>
      <c r="Q158" s="647">
        <v>0</v>
      </c>
      <c r="R158" s="647">
        <v>0</v>
      </c>
      <c r="S158" s="647">
        <v>0</v>
      </c>
      <c r="T158" s="647">
        <v>0</v>
      </c>
      <c r="U158" s="647">
        <v>0</v>
      </c>
      <c r="V158" s="647">
        <v>0</v>
      </c>
      <c r="W158" s="647">
        <v>0</v>
      </c>
      <c r="X158" s="647">
        <v>1</v>
      </c>
      <c r="Y158" s="647">
        <v>0</v>
      </c>
      <c r="Z158" s="647">
        <v>1</v>
      </c>
      <c r="AA158" s="647">
        <v>1</v>
      </c>
      <c r="AB158" s="647">
        <v>0</v>
      </c>
      <c r="AC158" s="647">
        <v>1</v>
      </c>
    </row>
    <row r="159" spans="1:29" x14ac:dyDescent="0.3">
      <c r="A159" s="145">
        <v>155</v>
      </c>
      <c r="B159" s="146" t="s">
        <v>651</v>
      </c>
      <c r="C159" s="647">
        <v>0</v>
      </c>
      <c r="D159" s="647">
        <v>0</v>
      </c>
      <c r="E159" s="647">
        <v>0</v>
      </c>
      <c r="F159" s="647">
        <v>0</v>
      </c>
      <c r="G159" s="647">
        <v>0</v>
      </c>
      <c r="H159" s="647">
        <v>0</v>
      </c>
      <c r="I159" s="647">
        <v>0</v>
      </c>
      <c r="J159" s="647">
        <v>0</v>
      </c>
      <c r="K159" s="647">
        <v>0</v>
      </c>
      <c r="L159" s="647">
        <v>1</v>
      </c>
      <c r="M159" s="647">
        <v>0</v>
      </c>
      <c r="N159" s="647">
        <v>1</v>
      </c>
      <c r="O159" s="647">
        <v>0</v>
      </c>
      <c r="P159" s="647">
        <v>0</v>
      </c>
      <c r="Q159" s="647">
        <v>0</v>
      </c>
      <c r="R159" s="647">
        <v>0</v>
      </c>
      <c r="S159" s="647">
        <v>0</v>
      </c>
      <c r="T159" s="647">
        <v>0</v>
      </c>
      <c r="U159" s="647">
        <v>0</v>
      </c>
      <c r="V159" s="647">
        <v>0</v>
      </c>
      <c r="W159" s="647">
        <v>0</v>
      </c>
      <c r="X159" s="647">
        <v>0</v>
      </c>
      <c r="Y159" s="647">
        <v>0</v>
      </c>
      <c r="Z159" s="647">
        <v>0</v>
      </c>
      <c r="AA159" s="647">
        <v>1</v>
      </c>
      <c r="AB159" s="647">
        <v>0</v>
      </c>
      <c r="AC159" s="647">
        <v>1</v>
      </c>
    </row>
    <row r="160" spans="1:29" x14ac:dyDescent="0.3">
      <c r="A160" s="145">
        <v>156</v>
      </c>
      <c r="B160" s="146" t="s">
        <v>613</v>
      </c>
      <c r="C160" s="647">
        <v>0</v>
      </c>
      <c r="D160" s="647">
        <v>0</v>
      </c>
      <c r="E160" s="647">
        <v>0</v>
      </c>
      <c r="F160" s="647">
        <v>0</v>
      </c>
      <c r="G160" s="647">
        <v>0</v>
      </c>
      <c r="H160" s="647">
        <v>0</v>
      </c>
      <c r="I160" s="647">
        <v>0</v>
      </c>
      <c r="J160" s="647">
        <v>0</v>
      </c>
      <c r="K160" s="647">
        <v>0</v>
      </c>
      <c r="L160" s="647">
        <v>1</v>
      </c>
      <c r="M160" s="647">
        <v>0</v>
      </c>
      <c r="N160" s="647">
        <v>1</v>
      </c>
      <c r="O160" s="647">
        <v>0</v>
      </c>
      <c r="P160" s="647">
        <v>0</v>
      </c>
      <c r="Q160" s="647">
        <v>0</v>
      </c>
      <c r="R160" s="647">
        <v>0</v>
      </c>
      <c r="S160" s="647">
        <v>0</v>
      </c>
      <c r="T160" s="647">
        <v>0</v>
      </c>
      <c r="U160" s="647">
        <v>0</v>
      </c>
      <c r="V160" s="647">
        <v>0</v>
      </c>
      <c r="W160" s="647">
        <v>0</v>
      </c>
      <c r="X160" s="647">
        <v>0</v>
      </c>
      <c r="Y160" s="647">
        <v>0</v>
      </c>
      <c r="Z160" s="647">
        <v>0</v>
      </c>
      <c r="AA160" s="647">
        <v>1</v>
      </c>
      <c r="AB160" s="647">
        <v>0</v>
      </c>
      <c r="AC160" s="647">
        <v>1</v>
      </c>
    </row>
    <row r="161" spans="1:29" x14ac:dyDescent="0.3">
      <c r="A161" s="145">
        <v>157</v>
      </c>
      <c r="B161" s="146" t="s">
        <v>636</v>
      </c>
      <c r="C161" s="647">
        <v>0</v>
      </c>
      <c r="D161" s="647">
        <v>0</v>
      </c>
      <c r="E161" s="647">
        <v>0</v>
      </c>
      <c r="F161" s="647">
        <v>0</v>
      </c>
      <c r="G161" s="647">
        <v>0</v>
      </c>
      <c r="H161" s="647">
        <v>0</v>
      </c>
      <c r="I161" s="647">
        <v>0</v>
      </c>
      <c r="J161" s="647">
        <v>1</v>
      </c>
      <c r="K161" s="647">
        <v>1</v>
      </c>
      <c r="L161" s="647">
        <v>0</v>
      </c>
      <c r="M161" s="647">
        <v>0</v>
      </c>
      <c r="N161" s="647">
        <v>0</v>
      </c>
      <c r="O161" s="647">
        <v>0</v>
      </c>
      <c r="P161" s="647">
        <v>0</v>
      </c>
      <c r="Q161" s="647">
        <v>0</v>
      </c>
      <c r="R161" s="647">
        <v>0</v>
      </c>
      <c r="S161" s="647">
        <v>0</v>
      </c>
      <c r="T161" s="647">
        <v>0</v>
      </c>
      <c r="U161" s="647">
        <v>0</v>
      </c>
      <c r="V161" s="647">
        <v>0</v>
      </c>
      <c r="W161" s="647">
        <v>0</v>
      </c>
      <c r="X161" s="647">
        <v>0</v>
      </c>
      <c r="Y161" s="647">
        <v>0</v>
      </c>
      <c r="Z161" s="647">
        <v>0</v>
      </c>
      <c r="AA161" s="647">
        <v>0</v>
      </c>
      <c r="AB161" s="647">
        <v>1</v>
      </c>
      <c r="AC161" s="647">
        <v>1</v>
      </c>
    </row>
    <row r="162" spans="1:29" x14ac:dyDescent="0.3">
      <c r="A162" s="145">
        <v>158</v>
      </c>
      <c r="B162" s="146" t="s">
        <v>646</v>
      </c>
      <c r="C162" s="647">
        <v>0</v>
      </c>
      <c r="D162" s="647">
        <v>0</v>
      </c>
      <c r="E162" s="647">
        <v>0</v>
      </c>
      <c r="F162" s="647">
        <v>0</v>
      </c>
      <c r="G162" s="647">
        <v>0</v>
      </c>
      <c r="H162" s="647">
        <v>0</v>
      </c>
      <c r="I162" s="647">
        <v>0</v>
      </c>
      <c r="J162" s="647">
        <v>0</v>
      </c>
      <c r="K162" s="647">
        <v>0</v>
      </c>
      <c r="L162" s="647">
        <v>1</v>
      </c>
      <c r="M162" s="647">
        <v>0</v>
      </c>
      <c r="N162" s="647">
        <v>1</v>
      </c>
      <c r="O162" s="647">
        <v>0</v>
      </c>
      <c r="P162" s="647">
        <v>0</v>
      </c>
      <c r="Q162" s="647">
        <v>0</v>
      </c>
      <c r="R162" s="647">
        <v>0</v>
      </c>
      <c r="S162" s="647">
        <v>0</v>
      </c>
      <c r="T162" s="647">
        <v>0</v>
      </c>
      <c r="U162" s="647">
        <v>0</v>
      </c>
      <c r="V162" s="647">
        <v>0</v>
      </c>
      <c r="W162" s="647">
        <v>0</v>
      </c>
      <c r="X162" s="647">
        <v>0</v>
      </c>
      <c r="Y162" s="647">
        <v>0</v>
      </c>
      <c r="Z162" s="647">
        <v>0</v>
      </c>
      <c r="AA162" s="647">
        <v>1</v>
      </c>
      <c r="AB162" s="647">
        <v>0</v>
      </c>
      <c r="AC162" s="647">
        <v>1</v>
      </c>
    </row>
    <row r="163" spans="1:29" x14ac:dyDescent="0.3">
      <c r="A163" s="145">
        <v>159</v>
      </c>
      <c r="B163" s="146" t="s">
        <v>699</v>
      </c>
      <c r="C163" s="647">
        <v>0</v>
      </c>
      <c r="D163" s="647">
        <v>0</v>
      </c>
      <c r="E163" s="647">
        <v>0</v>
      </c>
      <c r="F163" s="647">
        <v>0</v>
      </c>
      <c r="G163" s="647">
        <v>0</v>
      </c>
      <c r="H163" s="647">
        <v>0</v>
      </c>
      <c r="I163" s="647">
        <v>0</v>
      </c>
      <c r="J163" s="647">
        <v>0</v>
      </c>
      <c r="K163" s="647">
        <v>0</v>
      </c>
      <c r="L163" s="647">
        <v>1</v>
      </c>
      <c r="M163" s="647">
        <v>0</v>
      </c>
      <c r="N163" s="647">
        <v>1</v>
      </c>
      <c r="O163" s="647">
        <v>0</v>
      </c>
      <c r="P163" s="647">
        <v>0</v>
      </c>
      <c r="Q163" s="647">
        <v>0</v>
      </c>
      <c r="R163" s="647">
        <v>0</v>
      </c>
      <c r="S163" s="647">
        <v>0</v>
      </c>
      <c r="T163" s="647">
        <v>0</v>
      </c>
      <c r="U163" s="647">
        <v>0</v>
      </c>
      <c r="V163" s="647">
        <v>0</v>
      </c>
      <c r="W163" s="647">
        <v>0</v>
      </c>
      <c r="X163" s="647">
        <v>0</v>
      </c>
      <c r="Y163" s="647">
        <v>0</v>
      </c>
      <c r="Z163" s="647">
        <v>0</v>
      </c>
      <c r="AA163" s="647">
        <v>1</v>
      </c>
      <c r="AB163" s="647">
        <v>0</v>
      </c>
      <c r="AC163" s="647">
        <v>1</v>
      </c>
    </row>
    <row r="164" spans="1:29" x14ac:dyDescent="0.3">
      <c r="A164" s="145">
        <v>160</v>
      </c>
      <c r="B164" s="146" t="s">
        <v>700</v>
      </c>
      <c r="C164" s="647">
        <v>0</v>
      </c>
      <c r="D164" s="647">
        <v>0</v>
      </c>
      <c r="E164" s="647">
        <v>0</v>
      </c>
      <c r="F164" s="647">
        <v>0</v>
      </c>
      <c r="G164" s="647">
        <v>0</v>
      </c>
      <c r="H164" s="647">
        <v>0</v>
      </c>
      <c r="I164" s="647">
        <v>0</v>
      </c>
      <c r="J164" s="647">
        <v>0</v>
      </c>
      <c r="K164" s="647">
        <v>0</v>
      </c>
      <c r="L164" s="647">
        <v>0</v>
      </c>
      <c r="M164" s="647">
        <v>1</v>
      </c>
      <c r="N164" s="647">
        <v>1</v>
      </c>
      <c r="O164" s="647">
        <v>0</v>
      </c>
      <c r="P164" s="647">
        <v>0</v>
      </c>
      <c r="Q164" s="647">
        <v>0</v>
      </c>
      <c r="R164" s="647">
        <v>0</v>
      </c>
      <c r="S164" s="647">
        <v>0</v>
      </c>
      <c r="T164" s="647">
        <v>0</v>
      </c>
      <c r="U164" s="647">
        <v>0</v>
      </c>
      <c r="V164" s="647">
        <v>0</v>
      </c>
      <c r="W164" s="647">
        <v>0</v>
      </c>
      <c r="X164" s="647">
        <v>0</v>
      </c>
      <c r="Y164" s="647">
        <v>0</v>
      </c>
      <c r="Z164" s="647">
        <v>0</v>
      </c>
      <c r="AA164" s="647">
        <v>0</v>
      </c>
      <c r="AB164" s="647">
        <v>1</v>
      </c>
      <c r="AC164" s="647">
        <v>1</v>
      </c>
    </row>
    <row r="165" spans="1:29" x14ac:dyDescent="0.3">
      <c r="A165" s="145">
        <v>161</v>
      </c>
      <c r="B165" s="146" t="s">
        <v>703</v>
      </c>
      <c r="C165" s="647">
        <v>1</v>
      </c>
      <c r="D165" s="647">
        <v>0</v>
      </c>
      <c r="E165" s="647">
        <v>1</v>
      </c>
      <c r="F165" s="647">
        <v>0</v>
      </c>
      <c r="G165" s="647">
        <v>0</v>
      </c>
      <c r="H165" s="647">
        <v>0</v>
      </c>
      <c r="I165" s="647">
        <v>0</v>
      </c>
      <c r="J165" s="647">
        <v>0</v>
      </c>
      <c r="K165" s="647">
        <v>0</v>
      </c>
      <c r="L165" s="647">
        <v>0</v>
      </c>
      <c r="M165" s="647">
        <v>0</v>
      </c>
      <c r="N165" s="647">
        <v>0</v>
      </c>
      <c r="O165" s="647">
        <v>0</v>
      </c>
      <c r="P165" s="647">
        <v>0</v>
      </c>
      <c r="Q165" s="647">
        <v>0</v>
      </c>
      <c r="R165" s="647">
        <v>0</v>
      </c>
      <c r="S165" s="647">
        <v>0</v>
      </c>
      <c r="T165" s="647">
        <v>0</v>
      </c>
      <c r="U165" s="647">
        <v>0</v>
      </c>
      <c r="V165" s="647">
        <v>0</v>
      </c>
      <c r="W165" s="647">
        <v>0</v>
      </c>
      <c r="X165" s="647">
        <v>0</v>
      </c>
      <c r="Y165" s="647">
        <v>0</v>
      </c>
      <c r="Z165" s="647">
        <v>0</v>
      </c>
      <c r="AA165" s="647">
        <v>1</v>
      </c>
      <c r="AB165" s="647">
        <v>0</v>
      </c>
      <c r="AC165" s="647">
        <v>1</v>
      </c>
    </row>
    <row r="166" spans="1:29" x14ac:dyDescent="0.3">
      <c r="A166" s="145">
        <v>162</v>
      </c>
      <c r="B166" s="146" t="s">
        <v>707</v>
      </c>
      <c r="C166" s="647">
        <v>0</v>
      </c>
      <c r="D166" s="647">
        <v>0</v>
      </c>
      <c r="E166" s="647">
        <v>0</v>
      </c>
      <c r="F166" s="647">
        <v>0</v>
      </c>
      <c r="G166" s="647">
        <v>0</v>
      </c>
      <c r="H166" s="647">
        <v>0</v>
      </c>
      <c r="I166" s="647">
        <v>0</v>
      </c>
      <c r="J166" s="647">
        <v>0</v>
      </c>
      <c r="K166" s="647">
        <v>0</v>
      </c>
      <c r="L166" s="647">
        <v>0</v>
      </c>
      <c r="M166" s="647">
        <v>0</v>
      </c>
      <c r="N166" s="647">
        <v>0</v>
      </c>
      <c r="O166" s="647">
        <v>0</v>
      </c>
      <c r="P166" s="647">
        <v>1</v>
      </c>
      <c r="Q166" s="647">
        <v>1</v>
      </c>
      <c r="R166" s="647">
        <v>0</v>
      </c>
      <c r="S166" s="647">
        <v>0</v>
      </c>
      <c r="T166" s="647">
        <v>0</v>
      </c>
      <c r="U166" s="647">
        <v>0</v>
      </c>
      <c r="V166" s="647">
        <v>0</v>
      </c>
      <c r="W166" s="647">
        <v>0</v>
      </c>
      <c r="X166" s="647">
        <v>0</v>
      </c>
      <c r="Y166" s="647">
        <v>0</v>
      </c>
      <c r="Z166" s="647">
        <v>0</v>
      </c>
      <c r="AA166" s="647">
        <v>0</v>
      </c>
      <c r="AB166" s="647">
        <v>1</v>
      </c>
      <c r="AC166" s="647">
        <v>1</v>
      </c>
    </row>
    <row r="167" spans="1:29" ht="33" customHeight="1" x14ac:dyDescent="0.3">
      <c r="A167" s="145">
        <v>163</v>
      </c>
      <c r="B167" s="146" t="s">
        <v>709</v>
      </c>
      <c r="C167" s="647">
        <v>0</v>
      </c>
      <c r="D167" s="647">
        <v>0</v>
      </c>
      <c r="E167" s="647">
        <v>0</v>
      </c>
      <c r="F167" s="647">
        <v>0</v>
      </c>
      <c r="G167" s="647">
        <v>0</v>
      </c>
      <c r="H167" s="647">
        <v>0</v>
      </c>
      <c r="I167" s="647">
        <v>0</v>
      </c>
      <c r="J167" s="647">
        <v>0</v>
      </c>
      <c r="K167" s="647">
        <v>0</v>
      </c>
      <c r="L167" s="647">
        <v>0</v>
      </c>
      <c r="M167" s="647">
        <v>1</v>
      </c>
      <c r="N167" s="647">
        <v>1</v>
      </c>
      <c r="O167" s="647">
        <v>0</v>
      </c>
      <c r="P167" s="647">
        <v>0</v>
      </c>
      <c r="Q167" s="647">
        <v>0</v>
      </c>
      <c r="R167" s="647">
        <v>0</v>
      </c>
      <c r="S167" s="647">
        <v>0</v>
      </c>
      <c r="T167" s="647">
        <v>0</v>
      </c>
      <c r="U167" s="647">
        <v>0</v>
      </c>
      <c r="V167" s="647">
        <v>0</v>
      </c>
      <c r="W167" s="647">
        <v>0</v>
      </c>
      <c r="X167" s="647">
        <v>0</v>
      </c>
      <c r="Y167" s="647">
        <v>0</v>
      </c>
      <c r="Z167" s="647">
        <v>0</v>
      </c>
      <c r="AA167" s="647">
        <v>0</v>
      </c>
      <c r="AB167" s="647">
        <v>1</v>
      </c>
      <c r="AC167" s="647">
        <v>1</v>
      </c>
    </row>
    <row r="168" spans="1:29" x14ac:dyDescent="0.3">
      <c r="A168" s="145">
        <v>164</v>
      </c>
      <c r="B168" s="146" t="s">
        <v>632</v>
      </c>
      <c r="C168" s="647">
        <v>0</v>
      </c>
      <c r="D168" s="647">
        <v>1</v>
      </c>
      <c r="E168" s="647">
        <v>1</v>
      </c>
      <c r="F168" s="647">
        <v>0</v>
      </c>
      <c r="G168" s="647">
        <v>0</v>
      </c>
      <c r="H168" s="647">
        <v>0</v>
      </c>
      <c r="I168" s="647">
        <v>0</v>
      </c>
      <c r="J168" s="647">
        <v>0</v>
      </c>
      <c r="K168" s="647">
        <v>0</v>
      </c>
      <c r="L168" s="647">
        <v>0</v>
      </c>
      <c r="M168" s="647">
        <v>0</v>
      </c>
      <c r="N168" s="647">
        <v>0</v>
      </c>
      <c r="O168" s="647">
        <v>0</v>
      </c>
      <c r="P168" s="647">
        <v>0</v>
      </c>
      <c r="Q168" s="647">
        <v>0</v>
      </c>
      <c r="R168" s="647">
        <v>0</v>
      </c>
      <c r="S168" s="647">
        <v>0</v>
      </c>
      <c r="T168" s="647">
        <v>0</v>
      </c>
      <c r="U168" s="647">
        <v>0</v>
      </c>
      <c r="V168" s="647">
        <v>0</v>
      </c>
      <c r="W168" s="647">
        <v>0</v>
      </c>
      <c r="X168" s="647">
        <v>0</v>
      </c>
      <c r="Y168" s="647">
        <v>0</v>
      </c>
      <c r="Z168" s="647">
        <v>0</v>
      </c>
      <c r="AA168" s="647">
        <v>0</v>
      </c>
      <c r="AB168" s="647">
        <v>1</v>
      </c>
      <c r="AC168" s="647">
        <v>1</v>
      </c>
    </row>
    <row r="169" spans="1:29" x14ac:dyDescent="0.3">
      <c r="A169" s="145">
        <v>165</v>
      </c>
      <c r="B169" s="146" t="s">
        <v>619</v>
      </c>
      <c r="C169" s="647">
        <v>0</v>
      </c>
      <c r="D169" s="647">
        <v>0</v>
      </c>
      <c r="E169" s="647">
        <v>0</v>
      </c>
      <c r="F169" s="647">
        <v>0</v>
      </c>
      <c r="G169" s="647">
        <v>0</v>
      </c>
      <c r="H169" s="647">
        <v>0</v>
      </c>
      <c r="I169" s="647">
        <v>0</v>
      </c>
      <c r="J169" s="647">
        <v>0</v>
      </c>
      <c r="K169" s="647">
        <v>0</v>
      </c>
      <c r="L169" s="647">
        <v>1</v>
      </c>
      <c r="M169" s="647">
        <v>0</v>
      </c>
      <c r="N169" s="647">
        <v>1</v>
      </c>
      <c r="O169" s="647">
        <v>0</v>
      </c>
      <c r="P169" s="647">
        <v>0</v>
      </c>
      <c r="Q169" s="647">
        <v>0</v>
      </c>
      <c r="R169" s="647">
        <v>0</v>
      </c>
      <c r="S169" s="647">
        <v>0</v>
      </c>
      <c r="T169" s="647">
        <v>0</v>
      </c>
      <c r="U169" s="647">
        <v>0</v>
      </c>
      <c r="V169" s="647">
        <v>0</v>
      </c>
      <c r="W169" s="647">
        <v>0</v>
      </c>
      <c r="X169" s="647">
        <v>0</v>
      </c>
      <c r="Y169" s="647">
        <v>0</v>
      </c>
      <c r="Z169" s="647">
        <v>0</v>
      </c>
      <c r="AA169" s="647">
        <v>1</v>
      </c>
      <c r="AB169" s="647">
        <v>0</v>
      </c>
      <c r="AC169" s="647">
        <v>1</v>
      </c>
    </row>
    <row r="170" spans="1:29" x14ac:dyDescent="0.3">
      <c r="A170" s="145">
        <v>166</v>
      </c>
      <c r="B170" s="146" t="s">
        <v>576</v>
      </c>
      <c r="C170" s="647">
        <v>0</v>
      </c>
      <c r="D170" s="647">
        <v>0</v>
      </c>
      <c r="E170" s="647">
        <v>0</v>
      </c>
      <c r="F170" s="647">
        <v>0</v>
      </c>
      <c r="G170" s="647">
        <v>0</v>
      </c>
      <c r="H170" s="647">
        <v>0</v>
      </c>
      <c r="I170" s="647">
        <v>0</v>
      </c>
      <c r="J170" s="647">
        <v>0</v>
      </c>
      <c r="K170" s="647">
        <v>0</v>
      </c>
      <c r="L170" s="647">
        <v>1</v>
      </c>
      <c r="M170" s="647">
        <v>0</v>
      </c>
      <c r="N170" s="647">
        <v>1</v>
      </c>
      <c r="O170" s="647">
        <v>0</v>
      </c>
      <c r="P170" s="647">
        <v>0</v>
      </c>
      <c r="Q170" s="647">
        <v>0</v>
      </c>
      <c r="R170" s="647">
        <v>0</v>
      </c>
      <c r="S170" s="647">
        <v>0</v>
      </c>
      <c r="T170" s="647">
        <v>0</v>
      </c>
      <c r="U170" s="647">
        <v>0</v>
      </c>
      <c r="V170" s="647">
        <v>0</v>
      </c>
      <c r="W170" s="647">
        <v>0</v>
      </c>
      <c r="X170" s="647">
        <v>0</v>
      </c>
      <c r="Y170" s="647">
        <v>0</v>
      </c>
      <c r="Z170" s="647">
        <v>0</v>
      </c>
      <c r="AA170" s="647">
        <v>1</v>
      </c>
      <c r="AB170" s="647">
        <v>0</v>
      </c>
      <c r="AC170" s="647">
        <v>1</v>
      </c>
    </row>
    <row r="171" spans="1:29" x14ac:dyDescent="0.3">
      <c r="A171" s="145">
        <v>167</v>
      </c>
      <c r="B171" s="146" t="s">
        <v>629</v>
      </c>
      <c r="C171" s="647">
        <v>0</v>
      </c>
      <c r="D171" s="647">
        <v>0</v>
      </c>
      <c r="E171" s="647">
        <v>0</v>
      </c>
      <c r="F171" s="647">
        <v>0</v>
      </c>
      <c r="G171" s="647">
        <v>0</v>
      </c>
      <c r="H171" s="647">
        <v>0</v>
      </c>
      <c r="I171" s="647">
        <v>0</v>
      </c>
      <c r="J171" s="647">
        <v>0</v>
      </c>
      <c r="K171" s="647">
        <v>0</v>
      </c>
      <c r="L171" s="647">
        <v>0</v>
      </c>
      <c r="M171" s="647">
        <v>1</v>
      </c>
      <c r="N171" s="647">
        <v>1</v>
      </c>
      <c r="O171" s="647">
        <v>0</v>
      </c>
      <c r="P171" s="647">
        <v>0</v>
      </c>
      <c r="Q171" s="647">
        <v>0</v>
      </c>
      <c r="R171" s="647">
        <v>0</v>
      </c>
      <c r="S171" s="647">
        <v>0</v>
      </c>
      <c r="T171" s="647">
        <v>0</v>
      </c>
      <c r="U171" s="647">
        <v>0</v>
      </c>
      <c r="V171" s="647">
        <v>0</v>
      </c>
      <c r="W171" s="647">
        <v>0</v>
      </c>
      <c r="X171" s="647">
        <v>0</v>
      </c>
      <c r="Y171" s="647">
        <v>0</v>
      </c>
      <c r="Z171" s="647">
        <v>0</v>
      </c>
      <c r="AA171" s="647">
        <v>0</v>
      </c>
      <c r="AB171" s="647">
        <v>1</v>
      </c>
      <c r="AC171" s="647">
        <v>1</v>
      </c>
    </row>
    <row r="172" spans="1:29" x14ac:dyDescent="0.3">
      <c r="A172" s="145">
        <v>168</v>
      </c>
      <c r="B172" s="146" t="s">
        <v>717</v>
      </c>
      <c r="C172" s="647">
        <v>0</v>
      </c>
      <c r="D172" s="647">
        <v>0</v>
      </c>
      <c r="E172" s="647">
        <v>0</v>
      </c>
      <c r="F172" s="647">
        <v>0</v>
      </c>
      <c r="G172" s="647">
        <v>0</v>
      </c>
      <c r="H172" s="647">
        <v>0</v>
      </c>
      <c r="I172" s="647">
        <v>0</v>
      </c>
      <c r="J172" s="647">
        <v>1</v>
      </c>
      <c r="K172" s="647">
        <v>1</v>
      </c>
      <c r="L172" s="647">
        <v>0</v>
      </c>
      <c r="M172" s="647">
        <v>0</v>
      </c>
      <c r="N172" s="647">
        <v>0</v>
      </c>
      <c r="O172" s="647">
        <v>0</v>
      </c>
      <c r="P172" s="647">
        <v>0</v>
      </c>
      <c r="Q172" s="647">
        <v>0</v>
      </c>
      <c r="R172" s="647">
        <v>0</v>
      </c>
      <c r="S172" s="647">
        <v>0</v>
      </c>
      <c r="T172" s="647">
        <v>0</v>
      </c>
      <c r="U172" s="647">
        <v>0</v>
      </c>
      <c r="V172" s="647">
        <v>0</v>
      </c>
      <c r="W172" s="647">
        <v>0</v>
      </c>
      <c r="X172" s="647">
        <v>0</v>
      </c>
      <c r="Y172" s="647">
        <v>0</v>
      </c>
      <c r="Z172" s="647">
        <v>0</v>
      </c>
      <c r="AA172" s="647">
        <v>0</v>
      </c>
      <c r="AB172" s="647">
        <v>1</v>
      </c>
      <c r="AC172" s="647">
        <v>1</v>
      </c>
    </row>
    <row r="173" spans="1:29" x14ac:dyDescent="0.3">
      <c r="A173" s="145">
        <v>169</v>
      </c>
      <c r="B173" s="146" t="s">
        <v>627</v>
      </c>
      <c r="C173" s="647">
        <v>1</v>
      </c>
      <c r="D173" s="647">
        <v>0</v>
      </c>
      <c r="E173" s="647">
        <v>1</v>
      </c>
      <c r="F173" s="647">
        <v>0</v>
      </c>
      <c r="G173" s="647">
        <v>0</v>
      </c>
      <c r="H173" s="647">
        <v>0</v>
      </c>
      <c r="I173" s="647">
        <v>0</v>
      </c>
      <c r="J173" s="647">
        <v>0</v>
      </c>
      <c r="K173" s="647">
        <v>0</v>
      </c>
      <c r="L173" s="647">
        <v>0</v>
      </c>
      <c r="M173" s="647">
        <v>0</v>
      </c>
      <c r="N173" s="647">
        <v>0</v>
      </c>
      <c r="O173" s="647">
        <v>0</v>
      </c>
      <c r="P173" s="647">
        <v>0</v>
      </c>
      <c r="Q173" s="647">
        <v>0</v>
      </c>
      <c r="R173" s="647">
        <v>0</v>
      </c>
      <c r="S173" s="647">
        <v>0</v>
      </c>
      <c r="T173" s="647">
        <v>0</v>
      </c>
      <c r="U173" s="647">
        <v>0</v>
      </c>
      <c r="V173" s="647">
        <v>0</v>
      </c>
      <c r="W173" s="647">
        <v>0</v>
      </c>
      <c r="X173" s="647">
        <v>0</v>
      </c>
      <c r="Y173" s="647">
        <v>0</v>
      </c>
      <c r="Z173" s="647">
        <v>0</v>
      </c>
      <c r="AA173" s="647">
        <v>1</v>
      </c>
      <c r="AB173" s="647">
        <v>0</v>
      </c>
      <c r="AC173" s="647">
        <v>1</v>
      </c>
    </row>
    <row r="174" spans="1:29" x14ac:dyDescent="0.3">
      <c r="A174" s="145">
        <v>170</v>
      </c>
      <c r="B174" s="146" t="s">
        <v>649</v>
      </c>
      <c r="C174" s="647">
        <v>0</v>
      </c>
      <c r="D174" s="647">
        <v>0</v>
      </c>
      <c r="E174" s="647">
        <v>0</v>
      </c>
      <c r="F174" s="647">
        <v>0</v>
      </c>
      <c r="G174" s="647">
        <v>0</v>
      </c>
      <c r="H174" s="647">
        <v>0</v>
      </c>
      <c r="I174" s="647">
        <v>0</v>
      </c>
      <c r="J174" s="647">
        <v>0</v>
      </c>
      <c r="K174" s="647">
        <v>0</v>
      </c>
      <c r="L174" s="647">
        <v>0</v>
      </c>
      <c r="M174" s="647">
        <v>1</v>
      </c>
      <c r="N174" s="647">
        <v>1</v>
      </c>
      <c r="O174" s="647">
        <v>0</v>
      </c>
      <c r="P174" s="647">
        <v>0</v>
      </c>
      <c r="Q174" s="647">
        <v>0</v>
      </c>
      <c r="R174" s="647">
        <v>0</v>
      </c>
      <c r="S174" s="647">
        <v>0</v>
      </c>
      <c r="T174" s="647">
        <v>0</v>
      </c>
      <c r="U174" s="647">
        <v>0</v>
      </c>
      <c r="V174" s="647">
        <v>0</v>
      </c>
      <c r="W174" s="647">
        <v>0</v>
      </c>
      <c r="X174" s="647">
        <v>0</v>
      </c>
      <c r="Y174" s="647">
        <v>0</v>
      </c>
      <c r="Z174" s="647">
        <v>0</v>
      </c>
      <c r="AA174" s="647">
        <v>0</v>
      </c>
      <c r="AB174" s="647">
        <v>1</v>
      </c>
      <c r="AC174" s="647">
        <v>1</v>
      </c>
    </row>
    <row r="175" spans="1:29" s="147" customFormat="1" x14ac:dyDescent="0.3">
      <c r="A175" s="145">
        <v>171</v>
      </c>
      <c r="B175" s="146" t="s">
        <v>721</v>
      </c>
      <c r="C175" s="648">
        <v>0</v>
      </c>
      <c r="D175" s="648">
        <v>0</v>
      </c>
      <c r="E175" s="648">
        <v>0</v>
      </c>
      <c r="F175" s="648">
        <v>0</v>
      </c>
      <c r="G175" s="648">
        <v>0</v>
      </c>
      <c r="H175" s="648">
        <v>0</v>
      </c>
      <c r="I175" s="648">
        <v>0</v>
      </c>
      <c r="J175" s="648">
        <v>0</v>
      </c>
      <c r="K175" s="648">
        <v>0</v>
      </c>
      <c r="L175" s="648">
        <v>1</v>
      </c>
      <c r="M175" s="648">
        <v>0</v>
      </c>
      <c r="N175" s="648">
        <v>1</v>
      </c>
      <c r="O175" s="648">
        <v>0</v>
      </c>
      <c r="P175" s="648">
        <v>0</v>
      </c>
      <c r="Q175" s="648">
        <v>0</v>
      </c>
      <c r="R175" s="648">
        <v>0</v>
      </c>
      <c r="S175" s="648">
        <v>0</v>
      </c>
      <c r="T175" s="648">
        <v>0</v>
      </c>
      <c r="U175" s="648">
        <v>0</v>
      </c>
      <c r="V175" s="648">
        <v>0</v>
      </c>
      <c r="W175" s="648">
        <v>0</v>
      </c>
      <c r="X175" s="648">
        <v>0</v>
      </c>
      <c r="Y175" s="648">
        <v>0</v>
      </c>
      <c r="Z175" s="648">
        <v>0</v>
      </c>
      <c r="AA175" s="647">
        <v>1</v>
      </c>
      <c r="AB175" s="647">
        <v>0</v>
      </c>
      <c r="AC175" s="647">
        <v>1</v>
      </c>
    </row>
    <row r="176" spans="1:29" s="147" customFormat="1" x14ac:dyDescent="0.3">
      <c r="A176" s="145">
        <v>172</v>
      </c>
      <c r="B176" s="146" t="s">
        <v>623</v>
      </c>
      <c r="C176" s="648">
        <v>0</v>
      </c>
      <c r="D176" s="648">
        <v>1</v>
      </c>
      <c r="E176" s="648">
        <v>1</v>
      </c>
      <c r="F176" s="648">
        <v>0</v>
      </c>
      <c r="G176" s="648">
        <v>0</v>
      </c>
      <c r="H176" s="648">
        <v>0</v>
      </c>
      <c r="I176" s="648">
        <v>0</v>
      </c>
      <c r="J176" s="648">
        <v>0</v>
      </c>
      <c r="K176" s="648">
        <v>0</v>
      </c>
      <c r="L176" s="648">
        <v>0</v>
      </c>
      <c r="M176" s="648">
        <v>0</v>
      </c>
      <c r="N176" s="648">
        <v>0</v>
      </c>
      <c r="O176" s="648">
        <v>0</v>
      </c>
      <c r="P176" s="648">
        <v>0</v>
      </c>
      <c r="Q176" s="648">
        <v>0</v>
      </c>
      <c r="R176" s="648">
        <v>0</v>
      </c>
      <c r="S176" s="648">
        <v>0</v>
      </c>
      <c r="T176" s="648">
        <v>0</v>
      </c>
      <c r="U176" s="648">
        <v>0</v>
      </c>
      <c r="V176" s="648">
        <v>0</v>
      </c>
      <c r="W176" s="648">
        <v>0</v>
      </c>
      <c r="X176" s="648">
        <v>0</v>
      </c>
      <c r="Y176" s="648">
        <v>0</v>
      </c>
      <c r="Z176" s="648">
        <v>0</v>
      </c>
      <c r="AA176" s="647">
        <v>0</v>
      </c>
      <c r="AB176" s="647">
        <v>1</v>
      </c>
      <c r="AC176" s="647">
        <v>1</v>
      </c>
    </row>
    <row r="177" spans="1:29" s="147" customFormat="1" x14ac:dyDescent="0.3">
      <c r="A177" s="145"/>
      <c r="B177" s="146" t="s">
        <v>12</v>
      </c>
      <c r="C177" s="648">
        <v>1481</v>
      </c>
      <c r="D177" s="648">
        <v>621</v>
      </c>
      <c r="E177" s="648">
        <v>2102</v>
      </c>
      <c r="F177" s="648">
        <v>6</v>
      </c>
      <c r="G177" s="648">
        <v>7</v>
      </c>
      <c r="H177" s="648">
        <v>13</v>
      </c>
      <c r="I177" s="648">
        <v>6135</v>
      </c>
      <c r="J177" s="648">
        <v>2816</v>
      </c>
      <c r="K177" s="648">
        <v>8951</v>
      </c>
      <c r="L177" s="648">
        <v>23560</v>
      </c>
      <c r="M177" s="648">
        <v>11572</v>
      </c>
      <c r="N177" s="648">
        <v>35132</v>
      </c>
      <c r="O177" s="648">
        <v>63</v>
      </c>
      <c r="P177" s="648">
        <v>48</v>
      </c>
      <c r="Q177" s="648">
        <v>111</v>
      </c>
      <c r="R177" s="648">
        <v>744</v>
      </c>
      <c r="S177" s="648">
        <v>624</v>
      </c>
      <c r="T177" s="648">
        <v>1368</v>
      </c>
      <c r="U177" s="648">
        <v>138</v>
      </c>
      <c r="V177" s="648">
        <v>36</v>
      </c>
      <c r="W177" s="648">
        <v>174</v>
      </c>
      <c r="X177" s="648">
        <v>432</v>
      </c>
      <c r="Y177" s="648">
        <v>443</v>
      </c>
      <c r="Z177" s="648">
        <v>875</v>
      </c>
      <c r="AA177" s="648">
        <v>32559</v>
      </c>
      <c r="AB177" s="648">
        <v>16167</v>
      </c>
      <c r="AC177" s="648">
        <v>48726</v>
      </c>
    </row>
    <row r="178" spans="1:29" s="147" customFormat="1" x14ac:dyDescent="0.3">
      <c r="A178" s="145"/>
      <c r="B178" s="146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</sheetData>
  <mergeCells count="14">
    <mergeCell ref="R2:T2"/>
    <mergeCell ref="U2:W2"/>
    <mergeCell ref="X2:Z2"/>
    <mergeCell ref="AA2:AC2"/>
    <mergeCell ref="C1:K1"/>
    <mergeCell ref="L1:T1"/>
    <mergeCell ref="U1:AC1"/>
    <mergeCell ref="L2:N2"/>
    <mergeCell ref="O2:Q2"/>
    <mergeCell ref="A2:A3"/>
    <mergeCell ref="B2:B3"/>
    <mergeCell ref="C2:E2"/>
    <mergeCell ref="F2:H2"/>
    <mergeCell ref="I2:K2"/>
  </mergeCells>
  <pageMargins left="0.59055118110236227" right="0.35433070866141736" top="0.39370078740157483" bottom="0.39370078740157483" header="0.31496062992125984" footer="0.19685039370078741"/>
  <pageSetup paperSize="9" scale="70" firstPageNumber="51" orientation="portrait" r:id="rId1"/>
  <headerFooter>
    <oddFooter>&amp;L&amp;"Arial,Italic"&amp;9AISHE 2022-23&amp;RT-16</oddFooter>
  </headerFooter>
  <colBreaks count="2" manualBreakCount="2">
    <brk id="11" max="177" man="1"/>
    <brk id="20" max="177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7E5B-5972-4170-8126-B264C8EF674C}">
  <sheetPr codeName="Sheet26">
    <tabColor rgb="FF92D050"/>
  </sheetPr>
  <dimension ref="A1:AC36"/>
  <sheetViews>
    <sheetView showZeros="0" view="pageBreakPreview" zoomScaleSheetLayoutView="100" workbookViewId="0">
      <pane xSplit="2" ySplit="4" topLeftCell="O5" activePane="bottomRight" state="frozen"/>
      <selection activeCell="S20" sqref="S20"/>
      <selection pane="topRight" activeCell="S20" sqref="S20"/>
      <selection pane="bottomLeft" activeCell="S20" sqref="S20"/>
      <selection pane="bottomRight" activeCell="R2" activeCellId="1" sqref="C5:AC36 R2:T2"/>
    </sheetView>
  </sheetViews>
  <sheetFormatPr defaultColWidth="9.26953125" defaultRowHeight="14" x14ac:dyDescent="0.35"/>
  <cols>
    <col min="1" max="1" width="6.453125" style="150" bestFit="1" customWidth="1"/>
    <col min="2" max="2" width="24.453125" style="154" customWidth="1"/>
    <col min="3" max="3" width="7.81640625" style="150" customWidth="1"/>
    <col min="4" max="4" width="9.26953125" style="150" customWidth="1"/>
    <col min="5" max="5" width="8.54296875" style="150" customWidth="1"/>
    <col min="6" max="6" width="8.453125" style="150" customWidth="1"/>
    <col min="7" max="7" width="9.26953125" style="150" customWidth="1"/>
    <col min="8" max="8" width="8.54296875" style="150" customWidth="1"/>
    <col min="9" max="13" width="9.26953125" style="150" customWidth="1"/>
    <col min="14" max="14" width="8.453125" style="150" customWidth="1"/>
    <col min="15" max="15" width="9.26953125" style="150" customWidth="1"/>
    <col min="16" max="16" width="8" style="150" customWidth="1"/>
    <col min="17" max="17" width="8.54296875" style="150" customWidth="1"/>
    <col min="18" max="22" width="9.26953125" style="150" customWidth="1"/>
    <col min="23" max="24" width="7.453125" style="150" bestFit="1" customWidth="1"/>
    <col min="25" max="29" width="9.26953125" style="150" customWidth="1"/>
    <col min="30" max="16384" width="9.26953125" style="150"/>
  </cols>
  <sheetData>
    <row r="1" spans="1:29" s="140" customFormat="1" ht="36" customHeight="1" x14ac:dyDescent="0.35">
      <c r="B1" s="26" t="s">
        <v>744</v>
      </c>
      <c r="C1" s="816" t="s">
        <v>1043</v>
      </c>
      <c r="D1" s="817"/>
      <c r="E1" s="817"/>
      <c r="F1" s="817"/>
      <c r="G1" s="817"/>
      <c r="H1" s="817"/>
      <c r="I1" s="817"/>
      <c r="J1" s="817"/>
      <c r="K1" s="817"/>
      <c r="L1" s="812" t="str">
        <f>C1</f>
        <v>State/UTs-Wise and Level-Wise Enrolment of Foreign Students (Based on Actual Responses)</v>
      </c>
      <c r="M1" s="812"/>
      <c r="N1" s="812"/>
      <c r="O1" s="812"/>
      <c r="P1" s="812"/>
      <c r="Q1" s="812"/>
      <c r="R1" s="812"/>
      <c r="S1" s="812"/>
      <c r="T1" s="812"/>
      <c r="U1" s="816" t="str">
        <f>L1</f>
        <v>State/UTs-Wise and Level-Wise Enrolment of Foreign Students (Based on Actual Responses)</v>
      </c>
      <c r="V1" s="817"/>
      <c r="W1" s="817"/>
      <c r="X1" s="817"/>
      <c r="Y1" s="817"/>
      <c r="Z1" s="817"/>
      <c r="AA1" s="817"/>
      <c r="AB1" s="817"/>
      <c r="AC1" s="817"/>
    </row>
    <row r="2" spans="1:29" s="149" customFormat="1" ht="18.649999999999999" customHeight="1" x14ac:dyDescent="0.35">
      <c r="A2" s="813" t="s">
        <v>49</v>
      </c>
      <c r="B2" s="813" t="s">
        <v>50</v>
      </c>
      <c r="C2" s="815" t="s">
        <v>85</v>
      </c>
      <c r="D2" s="815"/>
      <c r="E2" s="815"/>
      <c r="F2" s="815" t="s">
        <v>86</v>
      </c>
      <c r="G2" s="815"/>
      <c r="H2" s="815"/>
      <c r="I2" s="815" t="s">
        <v>87</v>
      </c>
      <c r="J2" s="815"/>
      <c r="K2" s="815"/>
      <c r="L2" s="815" t="s">
        <v>88</v>
      </c>
      <c r="M2" s="815"/>
      <c r="N2" s="815"/>
      <c r="O2" s="815" t="s">
        <v>89</v>
      </c>
      <c r="P2" s="815"/>
      <c r="Q2" s="815"/>
      <c r="R2" s="815" t="s">
        <v>90</v>
      </c>
      <c r="S2" s="815"/>
      <c r="T2" s="815"/>
      <c r="U2" s="815" t="s">
        <v>91</v>
      </c>
      <c r="V2" s="815"/>
      <c r="W2" s="815"/>
      <c r="X2" s="815" t="s">
        <v>92</v>
      </c>
      <c r="Y2" s="815"/>
      <c r="Z2" s="815"/>
      <c r="AA2" s="815" t="s">
        <v>54</v>
      </c>
      <c r="AB2" s="815"/>
      <c r="AC2" s="815"/>
    </row>
    <row r="3" spans="1:29" ht="18.649999999999999" customHeight="1" x14ac:dyDescent="0.35">
      <c r="A3" s="814"/>
      <c r="B3" s="814"/>
      <c r="C3" s="142" t="s">
        <v>93</v>
      </c>
      <c r="D3" s="142" t="s">
        <v>94</v>
      </c>
      <c r="E3" s="142" t="s">
        <v>54</v>
      </c>
      <c r="F3" s="142" t="s">
        <v>93</v>
      </c>
      <c r="G3" s="142" t="s">
        <v>94</v>
      </c>
      <c r="H3" s="142" t="s">
        <v>54</v>
      </c>
      <c r="I3" s="142" t="s">
        <v>93</v>
      </c>
      <c r="J3" s="142" t="s">
        <v>94</v>
      </c>
      <c r="K3" s="142" t="s">
        <v>54</v>
      </c>
      <c r="L3" s="142" t="s">
        <v>93</v>
      </c>
      <c r="M3" s="142" t="s">
        <v>94</v>
      </c>
      <c r="N3" s="142" t="s">
        <v>54</v>
      </c>
      <c r="O3" s="142" t="s">
        <v>93</v>
      </c>
      <c r="P3" s="142" t="s">
        <v>94</v>
      </c>
      <c r="Q3" s="142" t="s">
        <v>54</v>
      </c>
      <c r="R3" s="142" t="s">
        <v>93</v>
      </c>
      <c r="S3" s="142" t="s">
        <v>94</v>
      </c>
      <c r="T3" s="142" t="s">
        <v>54</v>
      </c>
      <c r="U3" s="142" t="s">
        <v>93</v>
      </c>
      <c r="V3" s="142" t="s">
        <v>94</v>
      </c>
      <c r="W3" s="142" t="s">
        <v>54</v>
      </c>
      <c r="X3" s="142" t="s">
        <v>93</v>
      </c>
      <c r="Y3" s="142" t="s">
        <v>94</v>
      </c>
      <c r="Z3" s="142" t="s">
        <v>54</v>
      </c>
      <c r="AA3" s="142" t="s">
        <v>93</v>
      </c>
      <c r="AB3" s="142" t="s">
        <v>94</v>
      </c>
      <c r="AC3" s="142" t="s">
        <v>54</v>
      </c>
    </row>
    <row r="4" spans="1:29" s="152" customFormat="1" ht="13" x14ac:dyDescent="0.35">
      <c r="A4" s="151">
        <v>1</v>
      </c>
      <c r="B4" s="151">
        <v>2</v>
      </c>
      <c r="C4" s="151">
        <v>3</v>
      </c>
      <c r="D4" s="151">
        <v>4</v>
      </c>
      <c r="E4" s="151">
        <v>5</v>
      </c>
      <c r="F4" s="151">
        <v>6</v>
      </c>
      <c r="G4" s="151">
        <v>7</v>
      </c>
      <c r="H4" s="151">
        <v>8</v>
      </c>
      <c r="I4" s="151">
        <v>9</v>
      </c>
      <c r="J4" s="151">
        <v>10</v>
      </c>
      <c r="K4" s="151">
        <v>11</v>
      </c>
      <c r="L4" s="151">
        <v>12</v>
      </c>
      <c r="M4" s="151">
        <v>13</v>
      </c>
      <c r="N4" s="151">
        <v>14</v>
      </c>
      <c r="O4" s="151">
        <v>15</v>
      </c>
      <c r="P4" s="151">
        <v>16</v>
      </c>
      <c r="Q4" s="151">
        <v>17</v>
      </c>
      <c r="R4" s="151">
        <v>18</v>
      </c>
      <c r="S4" s="151">
        <v>19</v>
      </c>
      <c r="T4" s="151">
        <v>20</v>
      </c>
      <c r="U4" s="151">
        <v>21</v>
      </c>
      <c r="V4" s="151">
        <v>22</v>
      </c>
      <c r="W4" s="151">
        <v>23</v>
      </c>
      <c r="X4" s="151">
        <v>24</v>
      </c>
      <c r="Y4" s="151">
        <v>25</v>
      </c>
      <c r="Z4" s="151">
        <v>26</v>
      </c>
      <c r="AA4" s="151">
        <v>27</v>
      </c>
      <c r="AB4" s="151">
        <v>28</v>
      </c>
      <c r="AC4" s="151">
        <v>29</v>
      </c>
    </row>
    <row r="5" spans="1:29" ht="24" customHeight="1" x14ac:dyDescent="0.3">
      <c r="A5" s="145">
        <v>1</v>
      </c>
      <c r="B5" s="153" t="s">
        <v>13</v>
      </c>
      <c r="C5" s="657">
        <v>243</v>
      </c>
      <c r="D5" s="657">
        <v>135</v>
      </c>
      <c r="E5" s="657">
        <v>378</v>
      </c>
      <c r="F5" s="657">
        <v>0</v>
      </c>
      <c r="G5" s="657">
        <v>0</v>
      </c>
      <c r="H5" s="657">
        <v>0</v>
      </c>
      <c r="I5" s="657">
        <v>470</v>
      </c>
      <c r="J5" s="657">
        <v>249</v>
      </c>
      <c r="K5" s="657">
        <v>719</v>
      </c>
      <c r="L5" s="657">
        <v>1689</v>
      </c>
      <c r="M5" s="657">
        <v>540</v>
      </c>
      <c r="N5" s="657">
        <v>2229</v>
      </c>
      <c r="O5" s="657">
        <v>0</v>
      </c>
      <c r="P5" s="657">
        <v>0</v>
      </c>
      <c r="Q5" s="657">
        <v>0</v>
      </c>
      <c r="R5" s="657">
        <v>0</v>
      </c>
      <c r="S5" s="657">
        <v>295</v>
      </c>
      <c r="T5" s="657">
        <v>295</v>
      </c>
      <c r="U5" s="657">
        <v>0</v>
      </c>
      <c r="V5" s="657">
        <v>0</v>
      </c>
      <c r="W5" s="657">
        <v>0</v>
      </c>
      <c r="X5" s="657">
        <v>5</v>
      </c>
      <c r="Y5" s="657">
        <v>4</v>
      </c>
      <c r="Z5" s="657">
        <v>9</v>
      </c>
      <c r="AA5" s="657">
        <v>2407</v>
      </c>
      <c r="AB5" s="657">
        <v>1223</v>
      </c>
      <c r="AC5" s="657">
        <v>3630</v>
      </c>
    </row>
    <row r="6" spans="1:29" ht="24" customHeight="1" x14ac:dyDescent="0.3">
      <c r="A6" s="145">
        <v>2</v>
      </c>
      <c r="B6" s="153" t="s">
        <v>15</v>
      </c>
      <c r="C6" s="657">
        <v>27</v>
      </c>
      <c r="D6" s="657">
        <v>10</v>
      </c>
      <c r="E6" s="657">
        <v>37</v>
      </c>
      <c r="F6" s="657">
        <v>0</v>
      </c>
      <c r="G6" s="657">
        <v>0</v>
      </c>
      <c r="H6" s="657">
        <v>0</v>
      </c>
      <c r="I6" s="657">
        <v>19</v>
      </c>
      <c r="J6" s="657">
        <v>13</v>
      </c>
      <c r="K6" s="657">
        <v>32</v>
      </c>
      <c r="L6" s="657">
        <v>112</v>
      </c>
      <c r="M6" s="657">
        <v>38</v>
      </c>
      <c r="N6" s="657">
        <v>150</v>
      </c>
      <c r="O6" s="657">
        <v>0</v>
      </c>
      <c r="P6" s="657">
        <v>0</v>
      </c>
      <c r="Q6" s="657">
        <v>0</v>
      </c>
      <c r="R6" s="657">
        <v>0</v>
      </c>
      <c r="S6" s="657">
        <v>0</v>
      </c>
      <c r="T6" s="657">
        <v>0</v>
      </c>
      <c r="U6" s="657">
        <v>0</v>
      </c>
      <c r="V6" s="657">
        <v>0</v>
      </c>
      <c r="W6" s="657">
        <v>0</v>
      </c>
      <c r="X6" s="657">
        <v>0</v>
      </c>
      <c r="Y6" s="657">
        <v>0</v>
      </c>
      <c r="Z6" s="657">
        <v>0</v>
      </c>
      <c r="AA6" s="657">
        <v>158</v>
      </c>
      <c r="AB6" s="657">
        <v>61</v>
      </c>
      <c r="AC6" s="657">
        <v>219</v>
      </c>
    </row>
    <row r="7" spans="1:29" ht="24" customHeight="1" x14ac:dyDescent="0.3">
      <c r="A7" s="145">
        <v>3</v>
      </c>
      <c r="B7" s="153" t="s">
        <v>16</v>
      </c>
      <c r="C7" s="657">
        <v>7</v>
      </c>
      <c r="D7" s="657">
        <v>3</v>
      </c>
      <c r="E7" s="657">
        <v>10</v>
      </c>
      <c r="F7" s="657">
        <v>0</v>
      </c>
      <c r="G7" s="657">
        <v>0</v>
      </c>
      <c r="H7" s="657">
        <v>0</v>
      </c>
      <c r="I7" s="657">
        <v>86</v>
      </c>
      <c r="J7" s="657">
        <v>63</v>
      </c>
      <c r="K7" s="657">
        <v>149</v>
      </c>
      <c r="L7" s="657">
        <v>3</v>
      </c>
      <c r="M7" s="657">
        <v>0</v>
      </c>
      <c r="N7" s="657">
        <v>3</v>
      </c>
      <c r="O7" s="657">
        <v>0</v>
      </c>
      <c r="P7" s="657">
        <v>0</v>
      </c>
      <c r="Q7" s="657">
        <v>0</v>
      </c>
      <c r="R7" s="657">
        <v>0</v>
      </c>
      <c r="S7" s="657">
        <v>1</v>
      </c>
      <c r="T7" s="657">
        <v>1</v>
      </c>
      <c r="U7" s="657">
        <v>1</v>
      </c>
      <c r="V7" s="657">
        <v>0</v>
      </c>
      <c r="W7" s="657">
        <v>1</v>
      </c>
      <c r="X7" s="657">
        <v>0</v>
      </c>
      <c r="Y7" s="657">
        <v>0</v>
      </c>
      <c r="Z7" s="657">
        <v>0</v>
      </c>
      <c r="AA7" s="657">
        <v>97</v>
      </c>
      <c r="AB7" s="657">
        <v>67</v>
      </c>
      <c r="AC7" s="657">
        <v>164</v>
      </c>
    </row>
    <row r="8" spans="1:29" ht="24" customHeight="1" x14ac:dyDescent="0.3">
      <c r="A8" s="145">
        <v>4</v>
      </c>
      <c r="B8" s="153" t="s">
        <v>17</v>
      </c>
      <c r="C8" s="657">
        <v>16</v>
      </c>
      <c r="D8" s="657">
        <v>4</v>
      </c>
      <c r="E8" s="657">
        <v>20</v>
      </c>
      <c r="F8" s="657">
        <v>0</v>
      </c>
      <c r="G8" s="657">
        <v>0</v>
      </c>
      <c r="H8" s="657">
        <v>0</v>
      </c>
      <c r="I8" s="657">
        <v>93</v>
      </c>
      <c r="J8" s="657">
        <v>37</v>
      </c>
      <c r="K8" s="657">
        <v>130</v>
      </c>
      <c r="L8" s="657">
        <v>46</v>
      </c>
      <c r="M8" s="657">
        <v>27</v>
      </c>
      <c r="N8" s="657">
        <v>73</v>
      </c>
      <c r="O8" s="657">
        <v>0</v>
      </c>
      <c r="P8" s="657">
        <v>0</v>
      </c>
      <c r="Q8" s="657">
        <v>0</v>
      </c>
      <c r="R8" s="657">
        <v>0</v>
      </c>
      <c r="S8" s="657">
        <v>0</v>
      </c>
      <c r="T8" s="657">
        <v>0</v>
      </c>
      <c r="U8" s="657">
        <v>0</v>
      </c>
      <c r="V8" s="657">
        <v>0</v>
      </c>
      <c r="W8" s="657">
        <v>0</v>
      </c>
      <c r="X8" s="657">
        <v>31</v>
      </c>
      <c r="Y8" s="657">
        <v>17</v>
      </c>
      <c r="Z8" s="657">
        <v>48</v>
      </c>
      <c r="AA8" s="657">
        <v>186</v>
      </c>
      <c r="AB8" s="657">
        <v>85</v>
      </c>
      <c r="AC8" s="657">
        <v>271</v>
      </c>
    </row>
    <row r="9" spans="1:29" ht="24" customHeight="1" x14ac:dyDescent="0.3">
      <c r="A9" s="145">
        <v>5</v>
      </c>
      <c r="B9" s="153" t="s">
        <v>18</v>
      </c>
      <c r="C9" s="657">
        <v>3</v>
      </c>
      <c r="D9" s="657">
        <v>3</v>
      </c>
      <c r="E9" s="657">
        <v>6</v>
      </c>
      <c r="F9" s="657">
        <v>0</v>
      </c>
      <c r="G9" s="657">
        <v>0</v>
      </c>
      <c r="H9" s="657">
        <v>0</v>
      </c>
      <c r="I9" s="657">
        <v>27</v>
      </c>
      <c r="J9" s="657">
        <v>8</v>
      </c>
      <c r="K9" s="657">
        <v>35</v>
      </c>
      <c r="L9" s="657">
        <v>210</v>
      </c>
      <c r="M9" s="657">
        <v>72</v>
      </c>
      <c r="N9" s="657">
        <v>282</v>
      </c>
      <c r="O9" s="657">
        <v>0</v>
      </c>
      <c r="P9" s="657">
        <v>0</v>
      </c>
      <c r="Q9" s="657">
        <v>0</v>
      </c>
      <c r="R9" s="657">
        <v>30</v>
      </c>
      <c r="S9" s="657">
        <v>5</v>
      </c>
      <c r="T9" s="657">
        <v>35</v>
      </c>
      <c r="U9" s="657">
        <v>0</v>
      </c>
      <c r="V9" s="657">
        <v>0</v>
      </c>
      <c r="W9" s="657">
        <v>0</v>
      </c>
      <c r="X9" s="657">
        <v>4</v>
      </c>
      <c r="Y9" s="657">
        <v>3</v>
      </c>
      <c r="Z9" s="657">
        <v>7</v>
      </c>
      <c r="AA9" s="657">
        <v>274</v>
      </c>
      <c r="AB9" s="657">
        <v>91</v>
      </c>
      <c r="AC9" s="657">
        <v>365</v>
      </c>
    </row>
    <row r="10" spans="1:29" ht="24" customHeight="1" x14ac:dyDescent="0.3">
      <c r="A10" s="145">
        <v>6</v>
      </c>
      <c r="B10" s="153" t="s">
        <v>19</v>
      </c>
      <c r="C10" s="657">
        <v>112</v>
      </c>
      <c r="D10" s="657">
        <v>70</v>
      </c>
      <c r="E10" s="657">
        <v>182</v>
      </c>
      <c r="F10" s="657">
        <v>6</v>
      </c>
      <c r="G10" s="657">
        <v>5</v>
      </c>
      <c r="H10" s="657">
        <v>11</v>
      </c>
      <c r="I10" s="657">
        <v>300</v>
      </c>
      <c r="J10" s="657">
        <v>190</v>
      </c>
      <c r="K10" s="657">
        <v>490</v>
      </c>
      <c r="L10" s="657">
        <v>1092</v>
      </c>
      <c r="M10" s="657">
        <v>718</v>
      </c>
      <c r="N10" s="657">
        <v>1810</v>
      </c>
      <c r="O10" s="657">
        <v>4</v>
      </c>
      <c r="P10" s="657">
        <v>4</v>
      </c>
      <c r="Q10" s="657">
        <v>8</v>
      </c>
      <c r="R10" s="657">
        <v>2</v>
      </c>
      <c r="S10" s="657">
        <v>6</v>
      </c>
      <c r="T10" s="657">
        <v>8</v>
      </c>
      <c r="U10" s="657">
        <v>2</v>
      </c>
      <c r="V10" s="657">
        <v>4</v>
      </c>
      <c r="W10" s="657">
        <v>6</v>
      </c>
      <c r="X10" s="657">
        <v>20</v>
      </c>
      <c r="Y10" s="657">
        <v>28</v>
      </c>
      <c r="Z10" s="657">
        <v>48</v>
      </c>
      <c r="AA10" s="657">
        <v>1538</v>
      </c>
      <c r="AB10" s="657">
        <v>1025</v>
      </c>
      <c r="AC10" s="657">
        <v>2563</v>
      </c>
    </row>
    <row r="11" spans="1:29" ht="24" customHeight="1" x14ac:dyDescent="0.35">
      <c r="A11" s="145">
        <v>7</v>
      </c>
      <c r="B11" s="153" t="s">
        <v>20</v>
      </c>
      <c r="C11" s="658">
        <v>10</v>
      </c>
      <c r="D11" s="657">
        <v>2</v>
      </c>
      <c r="E11" s="657">
        <v>12</v>
      </c>
      <c r="F11" s="657">
        <v>0</v>
      </c>
      <c r="G11" s="657">
        <v>0</v>
      </c>
      <c r="H11" s="657">
        <v>0</v>
      </c>
      <c r="I11" s="657">
        <v>23</v>
      </c>
      <c r="J11" s="657">
        <v>13</v>
      </c>
      <c r="K11" s="657">
        <v>36</v>
      </c>
      <c r="L11" s="657">
        <v>43</v>
      </c>
      <c r="M11" s="657">
        <v>18</v>
      </c>
      <c r="N11" s="657">
        <v>61</v>
      </c>
      <c r="O11" s="657">
        <v>1</v>
      </c>
      <c r="P11" s="657">
        <v>0</v>
      </c>
      <c r="Q11" s="657">
        <v>1</v>
      </c>
      <c r="R11" s="657">
        <v>0</v>
      </c>
      <c r="S11" s="657">
        <v>0</v>
      </c>
      <c r="T11" s="657">
        <v>0</v>
      </c>
      <c r="U11" s="657">
        <v>0</v>
      </c>
      <c r="V11" s="657">
        <v>0</v>
      </c>
      <c r="W11" s="657">
        <v>0</v>
      </c>
      <c r="X11" s="657">
        <v>5</v>
      </c>
      <c r="Y11" s="657">
        <v>1</v>
      </c>
      <c r="Z11" s="657">
        <v>6</v>
      </c>
      <c r="AA11" s="657">
        <v>82</v>
      </c>
      <c r="AB11" s="657">
        <v>34</v>
      </c>
      <c r="AC11" s="657">
        <v>116</v>
      </c>
    </row>
    <row r="12" spans="1:29" ht="24" customHeight="1" x14ac:dyDescent="0.3">
      <c r="A12" s="145">
        <v>8</v>
      </c>
      <c r="B12" s="153" t="s">
        <v>21</v>
      </c>
      <c r="C12" s="657">
        <v>89</v>
      </c>
      <c r="D12" s="657">
        <v>36</v>
      </c>
      <c r="E12" s="657">
        <v>125</v>
      </c>
      <c r="F12" s="657">
        <v>0</v>
      </c>
      <c r="G12" s="657">
        <v>0</v>
      </c>
      <c r="H12" s="657">
        <v>0</v>
      </c>
      <c r="I12" s="657">
        <v>294</v>
      </c>
      <c r="J12" s="657">
        <v>159</v>
      </c>
      <c r="K12" s="657">
        <v>453</v>
      </c>
      <c r="L12" s="657">
        <v>2010</v>
      </c>
      <c r="M12" s="657">
        <v>897</v>
      </c>
      <c r="N12" s="657">
        <v>2907</v>
      </c>
      <c r="O12" s="657">
        <v>13</v>
      </c>
      <c r="P12" s="657">
        <v>9</v>
      </c>
      <c r="Q12" s="657">
        <v>22</v>
      </c>
      <c r="R12" s="657">
        <v>212</v>
      </c>
      <c r="S12" s="657">
        <v>88</v>
      </c>
      <c r="T12" s="657">
        <v>300</v>
      </c>
      <c r="U12" s="657">
        <v>2</v>
      </c>
      <c r="V12" s="657">
        <v>0</v>
      </c>
      <c r="W12" s="657">
        <v>2</v>
      </c>
      <c r="X12" s="657">
        <v>30</v>
      </c>
      <c r="Y12" s="657">
        <v>69</v>
      </c>
      <c r="Z12" s="657">
        <v>99</v>
      </c>
      <c r="AA12" s="657">
        <v>2650</v>
      </c>
      <c r="AB12" s="657">
        <v>1258</v>
      </c>
      <c r="AC12" s="657">
        <v>3908</v>
      </c>
    </row>
    <row r="13" spans="1:29" ht="24" customHeight="1" x14ac:dyDescent="0.3">
      <c r="A13" s="145">
        <v>9</v>
      </c>
      <c r="B13" s="153" t="s">
        <v>22</v>
      </c>
      <c r="C13" s="657">
        <v>32</v>
      </c>
      <c r="D13" s="657">
        <v>6</v>
      </c>
      <c r="E13" s="657">
        <v>38</v>
      </c>
      <c r="F13" s="657">
        <v>0</v>
      </c>
      <c r="G13" s="657">
        <v>0</v>
      </c>
      <c r="H13" s="657">
        <v>0</v>
      </c>
      <c r="I13" s="657">
        <v>124</v>
      </c>
      <c r="J13" s="657">
        <v>39</v>
      </c>
      <c r="K13" s="657">
        <v>163</v>
      </c>
      <c r="L13" s="657">
        <v>876</v>
      </c>
      <c r="M13" s="657">
        <v>447</v>
      </c>
      <c r="N13" s="657">
        <v>1323</v>
      </c>
      <c r="O13" s="657">
        <v>32</v>
      </c>
      <c r="P13" s="657">
        <v>27</v>
      </c>
      <c r="Q13" s="657">
        <v>59</v>
      </c>
      <c r="R13" s="657">
        <v>51</v>
      </c>
      <c r="S13" s="657">
        <v>25</v>
      </c>
      <c r="T13" s="657">
        <v>76</v>
      </c>
      <c r="U13" s="657">
        <v>1</v>
      </c>
      <c r="V13" s="657">
        <v>0</v>
      </c>
      <c r="W13" s="657">
        <v>1</v>
      </c>
      <c r="X13" s="657">
        <v>11</v>
      </c>
      <c r="Y13" s="657">
        <v>16</v>
      </c>
      <c r="Z13" s="657">
        <v>27</v>
      </c>
      <c r="AA13" s="657">
        <v>1127</v>
      </c>
      <c r="AB13" s="657">
        <v>560</v>
      </c>
      <c r="AC13" s="657">
        <v>1687</v>
      </c>
    </row>
    <row r="14" spans="1:29" ht="24" customHeight="1" x14ac:dyDescent="0.3">
      <c r="A14" s="145">
        <v>10</v>
      </c>
      <c r="B14" s="153" t="s">
        <v>23</v>
      </c>
      <c r="C14" s="657">
        <v>43</v>
      </c>
      <c r="D14" s="657">
        <v>7</v>
      </c>
      <c r="E14" s="657">
        <v>50</v>
      </c>
      <c r="F14" s="657">
        <v>0</v>
      </c>
      <c r="G14" s="657">
        <v>0</v>
      </c>
      <c r="H14" s="657">
        <v>0</v>
      </c>
      <c r="I14" s="657">
        <v>25</v>
      </c>
      <c r="J14" s="657">
        <v>8</v>
      </c>
      <c r="K14" s="657">
        <v>33</v>
      </c>
      <c r="L14" s="657">
        <v>135</v>
      </c>
      <c r="M14" s="657">
        <v>50</v>
      </c>
      <c r="N14" s="657">
        <v>185</v>
      </c>
      <c r="O14" s="657">
        <v>0</v>
      </c>
      <c r="P14" s="657">
        <v>0</v>
      </c>
      <c r="Q14" s="657">
        <v>0</v>
      </c>
      <c r="R14" s="657">
        <v>1</v>
      </c>
      <c r="S14" s="657">
        <v>0</v>
      </c>
      <c r="T14" s="657">
        <v>1</v>
      </c>
      <c r="U14" s="657">
        <v>0</v>
      </c>
      <c r="V14" s="657">
        <v>0</v>
      </c>
      <c r="W14" s="657">
        <v>0</v>
      </c>
      <c r="X14" s="657">
        <v>0</v>
      </c>
      <c r="Y14" s="657">
        <v>3</v>
      </c>
      <c r="Z14" s="657">
        <v>3</v>
      </c>
      <c r="AA14" s="657">
        <v>204</v>
      </c>
      <c r="AB14" s="657">
        <v>68</v>
      </c>
      <c r="AC14" s="657">
        <v>272</v>
      </c>
    </row>
    <row r="15" spans="1:29" ht="24" customHeight="1" x14ac:dyDescent="0.3">
      <c r="A15" s="145">
        <v>11</v>
      </c>
      <c r="B15" s="153" t="s">
        <v>24</v>
      </c>
      <c r="C15" s="657">
        <v>4</v>
      </c>
      <c r="D15" s="657">
        <v>0</v>
      </c>
      <c r="E15" s="657">
        <v>4</v>
      </c>
      <c r="F15" s="657">
        <v>0</v>
      </c>
      <c r="G15" s="657">
        <v>0</v>
      </c>
      <c r="H15" s="657">
        <v>0</v>
      </c>
      <c r="I15" s="657">
        <v>1</v>
      </c>
      <c r="J15" s="657">
        <v>0</v>
      </c>
      <c r="K15" s="657">
        <v>1</v>
      </c>
      <c r="L15" s="657">
        <v>2</v>
      </c>
      <c r="M15" s="657">
        <v>1</v>
      </c>
      <c r="N15" s="657">
        <v>3</v>
      </c>
      <c r="O15" s="657">
        <v>0</v>
      </c>
      <c r="P15" s="657">
        <v>0</v>
      </c>
      <c r="Q15" s="657">
        <v>0</v>
      </c>
      <c r="R15" s="657">
        <v>0</v>
      </c>
      <c r="S15" s="657">
        <v>0</v>
      </c>
      <c r="T15" s="657">
        <v>0</v>
      </c>
      <c r="U15" s="657">
        <v>0</v>
      </c>
      <c r="V15" s="657">
        <v>0</v>
      </c>
      <c r="W15" s="657">
        <v>0</v>
      </c>
      <c r="X15" s="657">
        <v>1</v>
      </c>
      <c r="Y15" s="657">
        <v>0</v>
      </c>
      <c r="Z15" s="657">
        <v>1</v>
      </c>
      <c r="AA15" s="657">
        <v>8</v>
      </c>
      <c r="AB15" s="657">
        <v>1</v>
      </c>
      <c r="AC15" s="657">
        <v>9</v>
      </c>
    </row>
    <row r="16" spans="1:29" ht="24" customHeight="1" x14ac:dyDescent="0.3">
      <c r="A16" s="145">
        <v>12</v>
      </c>
      <c r="B16" s="153" t="s">
        <v>25</v>
      </c>
      <c r="C16" s="657">
        <v>6</v>
      </c>
      <c r="D16" s="657">
        <v>0</v>
      </c>
      <c r="E16" s="657">
        <v>6</v>
      </c>
      <c r="F16" s="657">
        <v>0</v>
      </c>
      <c r="G16" s="657">
        <v>0</v>
      </c>
      <c r="H16" s="657">
        <v>0</v>
      </c>
      <c r="I16" s="657">
        <v>20</v>
      </c>
      <c r="J16" s="657">
        <v>6</v>
      </c>
      <c r="K16" s="657">
        <v>26</v>
      </c>
      <c r="L16" s="657">
        <v>78</v>
      </c>
      <c r="M16" s="657">
        <v>10</v>
      </c>
      <c r="N16" s="657">
        <v>88</v>
      </c>
      <c r="O16" s="657">
        <v>0</v>
      </c>
      <c r="P16" s="657">
        <v>0</v>
      </c>
      <c r="Q16" s="657">
        <v>0</v>
      </c>
      <c r="R16" s="657">
        <v>1</v>
      </c>
      <c r="S16" s="657">
        <v>0</v>
      </c>
      <c r="T16" s="657">
        <v>1</v>
      </c>
      <c r="U16" s="657">
        <v>0</v>
      </c>
      <c r="V16" s="657">
        <v>0</v>
      </c>
      <c r="W16" s="657">
        <v>0</v>
      </c>
      <c r="X16" s="657">
        <v>0</v>
      </c>
      <c r="Y16" s="657">
        <v>0</v>
      </c>
      <c r="Z16" s="657">
        <v>0</v>
      </c>
      <c r="AA16" s="657">
        <v>105</v>
      </c>
      <c r="AB16" s="657">
        <v>16</v>
      </c>
      <c r="AC16" s="657">
        <v>121</v>
      </c>
    </row>
    <row r="17" spans="1:29" ht="24" customHeight="1" x14ac:dyDescent="0.3">
      <c r="A17" s="145">
        <v>13</v>
      </c>
      <c r="B17" s="153" t="s">
        <v>26</v>
      </c>
      <c r="C17" s="657">
        <v>98</v>
      </c>
      <c r="D17" s="657">
        <v>32</v>
      </c>
      <c r="E17" s="657">
        <v>130</v>
      </c>
      <c r="F17" s="657">
        <v>0</v>
      </c>
      <c r="G17" s="657">
        <v>0</v>
      </c>
      <c r="H17" s="657">
        <v>0</v>
      </c>
      <c r="I17" s="657">
        <v>937</v>
      </c>
      <c r="J17" s="657">
        <v>393</v>
      </c>
      <c r="K17" s="657">
        <v>1330</v>
      </c>
      <c r="L17" s="657">
        <v>3144</v>
      </c>
      <c r="M17" s="657">
        <v>1630</v>
      </c>
      <c r="N17" s="657">
        <v>4774</v>
      </c>
      <c r="O17" s="657">
        <v>0</v>
      </c>
      <c r="P17" s="657">
        <v>0</v>
      </c>
      <c r="Q17" s="657">
        <v>0</v>
      </c>
      <c r="R17" s="657">
        <v>66</v>
      </c>
      <c r="S17" s="657">
        <v>109</v>
      </c>
      <c r="T17" s="657">
        <v>175</v>
      </c>
      <c r="U17" s="657">
        <v>0</v>
      </c>
      <c r="V17" s="657">
        <v>0</v>
      </c>
      <c r="W17" s="657">
        <v>0</v>
      </c>
      <c r="X17" s="657">
        <v>11</v>
      </c>
      <c r="Y17" s="657">
        <v>27</v>
      </c>
      <c r="Z17" s="657">
        <v>38</v>
      </c>
      <c r="AA17" s="657">
        <v>4256</v>
      </c>
      <c r="AB17" s="657">
        <v>2191</v>
      </c>
      <c r="AC17" s="657">
        <v>6447</v>
      </c>
    </row>
    <row r="18" spans="1:29" ht="24" customHeight="1" x14ac:dyDescent="0.3">
      <c r="A18" s="145">
        <v>14</v>
      </c>
      <c r="B18" s="153" t="s">
        <v>27</v>
      </c>
      <c r="C18" s="657">
        <v>70</v>
      </c>
      <c r="D18" s="657">
        <v>23</v>
      </c>
      <c r="E18" s="657">
        <v>93</v>
      </c>
      <c r="F18" s="657">
        <v>0</v>
      </c>
      <c r="G18" s="657">
        <v>0</v>
      </c>
      <c r="H18" s="657">
        <v>0</v>
      </c>
      <c r="I18" s="657">
        <v>65</v>
      </c>
      <c r="J18" s="657">
        <v>57</v>
      </c>
      <c r="K18" s="657">
        <v>122</v>
      </c>
      <c r="L18" s="657">
        <v>140</v>
      </c>
      <c r="M18" s="657">
        <v>146</v>
      </c>
      <c r="N18" s="657">
        <v>286</v>
      </c>
      <c r="O18" s="657">
        <v>1</v>
      </c>
      <c r="P18" s="657">
        <v>0</v>
      </c>
      <c r="Q18" s="657">
        <v>1</v>
      </c>
      <c r="R18" s="657">
        <v>0</v>
      </c>
      <c r="S18" s="657">
        <v>0</v>
      </c>
      <c r="T18" s="657">
        <v>0</v>
      </c>
      <c r="U18" s="657">
        <v>0</v>
      </c>
      <c r="V18" s="657">
        <v>0</v>
      </c>
      <c r="W18" s="657">
        <v>0</v>
      </c>
      <c r="X18" s="657">
        <v>3</v>
      </c>
      <c r="Y18" s="657">
        <v>1</v>
      </c>
      <c r="Z18" s="657">
        <v>4</v>
      </c>
      <c r="AA18" s="657">
        <v>279</v>
      </c>
      <c r="AB18" s="657">
        <v>227</v>
      </c>
      <c r="AC18" s="657">
        <v>506</v>
      </c>
    </row>
    <row r="19" spans="1:29" ht="24" customHeight="1" x14ac:dyDescent="0.3">
      <c r="A19" s="145">
        <v>15</v>
      </c>
      <c r="B19" s="153" t="s">
        <v>28</v>
      </c>
      <c r="C19" s="657">
        <v>0</v>
      </c>
      <c r="D19" s="657">
        <v>0</v>
      </c>
      <c r="E19" s="657">
        <v>0</v>
      </c>
      <c r="F19" s="657">
        <v>0</v>
      </c>
      <c r="G19" s="657">
        <v>0</v>
      </c>
      <c r="H19" s="657">
        <v>0</v>
      </c>
      <c r="I19" s="657">
        <v>0</v>
      </c>
      <c r="J19" s="657">
        <v>0</v>
      </c>
      <c r="K19" s="657">
        <v>0</v>
      </c>
      <c r="L19" s="657">
        <v>0</v>
      </c>
      <c r="M19" s="657">
        <v>4</v>
      </c>
      <c r="N19" s="657">
        <v>4</v>
      </c>
      <c r="O19" s="657">
        <v>0</v>
      </c>
      <c r="P19" s="657">
        <v>0</v>
      </c>
      <c r="Q19" s="657">
        <v>0</v>
      </c>
      <c r="R19" s="657">
        <v>0</v>
      </c>
      <c r="S19" s="657">
        <v>0</v>
      </c>
      <c r="T19" s="657">
        <v>0</v>
      </c>
      <c r="U19" s="657">
        <v>0</v>
      </c>
      <c r="V19" s="657">
        <v>0</v>
      </c>
      <c r="W19" s="657">
        <v>0</v>
      </c>
      <c r="X19" s="657">
        <v>0</v>
      </c>
      <c r="Y19" s="657">
        <v>0</v>
      </c>
      <c r="Z19" s="657">
        <v>0</v>
      </c>
      <c r="AA19" s="657">
        <v>0</v>
      </c>
      <c r="AB19" s="657">
        <v>4</v>
      </c>
      <c r="AC19" s="657">
        <v>4</v>
      </c>
    </row>
    <row r="20" spans="1:29" ht="24" customHeight="1" x14ac:dyDescent="0.3">
      <c r="A20" s="145">
        <v>16</v>
      </c>
      <c r="B20" s="153" t="s">
        <v>29</v>
      </c>
      <c r="C20" s="657">
        <v>6</v>
      </c>
      <c r="D20" s="657">
        <v>1</v>
      </c>
      <c r="E20" s="657">
        <v>7</v>
      </c>
      <c r="F20" s="657">
        <v>0</v>
      </c>
      <c r="G20" s="657">
        <v>0</v>
      </c>
      <c r="H20" s="657">
        <v>0</v>
      </c>
      <c r="I20" s="657">
        <v>31</v>
      </c>
      <c r="J20" s="657">
        <v>7</v>
      </c>
      <c r="K20" s="657">
        <v>38</v>
      </c>
      <c r="L20" s="657">
        <v>255</v>
      </c>
      <c r="M20" s="657">
        <v>140</v>
      </c>
      <c r="N20" s="657">
        <v>395</v>
      </c>
      <c r="O20" s="657">
        <v>0</v>
      </c>
      <c r="P20" s="657">
        <v>0</v>
      </c>
      <c r="Q20" s="657">
        <v>0</v>
      </c>
      <c r="R20" s="657">
        <v>50</v>
      </c>
      <c r="S20" s="657">
        <v>8</v>
      </c>
      <c r="T20" s="657">
        <v>58</v>
      </c>
      <c r="U20" s="657">
        <v>43</v>
      </c>
      <c r="V20" s="657">
        <v>0</v>
      </c>
      <c r="W20" s="657">
        <v>43</v>
      </c>
      <c r="X20" s="657">
        <v>8</v>
      </c>
      <c r="Y20" s="657">
        <v>1</v>
      </c>
      <c r="Z20" s="657">
        <v>9</v>
      </c>
      <c r="AA20" s="657">
        <v>393</v>
      </c>
      <c r="AB20" s="657">
        <v>157</v>
      </c>
      <c r="AC20" s="657">
        <v>550</v>
      </c>
    </row>
    <row r="21" spans="1:29" ht="24" customHeight="1" x14ac:dyDescent="0.3">
      <c r="A21" s="145">
        <v>17</v>
      </c>
      <c r="B21" s="153" t="s">
        <v>30</v>
      </c>
      <c r="C21" s="657">
        <v>78</v>
      </c>
      <c r="D21" s="657">
        <v>33</v>
      </c>
      <c r="E21" s="657">
        <v>111</v>
      </c>
      <c r="F21" s="657">
        <v>0</v>
      </c>
      <c r="G21" s="657">
        <v>0</v>
      </c>
      <c r="H21" s="657">
        <v>0</v>
      </c>
      <c r="I21" s="657">
        <v>1300</v>
      </c>
      <c r="J21" s="657">
        <v>498</v>
      </c>
      <c r="K21" s="657">
        <v>1798</v>
      </c>
      <c r="L21" s="657">
        <v>1553</v>
      </c>
      <c r="M21" s="657">
        <v>1031</v>
      </c>
      <c r="N21" s="657">
        <v>2584</v>
      </c>
      <c r="O21" s="657">
        <v>2</v>
      </c>
      <c r="P21" s="657">
        <v>0</v>
      </c>
      <c r="Q21" s="657">
        <v>2</v>
      </c>
      <c r="R21" s="657">
        <v>7</v>
      </c>
      <c r="S21" s="657">
        <v>8</v>
      </c>
      <c r="T21" s="657">
        <v>15</v>
      </c>
      <c r="U21" s="657">
        <v>8</v>
      </c>
      <c r="V21" s="657">
        <v>4</v>
      </c>
      <c r="W21" s="657">
        <v>12</v>
      </c>
      <c r="X21" s="657">
        <v>9</v>
      </c>
      <c r="Y21" s="657">
        <v>9</v>
      </c>
      <c r="Z21" s="657">
        <v>18</v>
      </c>
      <c r="AA21" s="657">
        <v>2957</v>
      </c>
      <c r="AB21" s="657">
        <v>1583</v>
      </c>
      <c r="AC21" s="657">
        <v>4540</v>
      </c>
    </row>
    <row r="22" spans="1:29" ht="24" customHeight="1" x14ac:dyDescent="0.3">
      <c r="A22" s="145">
        <v>18</v>
      </c>
      <c r="B22" s="153" t="s">
        <v>31</v>
      </c>
      <c r="C22" s="657">
        <v>6</v>
      </c>
      <c r="D22" s="657">
        <v>0</v>
      </c>
      <c r="E22" s="657">
        <v>6</v>
      </c>
      <c r="F22" s="657">
        <v>0</v>
      </c>
      <c r="G22" s="657">
        <v>0</v>
      </c>
      <c r="H22" s="657">
        <v>0</v>
      </c>
      <c r="I22" s="657">
        <v>5</v>
      </c>
      <c r="J22" s="657">
        <v>0</v>
      </c>
      <c r="K22" s="657">
        <v>5</v>
      </c>
      <c r="L22" s="657">
        <v>0</v>
      </c>
      <c r="M22" s="657">
        <v>1</v>
      </c>
      <c r="N22" s="657">
        <v>1</v>
      </c>
      <c r="O22" s="657">
        <v>0</v>
      </c>
      <c r="P22" s="657">
        <v>0</v>
      </c>
      <c r="Q22" s="657">
        <v>0</v>
      </c>
      <c r="R22" s="657">
        <v>0</v>
      </c>
      <c r="S22" s="657">
        <v>0</v>
      </c>
      <c r="T22" s="657">
        <v>0</v>
      </c>
      <c r="U22" s="657">
        <v>0</v>
      </c>
      <c r="V22" s="657">
        <v>0</v>
      </c>
      <c r="W22" s="657">
        <v>0</v>
      </c>
      <c r="X22" s="657">
        <v>0</v>
      </c>
      <c r="Y22" s="657">
        <v>0</v>
      </c>
      <c r="Z22" s="657">
        <v>0</v>
      </c>
      <c r="AA22" s="657">
        <v>11</v>
      </c>
      <c r="AB22" s="657">
        <v>1</v>
      </c>
      <c r="AC22" s="657">
        <v>12</v>
      </c>
    </row>
    <row r="23" spans="1:29" ht="24" customHeight="1" x14ac:dyDescent="0.3">
      <c r="A23" s="145">
        <v>19</v>
      </c>
      <c r="B23" s="153" t="s">
        <v>32</v>
      </c>
      <c r="C23" s="657">
        <v>4</v>
      </c>
      <c r="D23" s="657">
        <v>2</v>
      </c>
      <c r="E23" s="657">
        <v>6</v>
      </c>
      <c r="F23" s="657">
        <v>0</v>
      </c>
      <c r="G23" s="657">
        <v>0</v>
      </c>
      <c r="H23" s="657">
        <v>0</v>
      </c>
      <c r="I23" s="657">
        <v>7</v>
      </c>
      <c r="J23" s="657">
        <v>6</v>
      </c>
      <c r="K23" s="657">
        <v>13</v>
      </c>
      <c r="L23" s="657">
        <v>59</v>
      </c>
      <c r="M23" s="657">
        <v>35</v>
      </c>
      <c r="N23" s="657">
        <v>94</v>
      </c>
      <c r="O23" s="657">
        <v>0</v>
      </c>
      <c r="P23" s="657">
        <v>0</v>
      </c>
      <c r="Q23" s="657">
        <v>0</v>
      </c>
      <c r="R23" s="657">
        <v>0</v>
      </c>
      <c r="S23" s="657">
        <v>0</v>
      </c>
      <c r="T23" s="657">
        <v>0</v>
      </c>
      <c r="U23" s="657">
        <v>0</v>
      </c>
      <c r="V23" s="657">
        <v>0</v>
      </c>
      <c r="W23" s="657">
        <v>0</v>
      </c>
      <c r="X23" s="657">
        <v>0</v>
      </c>
      <c r="Y23" s="657">
        <v>0</v>
      </c>
      <c r="Z23" s="657">
        <v>0</v>
      </c>
      <c r="AA23" s="657">
        <v>70</v>
      </c>
      <c r="AB23" s="657">
        <v>43</v>
      </c>
      <c r="AC23" s="657">
        <v>113</v>
      </c>
    </row>
    <row r="24" spans="1:29" ht="24" customHeight="1" x14ac:dyDescent="0.3">
      <c r="A24" s="145">
        <v>20</v>
      </c>
      <c r="B24" s="153" t="s">
        <v>33</v>
      </c>
      <c r="C24" s="657">
        <v>3</v>
      </c>
      <c r="D24" s="657">
        <v>0</v>
      </c>
      <c r="E24" s="657">
        <v>3</v>
      </c>
      <c r="F24" s="657">
        <v>0</v>
      </c>
      <c r="G24" s="657">
        <v>0</v>
      </c>
      <c r="H24" s="657">
        <v>0</v>
      </c>
      <c r="I24" s="657">
        <v>2</v>
      </c>
      <c r="J24" s="657">
        <v>0</v>
      </c>
      <c r="K24" s="657">
        <v>2</v>
      </c>
      <c r="L24" s="657">
        <v>39</v>
      </c>
      <c r="M24" s="657">
        <v>45</v>
      </c>
      <c r="N24" s="657">
        <v>84</v>
      </c>
      <c r="O24" s="657">
        <v>0</v>
      </c>
      <c r="P24" s="657">
        <v>0</v>
      </c>
      <c r="Q24" s="657">
        <v>0</v>
      </c>
      <c r="R24" s="657">
        <v>0</v>
      </c>
      <c r="S24" s="657">
        <v>0</v>
      </c>
      <c r="T24" s="657">
        <v>0</v>
      </c>
      <c r="U24" s="657">
        <v>0</v>
      </c>
      <c r="V24" s="657">
        <v>0</v>
      </c>
      <c r="W24" s="657">
        <v>0</v>
      </c>
      <c r="X24" s="657">
        <v>0</v>
      </c>
      <c r="Y24" s="657">
        <v>0</v>
      </c>
      <c r="Z24" s="657">
        <v>0</v>
      </c>
      <c r="AA24" s="657">
        <v>44</v>
      </c>
      <c r="AB24" s="657">
        <v>45</v>
      </c>
      <c r="AC24" s="657">
        <v>89</v>
      </c>
    </row>
    <row r="25" spans="1:29" ht="24" customHeight="1" x14ac:dyDescent="0.3">
      <c r="A25" s="145">
        <v>21</v>
      </c>
      <c r="B25" s="153" t="s">
        <v>35</v>
      </c>
      <c r="C25" s="657">
        <v>8</v>
      </c>
      <c r="D25" s="657">
        <v>1</v>
      </c>
      <c r="E25" s="657">
        <v>9</v>
      </c>
      <c r="F25" s="657">
        <v>0</v>
      </c>
      <c r="G25" s="657">
        <v>0</v>
      </c>
      <c r="H25" s="657">
        <v>0</v>
      </c>
      <c r="I25" s="657">
        <v>94</v>
      </c>
      <c r="J25" s="657">
        <v>30</v>
      </c>
      <c r="K25" s="657">
        <v>124</v>
      </c>
      <c r="L25" s="657">
        <v>1672</v>
      </c>
      <c r="M25" s="657">
        <v>557</v>
      </c>
      <c r="N25" s="657">
        <v>2229</v>
      </c>
      <c r="O25" s="657">
        <v>0</v>
      </c>
      <c r="P25" s="657">
        <v>0</v>
      </c>
      <c r="Q25" s="657">
        <v>0</v>
      </c>
      <c r="R25" s="657">
        <v>0</v>
      </c>
      <c r="S25" s="657">
        <v>0</v>
      </c>
      <c r="T25" s="657">
        <v>0</v>
      </c>
      <c r="U25" s="657">
        <v>0</v>
      </c>
      <c r="V25" s="657">
        <v>0</v>
      </c>
      <c r="W25" s="657">
        <v>0</v>
      </c>
      <c r="X25" s="657">
        <v>8</v>
      </c>
      <c r="Y25" s="657">
        <v>21</v>
      </c>
      <c r="Z25" s="657">
        <v>29</v>
      </c>
      <c r="AA25" s="657">
        <v>1782</v>
      </c>
      <c r="AB25" s="657">
        <v>609</v>
      </c>
      <c r="AC25" s="657">
        <v>2391</v>
      </c>
    </row>
    <row r="26" spans="1:29" ht="24" customHeight="1" x14ac:dyDescent="0.3">
      <c r="A26" s="145">
        <v>22</v>
      </c>
      <c r="B26" s="153" t="s">
        <v>36</v>
      </c>
      <c r="C26" s="657">
        <v>4</v>
      </c>
      <c r="D26" s="657">
        <v>0</v>
      </c>
      <c r="E26" s="657">
        <v>4</v>
      </c>
      <c r="F26" s="657">
        <v>0</v>
      </c>
      <c r="G26" s="657">
        <v>0</v>
      </c>
      <c r="H26" s="657">
        <v>0</v>
      </c>
      <c r="I26" s="657">
        <v>9</v>
      </c>
      <c r="J26" s="657">
        <v>1</v>
      </c>
      <c r="K26" s="657">
        <v>10</v>
      </c>
      <c r="L26" s="657">
        <v>36</v>
      </c>
      <c r="M26" s="657">
        <v>22</v>
      </c>
      <c r="N26" s="657">
        <v>58</v>
      </c>
      <c r="O26" s="657">
        <v>0</v>
      </c>
      <c r="P26" s="657">
        <v>0</v>
      </c>
      <c r="Q26" s="657">
        <v>0</v>
      </c>
      <c r="R26" s="657">
        <v>0</v>
      </c>
      <c r="S26" s="657">
        <v>0</v>
      </c>
      <c r="T26" s="657">
        <v>0</v>
      </c>
      <c r="U26" s="657">
        <v>0</v>
      </c>
      <c r="V26" s="657">
        <v>0</v>
      </c>
      <c r="W26" s="657">
        <v>0</v>
      </c>
      <c r="X26" s="657">
        <v>1</v>
      </c>
      <c r="Y26" s="657">
        <v>0</v>
      </c>
      <c r="Z26" s="657">
        <v>1</v>
      </c>
      <c r="AA26" s="657">
        <v>50</v>
      </c>
      <c r="AB26" s="657">
        <v>23</v>
      </c>
      <c r="AC26" s="657">
        <v>73</v>
      </c>
    </row>
    <row r="27" spans="1:29" ht="24" customHeight="1" x14ac:dyDescent="0.3">
      <c r="A27" s="145">
        <v>23</v>
      </c>
      <c r="B27" s="153" t="s">
        <v>37</v>
      </c>
      <c r="C27" s="657">
        <v>114</v>
      </c>
      <c r="D27" s="657">
        <v>23</v>
      </c>
      <c r="E27" s="657">
        <v>137</v>
      </c>
      <c r="F27" s="657">
        <v>0</v>
      </c>
      <c r="G27" s="657">
        <v>0</v>
      </c>
      <c r="H27" s="657">
        <v>0</v>
      </c>
      <c r="I27" s="657">
        <v>631</v>
      </c>
      <c r="J27" s="657">
        <v>273</v>
      </c>
      <c r="K27" s="657">
        <v>904</v>
      </c>
      <c r="L27" s="657">
        <v>3415</v>
      </c>
      <c r="M27" s="657">
        <v>1615</v>
      </c>
      <c r="N27" s="657">
        <v>5030</v>
      </c>
      <c r="O27" s="657">
        <v>1</v>
      </c>
      <c r="P27" s="657">
        <v>1</v>
      </c>
      <c r="Q27" s="657">
        <v>2</v>
      </c>
      <c r="R27" s="657">
        <v>182</v>
      </c>
      <c r="S27" s="657">
        <v>32</v>
      </c>
      <c r="T27" s="657">
        <v>214</v>
      </c>
      <c r="U27" s="657">
        <v>0</v>
      </c>
      <c r="V27" s="657">
        <v>0</v>
      </c>
      <c r="W27" s="657">
        <v>0</v>
      </c>
      <c r="X27" s="657">
        <v>127</v>
      </c>
      <c r="Y27" s="657">
        <v>119</v>
      </c>
      <c r="Z27" s="657">
        <v>246</v>
      </c>
      <c r="AA27" s="657">
        <v>4470</v>
      </c>
      <c r="AB27" s="657">
        <v>2063</v>
      </c>
      <c r="AC27" s="657">
        <v>6533</v>
      </c>
    </row>
    <row r="28" spans="1:29" ht="24" customHeight="1" x14ac:dyDescent="0.3">
      <c r="A28" s="145">
        <v>24</v>
      </c>
      <c r="B28" s="153" t="s">
        <v>38</v>
      </c>
      <c r="C28" s="657">
        <v>35</v>
      </c>
      <c r="D28" s="657">
        <v>94</v>
      </c>
      <c r="E28" s="657">
        <v>129</v>
      </c>
      <c r="F28" s="657">
        <v>0</v>
      </c>
      <c r="G28" s="657">
        <v>0</v>
      </c>
      <c r="H28" s="657">
        <v>0</v>
      </c>
      <c r="I28" s="657">
        <v>128</v>
      </c>
      <c r="J28" s="657">
        <v>35</v>
      </c>
      <c r="K28" s="657">
        <v>163</v>
      </c>
      <c r="L28" s="657">
        <v>560</v>
      </c>
      <c r="M28" s="657">
        <v>249</v>
      </c>
      <c r="N28" s="657">
        <v>809</v>
      </c>
      <c r="O28" s="657">
        <v>0</v>
      </c>
      <c r="P28" s="657">
        <v>0</v>
      </c>
      <c r="Q28" s="657">
        <v>0</v>
      </c>
      <c r="R28" s="657">
        <v>4</v>
      </c>
      <c r="S28" s="657">
        <v>0</v>
      </c>
      <c r="T28" s="657">
        <v>4</v>
      </c>
      <c r="U28" s="657">
        <v>0</v>
      </c>
      <c r="V28" s="657">
        <v>0</v>
      </c>
      <c r="W28" s="657">
        <v>0</v>
      </c>
      <c r="X28" s="657">
        <v>19</v>
      </c>
      <c r="Y28" s="657">
        <v>17</v>
      </c>
      <c r="Z28" s="657">
        <v>36</v>
      </c>
      <c r="AA28" s="657">
        <v>746</v>
      </c>
      <c r="AB28" s="657">
        <v>395</v>
      </c>
      <c r="AC28" s="657">
        <v>1141</v>
      </c>
    </row>
    <row r="29" spans="1:29" ht="24" customHeight="1" x14ac:dyDescent="0.3">
      <c r="A29" s="145">
        <v>25</v>
      </c>
      <c r="B29" s="153" t="s">
        <v>39</v>
      </c>
      <c r="C29" s="657">
        <v>0</v>
      </c>
      <c r="D29" s="657">
        <v>0</v>
      </c>
      <c r="E29" s="657">
        <v>0</v>
      </c>
      <c r="F29" s="657">
        <v>0</v>
      </c>
      <c r="G29" s="657">
        <v>0</v>
      </c>
      <c r="H29" s="657">
        <v>0</v>
      </c>
      <c r="I29" s="657">
        <v>2</v>
      </c>
      <c r="J29" s="657">
        <v>7</v>
      </c>
      <c r="K29" s="657">
        <v>9</v>
      </c>
      <c r="L29" s="657">
        <v>42</v>
      </c>
      <c r="M29" s="657">
        <v>48</v>
      </c>
      <c r="N29" s="657">
        <v>90</v>
      </c>
      <c r="O29" s="657">
        <v>0</v>
      </c>
      <c r="P29" s="657">
        <v>0</v>
      </c>
      <c r="Q29" s="657">
        <v>0</v>
      </c>
      <c r="R29" s="657">
        <v>1</v>
      </c>
      <c r="S29" s="657">
        <v>0</v>
      </c>
      <c r="T29" s="657">
        <v>1</v>
      </c>
      <c r="U29" s="657">
        <v>3</v>
      </c>
      <c r="V29" s="657">
        <v>0</v>
      </c>
      <c r="W29" s="657">
        <v>3</v>
      </c>
      <c r="X29" s="657">
        <v>7</v>
      </c>
      <c r="Y29" s="657">
        <v>0</v>
      </c>
      <c r="Z29" s="657">
        <v>7</v>
      </c>
      <c r="AA29" s="657">
        <v>55</v>
      </c>
      <c r="AB29" s="657">
        <v>55</v>
      </c>
      <c r="AC29" s="657">
        <v>110</v>
      </c>
    </row>
    <row r="30" spans="1:29" ht="24" customHeight="1" x14ac:dyDescent="0.3">
      <c r="A30" s="145">
        <v>26</v>
      </c>
      <c r="B30" s="153" t="s">
        <v>40</v>
      </c>
      <c r="C30" s="657">
        <v>47</v>
      </c>
      <c r="D30" s="657">
        <v>16</v>
      </c>
      <c r="E30" s="657">
        <v>63</v>
      </c>
      <c r="F30" s="657">
        <v>0</v>
      </c>
      <c r="G30" s="657">
        <v>1</v>
      </c>
      <c r="H30" s="657">
        <v>1</v>
      </c>
      <c r="I30" s="657">
        <v>367</v>
      </c>
      <c r="J30" s="657">
        <v>193</v>
      </c>
      <c r="K30" s="657">
        <v>560</v>
      </c>
      <c r="L30" s="657">
        <v>2735</v>
      </c>
      <c r="M30" s="657">
        <v>1271</v>
      </c>
      <c r="N30" s="657">
        <v>4006</v>
      </c>
      <c r="O30" s="657">
        <v>1</v>
      </c>
      <c r="P30" s="657">
        <v>4</v>
      </c>
      <c r="Q30" s="657">
        <v>5</v>
      </c>
      <c r="R30" s="657">
        <v>12</v>
      </c>
      <c r="S30" s="657">
        <v>5</v>
      </c>
      <c r="T30" s="657">
        <v>17</v>
      </c>
      <c r="U30" s="657">
        <v>3</v>
      </c>
      <c r="V30" s="657">
        <v>0</v>
      </c>
      <c r="W30" s="657">
        <v>3</v>
      </c>
      <c r="X30" s="657">
        <v>18</v>
      </c>
      <c r="Y30" s="657">
        <v>4</v>
      </c>
      <c r="Z30" s="657">
        <v>22</v>
      </c>
      <c r="AA30" s="657">
        <v>3183</v>
      </c>
      <c r="AB30" s="657">
        <v>1494</v>
      </c>
      <c r="AC30" s="657">
        <v>4677</v>
      </c>
    </row>
    <row r="31" spans="1:29" ht="24" customHeight="1" x14ac:dyDescent="0.3">
      <c r="A31" s="145">
        <v>27</v>
      </c>
      <c r="B31" s="153" t="s">
        <v>41</v>
      </c>
      <c r="C31" s="657">
        <v>24</v>
      </c>
      <c r="D31" s="657">
        <v>7</v>
      </c>
      <c r="E31" s="657">
        <v>31</v>
      </c>
      <c r="F31" s="657">
        <v>0</v>
      </c>
      <c r="G31" s="657">
        <v>0</v>
      </c>
      <c r="H31" s="657">
        <v>0</v>
      </c>
      <c r="I31" s="657">
        <v>81</v>
      </c>
      <c r="J31" s="657">
        <v>31</v>
      </c>
      <c r="K31" s="657">
        <v>112</v>
      </c>
      <c r="L31" s="657">
        <v>444</v>
      </c>
      <c r="M31" s="657">
        <v>322</v>
      </c>
      <c r="N31" s="657">
        <v>766</v>
      </c>
      <c r="O31" s="657">
        <v>0</v>
      </c>
      <c r="P31" s="657">
        <v>0</v>
      </c>
      <c r="Q31" s="657">
        <v>0</v>
      </c>
      <c r="R31" s="657">
        <v>23</v>
      </c>
      <c r="S31" s="657">
        <v>0</v>
      </c>
      <c r="T31" s="657">
        <v>23</v>
      </c>
      <c r="U31" s="657">
        <v>22</v>
      </c>
      <c r="V31" s="657">
        <v>0</v>
      </c>
      <c r="W31" s="657">
        <v>22</v>
      </c>
      <c r="X31" s="657">
        <v>64</v>
      </c>
      <c r="Y31" s="657">
        <v>48</v>
      </c>
      <c r="Z31" s="657">
        <v>112</v>
      </c>
      <c r="AA31" s="657">
        <v>658</v>
      </c>
      <c r="AB31" s="657">
        <v>408</v>
      </c>
      <c r="AC31" s="657">
        <v>1066</v>
      </c>
    </row>
    <row r="32" spans="1:29" ht="24" customHeight="1" x14ac:dyDescent="0.3">
      <c r="A32" s="145">
        <v>28</v>
      </c>
      <c r="B32" s="153" t="s">
        <v>42</v>
      </c>
      <c r="C32" s="657">
        <v>2</v>
      </c>
      <c r="D32" s="657">
        <v>0</v>
      </c>
      <c r="E32" s="657">
        <v>2</v>
      </c>
      <c r="F32" s="657">
        <v>0</v>
      </c>
      <c r="G32" s="657">
        <v>0</v>
      </c>
      <c r="H32" s="657">
        <v>0</v>
      </c>
      <c r="I32" s="657">
        <v>1</v>
      </c>
      <c r="J32" s="657">
        <v>0</v>
      </c>
      <c r="K32" s="657">
        <v>1</v>
      </c>
      <c r="L32" s="657">
        <v>1</v>
      </c>
      <c r="M32" s="657">
        <v>5</v>
      </c>
      <c r="N32" s="657">
        <v>6</v>
      </c>
      <c r="O32" s="657">
        <v>0</v>
      </c>
      <c r="P32" s="657">
        <v>0</v>
      </c>
      <c r="Q32" s="657">
        <v>0</v>
      </c>
      <c r="R32" s="657">
        <v>0</v>
      </c>
      <c r="S32" s="657">
        <v>1</v>
      </c>
      <c r="T32" s="657">
        <v>1</v>
      </c>
      <c r="U32" s="657">
        <v>0</v>
      </c>
      <c r="V32" s="657">
        <v>0</v>
      </c>
      <c r="W32" s="657">
        <v>0</v>
      </c>
      <c r="X32" s="657">
        <v>1</v>
      </c>
      <c r="Y32" s="657">
        <v>0</v>
      </c>
      <c r="Z32" s="657">
        <v>1</v>
      </c>
      <c r="AA32" s="657">
        <v>5</v>
      </c>
      <c r="AB32" s="657">
        <v>6</v>
      </c>
      <c r="AC32" s="657">
        <v>11</v>
      </c>
    </row>
    <row r="33" spans="1:29" ht="24" customHeight="1" x14ac:dyDescent="0.3">
      <c r="A33" s="145">
        <v>29</v>
      </c>
      <c r="B33" s="153" t="s">
        <v>43</v>
      </c>
      <c r="C33" s="657">
        <v>330</v>
      </c>
      <c r="D33" s="657">
        <v>80</v>
      </c>
      <c r="E33" s="657">
        <v>410</v>
      </c>
      <c r="F33" s="657">
        <v>0</v>
      </c>
      <c r="G33" s="657">
        <v>1</v>
      </c>
      <c r="H33" s="657">
        <v>1</v>
      </c>
      <c r="I33" s="657">
        <v>540</v>
      </c>
      <c r="J33" s="657">
        <v>286</v>
      </c>
      <c r="K33" s="657">
        <v>826</v>
      </c>
      <c r="L33" s="657">
        <v>2032</v>
      </c>
      <c r="M33" s="657">
        <v>1165</v>
      </c>
      <c r="N33" s="657">
        <v>3197</v>
      </c>
      <c r="O33" s="657">
        <v>8</v>
      </c>
      <c r="P33" s="657">
        <v>3</v>
      </c>
      <c r="Q33" s="657">
        <v>11</v>
      </c>
      <c r="R33" s="657">
        <v>35</v>
      </c>
      <c r="S33" s="657">
        <v>33</v>
      </c>
      <c r="T33" s="657">
        <v>68</v>
      </c>
      <c r="U33" s="657">
        <v>48</v>
      </c>
      <c r="V33" s="657">
        <v>25</v>
      </c>
      <c r="W33" s="657">
        <v>73</v>
      </c>
      <c r="X33" s="657">
        <v>41</v>
      </c>
      <c r="Y33" s="657">
        <v>46</v>
      </c>
      <c r="Z33" s="657">
        <v>87</v>
      </c>
      <c r="AA33" s="657">
        <v>3034</v>
      </c>
      <c r="AB33" s="657">
        <v>1639</v>
      </c>
      <c r="AC33" s="657">
        <v>4673</v>
      </c>
    </row>
    <row r="34" spans="1:29" x14ac:dyDescent="0.3">
      <c r="A34" s="145">
        <v>30</v>
      </c>
      <c r="B34" s="153" t="s">
        <v>44</v>
      </c>
      <c r="C34" s="657">
        <v>44</v>
      </c>
      <c r="D34" s="657">
        <v>23</v>
      </c>
      <c r="E34" s="657">
        <v>67</v>
      </c>
      <c r="F34" s="657">
        <v>0</v>
      </c>
      <c r="G34" s="657">
        <v>0</v>
      </c>
      <c r="H34" s="657">
        <v>0</v>
      </c>
      <c r="I34" s="657">
        <v>365</v>
      </c>
      <c r="J34" s="657">
        <v>148</v>
      </c>
      <c r="K34" s="657">
        <v>513</v>
      </c>
      <c r="L34" s="657">
        <v>844</v>
      </c>
      <c r="M34" s="657">
        <v>299</v>
      </c>
      <c r="N34" s="657">
        <v>1143</v>
      </c>
      <c r="O34" s="657">
        <v>0</v>
      </c>
      <c r="P34" s="657">
        <v>0</v>
      </c>
      <c r="Q34" s="657">
        <v>0</v>
      </c>
      <c r="R34" s="657">
        <v>62</v>
      </c>
      <c r="S34" s="657">
        <v>8</v>
      </c>
      <c r="T34" s="657">
        <v>70</v>
      </c>
      <c r="U34" s="657">
        <v>3</v>
      </c>
      <c r="V34" s="657">
        <v>0</v>
      </c>
      <c r="W34" s="657">
        <v>3</v>
      </c>
      <c r="X34" s="657">
        <v>4</v>
      </c>
      <c r="Y34" s="657">
        <v>7</v>
      </c>
      <c r="Z34" s="657">
        <v>11</v>
      </c>
      <c r="AA34" s="657">
        <v>1322</v>
      </c>
      <c r="AB34" s="657">
        <v>485</v>
      </c>
      <c r="AC34" s="657">
        <v>1807</v>
      </c>
    </row>
    <row r="35" spans="1:29" ht="24" customHeight="1" x14ac:dyDescent="0.3">
      <c r="A35" s="145">
        <v>31</v>
      </c>
      <c r="B35" s="153" t="s">
        <v>45</v>
      </c>
      <c r="C35" s="657">
        <v>16</v>
      </c>
      <c r="D35" s="657">
        <v>10</v>
      </c>
      <c r="E35" s="657">
        <v>26</v>
      </c>
      <c r="F35" s="657">
        <v>0</v>
      </c>
      <c r="G35" s="657">
        <v>0</v>
      </c>
      <c r="H35" s="657">
        <v>0</v>
      </c>
      <c r="I35" s="657">
        <v>88</v>
      </c>
      <c r="J35" s="657">
        <v>66</v>
      </c>
      <c r="K35" s="657">
        <v>154</v>
      </c>
      <c r="L35" s="657">
        <v>293</v>
      </c>
      <c r="M35" s="657">
        <v>169</v>
      </c>
      <c r="N35" s="657">
        <v>462</v>
      </c>
      <c r="O35" s="657">
        <v>0</v>
      </c>
      <c r="P35" s="657">
        <v>0</v>
      </c>
      <c r="Q35" s="657">
        <v>0</v>
      </c>
      <c r="R35" s="657">
        <v>5</v>
      </c>
      <c r="S35" s="657">
        <v>0</v>
      </c>
      <c r="T35" s="657">
        <v>5</v>
      </c>
      <c r="U35" s="657">
        <v>2</v>
      </c>
      <c r="V35" s="657">
        <v>3</v>
      </c>
      <c r="W35" s="657">
        <v>5</v>
      </c>
      <c r="X35" s="657">
        <v>4</v>
      </c>
      <c r="Y35" s="657">
        <v>2</v>
      </c>
      <c r="Z35" s="657">
        <v>6</v>
      </c>
      <c r="AA35" s="657">
        <v>408</v>
      </c>
      <c r="AB35" s="657">
        <v>250</v>
      </c>
      <c r="AC35" s="657">
        <v>658</v>
      </c>
    </row>
    <row r="36" spans="1:29" ht="24" customHeight="1" x14ac:dyDescent="0.3">
      <c r="A36" s="145"/>
      <c r="B36" s="153" t="s">
        <v>12</v>
      </c>
      <c r="C36" s="657">
        <v>1481</v>
      </c>
      <c r="D36" s="657">
        <v>621</v>
      </c>
      <c r="E36" s="657">
        <v>2102</v>
      </c>
      <c r="F36" s="657">
        <v>6</v>
      </c>
      <c r="G36" s="657">
        <v>7</v>
      </c>
      <c r="H36" s="657">
        <v>13</v>
      </c>
      <c r="I36" s="657">
        <v>6135</v>
      </c>
      <c r="J36" s="657">
        <v>2816</v>
      </c>
      <c r="K36" s="657">
        <v>8951</v>
      </c>
      <c r="L36" s="657">
        <v>23560</v>
      </c>
      <c r="M36" s="657">
        <v>11572</v>
      </c>
      <c r="N36" s="657">
        <v>35132</v>
      </c>
      <c r="O36" s="657">
        <v>63</v>
      </c>
      <c r="P36" s="657">
        <v>48</v>
      </c>
      <c r="Q36" s="657">
        <v>111</v>
      </c>
      <c r="R36" s="657">
        <v>744</v>
      </c>
      <c r="S36" s="657">
        <v>624</v>
      </c>
      <c r="T36" s="657">
        <v>1368</v>
      </c>
      <c r="U36" s="657">
        <v>138</v>
      </c>
      <c r="V36" s="657">
        <v>36</v>
      </c>
      <c r="W36" s="657">
        <v>174</v>
      </c>
      <c r="X36" s="657">
        <v>432</v>
      </c>
      <c r="Y36" s="657">
        <v>443</v>
      </c>
      <c r="Z36" s="657">
        <v>875</v>
      </c>
      <c r="AA36" s="657">
        <v>32559</v>
      </c>
      <c r="AB36" s="657">
        <v>16167</v>
      </c>
      <c r="AC36" s="657">
        <v>48726</v>
      </c>
    </row>
  </sheetData>
  <mergeCells count="14">
    <mergeCell ref="R2:T2"/>
    <mergeCell ref="U2:W2"/>
    <mergeCell ref="X2:Z2"/>
    <mergeCell ref="AA2:AC2"/>
    <mergeCell ref="C1:K1"/>
    <mergeCell ref="L1:T1"/>
    <mergeCell ref="U1:AC1"/>
    <mergeCell ref="L2:N2"/>
    <mergeCell ref="O2:Q2"/>
    <mergeCell ref="A2:A3"/>
    <mergeCell ref="B2:B3"/>
    <mergeCell ref="C2:E2"/>
    <mergeCell ref="F2:H2"/>
    <mergeCell ref="I2:K2"/>
  </mergeCells>
  <pageMargins left="0.59055118110236227" right="0.35433070866141736" top="0.39370078740157483" bottom="0.39370078740157483" header="0.31496062992125984" footer="0.19685039370078741"/>
  <pageSetup paperSize="9" scale="80" firstPageNumber="60" orientation="portrait" r:id="rId1"/>
  <headerFooter>
    <oddFooter>&amp;L&amp;"Arial,Italic"&amp;9AISHE 2022-23&amp;RT-17</oddFooter>
  </headerFooter>
  <colBreaks count="2" manualBreakCount="2">
    <brk id="11" max="1048575" man="1"/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1C46-C6B0-4421-85C4-F5164127749C}">
  <sheetPr codeName="Sheet27">
    <tabColor rgb="FF92D050"/>
  </sheetPr>
  <dimension ref="A1:H147"/>
  <sheetViews>
    <sheetView view="pageBreakPreview" topLeftCell="A139" zoomScaleSheetLayoutView="100" workbookViewId="0">
      <selection activeCell="C147" sqref="C4:E147"/>
    </sheetView>
  </sheetViews>
  <sheetFormatPr defaultColWidth="9.26953125" defaultRowHeight="15.5" x14ac:dyDescent="0.35"/>
  <cols>
    <col min="1" max="1" width="7.26953125" style="159" bestFit="1" customWidth="1"/>
    <col min="2" max="2" width="74.453125" style="166" customWidth="1"/>
    <col min="3" max="3" width="11.26953125" style="159" bestFit="1" customWidth="1"/>
    <col min="4" max="4" width="15" style="159" customWidth="1"/>
    <col min="5" max="5" width="17.54296875" style="159" customWidth="1"/>
    <col min="6" max="16384" width="9.26953125" style="159"/>
  </cols>
  <sheetData>
    <row r="1" spans="1:5" s="157" customFormat="1" ht="36.75" customHeight="1" x14ac:dyDescent="0.35">
      <c r="A1" s="155" t="s">
        <v>564</v>
      </c>
      <c r="B1" s="818" t="s">
        <v>1044</v>
      </c>
      <c r="C1" s="819"/>
      <c r="D1" s="819"/>
      <c r="E1" s="820"/>
    </row>
    <row r="2" spans="1:5" ht="27.75" customHeight="1" x14ac:dyDescent="0.35">
      <c r="A2" s="158" t="s">
        <v>49</v>
      </c>
      <c r="B2" s="158" t="s">
        <v>120</v>
      </c>
      <c r="C2" s="156" t="s">
        <v>745</v>
      </c>
      <c r="D2" s="156" t="s">
        <v>746</v>
      </c>
      <c r="E2" s="156" t="s">
        <v>54</v>
      </c>
    </row>
    <row r="3" spans="1:5" x14ac:dyDescent="0.35">
      <c r="A3" s="160">
        <v>1</v>
      </c>
      <c r="B3" s="160">
        <v>2</v>
      </c>
      <c r="C3" s="160">
        <v>3</v>
      </c>
      <c r="D3" s="160">
        <v>4</v>
      </c>
      <c r="E3" s="160">
        <v>5</v>
      </c>
    </row>
    <row r="4" spans="1:5" ht="20.25" customHeight="1" x14ac:dyDescent="0.35">
      <c r="A4" s="161">
        <v>1</v>
      </c>
      <c r="B4" s="162" t="s">
        <v>125</v>
      </c>
      <c r="C4" s="631">
        <v>106</v>
      </c>
      <c r="D4" s="631">
        <v>2</v>
      </c>
      <c r="E4" s="631">
        <v>108</v>
      </c>
    </row>
    <row r="5" spans="1:5" ht="20.25" customHeight="1" x14ac:dyDescent="0.35">
      <c r="A5" s="161">
        <v>2</v>
      </c>
      <c r="B5" s="162" t="s">
        <v>126</v>
      </c>
      <c r="C5" s="631">
        <v>4</v>
      </c>
      <c r="D5" s="631">
        <v>1</v>
      </c>
      <c r="E5" s="631">
        <v>5</v>
      </c>
    </row>
    <row r="6" spans="1:5" ht="20.25" customHeight="1" x14ac:dyDescent="0.35">
      <c r="A6" s="161">
        <v>3</v>
      </c>
      <c r="B6" s="162" t="s">
        <v>127</v>
      </c>
      <c r="C6" s="631">
        <v>0</v>
      </c>
      <c r="D6" s="631">
        <v>5</v>
      </c>
      <c r="E6" s="631">
        <v>5</v>
      </c>
    </row>
    <row r="7" spans="1:5" ht="20.25" customHeight="1" x14ac:dyDescent="0.35">
      <c r="A7" s="161">
        <v>4</v>
      </c>
      <c r="B7" s="162" t="s">
        <v>128</v>
      </c>
      <c r="C7" s="631">
        <v>190</v>
      </c>
      <c r="D7" s="631">
        <v>239</v>
      </c>
      <c r="E7" s="631">
        <v>429</v>
      </c>
    </row>
    <row r="8" spans="1:5" ht="20.25" customHeight="1" x14ac:dyDescent="0.35">
      <c r="A8" s="161">
        <v>5</v>
      </c>
      <c r="B8" s="162" t="s">
        <v>129</v>
      </c>
      <c r="C8" s="631">
        <v>1</v>
      </c>
      <c r="D8" s="631">
        <v>0</v>
      </c>
      <c r="E8" s="631">
        <v>1</v>
      </c>
    </row>
    <row r="9" spans="1:5" ht="20.25" customHeight="1" x14ac:dyDescent="0.35">
      <c r="A9" s="161">
        <v>6</v>
      </c>
      <c r="B9" s="162" t="s">
        <v>130</v>
      </c>
      <c r="C9" s="631">
        <v>161</v>
      </c>
      <c r="D9" s="631">
        <v>343</v>
      </c>
      <c r="E9" s="631">
        <v>504</v>
      </c>
    </row>
    <row r="10" spans="1:5" ht="20.25" customHeight="1" x14ac:dyDescent="0.35">
      <c r="A10" s="161">
        <v>7</v>
      </c>
      <c r="B10" s="162" t="s">
        <v>131</v>
      </c>
      <c r="C10" s="631">
        <v>600</v>
      </c>
      <c r="D10" s="631">
        <v>637</v>
      </c>
      <c r="E10" s="631">
        <v>1237</v>
      </c>
    </row>
    <row r="11" spans="1:5" ht="20.25" customHeight="1" x14ac:dyDescent="0.35">
      <c r="A11" s="161">
        <v>8</v>
      </c>
      <c r="B11" s="162" t="s">
        <v>132</v>
      </c>
      <c r="C11" s="632">
        <v>1</v>
      </c>
      <c r="D11" s="631">
        <v>1</v>
      </c>
      <c r="E11" s="631">
        <v>2</v>
      </c>
    </row>
    <row r="12" spans="1:5" ht="20.25" customHeight="1" x14ac:dyDescent="0.35">
      <c r="A12" s="161">
        <v>9</v>
      </c>
      <c r="B12" s="162" t="s">
        <v>133</v>
      </c>
      <c r="C12" s="631">
        <v>29</v>
      </c>
      <c r="D12" s="631">
        <v>35</v>
      </c>
      <c r="E12" s="631">
        <v>64</v>
      </c>
    </row>
    <row r="13" spans="1:5" ht="20.25" customHeight="1" x14ac:dyDescent="0.35">
      <c r="A13" s="161">
        <v>10</v>
      </c>
      <c r="B13" s="162" t="s">
        <v>134</v>
      </c>
      <c r="C13" s="631">
        <v>3</v>
      </c>
      <c r="D13" s="631">
        <v>15</v>
      </c>
      <c r="E13" s="631">
        <v>18</v>
      </c>
    </row>
    <row r="14" spans="1:5" ht="20.25" customHeight="1" x14ac:dyDescent="0.35">
      <c r="A14" s="161">
        <v>11</v>
      </c>
      <c r="B14" s="162" t="s">
        <v>135</v>
      </c>
      <c r="C14" s="631">
        <v>316</v>
      </c>
      <c r="D14" s="631">
        <v>171</v>
      </c>
      <c r="E14" s="631">
        <v>487</v>
      </c>
    </row>
    <row r="15" spans="1:5" ht="20.25" customHeight="1" x14ac:dyDescent="0.35">
      <c r="A15" s="161">
        <v>12</v>
      </c>
      <c r="B15" s="162" t="s">
        <v>136</v>
      </c>
      <c r="C15" s="631">
        <v>86</v>
      </c>
      <c r="D15" s="631">
        <v>142</v>
      </c>
      <c r="E15" s="631">
        <v>228</v>
      </c>
    </row>
    <row r="16" spans="1:5" ht="20.25" customHeight="1" x14ac:dyDescent="0.35">
      <c r="A16" s="161">
        <v>13</v>
      </c>
      <c r="B16" s="162" t="s">
        <v>137</v>
      </c>
      <c r="C16" s="631">
        <v>1962</v>
      </c>
      <c r="D16" s="631">
        <v>1050</v>
      </c>
      <c r="E16" s="631">
        <v>3012</v>
      </c>
    </row>
    <row r="17" spans="1:5" ht="20.25" customHeight="1" x14ac:dyDescent="0.35">
      <c r="A17" s="161">
        <v>14</v>
      </c>
      <c r="B17" s="162" t="s">
        <v>138</v>
      </c>
      <c r="C17" s="631">
        <v>98</v>
      </c>
      <c r="D17" s="631">
        <v>119</v>
      </c>
      <c r="E17" s="631">
        <v>217</v>
      </c>
    </row>
    <row r="18" spans="1:5" ht="20.25" customHeight="1" x14ac:dyDescent="0.35">
      <c r="A18" s="161">
        <v>15</v>
      </c>
      <c r="B18" s="162" t="s">
        <v>139</v>
      </c>
      <c r="C18" s="631">
        <v>24</v>
      </c>
      <c r="D18" s="631">
        <v>4</v>
      </c>
      <c r="E18" s="631">
        <v>28</v>
      </c>
    </row>
    <row r="19" spans="1:5" ht="20.25" customHeight="1" x14ac:dyDescent="0.35">
      <c r="A19" s="161">
        <v>16</v>
      </c>
      <c r="B19" s="162" t="s">
        <v>140</v>
      </c>
      <c r="C19" s="631">
        <v>2</v>
      </c>
      <c r="D19" s="631">
        <v>0</v>
      </c>
      <c r="E19" s="631">
        <v>2</v>
      </c>
    </row>
    <row r="20" spans="1:5" ht="20.25" customHeight="1" x14ac:dyDescent="0.35">
      <c r="A20" s="161">
        <v>17</v>
      </c>
      <c r="B20" s="162" t="s">
        <v>141</v>
      </c>
      <c r="C20" s="631">
        <v>1488</v>
      </c>
      <c r="D20" s="631">
        <v>246</v>
      </c>
      <c r="E20" s="631">
        <v>1734</v>
      </c>
    </row>
    <row r="21" spans="1:5" ht="20.25" customHeight="1" x14ac:dyDescent="0.35">
      <c r="A21" s="161">
        <v>18</v>
      </c>
      <c r="B21" s="162" t="s">
        <v>142</v>
      </c>
      <c r="C21" s="631">
        <v>8</v>
      </c>
      <c r="D21" s="631">
        <v>7</v>
      </c>
      <c r="E21" s="631">
        <v>15</v>
      </c>
    </row>
    <row r="22" spans="1:5" ht="20.25" customHeight="1" x14ac:dyDescent="0.35">
      <c r="A22" s="161">
        <v>19</v>
      </c>
      <c r="B22" s="162" t="s">
        <v>143</v>
      </c>
      <c r="C22" s="631">
        <v>68</v>
      </c>
      <c r="D22" s="631">
        <v>60</v>
      </c>
      <c r="E22" s="631">
        <v>128</v>
      </c>
    </row>
    <row r="23" spans="1:5" ht="20.25" customHeight="1" x14ac:dyDescent="0.35">
      <c r="A23" s="161">
        <v>20</v>
      </c>
      <c r="B23" s="162" t="s">
        <v>144</v>
      </c>
      <c r="C23" s="631">
        <v>992</v>
      </c>
      <c r="D23" s="631">
        <v>654</v>
      </c>
      <c r="E23" s="631">
        <v>1646</v>
      </c>
    </row>
    <row r="24" spans="1:5" ht="20.25" customHeight="1" x14ac:dyDescent="0.35">
      <c r="A24" s="161">
        <v>21</v>
      </c>
      <c r="B24" s="162" t="s">
        <v>145</v>
      </c>
      <c r="C24" s="631">
        <v>35</v>
      </c>
      <c r="D24" s="631">
        <v>19</v>
      </c>
      <c r="E24" s="631">
        <v>54</v>
      </c>
    </row>
    <row r="25" spans="1:5" ht="20.25" customHeight="1" x14ac:dyDescent="0.35">
      <c r="A25" s="161">
        <v>22</v>
      </c>
      <c r="B25" s="162" t="s">
        <v>146</v>
      </c>
      <c r="C25" s="631">
        <v>32</v>
      </c>
      <c r="D25" s="631">
        <v>61</v>
      </c>
      <c r="E25" s="631">
        <v>93</v>
      </c>
    </row>
    <row r="26" spans="1:5" ht="20.25" customHeight="1" x14ac:dyDescent="0.35">
      <c r="A26" s="161">
        <v>23</v>
      </c>
      <c r="B26" s="162" t="s">
        <v>147</v>
      </c>
      <c r="C26" s="631">
        <v>98</v>
      </c>
      <c r="D26" s="631">
        <v>268</v>
      </c>
      <c r="E26" s="631">
        <v>366</v>
      </c>
    </row>
    <row r="27" spans="1:5" ht="20.25" customHeight="1" x14ac:dyDescent="0.35">
      <c r="A27" s="161">
        <v>24</v>
      </c>
      <c r="B27" s="162" t="s">
        <v>148</v>
      </c>
      <c r="C27" s="631">
        <v>2416</v>
      </c>
      <c r="D27" s="631">
        <v>589</v>
      </c>
      <c r="E27" s="631">
        <v>3005</v>
      </c>
    </row>
    <row r="28" spans="1:5" ht="20.25" customHeight="1" x14ac:dyDescent="0.35">
      <c r="A28" s="161">
        <v>25</v>
      </c>
      <c r="B28" s="162" t="s">
        <v>149</v>
      </c>
      <c r="C28" s="631">
        <v>10</v>
      </c>
      <c r="D28" s="631">
        <v>20</v>
      </c>
      <c r="E28" s="631">
        <v>30</v>
      </c>
    </row>
    <row r="29" spans="1:5" ht="20.25" customHeight="1" x14ac:dyDescent="0.35">
      <c r="A29" s="161">
        <v>26</v>
      </c>
      <c r="B29" s="162" t="s">
        <v>150</v>
      </c>
      <c r="C29" s="631">
        <v>0</v>
      </c>
      <c r="D29" s="631">
        <v>2</v>
      </c>
      <c r="E29" s="631">
        <v>2</v>
      </c>
    </row>
    <row r="30" spans="1:5" ht="20.25" customHeight="1" x14ac:dyDescent="0.35">
      <c r="A30" s="161">
        <v>27</v>
      </c>
      <c r="B30" s="162" t="s">
        <v>151</v>
      </c>
      <c r="C30" s="631">
        <v>37</v>
      </c>
      <c r="D30" s="631">
        <v>34</v>
      </c>
      <c r="E30" s="631">
        <v>71</v>
      </c>
    </row>
    <row r="31" spans="1:5" ht="20.25" customHeight="1" x14ac:dyDescent="0.35">
      <c r="A31" s="161">
        <v>28</v>
      </c>
      <c r="B31" s="162" t="s">
        <v>152</v>
      </c>
      <c r="C31" s="631">
        <v>6</v>
      </c>
      <c r="D31" s="631">
        <v>1</v>
      </c>
      <c r="E31" s="631">
        <v>7</v>
      </c>
    </row>
    <row r="32" spans="1:5" ht="20.25" customHeight="1" x14ac:dyDescent="0.35">
      <c r="A32" s="161">
        <v>29</v>
      </c>
      <c r="B32" s="162" t="s">
        <v>153</v>
      </c>
      <c r="C32" s="631">
        <v>113</v>
      </c>
      <c r="D32" s="631">
        <v>88</v>
      </c>
      <c r="E32" s="631">
        <v>201</v>
      </c>
    </row>
    <row r="33" spans="1:5" ht="20.25" customHeight="1" x14ac:dyDescent="0.35">
      <c r="A33" s="161">
        <v>30</v>
      </c>
      <c r="B33" s="162" t="s">
        <v>154</v>
      </c>
      <c r="C33" s="631">
        <v>71</v>
      </c>
      <c r="D33" s="631">
        <v>14</v>
      </c>
      <c r="E33" s="631">
        <v>85</v>
      </c>
    </row>
    <row r="34" spans="1:5" ht="20.25" customHeight="1" x14ac:dyDescent="0.35">
      <c r="A34" s="161">
        <v>31</v>
      </c>
      <c r="B34" s="162" t="s">
        <v>155</v>
      </c>
      <c r="C34" s="631">
        <v>2</v>
      </c>
      <c r="D34" s="631">
        <v>15</v>
      </c>
      <c r="E34" s="631">
        <v>17</v>
      </c>
    </row>
    <row r="35" spans="1:5" ht="20.25" customHeight="1" x14ac:dyDescent="0.35">
      <c r="A35" s="161">
        <v>32</v>
      </c>
      <c r="B35" s="162" t="s">
        <v>156</v>
      </c>
      <c r="C35" s="631">
        <v>14</v>
      </c>
      <c r="D35" s="631">
        <v>7</v>
      </c>
      <c r="E35" s="631">
        <v>21</v>
      </c>
    </row>
    <row r="36" spans="1:5" ht="20.25" customHeight="1" x14ac:dyDescent="0.35">
      <c r="A36" s="161">
        <v>33</v>
      </c>
      <c r="B36" s="162" t="s">
        <v>157</v>
      </c>
      <c r="C36" s="631">
        <v>1</v>
      </c>
      <c r="D36" s="631">
        <v>0</v>
      </c>
      <c r="E36" s="631">
        <v>1</v>
      </c>
    </row>
    <row r="37" spans="1:5" ht="20.25" customHeight="1" x14ac:dyDescent="0.35">
      <c r="A37" s="161">
        <v>34</v>
      </c>
      <c r="B37" s="162" t="s">
        <v>158</v>
      </c>
      <c r="C37" s="631">
        <v>4</v>
      </c>
      <c r="D37" s="631">
        <v>3</v>
      </c>
      <c r="E37" s="631">
        <v>7</v>
      </c>
    </row>
    <row r="38" spans="1:5" ht="20.25" customHeight="1" x14ac:dyDescent="0.35">
      <c r="A38" s="161">
        <v>35</v>
      </c>
      <c r="B38" s="162" t="s">
        <v>159</v>
      </c>
      <c r="C38" s="631">
        <v>36</v>
      </c>
      <c r="D38" s="631">
        <v>43</v>
      </c>
      <c r="E38" s="631">
        <v>79</v>
      </c>
    </row>
    <row r="39" spans="1:5" ht="20.25" customHeight="1" x14ac:dyDescent="0.35">
      <c r="A39" s="161">
        <v>36</v>
      </c>
      <c r="B39" s="162" t="s">
        <v>160</v>
      </c>
      <c r="C39" s="631">
        <v>21</v>
      </c>
      <c r="D39" s="631">
        <v>17</v>
      </c>
      <c r="E39" s="631">
        <v>38</v>
      </c>
    </row>
    <row r="40" spans="1:5" ht="20.25" customHeight="1" x14ac:dyDescent="0.35">
      <c r="A40" s="161">
        <v>37</v>
      </c>
      <c r="B40" s="162" t="s">
        <v>161</v>
      </c>
      <c r="C40" s="631">
        <v>4</v>
      </c>
      <c r="D40" s="631">
        <v>2</v>
      </c>
      <c r="E40" s="631">
        <v>6</v>
      </c>
    </row>
    <row r="41" spans="1:5" ht="20.25" customHeight="1" x14ac:dyDescent="0.35">
      <c r="A41" s="161">
        <v>38</v>
      </c>
      <c r="B41" s="162" t="s">
        <v>162</v>
      </c>
      <c r="C41" s="631">
        <v>12</v>
      </c>
      <c r="D41" s="631">
        <v>3</v>
      </c>
      <c r="E41" s="631">
        <v>15</v>
      </c>
    </row>
    <row r="42" spans="1:5" ht="20.25" customHeight="1" x14ac:dyDescent="0.35">
      <c r="A42" s="161">
        <v>39</v>
      </c>
      <c r="B42" s="162" t="s">
        <v>163</v>
      </c>
      <c r="C42" s="631">
        <v>1</v>
      </c>
      <c r="D42" s="631">
        <v>0</v>
      </c>
      <c r="E42" s="631">
        <v>1</v>
      </c>
    </row>
    <row r="43" spans="1:5" ht="20.25" customHeight="1" x14ac:dyDescent="0.35">
      <c r="A43" s="161">
        <v>40</v>
      </c>
      <c r="B43" s="162" t="s">
        <v>164</v>
      </c>
      <c r="C43" s="631">
        <v>85</v>
      </c>
      <c r="D43" s="631">
        <v>55</v>
      </c>
      <c r="E43" s="631">
        <v>140</v>
      </c>
    </row>
    <row r="44" spans="1:5" ht="20.25" customHeight="1" x14ac:dyDescent="0.35">
      <c r="A44" s="161">
        <v>41</v>
      </c>
      <c r="B44" s="162" t="s">
        <v>165</v>
      </c>
      <c r="C44" s="631">
        <v>2</v>
      </c>
      <c r="D44" s="631">
        <v>2</v>
      </c>
      <c r="E44" s="631">
        <v>4</v>
      </c>
    </row>
    <row r="45" spans="1:5" ht="20.25" customHeight="1" x14ac:dyDescent="0.35">
      <c r="A45" s="161">
        <v>42</v>
      </c>
      <c r="B45" s="162" t="s">
        <v>166</v>
      </c>
      <c r="C45" s="631">
        <v>16</v>
      </c>
      <c r="D45" s="631">
        <v>10</v>
      </c>
      <c r="E45" s="631">
        <v>26</v>
      </c>
    </row>
    <row r="46" spans="1:5" ht="20.25" customHeight="1" x14ac:dyDescent="0.35">
      <c r="A46" s="161">
        <v>43</v>
      </c>
      <c r="B46" s="162" t="s">
        <v>167</v>
      </c>
      <c r="C46" s="631">
        <v>1</v>
      </c>
      <c r="D46" s="631">
        <v>0</v>
      </c>
      <c r="E46" s="631">
        <v>1</v>
      </c>
    </row>
    <row r="47" spans="1:5" ht="20.25" customHeight="1" x14ac:dyDescent="0.35">
      <c r="A47" s="161">
        <v>44</v>
      </c>
      <c r="B47" s="162" t="s">
        <v>168</v>
      </c>
      <c r="C47" s="631">
        <v>6</v>
      </c>
      <c r="D47" s="631">
        <v>14</v>
      </c>
      <c r="E47" s="631">
        <v>20</v>
      </c>
    </row>
    <row r="48" spans="1:5" ht="20.25" customHeight="1" x14ac:dyDescent="0.35">
      <c r="A48" s="161">
        <v>45</v>
      </c>
      <c r="B48" s="162" t="s">
        <v>169</v>
      </c>
      <c r="C48" s="631">
        <v>76</v>
      </c>
      <c r="D48" s="631">
        <v>170</v>
      </c>
      <c r="E48" s="631">
        <v>246</v>
      </c>
    </row>
    <row r="49" spans="1:5" ht="20.25" customHeight="1" x14ac:dyDescent="0.35">
      <c r="A49" s="161">
        <v>46</v>
      </c>
      <c r="B49" s="162" t="s">
        <v>170</v>
      </c>
      <c r="C49" s="631">
        <v>13</v>
      </c>
      <c r="D49" s="631">
        <v>22</v>
      </c>
      <c r="E49" s="631">
        <v>35</v>
      </c>
    </row>
    <row r="50" spans="1:5" ht="20.25" customHeight="1" x14ac:dyDescent="0.35">
      <c r="A50" s="161">
        <v>47</v>
      </c>
      <c r="B50" s="162" t="s">
        <v>171</v>
      </c>
      <c r="C50" s="631">
        <v>2</v>
      </c>
      <c r="D50" s="631">
        <v>0</v>
      </c>
      <c r="E50" s="631">
        <v>2</v>
      </c>
    </row>
    <row r="51" spans="1:5" ht="20.25" customHeight="1" x14ac:dyDescent="0.35">
      <c r="A51" s="161">
        <v>48</v>
      </c>
      <c r="B51" s="162" t="s">
        <v>172</v>
      </c>
      <c r="C51" s="631">
        <v>5</v>
      </c>
      <c r="D51" s="631">
        <v>2</v>
      </c>
      <c r="E51" s="631">
        <v>7</v>
      </c>
    </row>
    <row r="52" spans="1:5" ht="20.25" customHeight="1" x14ac:dyDescent="0.35">
      <c r="A52" s="161">
        <v>49</v>
      </c>
      <c r="B52" s="162" t="s">
        <v>173</v>
      </c>
      <c r="C52" s="631">
        <v>7</v>
      </c>
      <c r="D52" s="631">
        <v>1</v>
      </c>
      <c r="E52" s="631">
        <v>8</v>
      </c>
    </row>
    <row r="53" spans="1:5" ht="20.25" customHeight="1" x14ac:dyDescent="0.35">
      <c r="A53" s="161">
        <v>50</v>
      </c>
      <c r="B53" s="162" t="s">
        <v>174</v>
      </c>
      <c r="C53" s="631">
        <v>236</v>
      </c>
      <c r="D53" s="631">
        <v>311</v>
      </c>
      <c r="E53" s="631">
        <v>547</v>
      </c>
    </row>
    <row r="54" spans="1:5" ht="20.25" customHeight="1" x14ac:dyDescent="0.35">
      <c r="A54" s="161">
        <v>51</v>
      </c>
      <c r="B54" s="162" t="s">
        <v>175</v>
      </c>
      <c r="C54" s="631">
        <v>1202</v>
      </c>
      <c r="D54" s="631">
        <v>630</v>
      </c>
      <c r="E54" s="631">
        <v>1832</v>
      </c>
    </row>
    <row r="55" spans="1:5" ht="20.25" customHeight="1" x14ac:dyDescent="0.35">
      <c r="A55" s="161">
        <v>52</v>
      </c>
      <c r="B55" s="162" t="s">
        <v>176</v>
      </c>
      <c r="C55" s="631">
        <v>10</v>
      </c>
      <c r="D55" s="631">
        <v>11</v>
      </c>
      <c r="E55" s="631">
        <v>21</v>
      </c>
    </row>
    <row r="56" spans="1:5" ht="20.25" customHeight="1" x14ac:dyDescent="0.35">
      <c r="A56" s="161">
        <v>53</v>
      </c>
      <c r="B56" s="162" t="s">
        <v>177</v>
      </c>
      <c r="C56" s="631">
        <v>0</v>
      </c>
      <c r="D56" s="631">
        <v>1</v>
      </c>
      <c r="E56" s="631">
        <v>1</v>
      </c>
    </row>
    <row r="57" spans="1:5" ht="20.25" customHeight="1" x14ac:dyDescent="0.35">
      <c r="A57" s="161">
        <v>54</v>
      </c>
      <c r="B57" s="162" t="s">
        <v>178</v>
      </c>
      <c r="C57" s="631">
        <v>13</v>
      </c>
      <c r="D57" s="631">
        <v>39</v>
      </c>
      <c r="E57" s="631">
        <v>52</v>
      </c>
    </row>
    <row r="58" spans="1:5" ht="20.25" customHeight="1" x14ac:dyDescent="0.35">
      <c r="A58" s="161">
        <v>55</v>
      </c>
      <c r="B58" s="162" t="s">
        <v>179</v>
      </c>
      <c r="C58" s="631">
        <v>0</v>
      </c>
      <c r="D58" s="631">
        <v>5</v>
      </c>
      <c r="E58" s="631">
        <v>5</v>
      </c>
    </row>
    <row r="59" spans="1:5" ht="20.25" customHeight="1" x14ac:dyDescent="0.35">
      <c r="A59" s="161">
        <v>56</v>
      </c>
      <c r="B59" s="162" t="s">
        <v>180</v>
      </c>
      <c r="C59" s="631">
        <v>427</v>
      </c>
      <c r="D59" s="631">
        <v>318</v>
      </c>
      <c r="E59" s="631">
        <v>745</v>
      </c>
    </row>
    <row r="60" spans="1:5" ht="20.25" customHeight="1" x14ac:dyDescent="0.35">
      <c r="A60" s="161">
        <v>57</v>
      </c>
      <c r="B60" s="162" t="s">
        <v>181</v>
      </c>
      <c r="C60" s="631">
        <v>97</v>
      </c>
      <c r="D60" s="631">
        <v>482</v>
      </c>
      <c r="E60" s="631">
        <v>579</v>
      </c>
    </row>
    <row r="61" spans="1:5" ht="20.25" customHeight="1" x14ac:dyDescent="0.35">
      <c r="A61" s="161">
        <v>58</v>
      </c>
      <c r="B61" s="162" t="s">
        <v>182</v>
      </c>
      <c r="C61" s="631">
        <v>11</v>
      </c>
      <c r="D61" s="631">
        <v>31</v>
      </c>
      <c r="E61" s="631">
        <v>42</v>
      </c>
    </row>
    <row r="62" spans="1:5" ht="20.25" customHeight="1" x14ac:dyDescent="0.35">
      <c r="A62" s="161">
        <v>59</v>
      </c>
      <c r="B62" s="162" t="s">
        <v>183</v>
      </c>
      <c r="C62" s="631">
        <v>2469</v>
      </c>
      <c r="D62" s="631">
        <v>1655</v>
      </c>
      <c r="E62" s="631">
        <v>4124</v>
      </c>
    </row>
    <row r="63" spans="1:5" ht="20.25" customHeight="1" x14ac:dyDescent="0.35">
      <c r="A63" s="161">
        <v>60</v>
      </c>
      <c r="B63" s="162" t="s">
        <v>184</v>
      </c>
      <c r="C63" s="631">
        <v>7</v>
      </c>
      <c r="D63" s="631">
        <v>1</v>
      </c>
      <c r="E63" s="631">
        <v>8</v>
      </c>
    </row>
    <row r="64" spans="1:5" ht="20.25" customHeight="1" x14ac:dyDescent="0.35">
      <c r="A64" s="161">
        <v>61</v>
      </c>
      <c r="B64" s="162" t="s">
        <v>185</v>
      </c>
      <c r="C64" s="631">
        <v>9538</v>
      </c>
      <c r="D64" s="631">
        <v>2593</v>
      </c>
      <c r="E64" s="631">
        <v>12131</v>
      </c>
    </row>
    <row r="65" spans="1:5" ht="20.25" customHeight="1" x14ac:dyDescent="0.35">
      <c r="A65" s="161">
        <v>62</v>
      </c>
      <c r="B65" s="162" t="s">
        <v>186</v>
      </c>
      <c r="C65" s="631">
        <v>31</v>
      </c>
      <c r="D65" s="631">
        <v>26</v>
      </c>
      <c r="E65" s="631">
        <v>57</v>
      </c>
    </row>
    <row r="66" spans="1:5" ht="20.25" customHeight="1" x14ac:dyDescent="0.35">
      <c r="A66" s="161">
        <v>63</v>
      </c>
      <c r="B66" s="162" t="s">
        <v>187</v>
      </c>
      <c r="C66" s="631">
        <v>0</v>
      </c>
      <c r="D66" s="631">
        <v>4</v>
      </c>
      <c r="E66" s="631">
        <v>4</v>
      </c>
    </row>
    <row r="67" spans="1:5" ht="20.25" customHeight="1" x14ac:dyDescent="0.35">
      <c r="A67" s="161">
        <v>64</v>
      </c>
      <c r="B67" s="162" t="s">
        <v>188</v>
      </c>
      <c r="C67" s="631">
        <v>4</v>
      </c>
      <c r="D67" s="631">
        <v>6</v>
      </c>
      <c r="E67" s="631">
        <v>10</v>
      </c>
    </row>
    <row r="68" spans="1:5" ht="20.25" customHeight="1" x14ac:dyDescent="0.35">
      <c r="A68" s="161">
        <v>65</v>
      </c>
      <c r="B68" s="162" t="s">
        <v>189</v>
      </c>
      <c r="C68" s="631">
        <v>8</v>
      </c>
      <c r="D68" s="631">
        <v>11</v>
      </c>
      <c r="E68" s="631">
        <v>19</v>
      </c>
    </row>
    <row r="69" spans="1:5" ht="20.25" customHeight="1" x14ac:dyDescent="0.35">
      <c r="A69" s="161">
        <v>66</v>
      </c>
      <c r="B69" s="162" t="s">
        <v>190</v>
      </c>
      <c r="C69" s="631">
        <v>1</v>
      </c>
      <c r="D69" s="631">
        <v>0</v>
      </c>
      <c r="E69" s="631">
        <v>1</v>
      </c>
    </row>
    <row r="70" spans="1:5" ht="20.25" customHeight="1" x14ac:dyDescent="0.35">
      <c r="A70" s="161">
        <v>67</v>
      </c>
      <c r="B70" s="162" t="s">
        <v>191</v>
      </c>
      <c r="C70" s="631">
        <v>18</v>
      </c>
      <c r="D70" s="631">
        <v>12</v>
      </c>
      <c r="E70" s="631">
        <v>30</v>
      </c>
    </row>
    <row r="71" spans="1:5" ht="20.25" customHeight="1" x14ac:dyDescent="0.35">
      <c r="A71" s="161">
        <v>68</v>
      </c>
      <c r="B71" s="162" t="s">
        <v>192</v>
      </c>
      <c r="C71" s="631">
        <v>1</v>
      </c>
      <c r="D71" s="631">
        <v>2</v>
      </c>
      <c r="E71" s="631">
        <v>3</v>
      </c>
    </row>
    <row r="72" spans="1:5" ht="20.25" customHeight="1" x14ac:dyDescent="0.35">
      <c r="A72" s="161">
        <v>69</v>
      </c>
      <c r="B72" s="162" t="s">
        <v>193</v>
      </c>
      <c r="C72" s="631">
        <v>138</v>
      </c>
      <c r="D72" s="631">
        <v>36</v>
      </c>
      <c r="E72" s="631">
        <v>174</v>
      </c>
    </row>
    <row r="73" spans="1:5" ht="20.25" customHeight="1" x14ac:dyDescent="0.35">
      <c r="A73" s="161">
        <v>70</v>
      </c>
      <c r="B73" s="162" t="s">
        <v>194</v>
      </c>
      <c r="C73" s="631">
        <v>1</v>
      </c>
      <c r="D73" s="631">
        <v>1</v>
      </c>
      <c r="E73" s="631">
        <v>2</v>
      </c>
    </row>
    <row r="74" spans="1:5" ht="20.25" customHeight="1" x14ac:dyDescent="0.35">
      <c r="A74" s="161">
        <v>71</v>
      </c>
      <c r="B74" s="162" t="s">
        <v>195</v>
      </c>
      <c r="C74" s="631">
        <v>1</v>
      </c>
      <c r="D74" s="631">
        <v>0</v>
      </c>
      <c r="E74" s="631">
        <v>1</v>
      </c>
    </row>
    <row r="75" spans="1:5" ht="20.25" customHeight="1" x14ac:dyDescent="0.35">
      <c r="A75" s="161">
        <v>72</v>
      </c>
      <c r="B75" s="162" t="s">
        <v>196</v>
      </c>
      <c r="C75" s="631">
        <v>0</v>
      </c>
      <c r="D75" s="631">
        <v>1</v>
      </c>
      <c r="E75" s="631">
        <v>1</v>
      </c>
    </row>
    <row r="76" spans="1:5" ht="20.25" customHeight="1" x14ac:dyDescent="0.35">
      <c r="A76" s="161">
        <v>73</v>
      </c>
      <c r="B76" s="162" t="s">
        <v>197</v>
      </c>
      <c r="C76" s="631">
        <v>19</v>
      </c>
      <c r="D76" s="631">
        <v>11</v>
      </c>
      <c r="E76" s="631">
        <v>30</v>
      </c>
    </row>
    <row r="77" spans="1:5" ht="20.25" customHeight="1" x14ac:dyDescent="0.35">
      <c r="A77" s="161">
        <v>74</v>
      </c>
      <c r="B77" s="162" t="s">
        <v>198</v>
      </c>
      <c r="C77" s="631">
        <v>2</v>
      </c>
      <c r="D77" s="631">
        <v>0</v>
      </c>
      <c r="E77" s="631">
        <v>2</v>
      </c>
    </row>
    <row r="78" spans="1:5" ht="20.25" customHeight="1" x14ac:dyDescent="0.35">
      <c r="A78" s="161">
        <v>75</v>
      </c>
      <c r="B78" s="162" t="s">
        <v>199</v>
      </c>
      <c r="C78" s="631">
        <v>5</v>
      </c>
      <c r="D78" s="631">
        <v>5</v>
      </c>
      <c r="E78" s="631">
        <v>10</v>
      </c>
    </row>
    <row r="79" spans="1:5" ht="20.25" customHeight="1" x14ac:dyDescent="0.35">
      <c r="A79" s="161">
        <v>76</v>
      </c>
      <c r="B79" s="162" t="s">
        <v>200</v>
      </c>
      <c r="C79" s="631">
        <v>709</v>
      </c>
      <c r="D79" s="631">
        <v>516</v>
      </c>
      <c r="E79" s="631">
        <v>1225</v>
      </c>
    </row>
    <row r="80" spans="1:5" ht="20.25" customHeight="1" x14ac:dyDescent="0.35">
      <c r="A80" s="161">
        <v>77</v>
      </c>
      <c r="B80" s="162" t="s">
        <v>201</v>
      </c>
      <c r="C80" s="631">
        <v>1</v>
      </c>
      <c r="D80" s="631">
        <v>0</v>
      </c>
      <c r="E80" s="631">
        <v>1</v>
      </c>
    </row>
    <row r="81" spans="1:5" ht="20.25" customHeight="1" x14ac:dyDescent="0.35">
      <c r="A81" s="161">
        <v>78</v>
      </c>
      <c r="B81" s="162" t="s">
        <v>202</v>
      </c>
      <c r="C81" s="631">
        <v>15</v>
      </c>
      <c r="D81" s="631">
        <v>95</v>
      </c>
      <c r="E81" s="631">
        <v>110</v>
      </c>
    </row>
    <row r="82" spans="1:5" ht="20.25" customHeight="1" x14ac:dyDescent="0.35">
      <c r="A82" s="161">
        <v>79</v>
      </c>
      <c r="B82" s="162" t="s">
        <v>203</v>
      </c>
      <c r="C82" s="631">
        <v>5</v>
      </c>
      <c r="D82" s="631">
        <v>0</v>
      </c>
      <c r="E82" s="631">
        <v>5</v>
      </c>
    </row>
    <row r="83" spans="1:5" ht="20.25" customHeight="1" x14ac:dyDescent="0.35">
      <c r="A83" s="161">
        <v>80</v>
      </c>
      <c r="B83" s="162" t="s">
        <v>204</v>
      </c>
      <c r="C83" s="631">
        <v>5</v>
      </c>
      <c r="D83" s="631">
        <v>6</v>
      </c>
      <c r="E83" s="631">
        <v>11</v>
      </c>
    </row>
    <row r="84" spans="1:5" ht="20.25" customHeight="1" x14ac:dyDescent="0.35">
      <c r="A84" s="161">
        <v>81</v>
      </c>
      <c r="B84" s="162" t="s">
        <v>205</v>
      </c>
      <c r="C84" s="631">
        <v>56</v>
      </c>
      <c r="D84" s="631">
        <v>13</v>
      </c>
      <c r="E84" s="631">
        <v>69</v>
      </c>
    </row>
    <row r="85" spans="1:5" ht="20.25" customHeight="1" x14ac:dyDescent="0.35">
      <c r="A85" s="161">
        <v>82</v>
      </c>
      <c r="B85" s="162" t="s">
        <v>206</v>
      </c>
      <c r="C85" s="631">
        <v>1</v>
      </c>
      <c r="D85" s="631">
        <v>0</v>
      </c>
      <c r="E85" s="631">
        <v>1</v>
      </c>
    </row>
    <row r="86" spans="1:5" ht="20.25" customHeight="1" x14ac:dyDescent="0.35">
      <c r="A86" s="161">
        <v>83</v>
      </c>
      <c r="B86" s="162" t="s">
        <v>207</v>
      </c>
      <c r="C86" s="631">
        <v>176</v>
      </c>
      <c r="D86" s="631">
        <v>166</v>
      </c>
      <c r="E86" s="631">
        <v>342</v>
      </c>
    </row>
    <row r="87" spans="1:5" ht="20.25" customHeight="1" x14ac:dyDescent="0.35">
      <c r="A87" s="161">
        <v>84</v>
      </c>
      <c r="B87" s="162" t="s">
        <v>208</v>
      </c>
      <c r="C87" s="631">
        <v>38</v>
      </c>
      <c r="D87" s="631">
        <v>36</v>
      </c>
      <c r="E87" s="631">
        <v>74</v>
      </c>
    </row>
    <row r="88" spans="1:5" ht="20.25" customHeight="1" x14ac:dyDescent="0.35">
      <c r="A88" s="161">
        <v>85</v>
      </c>
      <c r="B88" s="162" t="s">
        <v>209</v>
      </c>
      <c r="C88" s="631">
        <v>1</v>
      </c>
      <c r="D88" s="631">
        <v>2</v>
      </c>
      <c r="E88" s="631">
        <v>3</v>
      </c>
    </row>
    <row r="89" spans="1:5" ht="20.25" customHeight="1" x14ac:dyDescent="0.35">
      <c r="A89" s="161">
        <v>86</v>
      </c>
      <c r="B89" s="162" t="s">
        <v>210</v>
      </c>
      <c r="C89" s="631">
        <v>758</v>
      </c>
      <c r="D89" s="631">
        <v>549</v>
      </c>
      <c r="E89" s="631">
        <v>1307</v>
      </c>
    </row>
    <row r="90" spans="1:5" ht="20.25" customHeight="1" x14ac:dyDescent="0.35">
      <c r="A90" s="161">
        <v>87</v>
      </c>
      <c r="B90" s="162" t="s">
        <v>211</v>
      </c>
      <c r="C90" s="631">
        <v>5</v>
      </c>
      <c r="D90" s="631">
        <v>4</v>
      </c>
      <c r="E90" s="631">
        <v>9</v>
      </c>
    </row>
    <row r="91" spans="1:5" ht="20.25" customHeight="1" x14ac:dyDescent="0.35">
      <c r="A91" s="161">
        <v>88</v>
      </c>
      <c r="B91" s="162" t="s">
        <v>212</v>
      </c>
      <c r="C91" s="631">
        <v>1918</v>
      </c>
      <c r="D91" s="631">
        <v>907</v>
      </c>
      <c r="E91" s="631">
        <v>2825</v>
      </c>
    </row>
    <row r="92" spans="1:5" ht="20.25" customHeight="1" x14ac:dyDescent="0.35">
      <c r="A92" s="161">
        <v>89</v>
      </c>
      <c r="B92" s="162" t="s">
        <v>213</v>
      </c>
      <c r="C92" s="631">
        <v>1</v>
      </c>
      <c r="D92" s="631">
        <v>0</v>
      </c>
      <c r="E92" s="631">
        <v>1</v>
      </c>
    </row>
    <row r="93" spans="1:5" ht="20.25" customHeight="1" x14ac:dyDescent="0.35">
      <c r="A93" s="161">
        <v>90</v>
      </c>
      <c r="B93" s="162" t="s">
        <v>214</v>
      </c>
      <c r="C93" s="631">
        <v>138</v>
      </c>
      <c r="D93" s="631">
        <v>7</v>
      </c>
      <c r="E93" s="631">
        <v>145</v>
      </c>
    </row>
    <row r="94" spans="1:5" ht="20.25" customHeight="1" x14ac:dyDescent="0.35">
      <c r="A94" s="161">
        <v>91</v>
      </c>
      <c r="B94" s="162" t="s">
        <v>215</v>
      </c>
      <c r="C94" s="631">
        <v>335</v>
      </c>
      <c r="D94" s="631">
        <v>499</v>
      </c>
      <c r="E94" s="631">
        <v>834</v>
      </c>
    </row>
    <row r="95" spans="1:5" ht="20.25" customHeight="1" x14ac:dyDescent="0.35">
      <c r="A95" s="161">
        <v>92</v>
      </c>
      <c r="B95" s="162" t="s">
        <v>216</v>
      </c>
      <c r="C95" s="631">
        <v>275</v>
      </c>
      <c r="D95" s="631">
        <v>43</v>
      </c>
      <c r="E95" s="631">
        <v>318</v>
      </c>
    </row>
    <row r="96" spans="1:5" ht="20.25" customHeight="1" x14ac:dyDescent="0.35">
      <c r="A96" s="161">
        <v>93</v>
      </c>
      <c r="B96" s="162" t="s">
        <v>217</v>
      </c>
      <c r="C96" s="631">
        <v>1</v>
      </c>
      <c r="D96" s="631">
        <v>0</v>
      </c>
      <c r="E96" s="631">
        <v>1</v>
      </c>
    </row>
    <row r="97" spans="1:5" ht="20.25" customHeight="1" x14ac:dyDescent="0.35">
      <c r="A97" s="161">
        <v>94</v>
      </c>
      <c r="B97" s="162" t="s">
        <v>218</v>
      </c>
      <c r="C97" s="631">
        <v>215</v>
      </c>
      <c r="D97" s="631">
        <v>83</v>
      </c>
      <c r="E97" s="631">
        <v>298</v>
      </c>
    </row>
    <row r="98" spans="1:5" ht="20.25" customHeight="1" x14ac:dyDescent="0.35">
      <c r="A98" s="161">
        <v>95</v>
      </c>
      <c r="B98" s="162" t="s">
        <v>219</v>
      </c>
      <c r="C98" s="631">
        <v>196</v>
      </c>
      <c r="D98" s="631">
        <v>159</v>
      </c>
      <c r="E98" s="631">
        <v>355</v>
      </c>
    </row>
    <row r="99" spans="1:5" ht="20.25" customHeight="1" x14ac:dyDescent="0.35">
      <c r="A99" s="161">
        <v>96</v>
      </c>
      <c r="B99" s="162" t="s">
        <v>220</v>
      </c>
      <c r="C99" s="631">
        <v>7</v>
      </c>
      <c r="D99" s="631">
        <v>11</v>
      </c>
      <c r="E99" s="631">
        <v>18</v>
      </c>
    </row>
    <row r="100" spans="1:5" ht="20.25" customHeight="1" x14ac:dyDescent="0.35">
      <c r="A100" s="161">
        <v>97</v>
      </c>
      <c r="B100" s="162" t="s">
        <v>221</v>
      </c>
      <c r="C100" s="631">
        <v>0</v>
      </c>
      <c r="D100" s="631">
        <v>3</v>
      </c>
      <c r="E100" s="631">
        <v>3</v>
      </c>
    </row>
    <row r="101" spans="1:5" ht="20.25" customHeight="1" x14ac:dyDescent="0.35">
      <c r="A101" s="161">
        <v>98</v>
      </c>
      <c r="B101" s="162" t="s">
        <v>222</v>
      </c>
      <c r="C101" s="631">
        <v>7</v>
      </c>
      <c r="D101" s="631">
        <v>7</v>
      </c>
      <c r="E101" s="631">
        <v>14</v>
      </c>
    </row>
    <row r="102" spans="1:5" ht="20.25" customHeight="1" x14ac:dyDescent="0.35">
      <c r="A102" s="161">
        <v>99</v>
      </c>
      <c r="B102" s="162" t="s">
        <v>223</v>
      </c>
      <c r="C102" s="631">
        <v>115</v>
      </c>
      <c r="D102" s="631">
        <v>13</v>
      </c>
      <c r="E102" s="631">
        <v>128</v>
      </c>
    </row>
    <row r="103" spans="1:5" ht="20.25" customHeight="1" x14ac:dyDescent="0.35">
      <c r="A103" s="161">
        <v>100</v>
      </c>
      <c r="B103" s="162" t="s">
        <v>224</v>
      </c>
      <c r="C103" s="631">
        <v>7</v>
      </c>
      <c r="D103" s="631">
        <v>6</v>
      </c>
      <c r="E103" s="631">
        <v>13</v>
      </c>
    </row>
    <row r="104" spans="1:5" ht="20.25" customHeight="1" x14ac:dyDescent="0.35">
      <c r="A104" s="161">
        <v>101</v>
      </c>
      <c r="B104" s="162" t="s">
        <v>225</v>
      </c>
      <c r="C104" s="631">
        <v>13</v>
      </c>
      <c r="D104" s="631">
        <v>9</v>
      </c>
      <c r="E104" s="631">
        <v>22</v>
      </c>
    </row>
    <row r="105" spans="1:5" ht="20.25" customHeight="1" x14ac:dyDescent="0.35">
      <c r="A105" s="161">
        <v>102</v>
      </c>
      <c r="B105" s="162" t="s">
        <v>226</v>
      </c>
      <c r="C105" s="631">
        <v>12</v>
      </c>
      <c r="D105" s="631">
        <v>3</v>
      </c>
      <c r="E105" s="631">
        <v>15</v>
      </c>
    </row>
    <row r="106" spans="1:5" ht="20.25" customHeight="1" x14ac:dyDescent="0.35">
      <c r="A106" s="161">
        <v>103</v>
      </c>
      <c r="B106" s="162" t="s">
        <v>227</v>
      </c>
      <c r="C106" s="631">
        <v>0</v>
      </c>
      <c r="D106" s="631">
        <v>2</v>
      </c>
      <c r="E106" s="631">
        <v>2</v>
      </c>
    </row>
    <row r="107" spans="1:5" ht="20.25" customHeight="1" x14ac:dyDescent="0.35">
      <c r="A107" s="161">
        <v>104</v>
      </c>
      <c r="B107" s="162" t="s">
        <v>228</v>
      </c>
      <c r="C107" s="631">
        <v>24</v>
      </c>
      <c r="D107" s="631">
        <v>11</v>
      </c>
      <c r="E107" s="631">
        <v>35</v>
      </c>
    </row>
    <row r="108" spans="1:5" ht="20.25" customHeight="1" x14ac:dyDescent="0.35">
      <c r="A108" s="161">
        <v>105</v>
      </c>
      <c r="B108" s="162" t="s">
        <v>229</v>
      </c>
      <c r="C108" s="631">
        <v>2</v>
      </c>
      <c r="D108" s="631">
        <v>0</v>
      </c>
      <c r="E108" s="631">
        <v>2</v>
      </c>
    </row>
    <row r="109" spans="1:5" ht="20.25" customHeight="1" x14ac:dyDescent="0.35">
      <c r="A109" s="161">
        <v>106</v>
      </c>
      <c r="B109" s="162" t="s">
        <v>230</v>
      </c>
      <c r="C109" s="631">
        <v>1</v>
      </c>
      <c r="D109" s="631">
        <v>0</v>
      </c>
      <c r="E109" s="631">
        <v>1</v>
      </c>
    </row>
    <row r="110" spans="1:5" ht="20.25" customHeight="1" x14ac:dyDescent="0.35">
      <c r="A110" s="161">
        <v>107</v>
      </c>
      <c r="B110" s="162" t="s">
        <v>231</v>
      </c>
      <c r="C110" s="631">
        <v>2</v>
      </c>
      <c r="D110" s="631">
        <v>0</v>
      </c>
      <c r="E110" s="631">
        <v>2</v>
      </c>
    </row>
    <row r="111" spans="1:5" ht="20.25" customHeight="1" x14ac:dyDescent="0.35">
      <c r="A111" s="161">
        <v>108</v>
      </c>
      <c r="B111" s="162" t="s">
        <v>232</v>
      </c>
      <c r="C111" s="631">
        <v>1</v>
      </c>
      <c r="D111" s="631">
        <v>2</v>
      </c>
      <c r="E111" s="631">
        <v>3</v>
      </c>
    </row>
    <row r="112" spans="1:5" ht="20.25" customHeight="1" x14ac:dyDescent="0.35">
      <c r="A112" s="161">
        <v>109</v>
      </c>
      <c r="B112" s="162" t="s">
        <v>233</v>
      </c>
      <c r="C112" s="631">
        <v>5</v>
      </c>
      <c r="D112" s="631">
        <v>7</v>
      </c>
      <c r="E112" s="631">
        <v>12</v>
      </c>
    </row>
    <row r="113" spans="1:5" ht="20.25" customHeight="1" x14ac:dyDescent="0.35">
      <c r="A113" s="161">
        <v>110</v>
      </c>
      <c r="B113" s="162" t="s">
        <v>234</v>
      </c>
      <c r="C113" s="631">
        <v>1</v>
      </c>
      <c r="D113" s="631">
        <v>11</v>
      </c>
      <c r="E113" s="631">
        <v>12</v>
      </c>
    </row>
    <row r="114" spans="1:5" ht="20.25" customHeight="1" x14ac:dyDescent="0.35">
      <c r="A114" s="161">
        <v>111</v>
      </c>
      <c r="B114" s="162" t="s">
        <v>235</v>
      </c>
      <c r="C114" s="631">
        <v>1</v>
      </c>
      <c r="D114" s="631">
        <v>1</v>
      </c>
      <c r="E114" s="631">
        <v>2</v>
      </c>
    </row>
    <row r="115" spans="1:5" ht="20.25" customHeight="1" x14ac:dyDescent="0.35">
      <c r="A115" s="161">
        <v>112</v>
      </c>
      <c r="B115" s="162" t="s">
        <v>236</v>
      </c>
      <c r="C115" s="631">
        <v>8</v>
      </c>
      <c r="D115" s="631">
        <v>6</v>
      </c>
      <c r="E115" s="631">
        <v>14</v>
      </c>
    </row>
    <row r="116" spans="1:5" ht="20.25" customHeight="1" x14ac:dyDescent="0.35">
      <c r="A116" s="161">
        <v>113</v>
      </c>
      <c r="B116" s="162" t="s">
        <v>237</v>
      </c>
      <c r="C116" s="631">
        <v>9</v>
      </c>
      <c r="D116" s="631">
        <v>10</v>
      </c>
      <c r="E116" s="631">
        <v>19</v>
      </c>
    </row>
    <row r="117" spans="1:5" ht="20.25" customHeight="1" x14ac:dyDescent="0.35">
      <c r="A117" s="161">
        <v>114</v>
      </c>
      <c r="B117" s="162" t="s">
        <v>238</v>
      </c>
      <c r="C117" s="631">
        <v>2</v>
      </c>
      <c r="D117" s="631">
        <v>1</v>
      </c>
      <c r="E117" s="631">
        <v>3</v>
      </c>
    </row>
    <row r="118" spans="1:5" ht="20.25" customHeight="1" x14ac:dyDescent="0.35">
      <c r="A118" s="161">
        <v>115</v>
      </c>
      <c r="B118" s="162" t="s">
        <v>239</v>
      </c>
      <c r="C118" s="631">
        <v>18</v>
      </c>
      <c r="D118" s="631">
        <v>24</v>
      </c>
      <c r="E118" s="631">
        <v>42</v>
      </c>
    </row>
    <row r="119" spans="1:5" ht="20.25" customHeight="1" x14ac:dyDescent="0.35">
      <c r="A119" s="161">
        <v>116</v>
      </c>
      <c r="B119" s="162" t="s">
        <v>240</v>
      </c>
      <c r="C119" s="631">
        <v>1</v>
      </c>
      <c r="D119" s="631">
        <v>0</v>
      </c>
      <c r="E119" s="631">
        <v>1</v>
      </c>
    </row>
    <row r="120" spans="1:5" ht="20.25" customHeight="1" x14ac:dyDescent="0.35">
      <c r="A120" s="161">
        <v>117</v>
      </c>
      <c r="B120" s="162" t="s">
        <v>241</v>
      </c>
      <c r="C120" s="631">
        <v>35</v>
      </c>
      <c r="D120" s="631">
        <v>33</v>
      </c>
      <c r="E120" s="631">
        <v>68</v>
      </c>
    </row>
    <row r="121" spans="1:5" ht="20.25" customHeight="1" x14ac:dyDescent="0.35">
      <c r="A121" s="161">
        <v>118</v>
      </c>
      <c r="B121" s="162" t="s">
        <v>242</v>
      </c>
      <c r="C121" s="631">
        <v>104</v>
      </c>
      <c r="D121" s="631">
        <v>63</v>
      </c>
      <c r="E121" s="631">
        <v>167</v>
      </c>
    </row>
    <row r="122" spans="1:5" ht="20.25" customHeight="1" x14ac:dyDescent="0.35">
      <c r="A122" s="161">
        <v>119</v>
      </c>
      <c r="B122" s="162" t="s">
        <v>243</v>
      </c>
      <c r="C122" s="631">
        <v>6</v>
      </c>
      <c r="D122" s="631">
        <v>7</v>
      </c>
      <c r="E122" s="631">
        <v>13</v>
      </c>
    </row>
    <row r="123" spans="1:5" ht="20.25" customHeight="1" x14ac:dyDescent="0.35">
      <c r="A123" s="161">
        <v>120</v>
      </c>
      <c r="B123" s="162" t="s">
        <v>244</v>
      </c>
      <c r="C123" s="631">
        <v>1</v>
      </c>
      <c r="D123" s="631">
        <v>0</v>
      </c>
      <c r="E123" s="631">
        <v>1</v>
      </c>
    </row>
    <row r="124" spans="1:5" ht="20.25" customHeight="1" x14ac:dyDescent="0.35">
      <c r="A124" s="161">
        <v>121</v>
      </c>
      <c r="B124" s="162" t="s">
        <v>245</v>
      </c>
      <c r="C124" s="631">
        <v>29</v>
      </c>
      <c r="D124" s="631">
        <v>25</v>
      </c>
      <c r="E124" s="631">
        <v>54</v>
      </c>
    </row>
    <row r="125" spans="1:5" ht="20.25" customHeight="1" x14ac:dyDescent="0.35">
      <c r="A125" s="161">
        <v>122</v>
      </c>
      <c r="B125" s="162" t="s">
        <v>246</v>
      </c>
      <c r="C125" s="631">
        <v>34</v>
      </c>
      <c r="D125" s="631">
        <v>14</v>
      </c>
      <c r="E125" s="631">
        <v>48</v>
      </c>
    </row>
    <row r="126" spans="1:5" ht="20.25" customHeight="1" x14ac:dyDescent="0.35">
      <c r="A126" s="161">
        <v>123</v>
      </c>
      <c r="B126" s="162" t="s">
        <v>247</v>
      </c>
      <c r="C126" s="631">
        <v>11</v>
      </c>
      <c r="D126" s="631">
        <v>14</v>
      </c>
      <c r="E126" s="631">
        <v>25</v>
      </c>
    </row>
    <row r="127" spans="1:5" ht="20.25" customHeight="1" x14ac:dyDescent="0.35">
      <c r="A127" s="161">
        <v>124</v>
      </c>
      <c r="B127" s="162" t="s">
        <v>248</v>
      </c>
      <c r="C127" s="631">
        <v>4</v>
      </c>
      <c r="D127" s="631">
        <v>20</v>
      </c>
      <c r="E127" s="631">
        <v>24</v>
      </c>
    </row>
    <row r="128" spans="1:5" ht="20.25" customHeight="1" x14ac:dyDescent="0.35">
      <c r="A128" s="161">
        <v>125</v>
      </c>
      <c r="B128" s="162" t="s">
        <v>249</v>
      </c>
      <c r="C128" s="631">
        <v>16</v>
      </c>
      <c r="D128" s="631">
        <v>16</v>
      </c>
      <c r="E128" s="631">
        <v>32</v>
      </c>
    </row>
    <row r="129" spans="1:5" ht="20.25" customHeight="1" x14ac:dyDescent="0.35">
      <c r="A129" s="161">
        <v>126</v>
      </c>
      <c r="B129" s="162" t="s">
        <v>250</v>
      </c>
      <c r="C129" s="631">
        <v>1</v>
      </c>
      <c r="D129" s="631">
        <v>0</v>
      </c>
      <c r="E129" s="631">
        <v>1</v>
      </c>
    </row>
    <row r="130" spans="1:5" ht="20.25" customHeight="1" x14ac:dyDescent="0.35">
      <c r="A130" s="161">
        <v>127</v>
      </c>
      <c r="B130" s="162" t="s">
        <v>251</v>
      </c>
      <c r="C130" s="631">
        <v>1</v>
      </c>
      <c r="D130" s="631">
        <v>1</v>
      </c>
      <c r="E130" s="631">
        <v>2</v>
      </c>
    </row>
    <row r="131" spans="1:5" ht="20.25" customHeight="1" x14ac:dyDescent="0.35">
      <c r="A131" s="161">
        <v>128</v>
      </c>
      <c r="B131" s="162" t="s">
        <v>252</v>
      </c>
      <c r="C131" s="631">
        <v>3</v>
      </c>
      <c r="D131" s="631">
        <v>3</v>
      </c>
      <c r="E131" s="631">
        <v>6</v>
      </c>
    </row>
    <row r="132" spans="1:5" ht="20.25" customHeight="1" x14ac:dyDescent="0.35">
      <c r="A132" s="161">
        <v>129</v>
      </c>
      <c r="B132" s="162" t="s">
        <v>253</v>
      </c>
      <c r="C132" s="631">
        <v>1</v>
      </c>
      <c r="D132" s="631">
        <v>1</v>
      </c>
      <c r="E132" s="631">
        <v>2</v>
      </c>
    </row>
    <row r="133" spans="1:5" ht="20.25" customHeight="1" x14ac:dyDescent="0.35">
      <c r="A133" s="161">
        <v>130</v>
      </c>
      <c r="B133" s="162" t="s">
        <v>254</v>
      </c>
      <c r="C133" s="631">
        <v>1140</v>
      </c>
      <c r="D133" s="631">
        <v>475</v>
      </c>
      <c r="E133" s="631">
        <v>1615</v>
      </c>
    </row>
    <row r="134" spans="1:5" ht="20.25" customHeight="1" x14ac:dyDescent="0.35">
      <c r="A134" s="161">
        <v>131</v>
      </c>
      <c r="B134" s="162" t="s">
        <v>255</v>
      </c>
      <c r="C134" s="631">
        <v>1</v>
      </c>
      <c r="D134" s="631">
        <v>1</v>
      </c>
      <c r="E134" s="631">
        <v>2</v>
      </c>
    </row>
    <row r="135" spans="1:5" ht="20.25" customHeight="1" x14ac:dyDescent="0.35">
      <c r="A135" s="161">
        <v>132</v>
      </c>
      <c r="B135" s="162" t="s">
        <v>256</v>
      </c>
      <c r="C135" s="631">
        <v>714</v>
      </c>
      <c r="D135" s="631">
        <v>99</v>
      </c>
      <c r="E135" s="631">
        <v>813</v>
      </c>
    </row>
    <row r="136" spans="1:5" ht="20.25" customHeight="1" x14ac:dyDescent="0.35">
      <c r="A136" s="161">
        <v>133</v>
      </c>
      <c r="B136" s="162" t="s">
        <v>257</v>
      </c>
      <c r="C136" s="631">
        <v>0</v>
      </c>
      <c r="D136" s="631">
        <v>2</v>
      </c>
      <c r="E136" s="631">
        <v>2</v>
      </c>
    </row>
    <row r="137" spans="1:5" ht="20.25" customHeight="1" x14ac:dyDescent="0.35">
      <c r="A137" s="161">
        <v>134</v>
      </c>
      <c r="B137" s="162" t="s">
        <v>258</v>
      </c>
      <c r="C137" s="631">
        <v>1</v>
      </c>
      <c r="D137" s="631">
        <v>0</v>
      </c>
      <c r="E137" s="631">
        <v>1</v>
      </c>
    </row>
    <row r="138" spans="1:5" ht="20.25" customHeight="1" x14ac:dyDescent="0.35">
      <c r="A138" s="161">
        <v>135</v>
      </c>
      <c r="B138" s="162" t="s">
        <v>259</v>
      </c>
      <c r="C138" s="631">
        <v>5</v>
      </c>
      <c r="D138" s="631">
        <v>0</v>
      </c>
      <c r="E138" s="631">
        <v>5</v>
      </c>
    </row>
    <row r="139" spans="1:5" ht="20.25" customHeight="1" x14ac:dyDescent="0.35">
      <c r="A139" s="161">
        <v>136</v>
      </c>
      <c r="B139" s="162" t="s">
        <v>260</v>
      </c>
      <c r="C139" s="631">
        <v>4</v>
      </c>
      <c r="D139" s="631">
        <v>0</v>
      </c>
      <c r="E139" s="631">
        <v>4</v>
      </c>
    </row>
    <row r="140" spans="1:5" ht="20.25" customHeight="1" x14ac:dyDescent="0.35">
      <c r="A140" s="161">
        <v>137</v>
      </c>
      <c r="B140" s="162" t="s">
        <v>261</v>
      </c>
      <c r="C140" s="631">
        <v>2</v>
      </c>
      <c r="D140" s="631">
        <v>0</v>
      </c>
      <c r="E140" s="631">
        <v>2</v>
      </c>
    </row>
    <row r="141" spans="1:5" ht="20.25" customHeight="1" x14ac:dyDescent="0.35">
      <c r="A141" s="161">
        <v>138</v>
      </c>
      <c r="B141" s="162" t="s">
        <v>262</v>
      </c>
      <c r="C141" s="631">
        <v>10</v>
      </c>
      <c r="D141" s="631">
        <v>4</v>
      </c>
      <c r="E141" s="631">
        <v>14</v>
      </c>
    </row>
    <row r="142" spans="1:5" ht="20.25" customHeight="1" x14ac:dyDescent="0.35">
      <c r="A142" s="161">
        <v>139</v>
      </c>
      <c r="B142" s="162" t="s">
        <v>263</v>
      </c>
      <c r="C142" s="631">
        <v>63</v>
      </c>
      <c r="D142" s="631">
        <v>48</v>
      </c>
      <c r="E142" s="631">
        <v>111</v>
      </c>
    </row>
    <row r="143" spans="1:5" ht="20.25" customHeight="1" x14ac:dyDescent="0.35">
      <c r="A143" s="161">
        <v>140</v>
      </c>
      <c r="B143" s="162" t="s">
        <v>264</v>
      </c>
      <c r="C143" s="631">
        <v>1471</v>
      </c>
      <c r="D143" s="631">
        <v>614</v>
      </c>
      <c r="E143" s="631">
        <v>2085</v>
      </c>
    </row>
    <row r="144" spans="1:5" ht="20.25" customHeight="1" x14ac:dyDescent="0.35">
      <c r="A144" s="161">
        <v>141</v>
      </c>
      <c r="B144" s="162" t="s">
        <v>265</v>
      </c>
      <c r="C144" s="631">
        <v>130</v>
      </c>
      <c r="D144" s="631">
        <v>126</v>
      </c>
      <c r="E144" s="631">
        <v>256</v>
      </c>
    </row>
    <row r="145" spans="1:8" ht="20.25" customHeight="1" x14ac:dyDescent="0.35">
      <c r="A145" s="161">
        <v>142</v>
      </c>
      <c r="B145" s="162" t="s">
        <v>266</v>
      </c>
      <c r="C145" s="631">
        <v>182</v>
      </c>
      <c r="D145" s="631">
        <v>2</v>
      </c>
      <c r="E145" s="631">
        <v>184</v>
      </c>
    </row>
    <row r="146" spans="1:8" ht="20.25" customHeight="1" x14ac:dyDescent="0.35">
      <c r="A146" s="161">
        <v>143</v>
      </c>
      <c r="B146" s="162" t="s">
        <v>267</v>
      </c>
      <c r="C146" s="631">
        <v>1</v>
      </c>
      <c r="D146" s="631">
        <v>2</v>
      </c>
      <c r="E146" s="631">
        <v>3</v>
      </c>
    </row>
    <row r="147" spans="1:8" s="165" customFormat="1" ht="19.5" customHeight="1" x14ac:dyDescent="0.35">
      <c r="A147" s="164" t="s">
        <v>12</v>
      </c>
      <c r="B147" s="164"/>
      <c r="C147" s="633">
        <v>32559</v>
      </c>
      <c r="D147" s="633">
        <v>16167</v>
      </c>
      <c r="E147" s="633">
        <v>48726</v>
      </c>
      <c r="F147" s="159"/>
      <c r="G147" s="159"/>
      <c r="H147" s="159"/>
    </row>
  </sheetData>
  <autoFilter ref="A2:E147" xr:uid="{C9602FA6-0C9C-41C0-B0C8-B8F11E741669}"/>
  <mergeCells count="1">
    <mergeCell ref="B1:E1"/>
  </mergeCells>
  <pageMargins left="0.59055118110236227" right="0.35433070866141736" top="0.39370078740157483" bottom="0.39370078740157483" header="0.31496062992125984" footer="0.19685039370078741"/>
  <pageSetup paperSize="9" scale="70" firstPageNumber="63" orientation="portrait" r:id="rId1"/>
  <headerFooter>
    <oddFooter>&amp;L&amp;"Arial,Italic"&amp;9AISHE 2022-23&amp;RT-18</oddFooter>
  </headerFooter>
  <rowBreaks count="2" manualBreakCount="2">
    <brk id="53" max="4" man="1"/>
    <brk id="103" max="4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7658-8CB5-4822-8408-6FC952373411}">
  <sheetPr codeName="Sheet28">
    <tabColor rgb="FF92D050"/>
    <pageSetUpPr fitToPage="1"/>
  </sheetPr>
  <dimension ref="A1:T40"/>
  <sheetViews>
    <sheetView view="pageBreakPreview" topLeftCell="D1" zoomScale="98" zoomScaleSheetLayoutView="98" workbookViewId="0">
      <pane ySplit="3" topLeftCell="A4" activePane="bottomLeft" state="frozen"/>
      <selection activeCell="S20" sqref="S20"/>
      <selection pane="bottomLeft" activeCell="U13" sqref="U13"/>
    </sheetView>
  </sheetViews>
  <sheetFormatPr defaultColWidth="8.7265625" defaultRowHeight="15.5" x14ac:dyDescent="0.35"/>
  <cols>
    <col min="1" max="1" width="5.26953125" style="78" customWidth="1"/>
    <col min="2" max="2" width="18.26953125" style="78" customWidth="1"/>
    <col min="3" max="3" width="7.7265625" style="78" customWidth="1"/>
    <col min="4" max="4" width="10.7265625" style="78" customWidth="1"/>
    <col min="5" max="5" width="12" style="78" bestFit="1" customWidth="1"/>
    <col min="6" max="6" width="8" style="78" customWidth="1"/>
    <col min="7" max="7" width="9.7265625" style="78" customWidth="1"/>
    <col min="8" max="9" width="8" style="78" customWidth="1"/>
    <col min="10" max="10" width="9.7265625" style="78" customWidth="1"/>
    <col min="11" max="11" width="8" style="78" customWidth="1"/>
    <col min="12" max="20" width="9.1796875" style="78" bestFit="1" customWidth="1"/>
    <col min="21" max="16384" width="8.7265625" style="78"/>
  </cols>
  <sheetData>
    <row r="1" spans="1:20" ht="35.5" customHeight="1" x14ac:dyDescent="0.35">
      <c r="A1" s="821" t="s">
        <v>1015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</row>
    <row r="2" spans="1:20" s="168" customFormat="1" ht="25.5" customHeight="1" x14ac:dyDescent="0.3">
      <c r="A2" s="823" t="s">
        <v>73</v>
      </c>
      <c r="B2" s="823" t="s">
        <v>50</v>
      </c>
      <c r="C2" s="823" t="s">
        <v>565</v>
      </c>
      <c r="D2" s="823"/>
      <c r="E2" s="823"/>
      <c r="F2" s="823" t="s">
        <v>747</v>
      </c>
      <c r="G2" s="823"/>
      <c r="H2" s="823"/>
      <c r="I2" s="823" t="s">
        <v>748</v>
      </c>
      <c r="J2" s="823"/>
      <c r="K2" s="823"/>
    </row>
    <row r="3" spans="1:20" s="168" customFormat="1" ht="25.5" customHeight="1" x14ac:dyDescent="0.3">
      <c r="A3" s="823"/>
      <c r="B3" s="823"/>
      <c r="C3" s="167" t="s">
        <v>93</v>
      </c>
      <c r="D3" s="167" t="s">
        <v>94</v>
      </c>
      <c r="E3" s="167" t="s">
        <v>54</v>
      </c>
      <c r="F3" s="167" t="s">
        <v>93</v>
      </c>
      <c r="G3" s="167" t="s">
        <v>94</v>
      </c>
      <c r="H3" s="167" t="s">
        <v>54</v>
      </c>
      <c r="I3" s="167" t="s">
        <v>93</v>
      </c>
      <c r="J3" s="167" t="s">
        <v>94</v>
      </c>
      <c r="K3" s="167" t="s">
        <v>54</v>
      </c>
    </row>
    <row r="4" spans="1:20" s="71" customFormat="1" ht="24.75" customHeight="1" x14ac:dyDescent="0.35">
      <c r="A4" s="169">
        <v>1</v>
      </c>
      <c r="B4" s="170" t="s">
        <v>58</v>
      </c>
      <c r="C4" s="171">
        <v>14.24213424610414</v>
      </c>
      <c r="D4" s="171">
        <v>14.600303739227044</v>
      </c>
      <c r="E4" s="171">
        <v>14.412621061966785</v>
      </c>
      <c r="F4" s="171"/>
      <c r="G4" s="171"/>
      <c r="H4" s="171"/>
      <c r="I4" s="171">
        <v>4.5821722066359083</v>
      </c>
      <c r="J4" s="171">
        <v>5.2519803610722278</v>
      </c>
      <c r="K4" s="171">
        <v>4.9071918849963527</v>
      </c>
    </row>
    <row r="5" spans="1:20" s="71" customFormat="1" ht="20.149999999999999" customHeight="1" x14ac:dyDescent="0.35">
      <c r="A5" s="169">
        <v>2</v>
      </c>
      <c r="B5" s="172" t="s">
        <v>13</v>
      </c>
      <c r="C5" s="171">
        <v>35.958282728811625</v>
      </c>
      <c r="D5" s="171">
        <v>35.049431663882693</v>
      </c>
      <c r="E5" s="171">
        <v>35.519664193583878</v>
      </c>
      <c r="F5" s="171">
        <v>33.245269125286065</v>
      </c>
      <c r="G5" s="171">
        <v>33.471230152140748</v>
      </c>
      <c r="H5" s="171">
        <v>33.355713010565054</v>
      </c>
      <c r="I5" s="171">
        <v>35.076660305675865</v>
      </c>
      <c r="J5" s="171">
        <v>32.495073601362797</v>
      </c>
      <c r="K5" s="171">
        <v>33.750171698155626</v>
      </c>
    </row>
    <row r="6" spans="1:20" s="71" customFormat="1" ht="20.149999999999999" customHeight="1" x14ac:dyDescent="0.35">
      <c r="A6" s="169">
        <v>3</v>
      </c>
      <c r="B6" s="172" t="s">
        <v>14</v>
      </c>
      <c r="C6" s="171">
        <v>37.106188422825184</v>
      </c>
      <c r="D6" s="171">
        <v>34.564488832476009</v>
      </c>
      <c r="E6" s="171">
        <v>35.868539701117349</v>
      </c>
      <c r="F6" s="171"/>
      <c r="G6" s="171"/>
      <c r="H6" s="171"/>
      <c r="I6" s="171">
        <v>40.850396807540434</v>
      </c>
      <c r="J6" s="171">
        <v>38.317772176270331</v>
      </c>
      <c r="K6" s="171">
        <v>39.547658630687444</v>
      </c>
    </row>
    <row r="7" spans="1:20" s="71" customFormat="1" ht="20.149999999999999" customHeight="1" x14ac:dyDescent="0.35">
      <c r="A7" s="169">
        <v>4</v>
      </c>
      <c r="B7" s="170" t="s">
        <v>15</v>
      </c>
      <c r="C7" s="171">
        <v>17.540925365677644</v>
      </c>
      <c r="D7" s="171">
        <v>19.933604128346616</v>
      </c>
      <c r="E7" s="171">
        <v>18.705135729224466</v>
      </c>
      <c r="F7" s="171">
        <v>19.301785311716472</v>
      </c>
      <c r="G7" s="171">
        <v>21.432957455618229</v>
      </c>
      <c r="H7" s="171">
        <v>20.303799505301562</v>
      </c>
      <c r="I7" s="171">
        <v>26.297208505277748</v>
      </c>
      <c r="J7" s="171">
        <v>28.435133149579535</v>
      </c>
      <c r="K7" s="171">
        <v>27.367442217633169</v>
      </c>
    </row>
    <row r="8" spans="1:20" s="71" customFormat="1" ht="20.149999999999999" customHeight="1" x14ac:dyDescent="0.35">
      <c r="A8" s="169">
        <v>5</v>
      </c>
      <c r="B8" s="170" t="s">
        <v>16</v>
      </c>
      <c r="C8" s="171">
        <v>16.61686348102921</v>
      </c>
      <c r="D8" s="171">
        <v>17.324545830065912</v>
      </c>
      <c r="E8" s="171">
        <v>16.952169566929356</v>
      </c>
      <c r="F8" s="171">
        <v>17.190880084949612</v>
      </c>
      <c r="G8" s="171">
        <v>14.49421858229994</v>
      </c>
      <c r="H8" s="171">
        <v>15.862422971427655</v>
      </c>
      <c r="I8" s="171">
        <v>31.213781605972329</v>
      </c>
      <c r="J8" s="171">
        <v>29.619180195462587</v>
      </c>
      <c r="K8" s="171">
        <v>30.430318461233043</v>
      </c>
    </row>
    <row r="9" spans="1:20" s="71" customFormat="1" ht="20.149999999999999" customHeight="1" x14ac:dyDescent="0.35">
      <c r="A9" s="169">
        <v>6</v>
      </c>
      <c r="B9" s="172" t="s">
        <v>17</v>
      </c>
      <c r="C9" s="171">
        <v>54.000814585859345</v>
      </c>
      <c r="D9" s="171">
        <v>72.035386022459519</v>
      </c>
      <c r="E9" s="171">
        <v>61.723972981951562</v>
      </c>
      <c r="F9" s="171">
        <v>46.597538676608231</v>
      </c>
      <c r="G9" s="171">
        <v>48.295254962810517</v>
      </c>
      <c r="H9" s="171">
        <v>47.373279932133698</v>
      </c>
      <c r="I9" s="171"/>
      <c r="J9" s="171"/>
      <c r="K9" s="171"/>
    </row>
    <row r="10" spans="1:20" s="71" customFormat="1" ht="20.149999999999999" customHeight="1" x14ac:dyDescent="0.35">
      <c r="A10" s="169">
        <v>7</v>
      </c>
      <c r="B10" s="172" t="s">
        <v>749</v>
      </c>
      <c r="C10" s="171">
        <v>25.190721406584021</v>
      </c>
      <c r="D10" s="171">
        <v>30.566596932622904</v>
      </c>
      <c r="E10" s="171">
        <v>27.846830334659007</v>
      </c>
      <c r="F10" s="171">
        <v>26.683418083549192</v>
      </c>
      <c r="G10" s="171">
        <v>30.467496939836984</v>
      </c>
      <c r="H10" s="171">
        <v>28.539574318058403</v>
      </c>
      <c r="I10" s="171">
        <v>17.008911705863351</v>
      </c>
      <c r="J10" s="171">
        <v>24.009715368565658</v>
      </c>
      <c r="K10" s="171">
        <v>20.57786326197165</v>
      </c>
    </row>
    <row r="11" spans="1:20" s="71" customFormat="1" ht="20.149999999999999" customHeight="1" x14ac:dyDescent="0.35">
      <c r="A11" s="169">
        <v>8</v>
      </c>
      <c r="B11" s="172" t="s">
        <v>19</v>
      </c>
      <c r="C11" s="422">
        <v>55.137624058384695</v>
      </c>
      <c r="D11" s="171">
        <v>56.298002322310367</v>
      </c>
      <c r="E11" s="171">
        <v>55.735612895897965</v>
      </c>
      <c r="F11" s="171">
        <v>39.208708510330219</v>
      </c>
      <c r="G11" s="171">
        <v>38.224326118392426</v>
      </c>
      <c r="H11" s="171">
        <v>38.722259020789828</v>
      </c>
      <c r="I11" s="171"/>
      <c r="J11" s="171"/>
      <c r="K11" s="171"/>
    </row>
    <row r="12" spans="1:20" s="71" customFormat="1" ht="20.149999999999999" customHeight="1" x14ac:dyDescent="0.35">
      <c r="A12" s="169">
        <v>9</v>
      </c>
      <c r="B12" s="172" t="s">
        <v>20</v>
      </c>
      <c r="C12" s="171">
        <v>34.283891392117759</v>
      </c>
      <c r="D12" s="171">
        <v>36.590686770366553</v>
      </c>
      <c r="E12" s="171">
        <v>35.343699094908665</v>
      </c>
      <c r="F12" s="171">
        <v>46.072369847272029</v>
      </c>
      <c r="G12" s="171">
        <v>34.561280653077411</v>
      </c>
      <c r="H12" s="171">
        <v>40.421101492118751</v>
      </c>
      <c r="I12" s="171">
        <v>22.598705796847046</v>
      </c>
      <c r="J12" s="171">
        <v>32.535748971732282</v>
      </c>
      <c r="K12" s="171">
        <v>27.520529660424693</v>
      </c>
      <c r="L12" s="659"/>
      <c r="M12" s="659"/>
      <c r="N12" s="659"/>
      <c r="O12" s="659"/>
      <c r="P12" s="659"/>
      <c r="Q12" s="659"/>
      <c r="R12" s="659"/>
      <c r="S12" s="659"/>
      <c r="T12" s="659"/>
    </row>
    <row r="13" spans="1:20" s="71" customFormat="1" ht="20.149999999999999" customHeight="1" x14ac:dyDescent="0.35">
      <c r="A13" s="169">
        <v>10</v>
      </c>
      <c r="B13" s="172" t="s">
        <v>21</v>
      </c>
      <c r="C13" s="171">
        <v>26.28901414121081</v>
      </c>
      <c r="D13" s="171">
        <v>24.344647293315617</v>
      </c>
      <c r="E13" s="171">
        <v>25.378361299343876</v>
      </c>
      <c r="F13" s="171">
        <v>34.912981853977257</v>
      </c>
      <c r="G13" s="171">
        <v>33.716115284004658</v>
      </c>
      <c r="H13" s="171">
        <v>34.354082240595574</v>
      </c>
      <c r="I13" s="171">
        <v>21.542939623687126</v>
      </c>
      <c r="J13" s="171">
        <v>23.635541719923854</v>
      </c>
      <c r="K13" s="171">
        <v>22.56977813117182</v>
      </c>
    </row>
    <row r="14" spans="1:20" s="71" customFormat="1" ht="20.149999999999999" customHeight="1" x14ac:dyDescent="0.35">
      <c r="A14" s="169">
        <v>11</v>
      </c>
      <c r="B14" s="172" t="s">
        <v>22</v>
      </c>
      <c r="C14" s="171">
        <v>31.242309859154933</v>
      </c>
      <c r="D14" s="171">
        <v>39.057031456515993</v>
      </c>
      <c r="E14" s="171">
        <v>34.827982488143014</v>
      </c>
      <c r="F14" s="171">
        <v>23.951112693000969</v>
      </c>
      <c r="G14" s="171">
        <v>32.0845352506526</v>
      </c>
      <c r="H14" s="171">
        <v>27.673738373006202</v>
      </c>
      <c r="I14" s="171"/>
      <c r="J14" s="171"/>
      <c r="K14" s="171"/>
    </row>
    <row r="15" spans="1:20" s="71" customFormat="1" ht="20.149999999999999" customHeight="1" x14ac:dyDescent="0.35">
      <c r="A15" s="169">
        <v>12</v>
      </c>
      <c r="B15" s="172" t="s">
        <v>23</v>
      </c>
      <c r="C15" s="171">
        <v>38.369418937651048</v>
      </c>
      <c r="D15" s="171">
        <v>50.609215281323202</v>
      </c>
      <c r="E15" s="171">
        <v>44.146102282097722</v>
      </c>
      <c r="F15" s="171">
        <v>29.839943191942602</v>
      </c>
      <c r="G15" s="171">
        <v>40.422830768543058</v>
      </c>
      <c r="H15" s="171">
        <v>34.846876850732059</v>
      </c>
      <c r="I15" s="171">
        <v>36.528737221280316</v>
      </c>
      <c r="J15" s="171">
        <v>48.648603530636272</v>
      </c>
      <c r="K15" s="171">
        <v>42.383404160252795</v>
      </c>
    </row>
    <row r="16" spans="1:20" s="71" customFormat="1" ht="20.149999999999999" customHeight="1" x14ac:dyDescent="0.35">
      <c r="A16" s="169">
        <v>13</v>
      </c>
      <c r="B16" s="172" t="s">
        <v>24</v>
      </c>
      <c r="C16" s="171">
        <v>22.089716805942437</v>
      </c>
      <c r="D16" s="171">
        <v>26.884103367267031</v>
      </c>
      <c r="E16" s="171">
        <v>24.334459044578168</v>
      </c>
      <c r="F16" s="171">
        <v>17.72317629539155</v>
      </c>
      <c r="G16" s="171">
        <v>23.048429789351658</v>
      </c>
      <c r="H16" s="171">
        <v>20.21861451116407</v>
      </c>
      <c r="I16" s="171">
        <v>19.198691108723427</v>
      </c>
      <c r="J16" s="171">
        <v>18.504419043781997</v>
      </c>
      <c r="K16" s="171">
        <v>18.873073908032548</v>
      </c>
    </row>
    <row r="17" spans="1:11" s="71" customFormat="1" ht="20.149999999999999" customHeight="1" x14ac:dyDescent="0.35">
      <c r="A17" s="169">
        <v>14</v>
      </c>
      <c r="B17" s="172" t="s">
        <v>25</v>
      </c>
      <c r="C17" s="171">
        <v>18.606108130416839</v>
      </c>
      <c r="D17" s="171">
        <v>19.465045855684373</v>
      </c>
      <c r="E17" s="171">
        <v>19.025472056773541</v>
      </c>
      <c r="F17" s="171">
        <v>15.525281441536338</v>
      </c>
      <c r="G17" s="171">
        <v>14.605332489550454</v>
      </c>
      <c r="H17" s="171">
        <v>15.078757848952263</v>
      </c>
      <c r="I17" s="171">
        <v>13.468671664894769</v>
      </c>
      <c r="J17" s="171">
        <v>16.206494506109475</v>
      </c>
      <c r="K17" s="171">
        <v>14.883268413894147</v>
      </c>
    </row>
    <row r="18" spans="1:11" s="71" customFormat="1" ht="20.149999999999999" customHeight="1" x14ac:dyDescent="0.35">
      <c r="A18" s="169">
        <v>15</v>
      </c>
      <c r="B18" s="172" t="s">
        <v>26</v>
      </c>
      <c r="C18" s="171">
        <v>39.377128937167384</v>
      </c>
      <c r="D18" s="171">
        <v>39.909033736384295</v>
      </c>
      <c r="E18" s="171">
        <v>39.641262113735401</v>
      </c>
      <c r="F18" s="171">
        <v>32.822693836505564</v>
      </c>
      <c r="G18" s="171">
        <v>29.519475860536293</v>
      </c>
      <c r="H18" s="171">
        <v>31.205085230467787</v>
      </c>
      <c r="I18" s="171">
        <v>31.448398858795169</v>
      </c>
      <c r="J18" s="171">
        <v>29.546660020651551</v>
      </c>
      <c r="K18" s="171">
        <v>30.524847068747977</v>
      </c>
    </row>
    <row r="19" spans="1:11" s="71" customFormat="1" ht="20.149999999999999" customHeight="1" x14ac:dyDescent="0.35">
      <c r="A19" s="169">
        <v>16</v>
      </c>
      <c r="B19" s="172" t="s">
        <v>27</v>
      </c>
      <c r="C19" s="171">
        <v>31.830184337639643</v>
      </c>
      <c r="D19" s="171">
        <v>46.867922097238392</v>
      </c>
      <c r="E19" s="171">
        <v>39.130001216648296</v>
      </c>
      <c r="F19" s="171">
        <v>22.420081439485649</v>
      </c>
      <c r="G19" s="171">
        <v>40.035382068611057</v>
      </c>
      <c r="H19" s="171">
        <v>30.959045305741629</v>
      </c>
      <c r="I19" s="171">
        <v>22.417440378473859</v>
      </c>
      <c r="J19" s="171">
        <v>33.476887370314891</v>
      </c>
      <c r="K19" s="171">
        <v>27.948778790363459</v>
      </c>
    </row>
    <row r="20" spans="1:11" s="71" customFormat="1" ht="20.149999999999999" customHeight="1" x14ac:dyDescent="0.35">
      <c r="A20" s="169">
        <v>17</v>
      </c>
      <c r="B20" s="111" t="s">
        <v>28</v>
      </c>
      <c r="C20" s="171">
        <v>7.6689947402425629</v>
      </c>
      <c r="D20" s="171">
        <v>17.041978924862413</v>
      </c>
      <c r="E20" s="171">
        <v>11.893231334917569</v>
      </c>
      <c r="F20" s="171">
        <v>0</v>
      </c>
      <c r="G20" s="171">
        <v>16.512837043646886</v>
      </c>
      <c r="H20" s="171">
        <v>1.0304133019162403</v>
      </c>
      <c r="I20" s="171">
        <v>10.244287247116324</v>
      </c>
      <c r="J20" s="171">
        <v>16.846193631759842</v>
      </c>
      <c r="K20" s="171">
        <v>13.62086131194955</v>
      </c>
    </row>
    <row r="21" spans="1:11" s="71" customFormat="1" ht="20.149999999999999" customHeight="1" x14ac:dyDescent="0.35">
      <c r="A21" s="169">
        <v>18</v>
      </c>
      <c r="B21" s="172" t="s">
        <v>72</v>
      </c>
      <c r="C21" s="171">
        <v>4.4737284012831511</v>
      </c>
      <c r="D21" s="171">
        <v>8.2701151256134313</v>
      </c>
      <c r="E21" s="171">
        <v>6.2766361881896628</v>
      </c>
      <c r="F21" s="171"/>
      <c r="G21" s="171"/>
      <c r="H21" s="171"/>
      <c r="I21" s="171">
        <v>4.9238713518766577</v>
      </c>
      <c r="J21" s="171">
        <v>8.4312384161475773</v>
      </c>
      <c r="K21" s="171">
        <v>6.6565968780458187</v>
      </c>
    </row>
    <row r="22" spans="1:11" s="71" customFormat="1" ht="20.149999999999999" customHeight="1" x14ac:dyDescent="0.35">
      <c r="A22" s="169">
        <v>19</v>
      </c>
      <c r="B22" s="172" t="s">
        <v>29</v>
      </c>
      <c r="C22" s="171">
        <v>28.603724453992889</v>
      </c>
      <c r="D22" s="171">
        <v>28.211758068784814</v>
      </c>
      <c r="E22" s="171">
        <v>28.414627406361788</v>
      </c>
      <c r="F22" s="171">
        <v>26.518998280768169</v>
      </c>
      <c r="G22" s="171">
        <v>27.010170355818691</v>
      </c>
      <c r="H22" s="171">
        <v>26.748359862265779</v>
      </c>
      <c r="I22" s="171">
        <v>16.546062604670418</v>
      </c>
      <c r="J22" s="171">
        <v>17.153447335494153</v>
      </c>
      <c r="K22" s="171">
        <v>16.856250588362265</v>
      </c>
    </row>
    <row r="23" spans="1:11" s="71" customFormat="1" ht="20.149999999999999" customHeight="1" x14ac:dyDescent="0.35">
      <c r="A23" s="169">
        <v>20</v>
      </c>
      <c r="B23" s="172" t="s">
        <v>30</v>
      </c>
      <c r="C23" s="171">
        <v>39.04721903305488</v>
      </c>
      <c r="D23" s="171">
        <v>36.338914712357173</v>
      </c>
      <c r="E23" s="171">
        <v>37.763690036949178</v>
      </c>
      <c r="F23" s="171">
        <v>39.597135089595483</v>
      </c>
      <c r="G23" s="171">
        <v>38.538169185375189</v>
      </c>
      <c r="H23" s="171">
        <v>39.088444277551609</v>
      </c>
      <c r="I23" s="171">
        <v>21.562665598364738</v>
      </c>
      <c r="J23" s="171">
        <v>17.60682602283385</v>
      </c>
      <c r="K23" s="171">
        <v>19.580835350793929</v>
      </c>
    </row>
    <row r="24" spans="1:11" s="71" customFormat="1" ht="20.149999999999999" customHeight="1" x14ac:dyDescent="0.35">
      <c r="A24" s="169">
        <v>21</v>
      </c>
      <c r="B24" s="172" t="s">
        <v>31</v>
      </c>
      <c r="C24" s="171">
        <v>33.049683782895237</v>
      </c>
      <c r="D24" s="171">
        <v>33.998210896336893</v>
      </c>
      <c r="E24" s="171">
        <v>33.515143886594835</v>
      </c>
      <c r="F24" s="171">
        <v>56.107102417871168</v>
      </c>
      <c r="G24" s="171">
        <v>59.412867957285997</v>
      </c>
      <c r="H24" s="171">
        <v>57.715633464754212</v>
      </c>
      <c r="I24" s="171">
        <v>21.696636918860605</v>
      </c>
      <c r="J24" s="171">
        <v>23.667679094764445</v>
      </c>
      <c r="K24" s="171">
        <v>22.646678675907577</v>
      </c>
    </row>
    <row r="25" spans="1:11" s="71" customFormat="1" ht="20.149999999999999" customHeight="1" x14ac:dyDescent="0.35">
      <c r="A25" s="169">
        <v>22</v>
      </c>
      <c r="B25" s="172" t="s">
        <v>32</v>
      </c>
      <c r="C25" s="171">
        <v>23.549121414108459</v>
      </c>
      <c r="D25" s="171">
        <v>30.309959894737847</v>
      </c>
      <c r="E25" s="171">
        <v>26.899317089429857</v>
      </c>
      <c r="F25" s="171">
        <v>64.181600130187448</v>
      </c>
      <c r="G25" s="171">
        <v>71.598028101336382</v>
      </c>
      <c r="H25" s="171">
        <v>67.588201006903986</v>
      </c>
      <c r="I25" s="171">
        <v>21.013531335684675</v>
      </c>
      <c r="J25" s="171">
        <v>28.823012740425106</v>
      </c>
      <c r="K25" s="171">
        <v>24.938669581752702</v>
      </c>
    </row>
    <row r="26" spans="1:11" s="71" customFormat="1" ht="20.149999999999999" customHeight="1" x14ac:dyDescent="0.35">
      <c r="A26" s="169">
        <v>23</v>
      </c>
      <c r="B26" s="172" t="s">
        <v>33</v>
      </c>
      <c r="C26" s="171">
        <v>32.885592789295565</v>
      </c>
      <c r="D26" s="171">
        <v>34.4733577247979</v>
      </c>
      <c r="E26" s="171">
        <v>33.664826831582374</v>
      </c>
      <c r="F26" s="171">
        <v>222.77753699250141</v>
      </c>
      <c r="G26" s="171">
        <v>241.14081138631022</v>
      </c>
      <c r="H26" s="171">
        <v>229.2278207111016</v>
      </c>
      <c r="I26" s="171">
        <v>32.922450737751909</v>
      </c>
      <c r="J26" s="171">
        <v>34.55595305123903</v>
      </c>
      <c r="K26" s="171">
        <v>33.735537973654139</v>
      </c>
    </row>
    <row r="27" spans="1:11" s="71" customFormat="1" ht="20.149999999999999" customHeight="1" x14ac:dyDescent="0.35">
      <c r="A27" s="169">
        <v>24</v>
      </c>
      <c r="B27" s="172" t="s">
        <v>34</v>
      </c>
      <c r="C27" s="171">
        <v>16.166605328615731</v>
      </c>
      <c r="D27" s="171">
        <v>21.782937295518597</v>
      </c>
      <c r="E27" s="171">
        <v>18.854387068152732</v>
      </c>
      <c r="F27" s="171"/>
      <c r="G27" s="171"/>
      <c r="H27" s="171"/>
      <c r="I27" s="171">
        <v>16.935860379591521</v>
      </c>
      <c r="J27" s="171">
        <v>22.505086012978516</v>
      </c>
      <c r="K27" s="171">
        <v>19.659459692308619</v>
      </c>
    </row>
    <row r="28" spans="1:11" s="71" customFormat="1" ht="20.149999999999999" customHeight="1" x14ac:dyDescent="0.35">
      <c r="A28" s="169">
        <v>25</v>
      </c>
      <c r="B28" s="172" t="s">
        <v>35</v>
      </c>
      <c r="C28" s="171">
        <v>23.761043194784019</v>
      </c>
      <c r="D28" s="171">
        <v>21.933671742808798</v>
      </c>
      <c r="E28" s="171">
        <v>22.860629202291026</v>
      </c>
      <c r="F28" s="171">
        <v>25.403974351702463</v>
      </c>
      <c r="G28" s="171">
        <v>21.659531647027613</v>
      </c>
      <c r="H28" s="171">
        <v>23.564911124587653</v>
      </c>
      <c r="I28" s="171">
        <v>16.950465930076977</v>
      </c>
      <c r="J28" s="171">
        <v>15.410460422829269</v>
      </c>
      <c r="K28" s="171">
        <v>16.161539738202986</v>
      </c>
    </row>
    <row r="29" spans="1:11" s="71" customFormat="1" ht="20.149999999999999" customHeight="1" x14ac:dyDescent="0.35">
      <c r="A29" s="169">
        <v>26</v>
      </c>
      <c r="B29" s="172" t="s">
        <v>36</v>
      </c>
      <c r="C29" s="171">
        <v>63.560438611910882</v>
      </c>
      <c r="D29" s="171">
        <v>64.488587118240943</v>
      </c>
      <c r="E29" s="171">
        <v>64.041938372036668</v>
      </c>
      <c r="F29" s="171">
        <v>46.325984417482005</v>
      </c>
      <c r="G29" s="171">
        <v>45.095719861827959</v>
      </c>
      <c r="H29" s="171">
        <v>45.684396367845842</v>
      </c>
      <c r="I29" s="171"/>
      <c r="J29" s="171"/>
      <c r="K29" s="171"/>
    </row>
    <row r="30" spans="1:11" s="71" customFormat="1" ht="20.149999999999999" customHeight="1" x14ac:dyDescent="0.35">
      <c r="A30" s="169">
        <v>27</v>
      </c>
      <c r="B30" s="172" t="s">
        <v>37</v>
      </c>
      <c r="C30" s="171">
        <v>27.55535124953165</v>
      </c>
      <c r="D30" s="171">
        <v>32.346804162021563</v>
      </c>
      <c r="E30" s="171">
        <v>29.713416916079687</v>
      </c>
      <c r="F30" s="171">
        <v>18.716472759515355</v>
      </c>
      <c r="G30" s="171">
        <v>26.590034336635853</v>
      </c>
      <c r="H30" s="171">
        <v>22.30256354013904</v>
      </c>
      <c r="I30" s="171"/>
      <c r="J30" s="171"/>
      <c r="K30" s="171"/>
    </row>
    <row r="31" spans="1:11" s="71" customFormat="1" ht="20.149999999999999" customHeight="1" x14ac:dyDescent="0.35">
      <c r="A31" s="169">
        <v>28</v>
      </c>
      <c r="B31" s="170" t="s">
        <v>38</v>
      </c>
      <c r="C31" s="171">
        <v>27.767962671158941</v>
      </c>
      <c r="D31" s="171">
        <v>28.670089636647827</v>
      </c>
      <c r="E31" s="171">
        <v>28.198949607708435</v>
      </c>
      <c r="F31" s="171">
        <v>26.518723629592149</v>
      </c>
      <c r="G31" s="171">
        <v>27.160220262083399</v>
      </c>
      <c r="H31" s="171">
        <v>26.819086433887485</v>
      </c>
      <c r="I31" s="171">
        <v>27.695556042112969</v>
      </c>
      <c r="J31" s="171">
        <v>28.208947639346384</v>
      </c>
      <c r="K31" s="171">
        <v>27.948501179529867</v>
      </c>
    </row>
    <row r="32" spans="1:11" s="71" customFormat="1" ht="20.149999999999999" customHeight="1" x14ac:dyDescent="0.35">
      <c r="A32" s="169">
        <v>29</v>
      </c>
      <c r="B32" s="173" t="s">
        <v>39</v>
      </c>
      <c r="C32" s="171">
        <v>34.99344313914056</v>
      </c>
      <c r="D32" s="171">
        <v>43.153482515802288</v>
      </c>
      <c r="E32" s="171">
        <v>38.834088646682844</v>
      </c>
      <c r="F32" s="171">
        <v>46.512283293051766</v>
      </c>
      <c r="G32" s="171">
        <v>42.732889710173623</v>
      </c>
      <c r="H32" s="171">
        <v>44.611180102186374</v>
      </c>
      <c r="I32" s="171">
        <v>32.392278895310511</v>
      </c>
      <c r="J32" s="171">
        <v>44.85557950278082</v>
      </c>
      <c r="K32" s="171">
        <v>38.517098800528132</v>
      </c>
    </row>
    <row r="33" spans="1:11" s="71" customFormat="1" ht="20.149999999999999" customHeight="1" x14ac:dyDescent="0.35">
      <c r="A33" s="169">
        <v>30</v>
      </c>
      <c r="B33" s="170" t="s">
        <v>40</v>
      </c>
      <c r="C33" s="171">
        <v>48.838529258275571</v>
      </c>
      <c r="D33" s="171">
        <v>49.348871150429574</v>
      </c>
      <c r="E33" s="171">
        <v>49.080212061840953</v>
      </c>
      <c r="F33" s="171">
        <v>40.691918573687502</v>
      </c>
      <c r="G33" s="171">
        <v>42.083129064148409</v>
      </c>
      <c r="H33" s="171">
        <v>41.374682497949763</v>
      </c>
      <c r="I33" s="171">
        <v>48.24799598203505</v>
      </c>
      <c r="J33" s="171">
        <v>39.405277445741113</v>
      </c>
      <c r="K33" s="171">
        <v>43.8478153656609</v>
      </c>
    </row>
    <row r="34" spans="1:11" s="71" customFormat="1" ht="20.149999999999999" customHeight="1" x14ac:dyDescent="0.35">
      <c r="A34" s="169">
        <v>31</v>
      </c>
      <c r="B34" s="170" t="s">
        <v>41</v>
      </c>
      <c r="C34" s="171">
        <v>40.56032501392653</v>
      </c>
      <c r="D34" s="171">
        <v>45.021309768266143</v>
      </c>
      <c r="E34" s="171">
        <v>42.698534134582502</v>
      </c>
      <c r="F34" s="171">
        <v>37.624907401887697</v>
      </c>
      <c r="G34" s="171">
        <v>46.455203799874859</v>
      </c>
      <c r="H34" s="171">
        <v>41.897200025679751</v>
      </c>
      <c r="I34" s="171">
        <v>41.743508873739188</v>
      </c>
      <c r="J34" s="171">
        <v>41.002261170609103</v>
      </c>
      <c r="K34" s="171">
        <v>41.380451155433768</v>
      </c>
    </row>
    <row r="35" spans="1:11" s="71" customFormat="1" ht="28" x14ac:dyDescent="0.35">
      <c r="A35" s="169">
        <v>32</v>
      </c>
      <c r="B35" s="170" t="s">
        <v>60</v>
      </c>
      <c r="C35" s="171">
        <v>8.3081640293867309</v>
      </c>
      <c r="D35" s="171">
        <v>17.078945142269525</v>
      </c>
      <c r="E35" s="171">
        <v>11.11795400100095</v>
      </c>
      <c r="F35" s="171">
        <v>24.451072514073509</v>
      </c>
      <c r="G35" s="171">
        <v>34.587922780672351</v>
      </c>
      <c r="H35" s="171">
        <v>28.933132818533419</v>
      </c>
      <c r="I35" s="171">
        <v>6.9098416883179858</v>
      </c>
      <c r="J35" s="171">
        <v>8.0816928209175032</v>
      </c>
      <c r="K35" s="171">
        <v>7.5128880312117712</v>
      </c>
    </row>
    <row r="36" spans="1:11" s="71" customFormat="1" ht="20.149999999999999" customHeight="1" x14ac:dyDescent="0.35">
      <c r="A36" s="169">
        <v>33</v>
      </c>
      <c r="B36" s="170" t="s">
        <v>42</v>
      </c>
      <c r="C36" s="171">
        <v>21.457165627206674</v>
      </c>
      <c r="D36" s="171">
        <v>20.865215020791585</v>
      </c>
      <c r="E36" s="171">
        <v>21.162870838857035</v>
      </c>
      <c r="F36" s="171">
        <v>19.86280990037902</v>
      </c>
      <c r="G36" s="171">
        <v>19.795573022274045</v>
      </c>
      <c r="H36" s="171">
        <v>19.83017384291395</v>
      </c>
      <c r="I36" s="171">
        <v>18.376894742118633</v>
      </c>
      <c r="J36" s="171">
        <v>17.266969275077905</v>
      </c>
      <c r="K36" s="171">
        <v>17.802632398426063</v>
      </c>
    </row>
    <row r="37" spans="1:11" s="71" customFormat="1" ht="20.149999999999999" customHeight="1" x14ac:dyDescent="0.35">
      <c r="A37" s="169">
        <v>34</v>
      </c>
      <c r="B37" s="172" t="s">
        <v>43</v>
      </c>
      <c r="C37" s="171">
        <v>24.716959229285827</v>
      </c>
      <c r="D37" s="171">
        <v>26.318898122004885</v>
      </c>
      <c r="E37" s="171">
        <v>25.467890283940438</v>
      </c>
      <c r="F37" s="171">
        <v>22.357002487429941</v>
      </c>
      <c r="G37" s="171">
        <v>25.402936560727863</v>
      </c>
      <c r="H37" s="171">
        <v>23.763154349088563</v>
      </c>
      <c r="I37" s="171">
        <v>47.472772804593539</v>
      </c>
      <c r="J37" s="171">
        <v>44.718340762649838</v>
      </c>
      <c r="K37" s="171">
        <v>46.100625583406377</v>
      </c>
    </row>
    <row r="38" spans="1:11" s="71" customFormat="1" ht="20.149999999999999" customHeight="1" x14ac:dyDescent="0.35">
      <c r="A38" s="169">
        <v>35</v>
      </c>
      <c r="B38" s="172" t="s">
        <v>750</v>
      </c>
      <c r="C38" s="171">
        <v>41.167878202339949</v>
      </c>
      <c r="D38" s="171">
        <v>45.448264337082882</v>
      </c>
      <c r="E38" s="171">
        <v>43.259290050326648</v>
      </c>
      <c r="F38" s="171">
        <v>29.405412152596931</v>
      </c>
      <c r="G38" s="171">
        <v>37.177169206497453</v>
      </c>
      <c r="H38" s="171">
        <v>33.080304529979905</v>
      </c>
      <c r="I38" s="171">
        <v>38.518927841106176</v>
      </c>
      <c r="J38" s="171">
        <v>39.808632228244342</v>
      </c>
      <c r="K38" s="171">
        <v>39.14890609025764</v>
      </c>
    </row>
    <row r="39" spans="1:11" s="71" customFormat="1" ht="20.149999999999999" customHeight="1" x14ac:dyDescent="0.35">
      <c r="A39" s="174">
        <v>36</v>
      </c>
      <c r="B39" s="175" t="s">
        <v>45</v>
      </c>
      <c r="C39" s="171">
        <v>26.115004733758095</v>
      </c>
      <c r="D39" s="171">
        <v>26.889818590442349</v>
      </c>
      <c r="E39" s="171">
        <v>26.4920952699512</v>
      </c>
      <c r="F39" s="171">
        <v>23.863214135584126</v>
      </c>
      <c r="G39" s="171">
        <v>23.398647347781072</v>
      </c>
      <c r="H39" s="171">
        <v>23.633965435636963</v>
      </c>
      <c r="I39" s="171">
        <v>14.892612265268948</v>
      </c>
      <c r="J39" s="171">
        <v>16.058582410236006</v>
      </c>
      <c r="K39" s="171">
        <v>15.479177680389784</v>
      </c>
    </row>
    <row r="40" spans="1:11" s="177" customFormat="1" ht="20.149999999999999" customHeight="1" x14ac:dyDescent="0.35">
      <c r="A40" s="687" t="s">
        <v>46</v>
      </c>
      <c r="B40" s="688"/>
      <c r="C40" s="176">
        <v>28.917920332109947</v>
      </c>
      <c r="D40" s="176">
        <v>30.193904860004</v>
      </c>
      <c r="E40" s="176">
        <v>29.526307209319114</v>
      </c>
      <c r="F40" s="176">
        <v>26.596313249824345</v>
      </c>
      <c r="G40" s="176">
        <v>28.04894922045284</v>
      </c>
      <c r="H40" s="176">
        <v>27.289210145207054</v>
      </c>
      <c r="I40" s="176">
        <v>22.182341401547777</v>
      </c>
      <c r="J40" s="176">
        <v>22.919681905519724</v>
      </c>
      <c r="K40" s="176">
        <v>22.55290977022284</v>
      </c>
    </row>
  </sheetData>
  <mergeCells count="7">
    <mergeCell ref="A40:B40"/>
    <mergeCell ref="A1:K1"/>
    <mergeCell ref="A2:A3"/>
    <mergeCell ref="B2:B3"/>
    <mergeCell ref="C2:E2"/>
    <mergeCell ref="F2:H2"/>
    <mergeCell ref="I2:K2"/>
  </mergeCells>
  <pageMargins left="0.59055118110236227" right="0.35433070866141736" top="0.39370078740157483" bottom="0.39370078740157483" header="0.31496062992125984" footer="0.19685039370078741"/>
  <pageSetup paperSize="9" scale="88" firstPageNumber="23" orientation="portrait" r:id="rId1"/>
  <headerFooter>
    <oddFooter>&amp;L&amp;"Arial,Italic"&amp;9AISHE 2022-23&amp;RT-19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7C35-9435-4C9E-BDB4-C30D49A08A9B}">
  <sheetPr codeName="Sheet29">
    <tabColor rgb="FF92D050"/>
  </sheetPr>
  <dimension ref="A1:E40"/>
  <sheetViews>
    <sheetView view="pageBreakPreview" topLeftCell="U62" zoomScale="96" zoomScaleSheetLayoutView="96" workbookViewId="0">
      <selection activeCell="AM86" sqref="AM86"/>
    </sheetView>
  </sheetViews>
  <sheetFormatPr defaultRowHeight="14" x14ac:dyDescent="0.3"/>
  <cols>
    <col min="1" max="1" width="5.26953125" style="192" customWidth="1"/>
    <col min="2" max="2" width="31.453125" style="192" customWidth="1"/>
    <col min="3" max="3" width="11.26953125" style="192" bestFit="1" customWidth="1"/>
    <col min="4" max="5" width="19.7265625" style="192" customWidth="1"/>
    <col min="6" max="247" width="8.81640625" style="192"/>
    <col min="248" max="248" width="5.26953125" style="192" customWidth="1"/>
    <col min="249" max="249" width="22.54296875" style="192" customWidth="1"/>
    <col min="250" max="250" width="17.7265625" style="192" customWidth="1"/>
    <col min="251" max="251" width="19" style="192" customWidth="1"/>
    <col min="252" max="252" width="22.26953125" style="192" customWidth="1"/>
    <col min="253" max="503" width="8.81640625" style="192"/>
    <col min="504" max="504" width="5.26953125" style="192" customWidth="1"/>
    <col min="505" max="505" width="22.54296875" style="192" customWidth="1"/>
    <col min="506" max="506" width="17.7265625" style="192" customWidth="1"/>
    <col min="507" max="507" width="19" style="192" customWidth="1"/>
    <col min="508" max="508" width="22.26953125" style="192" customWidth="1"/>
    <col min="509" max="759" width="8.81640625" style="192"/>
    <col min="760" max="760" width="5.26953125" style="192" customWidth="1"/>
    <col min="761" max="761" width="22.54296875" style="192" customWidth="1"/>
    <col min="762" max="762" width="17.7265625" style="192" customWidth="1"/>
    <col min="763" max="763" width="19" style="192" customWidth="1"/>
    <col min="764" max="764" width="22.26953125" style="192" customWidth="1"/>
    <col min="765" max="1015" width="8.81640625" style="192"/>
    <col min="1016" max="1016" width="5.26953125" style="192" customWidth="1"/>
    <col min="1017" max="1017" width="22.54296875" style="192" customWidth="1"/>
    <col min="1018" max="1018" width="17.7265625" style="192" customWidth="1"/>
    <col min="1019" max="1019" width="19" style="192" customWidth="1"/>
    <col min="1020" max="1020" width="22.26953125" style="192" customWidth="1"/>
    <col min="1021" max="1271" width="8.81640625" style="192"/>
    <col min="1272" max="1272" width="5.26953125" style="192" customWidth="1"/>
    <col min="1273" max="1273" width="22.54296875" style="192" customWidth="1"/>
    <col min="1274" max="1274" width="17.7265625" style="192" customWidth="1"/>
    <col min="1275" max="1275" width="19" style="192" customWidth="1"/>
    <col min="1276" max="1276" width="22.26953125" style="192" customWidth="1"/>
    <col min="1277" max="1527" width="8.81640625" style="192"/>
    <col min="1528" max="1528" width="5.26953125" style="192" customWidth="1"/>
    <col min="1529" max="1529" width="22.54296875" style="192" customWidth="1"/>
    <col min="1530" max="1530" width="17.7265625" style="192" customWidth="1"/>
    <col min="1531" max="1531" width="19" style="192" customWidth="1"/>
    <col min="1532" max="1532" width="22.26953125" style="192" customWidth="1"/>
    <col min="1533" max="1783" width="8.81640625" style="192"/>
    <col min="1784" max="1784" width="5.26953125" style="192" customWidth="1"/>
    <col min="1785" max="1785" width="22.54296875" style="192" customWidth="1"/>
    <col min="1786" max="1786" width="17.7265625" style="192" customWidth="1"/>
    <col min="1787" max="1787" width="19" style="192" customWidth="1"/>
    <col min="1788" max="1788" width="22.26953125" style="192" customWidth="1"/>
    <col min="1789" max="2039" width="8.81640625" style="192"/>
    <col min="2040" max="2040" width="5.26953125" style="192" customWidth="1"/>
    <col min="2041" max="2041" width="22.54296875" style="192" customWidth="1"/>
    <col min="2042" max="2042" width="17.7265625" style="192" customWidth="1"/>
    <col min="2043" max="2043" width="19" style="192" customWidth="1"/>
    <col min="2044" max="2044" width="22.26953125" style="192" customWidth="1"/>
    <col min="2045" max="2295" width="8.81640625" style="192"/>
    <col min="2296" max="2296" width="5.26953125" style="192" customWidth="1"/>
    <col min="2297" max="2297" width="22.54296875" style="192" customWidth="1"/>
    <col min="2298" max="2298" width="17.7265625" style="192" customWidth="1"/>
    <col min="2299" max="2299" width="19" style="192" customWidth="1"/>
    <col min="2300" max="2300" width="22.26953125" style="192" customWidth="1"/>
    <col min="2301" max="2551" width="8.81640625" style="192"/>
    <col min="2552" max="2552" width="5.26953125" style="192" customWidth="1"/>
    <col min="2553" max="2553" width="22.54296875" style="192" customWidth="1"/>
    <col min="2554" max="2554" width="17.7265625" style="192" customWidth="1"/>
    <col min="2555" max="2555" width="19" style="192" customWidth="1"/>
    <col min="2556" max="2556" width="22.26953125" style="192" customWidth="1"/>
    <col min="2557" max="2807" width="8.81640625" style="192"/>
    <col min="2808" max="2808" width="5.26953125" style="192" customWidth="1"/>
    <col min="2809" max="2809" width="22.54296875" style="192" customWidth="1"/>
    <col min="2810" max="2810" width="17.7265625" style="192" customWidth="1"/>
    <col min="2811" max="2811" width="19" style="192" customWidth="1"/>
    <col min="2812" max="2812" width="22.26953125" style="192" customWidth="1"/>
    <col min="2813" max="3063" width="8.81640625" style="192"/>
    <col min="3064" max="3064" width="5.26953125" style="192" customWidth="1"/>
    <col min="3065" max="3065" width="22.54296875" style="192" customWidth="1"/>
    <col min="3066" max="3066" width="17.7265625" style="192" customWidth="1"/>
    <col min="3067" max="3067" width="19" style="192" customWidth="1"/>
    <col min="3068" max="3068" width="22.26953125" style="192" customWidth="1"/>
    <col min="3069" max="3319" width="8.81640625" style="192"/>
    <col min="3320" max="3320" width="5.26953125" style="192" customWidth="1"/>
    <col min="3321" max="3321" width="22.54296875" style="192" customWidth="1"/>
    <col min="3322" max="3322" width="17.7265625" style="192" customWidth="1"/>
    <col min="3323" max="3323" width="19" style="192" customWidth="1"/>
    <col min="3324" max="3324" width="22.26953125" style="192" customWidth="1"/>
    <col min="3325" max="3575" width="8.81640625" style="192"/>
    <col min="3576" max="3576" width="5.26953125" style="192" customWidth="1"/>
    <col min="3577" max="3577" width="22.54296875" style="192" customWidth="1"/>
    <col min="3578" max="3578" width="17.7265625" style="192" customWidth="1"/>
    <col min="3579" max="3579" width="19" style="192" customWidth="1"/>
    <col min="3580" max="3580" width="22.26953125" style="192" customWidth="1"/>
    <col min="3581" max="3831" width="8.81640625" style="192"/>
    <col min="3832" max="3832" width="5.26953125" style="192" customWidth="1"/>
    <col min="3833" max="3833" width="22.54296875" style="192" customWidth="1"/>
    <col min="3834" max="3834" width="17.7265625" style="192" customWidth="1"/>
    <col min="3835" max="3835" width="19" style="192" customWidth="1"/>
    <col min="3836" max="3836" width="22.26953125" style="192" customWidth="1"/>
    <col min="3837" max="4087" width="8.81640625" style="192"/>
    <col min="4088" max="4088" width="5.26953125" style="192" customWidth="1"/>
    <col min="4089" max="4089" width="22.54296875" style="192" customWidth="1"/>
    <col min="4090" max="4090" width="17.7265625" style="192" customWidth="1"/>
    <col min="4091" max="4091" width="19" style="192" customWidth="1"/>
    <col min="4092" max="4092" width="22.26953125" style="192" customWidth="1"/>
    <col min="4093" max="4343" width="8.81640625" style="192"/>
    <col min="4344" max="4344" width="5.26953125" style="192" customWidth="1"/>
    <col min="4345" max="4345" width="22.54296875" style="192" customWidth="1"/>
    <col min="4346" max="4346" width="17.7265625" style="192" customWidth="1"/>
    <col min="4347" max="4347" width="19" style="192" customWidth="1"/>
    <col min="4348" max="4348" width="22.26953125" style="192" customWidth="1"/>
    <col min="4349" max="4599" width="8.81640625" style="192"/>
    <col min="4600" max="4600" width="5.26953125" style="192" customWidth="1"/>
    <col min="4601" max="4601" width="22.54296875" style="192" customWidth="1"/>
    <col min="4602" max="4602" width="17.7265625" style="192" customWidth="1"/>
    <col min="4603" max="4603" width="19" style="192" customWidth="1"/>
    <col min="4604" max="4604" width="22.26953125" style="192" customWidth="1"/>
    <col min="4605" max="4855" width="8.81640625" style="192"/>
    <col min="4856" max="4856" width="5.26953125" style="192" customWidth="1"/>
    <col min="4857" max="4857" width="22.54296875" style="192" customWidth="1"/>
    <col min="4858" max="4858" width="17.7265625" style="192" customWidth="1"/>
    <col min="4859" max="4859" width="19" style="192" customWidth="1"/>
    <col min="4860" max="4860" width="22.26953125" style="192" customWidth="1"/>
    <col min="4861" max="5111" width="8.81640625" style="192"/>
    <col min="5112" max="5112" width="5.26953125" style="192" customWidth="1"/>
    <col min="5113" max="5113" width="22.54296875" style="192" customWidth="1"/>
    <col min="5114" max="5114" width="17.7265625" style="192" customWidth="1"/>
    <col min="5115" max="5115" width="19" style="192" customWidth="1"/>
    <col min="5116" max="5116" width="22.26953125" style="192" customWidth="1"/>
    <col min="5117" max="5367" width="8.81640625" style="192"/>
    <col min="5368" max="5368" width="5.26953125" style="192" customWidth="1"/>
    <col min="5369" max="5369" width="22.54296875" style="192" customWidth="1"/>
    <col min="5370" max="5370" width="17.7265625" style="192" customWidth="1"/>
    <col min="5371" max="5371" width="19" style="192" customWidth="1"/>
    <col min="5372" max="5372" width="22.26953125" style="192" customWidth="1"/>
    <col min="5373" max="5623" width="8.81640625" style="192"/>
    <col min="5624" max="5624" width="5.26953125" style="192" customWidth="1"/>
    <col min="5625" max="5625" width="22.54296875" style="192" customWidth="1"/>
    <col min="5626" max="5626" width="17.7265625" style="192" customWidth="1"/>
    <col min="5627" max="5627" width="19" style="192" customWidth="1"/>
    <col min="5628" max="5628" width="22.26953125" style="192" customWidth="1"/>
    <col min="5629" max="5879" width="8.81640625" style="192"/>
    <col min="5880" max="5880" width="5.26953125" style="192" customWidth="1"/>
    <col min="5881" max="5881" width="22.54296875" style="192" customWidth="1"/>
    <col min="5882" max="5882" width="17.7265625" style="192" customWidth="1"/>
    <col min="5883" max="5883" width="19" style="192" customWidth="1"/>
    <col min="5884" max="5884" width="22.26953125" style="192" customWidth="1"/>
    <col min="5885" max="6135" width="8.81640625" style="192"/>
    <col min="6136" max="6136" width="5.26953125" style="192" customWidth="1"/>
    <col min="6137" max="6137" width="22.54296875" style="192" customWidth="1"/>
    <col min="6138" max="6138" width="17.7265625" style="192" customWidth="1"/>
    <col min="6139" max="6139" width="19" style="192" customWidth="1"/>
    <col min="6140" max="6140" width="22.26953125" style="192" customWidth="1"/>
    <col min="6141" max="6391" width="8.81640625" style="192"/>
    <col min="6392" max="6392" width="5.26953125" style="192" customWidth="1"/>
    <col min="6393" max="6393" width="22.54296875" style="192" customWidth="1"/>
    <col min="6394" max="6394" width="17.7265625" style="192" customWidth="1"/>
    <col min="6395" max="6395" width="19" style="192" customWidth="1"/>
    <col min="6396" max="6396" width="22.26953125" style="192" customWidth="1"/>
    <col min="6397" max="6647" width="8.81640625" style="192"/>
    <col min="6648" max="6648" width="5.26953125" style="192" customWidth="1"/>
    <col min="6649" max="6649" width="22.54296875" style="192" customWidth="1"/>
    <col min="6650" max="6650" width="17.7265625" style="192" customWidth="1"/>
    <col min="6651" max="6651" width="19" style="192" customWidth="1"/>
    <col min="6652" max="6652" width="22.26953125" style="192" customWidth="1"/>
    <col min="6653" max="6903" width="8.81640625" style="192"/>
    <col min="6904" max="6904" width="5.26953125" style="192" customWidth="1"/>
    <col min="6905" max="6905" width="22.54296875" style="192" customWidth="1"/>
    <col min="6906" max="6906" width="17.7265625" style="192" customWidth="1"/>
    <col min="6907" max="6907" width="19" style="192" customWidth="1"/>
    <col min="6908" max="6908" width="22.26953125" style="192" customWidth="1"/>
    <col min="6909" max="7159" width="8.81640625" style="192"/>
    <col min="7160" max="7160" width="5.26953125" style="192" customWidth="1"/>
    <col min="7161" max="7161" width="22.54296875" style="192" customWidth="1"/>
    <col min="7162" max="7162" width="17.7265625" style="192" customWidth="1"/>
    <col min="7163" max="7163" width="19" style="192" customWidth="1"/>
    <col min="7164" max="7164" width="22.26953125" style="192" customWidth="1"/>
    <col min="7165" max="7415" width="8.81640625" style="192"/>
    <col min="7416" max="7416" width="5.26953125" style="192" customWidth="1"/>
    <col min="7417" max="7417" width="22.54296875" style="192" customWidth="1"/>
    <col min="7418" max="7418" width="17.7265625" style="192" customWidth="1"/>
    <col min="7419" max="7419" width="19" style="192" customWidth="1"/>
    <col min="7420" max="7420" width="22.26953125" style="192" customWidth="1"/>
    <col min="7421" max="7671" width="8.81640625" style="192"/>
    <col min="7672" max="7672" width="5.26953125" style="192" customWidth="1"/>
    <col min="7673" max="7673" width="22.54296875" style="192" customWidth="1"/>
    <col min="7674" max="7674" width="17.7265625" style="192" customWidth="1"/>
    <col min="7675" max="7675" width="19" style="192" customWidth="1"/>
    <col min="7676" max="7676" width="22.26953125" style="192" customWidth="1"/>
    <col min="7677" max="7927" width="8.81640625" style="192"/>
    <col min="7928" max="7928" width="5.26953125" style="192" customWidth="1"/>
    <col min="7929" max="7929" width="22.54296875" style="192" customWidth="1"/>
    <col min="7930" max="7930" width="17.7265625" style="192" customWidth="1"/>
    <col min="7931" max="7931" width="19" style="192" customWidth="1"/>
    <col min="7932" max="7932" width="22.26953125" style="192" customWidth="1"/>
    <col min="7933" max="8183" width="8.81640625" style="192"/>
    <col min="8184" max="8184" width="5.26953125" style="192" customWidth="1"/>
    <col min="8185" max="8185" width="22.54296875" style="192" customWidth="1"/>
    <col min="8186" max="8186" width="17.7265625" style="192" customWidth="1"/>
    <col min="8187" max="8187" width="19" style="192" customWidth="1"/>
    <col min="8188" max="8188" width="22.26953125" style="192" customWidth="1"/>
    <col min="8189" max="8439" width="8.81640625" style="192"/>
    <col min="8440" max="8440" width="5.26953125" style="192" customWidth="1"/>
    <col min="8441" max="8441" width="22.54296875" style="192" customWidth="1"/>
    <col min="8442" max="8442" width="17.7265625" style="192" customWidth="1"/>
    <col min="8443" max="8443" width="19" style="192" customWidth="1"/>
    <col min="8444" max="8444" width="22.26953125" style="192" customWidth="1"/>
    <col min="8445" max="8695" width="8.81640625" style="192"/>
    <col min="8696" max="8696" width="5.26953125" style="192" customWidth="1"/>
    <col min="8697" max="8697" width="22.54296875" style="192" customWidth="1"/>
    <col min="8698" max="8698" width="17.7265625" style="192" customWidth="1"/>
    <col min="8699" max="8699" width="19" style="192" customWidth="1"/>
    <col min="8700" max="8700" width="22.26953125" style="192" customWidth="1"/>
    <col min="8701" max="8951" width="8.81640625" style="192"/>
    <col min="8952" max="8952" width="5.26953125" style="192" customWidth="1"/>
    <col min="8953" max="8953" width="22.54296875" style="192" customWidth="1"/>
    <col min="8954" max="8954" width="17.7265625" style="192" customWidth="1"/>
    <col min="8955" max="8955" width="19" style="192" customWidth="1"/>
    <col min="8956" max="8956" width="22.26953125" style="192" customWidth="1"/>
    <col min="8957" max="9207" width="8.81640625" style="192"/>
    <col min="9208" max="9208" width="5.26953125" style="192" customWidth="1"/>
    <col min="9209" max="9209" width="22.54296875" style="192" customWidth="1"/>
    <col min="9210" max="9210" width="17.7265625" style="192" customWidth="1"/>
    <col min="9211" max="9211" width="19" style="192" customWidth="1"/>
    <col min="9212" max="9212" width="22.26953125" style="192" customWidth="1"/>
    <col min="9213" max="9463" width="8.81640625" style="192"/>
    <col min="9464" max="9464" width="5.26953125" style="192" customWidth="1"/>
    <col min="9465" max="9465" width="22.54296875" style="192" customWidth="1"/>
    <col min="9466" max="9466" width="17.7265625" style="192" customWidth="1"/>
    <col min="9467" max="9467" width="19" style="192" customWidth="1"/>
    <col min="9468" max="9468" width="22.26953125" style="192" customWidth="1"/>
    <col min="9469" max="9719" width="8.81640625" style="192"/>
    <col min="9720" max="9720" width="5.26953125" style="192" customWidth="1"/>
    <col min="9721" max="9721" width="22.54296875" style="192" customWidth="1"/>
    <col min="9722" max="9722" width="17.7265625" style="192" customWidth="1"/>
    <col min="9723" max="9723" width="19" style="192" customWidth="1"/>
    <col min="9724" max="9724" width="22.26953125" style="192" customWidth="1"/>
    <col min="9725" max="9975" width="8.81640625" style="192"/>
    <col min="9976" max="9976" width="5.26953125" style="192" customWidth="1"/>
    <col min="9977" max="9977" width="22.54296875" style="192" customWidth="1"/>
    <col min="9978" max="9978" width="17.7265625" style="192" customWidth="1"/>
    <col min="9979" max="9979" width="19" style="192" customWidth="1"/>
    <col min="9980" max="9980" width="22.26953125" style="192" customWidth="1"/>
    <col min="9981" max="10231" width="8.81640625" style="192"/>
    <col min="10232" max="10232" width="5.26953125" style="192" customWidth="1"/>
    <col min="10233" max="10233" width="22.54296875" style="192" customWidth="1"/>
    <col min="10234" max="10234" width="17.7265625" style="192" customWidth="1"/>
    <col min="10235" max="10235" width="19" style="192" customWidth="1"/>
    <col min="10236" max="10236" width="22.26953125" style="192" customWidth="1"/>
    <col min="10237" max="10487" width="8.81640625" style="192"/>
    <col min="10488" max="10488" width="5.26953125" style="192" customWidth="1"/>
    <col min="10489" max="10489" width="22.54296875" style="192" customWidth="1"/>
    <col min="10490" max="10490" width="17.7265625" style="192" customWidth="1"/>
    <col min="10491" max="10491" width="19" style="192" customWidth="1"/>
    <col min="10492" max="10492" width="22.26953125" style="192" customWidth="1"/>
    <col min="10493" max="10743" width="8.81640625" style="192"/>
    <col min="10744" max="10744" width="5.26953125" style="192" customWidth="1"/>
    <col min="10745" max="10745" width="22.54296875" style="192" customWidth="1"/>
    <col min="10746" max="10746" width="17.7265625" style="192" customWidth="1"/>
    <col min="10747" max="10747" width="19" style="192" customWidth="1"/>
    <col min="10748" max="10748" width="22.26953125" style="192" customWidth="1"/>
    <col min="10749" max="10999" width="8.81640625" style="192"/>
    <col min="11000" max="11000" width="5.26953125" style="192" customWidth="1"/>
    <col min="11001" max="11001" width="22.54296875" style="192" customWidth="1"/>
    <col min="11002" max="11002" width="17.7265625" style="192" customWidth="1"/>
    <col min="11003" max="11003" width="19" style="192" customWidth="1"/>
    <col min="11004" max="11004" width="22.26953125" style="192" customWidth="1"/>
    <col min="11005" max="11255" width="8.81640625" style="192"/>
    <col min="11256" max="11256" width="5.26953125" style="192" customWidth="1"/>
    <col min="11257" max="11257" width="22.54296875" style="192" customWidth="1"/>
    <col min="11258" max="11258" width="17.7265625" style="192" customWidth="1"/>
    <col min="11259" max="11259" width="19" style="192" customWidth="1"/>
    <col min="11260" max="11260" width="22.26953125" style="192" customWidth="1"/>
    <col min="11261" max="11511" width="8.81640625" style="192"/>
    <col min="11512" max="11512" width="5.26953125" style="192" customWidth="1"/>
    <col min="11513" max="11513" width="22.54296875" style="192" customWidth="1"/>
    <col min="11514" max="11514" width="17.7265625" style="192" customWidth="1"/>
    <col min="11515" max="11515" width="19" style="192" customWidth="1"/>
    <col min="11516" max="11516" width="22.26953125" style="192" customWidth="1"/>
    <col min="11517" max="11767" width="8.81640625" style="192"/>
    <col min="11768" max="11768" width="5.26953125" style="192" customWidth="1"/>
    <col min="11769" max="11769" width="22.54296875" style="192" customWidth="1"/>
    <col min="11770" max="11770" width="17.7265625" style="192" customWidth="1"/>
    <col min="11771" max="11771" width="19" style="192" customWidth="1"/>
    <col min="11772" max="11772" width="22.26953125" style="192" customWidth="1"/>
    <col min="11773" max="12023" width="8.81640625" style="192"/>
    <col min="12024" max="12024" width="5.26953125" style="192" customWidth="1"/>
    <col min="12025" max="12025" width="22.54296875" style="192" customWidth="1"/>
    <col min="12026" max="12026" width="17.7265625" style="192" customWidth="1"/>
    <col min="12027" max="12027" width="19" style="192" customWidth="1"/>
    <col min="12028" max="12028" width="22.26953125" style="192" customWidth="1"/>
    <col min="12029" max="12279" width="8.81640625" style="192"/>
    <col min="12280" max="12280" width="5.26953125" style="192" customWidth="1"/>
    <col min="12281" max="12281" width="22.54296875" style="192" customWidth="1"/>
    <col min="12282" max="12282" width="17.7265625" style="192" customWidth="1"/>
    <col min="12283" max="12283" width="19" style="192" customWidth="1"/>
    <col min="12284" max="12284" width="22.26953125" style="192" customWidth="1"/>
    <col min="12285" max="12535" width="8.81640625" style="192"/>
    <col min="12536" max="12536" width="5.26953125" style="192" customWidth="1"/>
    <col min="12537" max="12537" width="22.54296875" style="192" customWidth="1"/>
    <col min="12538" max="12538" width="17.7265625" style="192" customWidth="1"/>
    <col min="12539" max="12539" width="19" style="192" customWidth="1"/>
    <col min="12540" max="12540" width="22.26953125" style="192" customWidth="1"/>
    <col min="12541" max="12791" width="8.81640625" style="192"/>
    <col min="12792" max="12792" width="5.26953125" style="192" customWidth="1"/>
    <col min="12793" max="12793" width="22.54296875" style="192" customWidth="1"/>
    <col min="12794" max="12794" width="17.7265625" style="192" customWidth="1"/>
    <col min="12795" max="12795" width="19" style="192" customWidth="1"/>
    <col min="12796" max="12796" width="22.26953125" style="192" customWidth="1"/>
    <col min="12797" max="13047" width="8.81640625" style="192"/>
    <col min="13048" max="13048" width="5.26953125" style="192" customWidth="1"/>
    <col min="13049" max="13049" width="22.54296875" style="192" customWidth="1"/>
    <col min="13050" max="13050" width="17.7265625" style="192" customWidth="1"/>
    <col min="13051" max="13051" width="19" style="192" customWidth="1"/>
    <col min="13052" max="13052" width="22.26953125" style="192" customWidth="1"/>
    <col min="13053" max="13303" width="8.81640625" style="192"/>
    <col min="13304" max="13304" width="5.26953125" style="192" customWidth="1"/>
    <col min="13305" max="13305" width="22.54296875" style="192" customWidth="1"/>
    <col min="13306" max="13306" width="17.7265625" style="192" customWidth="1"/>
    <col min="13307" max="13307" width="19" style="192" customWidth="1"/>
    <col min="13308" max="13308" width="22.26953125" style="192" customWidth="1"/>
    <col min="13309" max="13559" width="8.81640625" style="192"/>
    <col min="13560" max="13560" width="5.26953125" style="192" customWidth="1"/>
    <col min="13561" max="13561" width="22.54296875" style="192" customWidth="1"/>
    <col min="13562" max="13562" width="17.7265625" style="192" customWidth="1"/>
    <col min="13563" max="13563" width="19" style="192" customWidth="1"/>
    <col min="13564" max="13564" width="22.26953125" style="192" customWidth="1"/>
    <col min="13565" max="13815" width="8.81640625" style="192"/>
    <col min="13816" max="13816" width="5.26953125" style="192" customWidth="1"/>
    <col min="13817" max="13817" width="22.54296875" style="192" customWidth="1"/>
    <col min="13818" max="13818" width="17.7265625" style="192" customWidth="1"/>
    <col min="13819" max="13819" width="19" style="192" customWidth="1"/>
    <col min="13820" max="13820" width="22.26953125" style="192" customWidth="1"/>
    <col min="13821" max="14071" width="8.81640625" style="192"/>
    <col min="14072" max="14072" width="5.26953125" style="192" customWidth="1"/>
    <col min="14073" max="14073" width="22.54296875" style="192" customWidth="1"/>
    <col min="14074" max="14074" width="17.7265625" style="192" customWidth="1"/>
    <col min="14075" max="14075" width="19" style="192" customWidth="1"/>
    <col min="14076" max="14076" width="22.26953125" style="192" customWidth="1"/>
    <col min="14077" max="14327" width="8.81640625" style="192"/>
    <col min="14328" max="14328" width="5.26953125" style="192" customWidth="1"/>
    <col min="14329" max="14329" width="22.54296875" style="192" customWidth="1"/>
    <col min="14330" max="14330" width="17.7265625" style="192" customWidth="1"/>
    <col min="14331" max="14331" width="19" style="192" customWidth="1"/>
    <col min="14332" max="14332" width="22.26953125" style="192" customWidth="1"/>
    <col min="14333" max="14583" width="8.81640625" style="192"/>
    <col min="14584" max="14584" width="5.26953125" style="192" customWidth="1"/>
    <col min="14585" max="14585" width="22.54296875" style="192" customWidth="1"/>
    <col min="14586" max="14586" width="17.7265625" style="192" customWidth="1"/>
    <col min="14587" max="14587" width="19" style="192" customWidth="1"/>
    <col min="14588" max="14588" width="22.26953125" style="192" customWidth="1"/>
    <col min="14589" max="14839" width="8.81640625" style="192"/>
    <col min="14840" max="14840" width="5.26953125" style="192" customWidth="1"/>
    <col min="14841" max="14841" width="22.54296875" style="192" customWidth="1"/>
    <col min="14842" max="14842" width="17.7265625" style="192" customWidth="1"/>
    <col min="14843" max="14843" width="19" style="192" customWidth="1"/>
    <col min="14844" max="14844" width="22.26953125" style="192" customWidth="1"/>
    <col min="14845" max="15095" width="8.81640625" style="192"/>
    <col min="15096" max="15096" width="5.26953125" style="192" customWidth="1"/>
    <col min="15097" max="15097" width="22.54296875" style="192" customWidth="1"/>
    <col min="15098" max="15098" width="17.7265625" style="192" customWidth="1"/>
    <col min="15099" max="15099" width="19" style="192" customWidth="1"/>
    <col min="15100" max="15100" width="22.26953125" style="192" customWidth="1"/>
    <col min="15101" max="15351" width="8.81640625" style="192"/>
    <col min="15352" max="15352" width="5.26953125" style="192" customWidth="1"/>
    <col min="15353" max="15353" width="22.54296875" style="192" customWidth="1"/>
    <col min="15354" max="15354" width="17.7265625" style="192" customWidth="1"/>
    <col min="15355" max="15355" width="19" style="192" customWidth="1"/>
    <col min="15356" max="15356" width="22.26953125" style="192" customWidth="1"/>
    <col min="15357" max="15607" width="8.81640625" style="192"/>
    <col min="15608" max="15608" width="5.26953125" style="192" customWidth="1"/>
    <col min="15609" max="15609" width="22.54296875" style="192" customWidth="1"/>
    <col min="15610" max="15610" width="17.7265625" style="192" customWidth="1"/>
    <col min="15611" max="15611" width="19" style="192" customWidth="1"/>
    <col min="15612" max="15612" width="22.26953125" style="192" customWidth="1"/>
    <col min="15613" max="15863" width="8.81640625" style="192"/>
    <col min="15864" max="15864" width="5.26953125" style="192" customWidth="1"/>
    <col min="15865" max="15865" width="22.54296875" style="192" customWidth="1"/>
    <col min="15866" max="15866" width="17.7265625" style="192" customWidth="1"/>
    <col min="15867" max="15867" width="19" style="192" customWidth="1"/>
    <col min="15868" max="15868" width="22.26953125" style="192" customWidth="1"/>
    <col min="15869" max="16119" width="8.81640625" style="192"/>
    <col min="16120" max="16120" width="5.26953125" style="192" customWidth="1"/>
    <col min="16121" max="16121" width="22.54296875" style="192" customWidth="1"/>
    <col min="16122" max="16122" width="17.7265625" style="192" customWidth="1"/>
    <col min="16123" max="16123" width="19" style="192" customWidth="1"/>
    <col min="16124" max="16124" width="22.26953125" style="192" customWidth="1"/>
    <col min="16125" max="16381" width="8.81640625" style="192"/>
    <col min="16382" max="16384" width="8.81640625" style="192" customWidth="1"/>
  </cols>
  <sheetData>
    <row r="1" spans="1:5" s="178" customFormat="1" ht="21.75" customHeight="1" x14ac:dyDescent="0.35">
      <c r="A1" s="824" t="s">
        <v>1016</v>
      </c>
      <c r="B1" s="824"/>
      <c r="C1" s="824"/>
      <c r="D1" s="824"/>
      <c r="E1" s="824"/>
    </row>
    <row r="2" spans="1:5" s="182" customFormat="1" ht="39" customHeight="1" x14ac:dyDescent="0.3">
      <c r="A2" s="179" t="s">
        <v>73</v>
      </c>
      <c r="B2" s="179" t="s">
        <v>751</v>
      </c>
      <c r="C2" s="180" t="s">
        <v>565</v>
      </c>
      <c r="D2" s="181" t="s">
        <v>752</v>
      </c>
      <c r="E2" s="181" t="s">
        <v>753</v>
      </c>
    </row>
    <row r="3" spans="1:5" s="186" customFormat="1" ht="20.149999999999999" customHeight="1" x14ac:dyDescent="0.35">
      <c r="A3" s="183">
        <v>1</v>
      </c>
      <c r="B3" s="184" t="s">
        <v>58</v>
      </c>
      <c r="C3" s="185">
        <v>1.0251485828551912</v>
      </c>
      <c r="D3" s="185"/>
      <c r="E3" s="185">
        <v>1.1461769929699068</v>
      </c>
    </row>
    <row r="4" spans="1:5" s="186" customFormat="1" ht="20.149999999999999" customHeight="1" x14ac:dyDescent="0.35">
      <c r="A4" s="183">
        <v>2</v>
      </c>
      <c r="B4" s="184" t="s">
        <v>13</v>
      </c>
      <c r="C4" s="185">
        <v>0.97472484790824798</v>
      </c>
      <c r="D4" s="185">
        <v>1.0067967874166739</v>
      </c>
      <c r="E4" s="185">
        <v>0.92640158208290624</v>
      </c>
    </row>
    <row r="5" spans="1:5" s="186" customFormat="1" ht="20.149999999999999" customHeight="1" x14ac:dyDescent="0.35">
      <c r="A5" s="183">
        <v>3</v>
      </c>
      <c r="B5" s="184" t="s">
        <v>14</v>
      </c>
      <c r="C5" s="185">
        <v>0.93150200280916762</v>
      </c>
      <c r="D5" s="185"/>
      <c r="E5" s="185">
        <v>0.9380024472417704</v>
      </c>
    </row>
    <row r="6" spans="1:5" s="186" customFormat="1" ht="20.149999999999999" customHeight="1" x14ac:dyDescent="0.35">
      <c r="A6" s="183">
        <v>4</v>
      </c>
      <c r="B6" s="187" t="s">
        <v>15</v>
      </c>
      <c r="C6" s="185">
        <v>1.1364055038596041</v>
      </c>
      <c r="D6" s="185">
        <v>1.1104132135698404</v>
      </c>
      <c r="E6" s="185">
        <v>1.0812985394960348</v>
      </c>
    </row>
    <row r="7" spans="1:5" s="186" customFormat="1" ht="20.149999999999999" customHeight="1" x14ac:dyDescent="0.35">
      <c r="A7" s="183">
        <v>5</v>
      </c>
      <c r="B7" s="187" t="s">
        <v>16</v>
      </c>
      <c r="C7" s="185">
        <v>1.0425882026319007</v>
      </c>
      <c r="D7" s="185">
        <v>0.84313417990678885</v>
      </c>
      <c r="E7" s="185">
        <v>0.94891354624571866</v>
      </c>
    </row>
    <row r="8" spans="1:5" s="186" customFormat="1" ht="20.149999999999999" customHeight="1" x14ac:dyDescent="0.35">
      <c r="A8" s="183">
        <v>6</v>
      </c>
      <c r="B8" s="184" t="s">
        <v>17</v>
      </c>
      <c r="C8" s="185">
        <v>1.3339685072329022</v>
      </c>
      <c r="D8" s="185">
        <v>1.0364336043151252</v>
      </c>
      <c r="E8" s="185"/>
    </row>
    <row r="9" spans="1:5" s="186" customFormat="1" ht="20.149999999999999" customHeight="1" x14ac:dyDescent="0.35">
      <c r="A9" s="183">
        <v>7</v>
      </c>
      <c r="B9" s="184" t="s">
        <v>749</v>
      </c>
      <c r="C9" s="185">
        <v>1.2134069699422663</v>
      </c>
      <c r="D9" s="185">
        <v>1.1418138727369693</v>
      </c>
      <c r="E9" s="185">
        <v>1.4115962140181475</v>
      </c>
    </row>
    <row r="10" spans="1:5" s="186" customFormat="1" ht="20.149999999999999" customHeight="1" x14ac:dyDescent="0.35">
      <c r="A10" s="183">
        <v>8</v>
      </c>
      <c r="B10" s="184" t="s">
        <v>19</v>
      </c>
      <c r="C10" s="185">
        <v>1.0210451263314675</v>
      </c>
      <c r="D10" s="185">
        <v>0.9748937817811969</v>
      </c>
      <c r="E10" s="185"/>
    </row>
    <row r="11" spans="1:5" s="186" customFormat="1" ht="20.149999999999999" customHeight="1" x14ac:dyDescent="0.35">
      <c r="A11" s="183">
        <v>9</v>
      </c>
      <c r="B11" s="184" t="s">
        <v>20</v>
      </c>
      <c r="C11" s="421">
        <v>1.0672851092621052</v>
      </c>
      <c r="D11" s="185">
        <v>0.75015200580405572</v>
      </c>
      <c r="E11" s="185">
        <v>1.4397173565696688</v>
      </c>
    </row>
    <row r="12" spans="1:5" s="186" customFormat="1" ht="20.149999999999999" customHeight="1" x14ac:dyDescent="0.35">
      <c r="A12" s="183">
        <v>10</v>
      </c>
      <c r="B12" s="184" t="s">
        <v>21</v>
      </c>
      <c r="C12" s="185">
        <v>0.92603880702977015</v>
      </c>
      <c r="D12" s="185">
        <v>0.96571858069933803</v>
      </c>
      <c r="E12" s="185">
        <v>1.097136330175472</v>
      </c>
    </row>
    <row r="13" spans="1:5" s="186" customFormat="1" ht="20.149999999999999" customHeight="1" x14ac:dyDescent="0.35">
      <c r="A13" s="183">
        <v>11</v>
      </c>
      <c r="B13" s="184" t="s">
        <v>22</v>
      </c>
      <c r="C13" s="185">
        <v>1.2501326448841654</v>
      </c>
      <c r="D13" s="185">
        <v>1.3395843300436054</v>
      </c>
      <c r="E13" s="185"/>
    </row>
    <row r="14" spans="1:5" s="186" customFormat="1" ht="20.149999999999999" customHeight="1" x14ac:dyDescent="0.35">
      <c r="A14" s="183">
        <v>12</v>
      </c>
      <c r="B14" s="184" t="s">
        <v>23</v>
      </c>
      <c r="C14" s="185">
        <v>1.3189987412517608</v>
      </c>
      <c r="D14" s="185">
        <v>1.3546550845799885</v>
      </c>
      <c r="E14" s="185">
        <v>1.3317899065587016</v>
      </c>
    </row>
    <row r="15" spans="1:5" s="186" customFormat="1" ht="20.149999999999999" customHeight="1" x14ac:dyDescent="0.35">
      <c r="A15" s="183">
        <v>13</v>
      </c>
      <c r="B15" s="184" t="s">
        <v>24</v>
      </c>
      <c r="C15" s="185">
        <v>1.2170415584519778</v>
      </c>
      <c r="D15" s="185">
        <v>1.3004683475018415</v>
      </c>
      <c r="E15" s="185">
        <v>0.96383753137077299</v>
      </c>
    </row>
    <row r="16" spans="1:5" s="186" customFormat="1" ht="20.149999999999999" customHeight="1" x14ac:dyDescent="0.35">
      <c r="A16" s="183">
        <v>14</v>
      </c>
      <c r="B16" s="184" t="s">
        <v>25</v>
      </c>
      <c r="C16" s="185">
        <v>1.0461642875149888</v>
      </c>
      <c r="D16" s="185">
        <v>0.94074510304691472</v>
      </c>
      <c r="E16" s="185">
        <v>1.2032734117612107</v>
      </c>
    </row>
    <row r="17" spans="1:5" s="186" customFormat="1" ht="20.149999999999999" customHeight="1" x14ac:dyDescent="0.35">
      <c r="A17" s="183">
        <v>15</v>
      </c>
      <c r="B17" s="184" t="s">
        <v>26</v>
      </c>
      <c r="C17" s="185">
        <v>1.0135079629615875</v>
      </c>
      <c r="D17" s="185">
        <v>0.8993617649903124</v>
      </c>
      <c r="E17" s="185">
        <v>0.93952827784070925</v>
      </c>
    </row>
    <row r="18" spans="1:5" s="186" customFormat="1" ht="20.149999999999999" customHeight="1" x14ac:dyDescent="0.35">
      <c r="A18" s="183">
        <v>16</v>
      </c>
      <c r="B18" s="184" t="s">
        <v>27</v>
      </c>
      <c r="C18" s="185">
        <v>1.4724364018783394</v>
      </c>
      <c r="D18" s="185">
        <v>1.7856929813868476</v>
      </c>
      <c r="E18" s="185">
        <v>1.493341202435438</v>
      </c>
    </row>
    <row r="19" spans="1:5" s="186" customFormat="1" ht="20.149999999999999" customHeight="1" x14ac:dyDescent="0.35">
      <c r="A19" s="183">
        <v>17</v>
      </c>
      <c r="B19" s="111" t="s">
        <v>28</v>
      </c>
      <c r="C19" s="185">
        <v>2.2221920215221576</v>
      </c>
      <c r="D19" s="185"/>
      <c r="E19" s="185">
        <v>1.6444476053228492</v>
      </c>
    </row>
    <row r="20" spans="1:5" s="186" customFormat="1" ht="20.149999999999999" customHeight="1" x14ac:dyDescent="0.35">
      <c r="A20" s="183">
        <v>18</v>
      </c>
      <c r="B20" s="184" t="s">
        <v>754</v>
      </c>
      <c r="C20" s="185">
        <v>1.8485957089485816</v>
      </c>
      <c r="D20" s="185"/>
      <c r="E20" s="185">
        <v>1.7123189891901096</v>
      </c>
    </row>
    <row r="21" spans="1:5" s="186" customFormat="1" ht="20.149999999999999" customHeight="1" x14ac:dyDescent="0.35">
      <c r="A21" s="183">
        <v>19</v>
      </c>
      <c r="B21" s="184" t="s">
        <v>29</v>
      </c>
      <c r="C21" s="185">
        <v>0.98629666616183054</v>
      </c>
      <c r="D21" s="185">
        <v>1.018521516908379</v>
      </c>
      <c r="E21" s="185">
        <v>1.0367087170728031</v>
      </c>
    </row>
    <row r="22" spans="1:5" s="186" customFormat="1" ht="20.149999999999999" customHeight="1" x14ac:dyDescent="0.35">
      <c r="A22" s="183">
        <v>20</v>
      </c>
      <c r="B22" s="184" t="s">
        <v>30</v>
      </c>
      <c r="C22" s="185">
        <v>0.93064027636884894</v>
      </c>
      <c r="D22" s="185">
        <v>0.97325650197105928</v>
      </c>
      <c r="E22" s="185">
        <v>0.81654218225083963</v>
      </c>
    </row>
    <row r="23" spans="1:5" s="186" customFormat="1" ht="20.149999999999999" customHeight="1" x14ac:dyDescent="0.35">
      <c r="A23" s="183">
        <v>21</v>
      </c>
      <c r="B23" s="184" t="s">
        <v>31</v>
      </c>
      <c r="C23" s="185">
        <v>1.0287000359722827</v>
      </c>
      <c r="D23" s="185">
        <v>1.0589188426590692</v>
      </c>
      <c r="E23" s="185">
        <v>1.0908455159790427</v>
      </c>
    </row>
    <row r="24" spans="1:5" s="186" customFormat="1" ht="20.149999999999999" customHeight="1" x14ac:dyDescent="0.35">
      <c r="A24" s="183">
        <v>22</v>
      </c>
      <c r="B24" s="184" t="s">
        <v>32</v>
      </c>
      <c r="C24" s="185">
        <v>1.2870951472770835</v>
      </c>
      <c r="D24" s="185">
        <v>1.1155538028984207</v>
      </c>
      <c r="E24" s="185">
        <v>1.3716406005247941</v>
      </c>
    </row>
    <row r="25" spans="1:5" s="186" customFormat="1" ht="20.149999999999999" customHeight="1" x14ac:dyDescent="0.35">
      <c r="A25" s="183">
        <v>23</v>
      </c>
      <c r="B25" s="184" t="s">
        <v>33</v>
      </c>
      <c r="C25" s="185">
        <v>1.048281475285407</v>
      </c>
      <c r="D25" s="185">
        <v>1.0824287522059592</v>
      </c>
      <c r="E25" s="185">
        <v>1.0496166681666257</v>
      </c>
    </row>
    <row r="26" spans="1:5" s="186" customFormat="1" ht="20.149999999999999" customHeight="1" x14ac:dyDescent="0.35">
      <c r="A26" s="183">
        <v>24</v>
      </c>
      <c r="B26" s="184" t="s">
        <v>34</v>
      </c>
      <c r="C26" s="185">
        <v>1.3474032954192101</v>
      </c>
      <c r="D26" s="185"/>
      <c r="E26" s="185">
        <v>1.3288422027910767</v>
      </c>
    </row>
    <row r="27" spans="1:5" s="186" customFormat="1" ht="20.149999999999999" customHeight="1" x14ac:dyDescent="0.35">
      <c r="A27" s="183">
        <v>25</v>
      </c>
      <c r="B27" s="184" t="s">
        <v>35</v>
      </c>
      <c r="C27" s="185">
        <v>0.92309380371075789</v>
      </c>
      <c r="D27" s="185">
        <v>0.85260405900134628</v>
      </c>
      <c r="E27" s="185">
        <v>0.90914671528201974</v>
      </c>
    </row>
    <row r="28" spans="1:5" s="186" customFormat="1" ht="20.149999999999999" customHeight="1" x14ac:dyDescent="0.35">
      <c r="A28" s="183">
        <v>26</v>
      </c>
      <c r="B28" s="188" t="s">
        <v>36</v>
      </c>
      <c r="C28" s="185">
        <v>1.0146026133016037</v>
      </c>
      <c r="D28" s="185">
        <v>0.97344331542818152</v>
      </c>
      <c r="E28" s="185"/>
    </row>
    <row r="29" spans="1:5" s="186" customFormat="1" ht="20.149999999999999" customHeight="1" x14ac:dyDescent="0.35">
      <c r="A29" s="183">
        <v>27</v>
      </c>
      <c r="B29" s="184" t="s">
        <v>37</v>
      </c>
      <c r="C29" s="185">
        <v>1.1738846610627527</v>
      </c>
      <c r="D29" s="185">
        <v>1.420675502178562</v>
      </c>
      <c r="E29" s="185"/>
    </row>
    <row r="30" spans="1:5" s="186" customFormat="1" ht="20.149999999999999" customHeight="1" x14ac:dyDescent="0.35">
      <c r="A30" s="183">
        <v>28</v>
      </c>
      <c r="B30" s="170" t="s">
        <v>38</v>
      </c>
      <c r="C30" s="185">
        <v>1.0324880502099592</v>
      </c>
      <c r="D30" s="185">
        <v>1.0241903283676672</v>
      </c>
      <c r="E30" s="185">
        <v>1.0185369665968349</v>
      </c>
    </row>
    <row r="31" spans="1:5" s="186" customFormat="1" ht="20.149999999999999" customHeight="1" x14ac:dyDescent="0.35">
      <c r="A31" s="183">
        <v>29</v>
      </c>
      <c r="B31" s="173" t="s">
        <v>39</v>
      </c>
      <c r="C31" s="185">
        <v>1.2331876673071542</v>
      </c>
      <c r="D31" s="185">
        <v>0.91874418292763693</v>
      </c>
      <c r="E31" s="185">
        <v>1.3847614626853142</v>
      </c>
    </row>
    <row r="32" spans="1:5" s="186" customFormat="1" ht="20.149999999999999" customHeight="1" x14ac:dyDescent="0.35">
      <c r="A32" s="183">
        <v>30</v>
      </c>
      <c r="B32" s="170" t="s">
        <v>40</v>
      </c>
      <c r="C32" s="185">
        <v>1.0104495753640559</v>
      </c>
      <c r="D32" s="185">
        <v>1.0341888645024593</v>
      </c>
      <c r="E32" s="185">
        <v>0.81672360983476933</v>
      </c>
    </row>
    <row r="33" spans="1:5" s="186" customFormat="1" ht="20.149999999999999" customHeight="1" x14ac:dyDescent="0.35">
      <c r="A33" s="183">
        <v>31</v>
      </c>
      <c r="B33" s="170" t="s">
        <v>41</v>
      </c>
      <c r="C33" s="185">
        <v>1.1099839499019772</v>
      </c>
      <c r="D33" s="185">
        <v>1.2346928406671409</v>
      </c>
      <c r="E33" s="185">
        <v>0.98224280317756407</v>
      </c>
    </row>
    <row r="34" spans="1:5" s="186" customFormat="1" ht="24.75" customHeight="1" x14ac:dyDescent="0.35">
      <c r="A34" s="183">
        <v>32</v>
      </c>
      <c r="B34" s="170" t="s">
        <v>60</v>
      </c>
      <c r="C34" s="185">
        <v>2.0556822279699514</v>
      </c>
      <c r="D34" s="185">
        <v>1.4145769172605533</v>
      </c>
      <c r="E34" s="185">
        <v>1.1695916036080376</v>
      </c>
    </row>
    <row r="35" spans="1:5" s="186" customFormat="1" ht="20.149999999999999" customHeight="1" x14ac:dyDescent="0.35">
      <c r="A35" s="183">
        <v>33</v>
      </c>
      <c r="B35" s="170" t="s">
        <v>42</v>
      </c>
      <c r="C35" s="185">
        <v>0.97241245108046681</v>
      </c>
      <c r="D35" s="185">
        <v>0.99661493623298025</v>
      </c>
      <c r="E35" s="185">
        <v>0.93960212089059569</v>
      </c>
    </row>
    <row r="36" spans="1:5" s="186" customFormat="1" ht="20.149999999999999" customHeight="1" x14ac:dyDescent="0.35">
      <c r="A36" s="183">
        <v>34</v>
      </c>
      <c r="B36" s="184" t="s">
        <v>43</v>
      </c>
      <c r="C36" s="185">
        <v>1.0648113256108382</v>
      </c>
      <c r="D36" s="185">
        <v>1.1362407180931555</v>
      </c>
      <c r="E36" s="185">
        <v>0.94197869896326814</v>
      </c>
    </row>
    <row r="37" spans="1:5" s="186" customFormat="1" ht="20.149999999999999" customHeight="1" x14ac:dyDescent="0.35">
      <c r="A37" s="183">
        <v>35</v>
      </c>
      <c r="B37" s="184" t="s">
        <v>750</v>
      </c>
      <c r="C37" s="185">
        <v>1.1039739311728638</v>
      </c>
      <c r="D37" s="185">
        <v>1.2642968244610766</v>
      </c>
      <c r="E37" s="185">
        <v>1.0334823542456402</v>
      </c>
    </row>
    <row r="38" spans="1:5" s="186" customFormat="1" ht="20.149999999999999" customHeight="1" x14ac:dyDescent="0.35">
      <c r="A38" s="183">
        <v>36</v>
      </c>
      <c r="B38" s="184" t="s">
        <v>45</v>
      </c>
      <c r="C38" s="185">
        <v>1.0296692979604432</v>
      </c>
      <c r="D38" s="185">
        <v>0.9805320949154831</v>
      </c>
      <c r="E38" s="185">
        <v>1.0782918486158548</v>
      </c>
    </row>
    <row r="39" spans="1:5" s="190" customFormat="1" ht="20.149999999999999" customHeight="1" x14ac:dyDescent="0.35">
      <c r="A39" s="189"/>
      <c r="B39" s="189" t="s">
        <v>46</v>
      </c>
      <c r="C39" s="185">
        <v>1.044124353108381</v>
      </c>
      <c r="D39" s="185">
        <v>1.0546179448626434</v>
      </c>
      <c r="E39" s="185">
        <v>1.0332399763678914</v>
      </c>
    </row>
    <row r="40" spans="1:5" s="191" customFormat="1" ht="16.149999999999999" customHeight="1" x14ac:dyDescent="0.3">
      <c r="C40" s="192"/>
    </row>
  </sheetData>
  <mergeCells count="1">
    <mergeCell ref="A1:E1"/>
  </mergeCells>
  <pageMargins left="0.59055118110236227" right="0.35433070866141736" top="0.39370078740157483" bottom="0.39370078740157483" header="0.31496062992125984" footer="0.19685039370078741"/>
  <pageSetup paperSize="9" scale="95" firstPageNumber="24" orientation="portrait" r:id="rId1"/>
  <headerFooter>
    <oddFooter>&amp;L&amp;"Arial,Italic"&amp;9AISHE 2022-23&amp;RT-20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27B3-DE7D-40B7-B8AE-BB48F8A3AFEC}">
  <sheetPr codeName="Sheet30">
    <tabColor rgb="FF92D050"/>
  </sheetPr>
  <dimension ref="A1:W42"/>
  <sheetViews>
    <sheetView view="pageBreakPreview" zoomScaleNormal="100" zoomScaleSheetLayoutView="100" workbookViewId="0">
      <pane xSplit="2" ySplit="3" topLeftCell="F38" activePane="bottomRight" state="frozen"/>
      <selection activeCell="S20" sqref="S20"/>
      <selection pane="topRight" activeCell="S20" sqref="S20"/>
      <selection pane="bottomLeft" activeCell="S20" sqref="S20"/>
      <selection pane="bottomRight" activeCell="K41" sqref="K41"/>
    </sheetView>
  </sheetViews>
  <sheetFormatPr defaultColWidth="9.26953125" defaultRowHeight="15.5" x14ac:dyDescent="0.35"/>
  <cols>
    <col min="1" max="1" width="6.90625" style="193" bestFit="1" customWidth="1"/>
    <col min="2" max="2" width="20.54296875" style="2" bestFit="1" customWidth="1"/>
    <col min="3" max="4" width="9.54296875" style="2" bestFit="1" customWidth="1"/>
    <col min="5" max="5" width="10.6328125" style="2" bestFit="1" customWidth="1"/>
    <col min="6" max="7" width="7.90625" style="2" bestFit="1" customWidth="1"/>
    <col min="8" max="8" width="9.54296875" style="2" bestFit="1" customWidth="1"/>
    <col min="9" max="11" width="7.90625" style="2" bestFit="1" customWidth="1"/>
    <col min="12" max="14" width="9.54296875" style="2" bestFit="1" customWidth="1"/>
    <col min="15" max="15" width="6.81640625" style="2" bestFit="1" customWidth="1"/>
    <col min="16" max="16" width="7.6328125" style="2" bestFit="1" customWidth="1"/>
    <col min="17" max="22" width="7.90625" style="2" bestFit="1" customWidth="1"/>
    <col min="23" max="23" width="9.54296875" style="2" bestFit="1" customWidth="1"/>
    <col min="24" max="16384" width="9.26953125" style="2"/>
  </cols>
  <sheetData>
    <row r="1" spans="1:23" s="96" customFormat="1" ht="33" customHeight="1" x14ac:dyDescent="0.35">
      <c r="A1" s="193"/>
      <c r="B1" s="194" t="s">
        <v>755</v>
      </c>
      <c r="C1" s="829" t="s">
        <v>1061</v>
      </c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29" t="str">
        <f>C1</f>
        <v>State/UT-Wise Teacher Distribution Across Various Social Groups (Based on Actual Responses)</v>
      </c>
      <c r="P1" s="830"/>
      <c r="Q1" s="830"/>
      <c r="R1" s="830"/>
      <c r="S1" s="830"/>
      <c r="T1" s="830"/>
      <c r="U1" s="830"/>
      <c r="V1" s="830"/>
      <c r="W1" s="830"/>
    </row>
    <row r="2" spans="1:23" s="195" customFormat="1" ht="29.25" customHeight="1" x14ac:dyDescent="0.35">
      <c r="A2" s="683" t="s">
        <v>49</v>
      </c>
      <c r="B2" s="831" t="s">
        <v>50</v>
      </c>
      <c r="C2" s="832" t="s">
        <v>574</v>
      </c>
      <c r="D2" s="833"/>
      <c r="E2" s="834"/>
      <c r="F2" s="832" t="s">
        <v>747</v>
      </c>
      <c r="G2" s="833"/>
      <c r="H2" s="834"/>
      <c r="I2" s="832" t="s">
        <v>748</v>
      </c>
      <c r="J2" s="833"/>
      <c r="K2" s="834"/>
      <c r="L2" s="832" t="s">
        <v>756</v>
      </c>
      <c r="M2" s="833"/>
      <c r="N2" s="834"/>
      <c r="O2" s="832" t="s">
        <v>757</v>
      </c>
      <c r="P2" s="833"/>
      <c r="Q2" s="834"/>
      <c r="R2" s="832" t="s">
        <v>122</v>
      </c>
      <c r="S2" s="833"/>
      <c r="T2" s="834"/>
      <c r="U2" s="825" t="s">
        <v>123</v>
      </c>
      <c r="V2" s="826"/>
      <c r="W2" s="827"/>
    </row>
    <row r="3" spans="1:23" s="195" customFormat="1" ht="21.75" customHeight="1" x14ac:dyDescent="0.35">
      <c r="A3" s="683"/>
      <c r="B3" s="777"/>
      <c r="C3" s="3" t="s">
        <v>93</v>
      </c>
      <c r="D3" s="3" t="s">
        <v>94</v>
      </c>
      <c r="E3" s="3" t="s">
        <v>54</v>
      </c>
      <c r="F3" s="3" t="s">
        <v>93</v>
      </c>
      <c r="G3" s="3" t="s">
        <v>94</v>
      </c>
      <c r="H3" s="3" t="s">
        <v>54</v>
      </c>
      <c r="I3" s="3" t="s">
        <v>93</v>
      </c>
      <c r="J3" s="3" t="s">
        <v>94</v>
      </c>
      <c r="K3" s="3" t="s">
        <v>54</v>
      </c>
      <c r="L3" s="3" t="s">
        <v>93</v>
      </c>
      <c r="M3" s="3" t="s">
        <v>94</v>
      </c>
      <c r="N3" s="3" t="s">
        <v>54</v>
      </c>
      <c r="O3" s="3" t="s">
        <v>93</v>
      </c>
      <c r="P3" s="3" t="s">
        <v>94</v>
      </c>
      <c r="Q3" s="3" t="s">
        <v>54</v>
      </c>
      <c r="R3" s="3" t="s">
        <v>93</v>
      </c>
      <c r="S3" s="3" t="s">
        <v>94</v>
      </c>
      <c r="T3" s="3" t="s">
        <v>54</v>
      </c>
      <c r="U3" s="3" t="s">
        <v>93</v>
      </c>
      <c r="V3" s="3" t="s">
        <v>94</v>
      </c>
      <c r="W3" s="3" t="s">
        <v>54</v>
      </c>
    </row>
    <row r="4" spans="1:23" s="197" customFormat="1" x14ac:dyDescent="0.35">
      <c r="A4" s="196">
        <v>1</v>
      </c>
      <c r="B4" s="196">
        <v>2</v>
      </c>
      <c r="C4" s="196">
        <v>3</v>
      </c>
      <c r="D4" s="196">
        <v>4</v>
      </c>
      <c r="E4" s="196">
        <v>5</v>
      </c>
      <c r="F4" s="196">
        <v>6</v>
      </c>
      <c r="G4" s="196">
        <v>7</v>
      </c>
      <c r="H4" s="196">
        <v>8</v>
      </c>
      <c r="I4" s="196">
        <v>9</v>
      </c>
      <c r="J4" s="196">
        <v>10</v>
      </c>
      <c r="K4" s="196">
        <v>11</v>
      </c>
      <c r="L4" s="196">
        <v>12</v>
      </c>
      <c r="M4" s="196">
        <v>13</v>
      </c>
      <c r="N4" s="196">
        <v>14</v>
      </c>
      <c r="O4" s="196">
        <v>15</v>
      </c>
      <c r="P4" s="196">
        <v>16</v>
      </c>
      <c r="Q4" s="196">
        <v>17</v>
      </c>
      <c r="R4" s="196">
        <v>18</v>
      </c>
      <c r="S4" s="196">
        <v>19</v>
      </c>
      <c r="T4" s="196">
        <v>20</v>
      </c>
      <c r="U4" s="196">
        <v>21</v>
      </c>
      <c r="V4" s="196">
        <v>22</v>
      </c>
      <c r="W4" s="196">
        <v>23</v>
      </c>
    </row>
    <row r="5" spans="1:23" ht="32.25" customHeight="1" x14ac:dyDescent="0.35">
      <c r="A5" s="6">
        <v>1</v>
      </c>
      <c r="B5" s="198" t="s">
        <v>58</v>
      </c>
      <c r="C5" s="631">
        <v>59</v>
      </c>
      <c r="D5" s="631">
        <v>67</v>
      </c>
      <c r="E5" s="631">
        <v>126</v>
      </c>
      <c r="F5" s="631">
        <v>1</v>
      </c>
      <c r="G5" s="631">
        <v>3</v>
      </c>
      <c r="H5" s="631">
        <v>4</v>
      </c>
      <c r="I5" s="631">
        <v>1</v>
      </c>
      <c r="J5" s="631">
        <v>6</v>
      </c>
      <c r="K5" s="631">
        <v>7</v>
      </c>
      <c r="L5" s="631">
        <v>13</v>
      </c>
      <c r="M5" s="631">
        <v>20</v>
      </c>
      <c r="N5" s="631">
        <v>33</v>
      </c>
      <c r="O5" s="631"/>
      <c r="P5" s="631"/>
      <c r="Q5" s="631"/>
      <c r="R5" s="631">
        <v>2</v>
      </c>
      <c r="S5" s="631">
        <v>6</v>
      </c>
      <c r="T5" s="631">
        <v>8</v>
      </c>
      <c r="U5" s="631">
        <v>11</v>
      </c>
      <c r="V5" s="631">
        <v>18</v>
      </c>
      <c r="W5" s="631">
        <v>29</v>
      </c>
    </row>
    <row r="6" spans="1:23" ht="24.75" customHeight="1" x14ac:dyDescent="0.35">
      <c r="A6" s="6">
        <v>2</v>
      </c>
      <c r="B6" s="198" t="s">
        <v>13</v>
      </c>
      <c r="C6" s="631">
        <v>64920</v>
      </c>
      <c r="D6" s="631">
        <v>42589</v>
      </c>
      <c r="E6" s="631">
        <v>107509</v>
      </c>
      <c r="F6" s="631">
        <v>8730</v>
      </c>
      <c r="G6" s="631">
        <v>7523</v>
      </c>
      <c r="H6" s="631">
        <v>16253</v>
      </c>
      <c r="I6" s="631">
        <v>1220</v>
      </c>
      <c r="J6" s="631">
        <v>658</v>
      </c>
      <c r="K6" s="631">
        <v>1878</v>
      </c>
      <c r="L6" s="631">
        <v>24317</v>
      </c>
      <c r="M6" s="631">
        <v>14805</v>
      </c>
      <c r="N6" s="631">
        <v>39122</v>
      </c>
      <c r="O6" s="631">
        <v>556</v>
      </c>
      <c r="P6" s="631">
        <v>232</v>
      </c>
      <c r="Q6" s="631">
        <v>788</v>
      </c>
      <c r="R6" s="631">
        <v>3182</v>
      </c>
      <c r="S6" s="631">
        <v>1907</v>
      </c>
      <c r="T6" s="631">
        <v>5089</v>
      </c>
      <c r="U6" s="631">
        <v>2027</v>
      </c>
      <c r="V6" s="631">
        <v>2754</v>
      </c>
      <c r="W6" s="631">
        <v>4781</v>
      </c>
    </row>
    <row r="7" spans="1:23" ht="24.75" customHeight="1" x14ac:dyDescent="0.35">
      <c r="A7" s="6">
        <v>3</v>
      </c>
      <c r="B7" s="198" t="s">
        <v>14</v>
      </c>
      <c r="C7" s="631">
        <v>1265</v>
      </c>
      <c r="D7" s="631">
        <v>1068</v>
      </c>
      <c r="E7" s="631">
        <v>2333</v>
      </c>
      <c r="F7" s="631">
        <v>58</v>
      </c>
      <c r="G7" s="631">
        <v>18</v>
      </c>
      <c r="H7" s="631">
        <v>76</v>
      </c>
      <c r="I7" s="631">
        <v>569</v>
      </c>
      <c r="J7" s="631">
        <v>763</v>
      </c>
      <c r="K7" s="631">
        <v>1332</v>
      </c>
      <c r="L7" s="631">
        <v>161</v>
      </c>
      <c r="M7" s="631">
        <v>68</v>
      </c>
      <c r="N7" s="631">
        <v>229</v>
      </c>
      <c r="O7" s="631">
        <v>17</v>
      </c>
      <c r="P7" s="631">
        <v>9</v>
      </c>
      <c r="Q7" s="631">
        <v>26</v>
      </c>
      <c r="R7" s="631">
        <v>49</v>
      </c>
      <c r="S7" s="631">
        <v>14</v>
      </c>
      <c r="T7" s="631">
        <v>63</v>
      </c>
      <c r="U7" s="631">
        <v>547</v>
      </c>
      <c r="V7" s="631">
        <v>707</v>
      </c>
      <c r="W7" s="631">
        <v>1254</v>
      </c>
    </row>
    <row r="8" spans="1:23" ht="24.75" customHeight="1" x14ac:dyDescent="0.35">
      <c r="A8" s="6">
        <v>4</v>
      </c>
      <c r="B8" s="198" t="s">
        <v>15</v>
      </c>
      <c r="C8" s="631">
        <v>14772</v>
      </c>
      <c r="D8" s="631">
        <v>11962</v>
      </c>
      <c r="E8" s="631">
        <v>26734</v>
      </c>
      <c r="F8" s="631">
        <v>1011</v>
      </c>
      <c r="G8" s="631">
        <v>748</v>
      </c>
      <c r="H8" s="631">
        <v>1759</v>
      </c>
      <c r="I8" s="631">
        <v>1957</v>
      </c>
      <c r="J8" s="631">
        <v>2008</v>
      </c>
      <c r="K8" s="631">
        <v>3965</v>
      </c>
      <c r="L8" s="631">
        <v>3434</v>
      </c>
      <c r="M8" s="631">
        <v>3161</v>
      </c>
      <c r="N8" s="631">
        <v>6595</v>
      </c>
      <c r="O8" s="631">
        <v>111</v>
      </c>
      <c r="P8" s="631">
        <v>60</v>
      </c>
      <c r="Q8" s="631">
        <v>171</v>
      </c>
      <c r="R8" s="631">
        <v>2407</v>
      </c>
      <c r="S8" s="631">
        <v>919</v>
      </c>
      <c r="T8" s="631">
        <v>3326</v>
      </c>
      <c r="U8" s="631">
        <v>384</v>
      </c>
      <c r="V8" s="631">
        <v>645</v>
      </c>
      <c r="W8" s="631">
        <v>1029</v>
      </c>
    </row>
    <row r="9" spans="1:23" ht="24.75" customHeight="1" x14ac:dyDescent="0.35">
      <c r="A9" s="6">
        <v>5</v>
      </c>
      <c r="B9" s="198" t="s">
        <v>16</v>
      </c>
      <c r="C9" s="631">
        <v>30628</v>
      </c>
      <c r="D9" s="631">
        <v>10569</v>
      </c>
      <c r="E9" s="631">
        <v>41197</v>
      </c>
      <c r="F9" s="631">
        <v>1922</v>
      </c>
      <c r="G9" s="631">
        <v>490</v>
      </c>
      <c r="H9" s="631">
        <v>2412</v>
      </c>
      <c r="I9" s="631">
        <v>147</v>
      </c>
      <c r="J9" s="631">
        <v>121</v>
      </c>
      <c r="K9" s="631">
        <v>268</v>
      </c>
      <c r="L9" s="631">
        <v>11606</v>
      </c>
      <c r="M9" s="631">
        <v>3424</v>
      </c>
      <c r="N9" s="631">
        <v>15030</v>
      </c>
      <c r="O9" s="631">
        <v>304</v>
      </c>
      <c r="P9" s="631">
        <v>81</v>
      </c>
      <c r="Q9" s="631">
        <v>385</v>
      </c>
      <c r="R9" s="631">
        <v>2871</v>
      </c>
      <c r="S9" s="631">
        <v>791</v>
      </c>
      <c r="T9" s="631">
        <v>3662</v>
      </c>
      <c r="U9" s="631">
        <v>213</v>
      </c>
      <c r="V9" s="631">
        <v>351</v>
      </c>
      <c r="W9" s="631">
        <v>564</v>
      </c>
    </row>
    <row r="10" spans="1:23" ht="24.75" customHeight="1" x14ac:dyDescent="0.35">
      <c r="A10" s="6">
        <v>6</v>
      </c>
      <c r="B10" s="198" t="s">
        <v>17</v>
      </c>
      <c r="C10" s="631">
        <v>1556</v>
      </c>
      <c r="D10" s="631">
        <v>2162</v>
      </c>
      <c r="E10" s="631">
        <v>3718</v>
      </c>
      <c r="F10" s="631">
        <v>218</v>
      </c>
      <c r="G10" s="631">
        <v>111</v>
      </c>
      <c r="H10" s="631">
        <v>329</v>
      </c>
      <c r="I10" s="631">
        <v>21</v>
      </c>
      <c r="J10" s="631">
        <v>13</v>
      </c>
      <c r="K10" s="631">
        <v>34</v>
      </c>
      <c r="L10" s="631">
        <v>146</v>
      </c>
      <c r="M10" s="631">
        <v>79</v>
      </c>
      <c r="N10" s="631">
        <v>225</v>
      </c>
      <c r="O10" s="631">
        <v>16</v>
      </c>
      <c r="P10" s="631">
        <v>5</v>
      </c>
      <c r="Q10" s="631">
        <v>21</v>
      </c>
      <c r="R10" s="631">
        <v>15</v>
      </c>
      <c r="S10" s="631">
        <v>14</v>
      </c>
      <c r="T10" s="631">
        <v>29</v>
      </c>
      <c r="U10" s="631">
        <v>303</v>
      </c>
      <c r="V10" s="631">
        <v>583</v>
      </c>
      <c r="W10" s="631">
        <v>886</v>
      </c>
    </row>
    <row r="11" spans="1:23" ht="24.75" customHeight="1" x14ac:dyDescent="0.35">
      <c r="A11" s="6">
        <v>7</v>
      </c>
      <c r="B11" s="198" t="s">
        <v>18</v>
      </c>
      <c r="C11" s="632">
        <v>12471</v>
      </c>
      <c r="D11" s="631">
        <v>12431</v>
      </c>
      <c r="E11" s="631">
        <v>24902</v>
      </c>
      <c r="F11" s="631">
        <v>1345</v>
      </c>
      <c r="G11" s="631">
        <v>945</v>
      </c>
      <c r="H11" s="631">
        <v>2290</v>
      </c>
      <c r="I11" s="631">
        <v>961</v>
      </c>
      <c r="J11" s="631">
        <v>1118</v>
      </c>
      <c r="K11" s="631">
        <v>2079</v>
      </c>
      <c r="L11" s="631">
        <v>4068</v>
      </c>
      <c r="M11" s="631">
        <v>3684</v>
      </c>
      <c r="N11" s="631">
        <v>7752</v>
      </c>
      <c r="O11" s="631">
        <v>126</v>
      </c>
      <c r="P11" s="631">
        <v>81</v>
      </c>
      <c r="Q11" s="631">
        <v>207</v>
      </c>
      <c r="R11" s="631">
        <v>272</v>
      </c>
      <c r="S11" s="631">
        <v>350</v>
      </c>
      <c r="T11" s="631">
        <v>622</v>
      </c>
      <c r="U11" s="631">
        <v>561</v>
      </c>
      <c r="V11" s="631">
        <v>1174</v>
      </c>
      <c r="W11" s="631">
        <v>1735</v>
      </c>
    </row>
    <row r="12" spans="1:23" ht="24.75" customHeight="1" x14ac:dyDescent="0.35">
      <c r="A12" s="6">
        <v>8</v>
      </c>
      <c r="B12" s="198" t="s">
        <v>19</v>
      </c>
      <c r="C12" s="631">
        <v>10724</v>
      </c>
      <c r="D12" s="631">
        <v>12698</v>
      </c>
      <c r="E12" s="631">
        <v>23422</v>
      </c>
      <c r="F12" s="631">
        <v>1219</v>
      </c>
      <c r="G12" s="631">
        <v>925</v>
      </c>
      <c r="H12" s="631">
        <v>2144</v>
      </c>
      <c r="I12" s="631">
        <v>398</v>
      </c>
      <c r="J12" s="631">
        <v>304</v>
      </c>
      <c r="K12" s="631">
        <v>702</v>
      </c>
      <c r="L12" s="631">
        <v>1510</v>
      </c>
      <c r="M12" s="631">
        <v>1064</v>
      </c>
      <c r="N12" s="631">
        <v>2574</v>
      </c>
      <c r="O12" s="631">
        <v>238</v>
      </c>
      <c r="P12" s="631">
        <v>112</v>
      </c>
      <c r="Q12" s="631">
        <v>350</v>
      </c>
      <c r="R12" s="631">
        <v>976</v>
      </c>
      <c r="S12" s="631">
        <v>513</v>
      </c>
      <c r="T12" s="631">
        <v>1489</v>
      </c>
      <c r="U12" s="631">
        <v>551</v>
      </c>
      <c r="V12" s="631">
        <v>1104</v>
      </c>
      <c r="W12" s="631">
        <v>1655</v>
      </c>
    </row>
    <row r="13" spans="1:23" ht="24.75" customHeight="1" x14ac:dyDescent="0.35">
      <c r="A13" s="6">
        <v>9</v>
      </c>
      <c r="B13" s="198" t="s">
        <v>20</v>
      </c>
      <c r="C13" s="631">
        <v>1776</v>
      </c>
      <c r="D13" s="631">
        <v>2243</v>
      </c>
      <c r="E13" s="631">
        <v>4019</v>
      </c>
      <c r="F13" s="631">
        <v>34</v>
      </c>
      <c r="G13" s="631">
        <v>15</v>
      </c>
      <c r="H13" s="631">
        <v>49</v>
      </c>
      <c r="I13" s="631">
        <v>72</v>
      </c>
      <c r="J13" s="631">
        <v>87</v>
      </c>
      <c r="K13" s="631">
        <v>159</v>
      </c>
      <c r="L13" s="631">
        <v>171</v>
      </c>
      <c r="M13" s="631">
        <v>267</v>
      </c>
      <c r="N13" s="631">
        <v>438</v>
      </c>
      <c r="O13" s="631">
        <v>12</v>
      </c>
      <c r="P13" s="631">
        <v>9</v>
      </c>
      <c r="Q13" s="631">
        <v>21</v>
      </c>
      <c r="R13" s="631">
        <v>24</v>
      </c>
      <c r="S13" s="631">
        <v>51</v>
      </c>
      <c r="T13" s="631">
        <v>75</v>
      </c>
      <c r="U13" s="631">
        <v>307</v>
      </c>
      <c r="V13" s="631">
        <v>667</v>
      </c>
      <c r="W13" s="631">
        <v>974</v>
      </c>
    </row>
    <row r="14" spans="1:23" ht="24.75" customHeight="1" x14ac:dyDescent="0.35">
      <c r="A14" s="6">
        <v>10</v>
      </c>
      <c r="B14" s="198" t="s">
        <v>21</v>
      </c>
      <c r="C14" s="631">
        <v>36939</v>
      </c>
      <c r="D14" s="631">
        <v>29312</v>
      </c>
      <c r="E14" s="631">
        <v>66251</v>
      </c>
      <c r="F14" s="631">
        <v>2598</v>
      </c>
      <c r="G14" s="631">
        <v>1899</v>
      </c>
      <c r="H14" s="631">
        <v>4497</v>
      </c>
      <c r="I14" s="631">
        <v>1940</v>
      </c>
      <c r="J14" s="631">
        <v>1871</v>
      </c>
      <c r="K14" s="631">
        <v>3811</v>
      </c>
      <c r="L14" s="631">
        <v>7805</v>
      </c>
      <c r="M14" s="631">
        <v>5354</v>
      </c>
      <c r="N14" s="631">
        <v>13159</v>
      </c>
      <c r="O14" s="631">
        <v>286</v>
      </c>
      <c r="P14" s="631">
        <v>223</v>
      </c>
      <c r="Q14" s="631">
        <v>509</v>
      </c>
      <c r="R14" s="631">
        <v>1117</v>
      </c>
      <c r="S14" s="631">
        <v>723</v>
      </c>
      <c r="T14" s="631">
        <v>1840</v>
      </c>
      <c r="U14" s="631">
        <v>1065</v>
      </c>
      <c r="V14" s="631">
        <v>1244</v>
      </c>
      <c r="W14" s="631">
        <v>2309</v>
      </c>
    </row>
    <row r="15" spans="1:23" ht="24.75" customHeight="1" x14ac:dyDescent="0.35">
      <c r="A15" s="6">
        <v>11</v>
      </c>
      <c r="B15" s="198" t="s">
        <v>22</v>
      </c>
      <c r="C15" s="631">
        <v>20064</v>
      </c>
      <c r="D15" s="631">
        <v>23483</v>
      </c>
      <c r="E15" s="631">
        <v>43547</v>
      </c>
      <c r="F15" s="631">
        <v>1776</v>
      </c>
      <c r="G15" s="631">
        <v>1230</v>
      </c>
      <c r="H15" s="631">
        <v>3006</v>
      </c>
      <c r="I15" s="631">
        <v>43</v>
      </c>
      <c r="J15" s="631">
        <v>20</v>
      </c>
      <c r="K15" s="631">
        <v>63</v>
      </c>
      <c r="L15" s="631">
        <v>2637</v>
      </c>
      <c r="M15" s="631">
        <v>2734</v>
      </c>
      <c r="N15" s="631">
        <v>5371</v>
      </c>
      <c r="O15" s="631">
        <v>211</v>
      </c>
      <c r="P15" s="631">
        <v>150</v>
      </c>
      <c r="Q15" s="631">
        <v>361</v>
      </c>
      <c r="R15" s="631">
        <v>572</v>
      </c>
      <c r="S15" s="631">
        <v>214</v>
      </c>
      <c r="T15" s="631">
        <v>786</v>
      </c>
      <c r="U15" s="631">
        <v>838</v>
      </c>
      <c r="V15" s="631">
        <v>1203</v>
      </c>
      <c r="W15" s="631">
        <v>2041</v>
      </c>
    </row>
    <row r="16" spans="1:23" ht="24.75" customHeight="1" x14ac:dyDescent="0.35">
      <c r="A16" s="6">
        <v>12</v>
      </c>
      <c r="B16" s="198" t="s">
        <v>23</v>
      </c>
      <c r="C16" s="631">
        <v>5415</v>
      </c>
      <c r="D16" s="631">
        <v>5386</v>
      </c>
      <c r="E16" s="631">
        <v>10801</v>
      </c>
      <c r="F16" s="631">
        <v>554</v>
      </c>
      <c r="G16" s="631">
        <v>464</v>
      </c>
      <c r="H16" s="631">
        <v>1018</v>
      </c>
      <c r="I16" s="631">
        <v>214</v>
      </c>
      <c r="J16" s="631">
        <v>191</v>
      </c>
      <c r="K16" s="631">
        <v>405</v>
      </c>
      <c r="L16" s="631">
        <v>351</v>
      </c>
      <c r="M16" s="631">
        <v>341</v>
      </c>
      <c r="N16" s="631">
        <v>692</v>
      </c>
      <c r="O16" s="631">
        <v>82</v>
      </c>
      <c r="P16" s="631">
        <v>57</v>
      </c>
      <c r="Q16" s="631">
        <v>139</v>
      </c>
      <c r="R16" s="631">
        <v>62</v>
      </c>
      <c r="S16" s="631">
        <v>36</v>
      </c>
      <c r="T16" s="631">
        <v>98</v>
      </c>
      <c r="U16" s="631">
        <v>156</v>
      </c>
      <c r="V16" s="631">
        <v>174</v>
      </c>
      <c r="W16" s="631">
        <v>330</v>
      </c>
    </row>
    <row r="17" spans="1:23" ht="24.75" customHeight="1" x14ac:dyDescent="0.35">
      <c r="A17" s="6">
        <v>13</v>
      </c>
      <c r="B17" s="198" t="s">
        <v>24</v>
      </c>
      <c r="C17" s="631">
        <v>6868</v>
      </c>
      <c r="D17" s="631">
        <v>4900</v>
      </c>
      <c r="E17" s="631">
        <v>11768</v>
      </c>
      <c r="F17" s="631">
        <v>322</v>
      </c>
      <c r="G17" s="631">
        <v>276</v>
      </c>
      <c r="H17" s="631">
        <v>598</v>
      </c>
      <c r="I17" s="631">
        <v>189</v>
      </c>
      <c r="J17" s="631">
        <v>63</v>
      </c>
      <c r="K17" s="631">
        <v>252</v>
      </c>
      <c r="L17" s="631">
        <v>317</v>
      </c>
      <c r="M17" s="631">
        <v>137</v>
      </c>
      <c r="N17" s="631">
        <v>454</v>
      </c>
      <c r="O17" s="631">
        <v>80</v>
      </c>
      <c r="P17" s="631">
        <v>31</v>
      </c>
      <c r="Q17" s="631">
        <v>111</v>
      </c>
      <c r="R17" s="631">
        <v>4649</v>
      </c>
      <c r="S17" s="631">
        <v>2223</v>
      </c>
      <c r="T17" s="631">
        <v>6872</v>
      </c>
      <c r="U17" s="631">
        <v>202</v>
      </c>
      <c r="V17" s="631">
        <v>318</v>
      </c>
      <c r="W17" s="631">
        <v>520</v>
      </c>
    </row>
    <row r="18" spans="1:23" ht="24.75" customHeight="1" x14ac:dyDescent="0.35">
      <c r="A18" s="6">
        <v>14</v>
      </c>
      <c r="B18" s="198" t="s">
        <v>25</v>
      </c>
      <c r="C18" s="631">
        <v>10829</v>
      </c>
      <c r="D18" s="631">
        <v>6203</v>
      </c>
      <c r="E18" s="631">
        <v>17032</v>
      </c>
      <c r="F18" s="631">
        <v>618</v>
      </c>
      <c r="G18" s="631">
        <v>233</v>
      </c>
      <c r="H18" s="631">
        <v>851</v>
      </c>
      <c r="I18" s="631">
        <v>656</v>
      </c>
      <c r="J18" s="631">
        <v>1502</v>
      </c>
      <c r="K18" s="631">
        <v>2158</v>
      </c>
      <c r="L18" s="631">
        <v>3441</v>
      </c>
      <c r="M18" s="631">
        <v>1466</v>
      </c>
      <c r="N18" s="631">
        <v>4907</v>
      </c>
      <c r="O18" s="631">
        <v>107</v>
      </c>
      <c r="P18" s="631">
        <v>57</v>
      </c>
      <c r="Q18" s="631">
        <v>164</v>
      </c>
      <c r="R18" s="631">
        <v>753</v>
      </c>
      <c r="S18" s="631">
        <v>323</v>
      </c>
      <c r="T18" s="631">
        <v>1076</v>
      </c>
      <c r="U18" s="631">
        <v>543</v>
      </c>
      <c r="V18" s="631">
        <v>1437</v>
      </c>
      <c r="W18" s="631">
        <v>1980</v>
      </c>
    </row>
    <row r="19" spans="1:23" ht="26.25" customHeight="1" x14ac:dyDescent="0.35">
      <c r="A19" s="6">
        <v>15</v>
      </c>
      <c r="B19" s="198" t="s">
        <v>26</v>
      </c>
      <c r="C19" s="631">
        <v>77894</v>
      </c>
      <c r="D19" s="631">
        <v>73610</v>
      </c>
      <c r="E19" s="631">
        <v>151504</v>
      </c>
      <c r="F19" s="631">
        <v>8269</v>
      </c>
      <c r="G19" s="631">
        <v>4854</v>
      </c>
      <c r="H19" s="631">
        <v>13123</v>
      </c>
      <c r="I19" s="631">
        <v>2215</v>
      </c>
      <c r="J19" s="631">
        <v>1219</v>
      </c>
      <c r="K19" s="631">
        <v>3434</v>
      </c>
      <c r="L19" s="631">
        <v>29644</v>
      </c>
      <c r="M19" s="631">
        <v>27455</v>
      </c>
      <c r="N19" s="631">
        <v>57099</v>
      </c>
      <c r="O19" s="631">
        <v>740</v>
      </c>
      <c r="P19" s="631">
        <v>536</v>
      </c>
      <c r="Q19" s="631">
        <v>1276</v>
      </c>
      <c r="R19" s="631">
        <v>4760</v>
      </c>
      <c r="S19" s="631">
        <v>4605</v>
      </c>
      <c r="T19" s="631">
        <v>9365</v>
      </c>
      <c r="U19" s="631">
        <v>4314</v>
      </c>
      <c r="V19" s="631">
        <v>9067</v>
      </c>
      <c r="W19" s="631">
        <v>13381</v>
      </c>
    </row>
    <row r="20" spans="1:23" ht="24.75" customHeight="1" x14ac:dyDescent="0.35">
      <c r="A20" s="6">
        <v>16</v>
      </c>
      <c r="B20" s="198" t="s">
        <v>27</v>
      </c>
      <c r="C20" s="631">
        <v>24055</v>
      </c>
      <c r="D20" s="631">
        <v>42208</v>
      </c>
      <c r="E20" s="631">
        <v>66263</v>
      </c>
      <c r="F20" s="631">
        <v>1024</v>
      </c>
      <c r="G20" s="631">
        <v>1642</v>
      </c>
      <c r="H20" s="631">
        <v>2666</v>
      </c>
      <c r="I20" s="631">
        <v>92</v>
      </c>
      <c r="J20" s="631">
        <v>120</v>
      </c>
      <c r="K20" s="631">
        <v>212</v>
      </c>
      <c r="L20" s="631">
        <v>9349</v>
      </c>
      <c r="M20" s="631">
        <v>16939</v>
      </c>
      <c r="N20" s="631">
        <v>26288</v>
      </c>
      <c r="O20" s="631">
        <v>248</v>
      </c>
      <c r="P20" s="631">
        <v>211</v>
      </c>
      <c r="Q20" s="631">
        <v>459</v>
      </c>
      <c r="R20" s="631">
        <v>4385</v>
      </c>
      <c r="S20" s="631">
        <v>4925</v>
      </c>
      <c r="T20" s="631">
        <v>9310</v>
      </c>
      <c r="U20" s="631">
        <v>7010</v>
      </c>
      <c r="V20" s="631">
        <v>13142</v>
      </c>
      <c r="W20" s="631">
        <v>20152</v>
      </c>
    </row>
    <row r="21" spans="1:23" ht="24.75" customHeight="1" x14ac:dyDescent="0.35">
      <c r="A21" s="6">
        <v>17</v>
      </c>
      <c r="B21" s="198" t="s">
        <v>28</v>
      </c>
      <c r="C21" s="631">
        <v>202</v>
      </c>
      <c r="D21" s="631">
        <v>111</v>
      </c>
      <c r="E21" s="631">
        <v>313</v>
      </c>
      <c r="F21" s="646">
        <v>2</v>
      </c>
      <c r="G21" s="646">
        <v>1</v>
      </c>
      <c r="H21" s="646">
        <v>3</v>
      </c>
      <c r="I21" s="631">
        <v>164</v>
      </c>
      <c r="J21" s="631">
        <v>108</v>
      </c>
      <c r="K21" s="631">
        <v>272</v>
      </c>
      <c r="L21" s="631">
        <v>0</v>
      </c>
      <c r="M21" s="631">
        <v>1</v>
      </c>
      <c r="N21" s="631">
        <v>1</v>
      </c>
      <c r="O21" s="631">
        <v>2</v>
      </c>
      <c r="P21" s="631"/>
      <c r="Q21" s="631">
        <v>2</v>
      </c>
      <c r="R21" s="631">
        <v>127</v>
      </c>
      <c r="S21" s="631">
        <v>45</v>
      </c>
      <c r="T21" s="631">
        <v>172</v>
      </c>
      <c r="U21" s="631">
        <v>65</v>
      </c>
      <c r="V21" s="631">
        <v>65</v>
      </c>
      <c r="W21" s="631">
        <v>130</v>
      </c>
    </row>
    <row r="22" spans="1:23" ht="24.75" customHeight="1" x14ac:dyDescent="0.35">
      <c r="A22" s="6">
        <v>18</v>
      </c>
      <c r="B22" s="198" t="s">
        <v>72</v>
      </c>
      <c r="C22" s="631">
        <v>34</v>
      </c>
      <c r="D22" s="631">
        <v>25</v>
      </c>
      <c r="E22" s="631">
        <v>59</v>
      </c>
      <c r="F22" s="631">
        <v>5</v>
      </c>
      <c r="G22" s="631">
        <v>3</v>
      </c>
      <c r="H22" s="631">
        <v>8</v>
      </c>
      <c r="I22" s="631">
        <v>15</v>
      </c>
      <c r="J22" s="631">
        <v>21</v>
      </c>
      <c r="K22" s="631">
        <v>36</v>
      </c>
      <c r="L22" s="631">
        <v>12</v>
      </c>
      <c r="M22" s="631">
        <v>1</v>
      </c>
      <c r="N22" s="631">
        <v>13</v>
      </c>
      <c r="O22" s="631"/>
      <c r="P22" s="631"/>
      <c r="Q22" s="631"/>
      <c r="R22" s="631">
        <v>23</v>
      </c>
      <c r="S22" s="631">
        <v>21</v>
      </c>
      <c r="T22" s="631">
        <v>44</v>
      </c>
      <c r="U22" s="631">
        <v>1</v>
      </c>
      <c r="V22" s="631"/>
      <c r="W22" s="631">
        <v>1</v>
      </c>
    </row>
    <row r="23" spans="1:23" ht="24.75" customHeight="1" x14ac:dyDescent="0.35">
      <c r="A23" s="6">
        <v>19</v>
      </c>
      <c r="B23" s="198" t="s">
        <v>29</v>
      </c>
      <c r="C23" s="631">
        <v>48798</v>
      </c>
      <c r="D23" s="631">
        <v>36866</v>
      </c>
      <c r="E23" s="631">
        <v>85664</v>
      </c>
      <c r="F23" s="631">
        <v>4187</v>
      </c>
      <c r="G23" s="631">
        <v>2450</v>
      </c>
      <c r="H23" s="631">
        <v>6637</v>
      </c>
      <c r="I23" s="631">
        <v>1357</v>
      </c>
      <c r="J23" s="631">
        <v>1034</v>
      </c>
      <c r="K23" s="631">
        <v>2391</v>
      </c>
      <c r="L23" s="631">
        <v>12551</v>
      </c>
      <c r="M23" s="631">
        <v>8707</v>
      </c>
      <c r="N23" s="631">
        <v>21258</v>
      </c>
      <c r="O23" s="631">
        <v>568</v>
      </c>
      <c r="P23" s="631">
        <v>311</v>
      </c>
      <c r="Q23" s="631">
        <v>879</v>
      </c>
      <c r="R23" s="631">
        <v>2060</v>
      </c>
      <c r="S23" s="631">
        <v>1604</v>
      </c>
      <c r="T23" s="631">
        <v>3664</v>
      </c>
      <c r="U23" s="631">
        <v>1565</v>
      </c>
      <c r="V23" s="631">
        <v>2271</v>
      </c>
      <c r="W23" s="631">
        <v>3836</v>
      </c>
    </row>
    <row r="24" spans="1:23" ht="24.75" customHeight="1" x14ac:dyDescent="0.35">
      <c r="A24" s="6">
        <v>20</v>
      </c>
      <c r="B24" s="198" t="s">
        <v>30</v>
      </c>
      <c r="C24" s="631">
        <v>99125</v>
      </c>
      <c r="D24" s="631">
        <v>79153</v>
      </c>
      <c r="E24" s="631">
        <v>178278</v>
      </c>
      <c r="F24" s="631">
        <v>12718</v>
      </c>
      <c r="G24" s="631">
        <v>8378</v>
      </c>
      <c r="H24" s="631">
        <v>21096</v>
      </c>
      <c r="I24" s="631">
        <v>2183</v>
      </c>
      <c r="J24" s="631">
        <v>1050</v>
      </c>
      <c r="K24" s="631">
        <v>3233</v>
      </c>
      <c r="L24" s="631">
        <v>23897</v>
      </c>
      <c r="M24" s="631">
        <v>16720</v>
      </c>
      <c r="N24" s="631">
        <v>40617</v>
      </c>
      <c r="O24" s="631">
        <v>843</v>
      </c>
      <c r="P24" s="631">
        <v>534</v>
      </c>
      <c r="Q24" s="631">
        <v>1377</v>
      </c>
      <c r="R24" s="631">
        <v>5119</v>
      </c>
      <c r="S24" s="631">
        <v>3933</v>
      </c>
      <c r="T24" s="631">
        <v>9052</v>
      </c>
      <c r="U24" s="631">
        <v>7491</v>
      </c>
      <c r="V24" s="631">
        <v>6946</v>
      </c>
      <c r="W24" s="631">
        <v>14437</v>
      </c>
    </row>
    <row r="25" spans="1:23" ht="24.75" customHeight="1" x14ac:dyDescent="0.35">
      <c r="A25" s="6">
        <v>21</v>
      </c>
      <c r="B25" s="198" t="s">
        <v>31</v>
      </c>
      <c r="C25" s="631">
        <v>3339</v>
      </c>
      <c r="D25" s="631">
        <v>3336</v>
      </c>
      <c r="E25" s="631">
        <v>6675</v>
      </c>
      <c r="F25" s="631">
        <v>231</v>
      </c>
      <c r="G25" s="631">
        <v>150</v>
      </c>
      <c r="H25" s="631">
        <v>381</v>
      </c>
      <c r="I25" s="631">
        <v>482</v>
      </c>
      <c r="J25" s="631">
        <v>496</v>
      </c>
      <c r="K25" s="631">
        <v>978</v>
      </c>
      <c r="L25" s="631">
        <v>695</v>
      </c>
      <c r="M25" s="631">
        <v>683</v>
      </c>
      <c r="N25" s="631">
        <v>1378</v>
      </c>
      <c r="O25" s="631">
        <v>16</v>
      </c>
      <c r="P25" s="631">
        <v>15</v>
      </c>
      <c r="Q25" s="631">
        <v>31</v>
      </c>
      <c r="R25" s="631">
        <v>107</v>
      </c>
      <c r="S25" s="631">
        <v>36</v>
      </c>
      <c r="T25" s="631">
        <v>143</v>
      </c>
      <c r="U25" s="631">
        <v>692</v>
      </c>
      <c r="V25" s="631">
        <v>629</v>
      </c>
      <c r="W25" s="631">
        <v>1321</v>
      </c>
    </row>
    <row r="26" spans="1:23" ht="24.75" customHeight="1" x14ac:dyDescent="0.35">
      <c r="A26" s="6">
        <v>22</v>
      </c>
      <c r="B26" s="198" t="s">
        <v>32</v>
      </c>
      <c r="C26" s="631">
        <v>1717</v>
      </c>
      <c r="D26" s="631">
        <v>2351</v>
      </c>
      <c r="E26" s="631">
        <v>4068</v>
      </c>
      <c r="F26" s="631">
        <v>51</v>
      </c>
      <c r="G26" s="631">
        <v>38</v>
      </c>
      <c r="H26" s="631">
        <v>89</v>
      </c>
      <c r="I26" s="631">
        <v>1031</v>
      </c>
      <c r="J26" s="631">
        <v>1908</v>
      </c>
      <c r="K26" s="631">
        <v>2939</v>
      </c>
      <c r="L26" s="631">
        <v>86</v>
      </c>
      <c r="M26" s="631">
        <v>49</v>
      </c>
      <c r="N26" s="631">
        <v>135</v>
      </c>
      <c r="O26" s="631">
        <v>16</v>
      </c>
      <c r="P26" s="631">
        <v>6</v>
      </c>
      <c r="Q26" s="631">
        <v>22</v>
      </c>
      <c r="R26" s="631">
        <v>103</v>
      </c>
      <c r="S26" s="631">
        <v>59</v>
      </c>
      <c r="T26" s="631">
        <v>162</v>
      </c>
      <c r="U26" s="631">
        <v>1033</v>
      </c>
      <c r="V26" s="631">
        <v>1922</v>
      </c>
      <c r="W26" s="631">
        <v>2955</v>
      </c>
    </row>
    <row r="27" spans="1:23" ht="24.75" customHeight="1" x14ac:dyDescent="0.35">
      <c r="A27" s="6">
        <v>23</v>
      </c>
      <c r="B27" s="198" t="s">
        <v>33</v>
      </c>
      <c r="C27" s="631">
        <v>1181</v>
      </c>
      <c r="D27" s="631">
        <v>1092</v>
      </c>
      <c r="E27" s="631">
        <v>2273</v>
      </c>
      <c r="F27" s="631">
        <v>40</v>
      </c>
      <c r="G27" s="631">
        <v>14</v>
      </c>
      <c r="H27" s="631">
        <v>54</v>
      </c>
      <c r="I27" s="631">
        <v>887</v>
      </c>
      <c r="J27" s="631">
        <v>1029</v>
      </c>
      <c r="K27" s="631">
        <v>1916</v>
      </c>
      <c r="L27" s="631">
        <v>79</v>
      </c>
      <c r="M27" s="631">
        <v>13</v>
      </c>
      <c r="N27" s="631">
        <v>92</v>
      </c>
      <c r="O27" s="631">
        <v>3</v>
      </c>
      <c r="P27" s="631">
        <v>1</v>
      </c>
      <c r="Q27" s="631">
        <v>4</v>
      </c>
      <c r="R27" s="631">
        <v>16</v>
      </c>
      <c r="S27" s="631">
        <v>2</v>
      </c>
      <c r="T27" s="631">
        <v>18</v>
      </c>
      <c r="U27" s="631">
        <v>893</v>
      </c>
      <c r="V27" s="631">
        <v>1037</v>
      </c>
      <c r="W27" s="631">
        <v>1930</v>
      </c>
    </row>
    <row r="28" spans="1:23" ht="24.75" customHeight="1" x14ac:dyDescent="0.35">
      <c r="A28" s="6">
        <v>24</v>
      </c>
      <c r="B28" s="198" t="s">
        <v>34</v>
      </c>
      <c r="C28" s="631">
        <v>1113</v>
      </c>
      <c r="D28" s="631">
        <v>1570</v>
      </c>
      <c r="E28" s="631">
        <v>2683</v>
      </c>
      <c r="F28" s="631">
        <v>44</v>
      </c>
      <c r="G28" s="631">
        <v>15</v>
      </c>
      <c r="H28" s="631">
        <v>59</v>
      </c>
      <c r="I28" s="631">
        <v>780</v>
      </c>
      <c r="J28" s="631">
        <v>1457</v>
      </c>
      <c r="K28" s="631">
        <v>2237</v>
      </c>
      <c r="L28" s="631">
        <v>89</v>
      </c>
      <c r="M28" s="631">
        <v>38</v>
      </c>
      <c r="N28" s="631">
        <v>127</v>
      </c>
      <c r="O28" s="631">
        <v>6</v>
      </c>
      <c r="P28" s="631">
        <v>2</v>
      </c>
      <c r="Q28" s="631">
        <v>8</v>
      </c>
      <c r="R28" s="631">
        <v>18</v>
      </c>
      <c r="S28" s="631">
        <v>3</v>
      </c>
      <c r="T28" s="631">
        <v>21</v>
      </c>
      <c r="U28" s="631">
        <v>838</v>
      </c>
      <c r="V28" s="631">
        <v>1480</v>
      </c>
      <c r="W28" s="631">
        <v>2318</v>
      </c>
    </row>
    <row r="29" spans="1:23" ht="24.75" customHeight="1" x14ac:dyDescent="0.35">
      <c r="A29" s="6">
        <v>25</v>
      </c>
      <c r="B29" s="198" t="s">
        <v>35</v>
      </c>
      <c r="C29" s="631">
        <v>27444</v>
      </c>
      <c r="D29" s="631">
        <v>18397</v>
      </c>
      <c r="E29" s="631">
        <v>45841</v>
      </c>
      <c r="F29" s="631">
        <v>1676</v>
      </c>
      <c r="G29" s="631">
        <v>1038</v>
      </c>
      <c r="H29" s="631">
        <v>2714</v>
      </c>
      <c r="I29" s="631">
        <v>857</v>
      </c>
      <c r="J29" s="631">
        <v>844</v>
      </c>
      <c r="K29" s="631">
        <v>1701</v>
      </c>
      <c r="L29" s="631">
        <v>4462</v>
      </c>
      <c r="M29" s="631">
        <v>2522</v>
      </c>
      <c r="N29" s="631">
        <v>6984</v>
      </c>
      <c r="O29" s="631">
        <v>204</v>
      </c>
      <c r="P29" s="631">
        <v>102</v>
      </c>
      <c r="Q29" s="631">
        <v>306</v>
      </c>
      <c r="R29" s="631">
        <v>282</v>
      </c>
      <c r="S29" s="631">
        <v>174</v>
      </c>
      <c r="T29" s="631">
        <v>456</v>
      </c>
      <c r="U29" s="631">
        <v>286</v>
      </c>
      <c r="V29" s="631">
        <v>445</v>
      </c>
      <c r="W29" s="631">
        <v>731</v>
      </c>
    </row>
    <row r="30" spans="1:23" ht="24.75" customHeight="1" x14ac:dyDescent="0.35">
      <c r="A30" s="6">
        <v>26</v>
      </c>
      <c r="B30" s="198" t="s">
        <v>36</v>
      </c>
      <c r="C30" s="631">
        <v>3846</v>
      </c>
      <c r="D30" s="631">
        <v>3373</v>
      </c>
      <c r="E30" s="631">
        <v>7219</v>
      </c>
      <c r="F30" s="631">
        <v>478</v>
      </c>
      <c r="G30" s="631">
        <v>321</v>
      </c>
      <c r="H30" s="631">
        <v>799</v>
      </c>
      <c r="I30" s="631">
        <v>36</v>
      </c>
      <c r="J30" s="631">
        <v>18</v>
      </c>
      <c r="K30" s="631">
        <v>54</v>
      </c>
      <c r="L30" s="631">
        <v>2175</v>
      </c>
      <c r="M30" s="631">
        <v>2113</v>
      </c>
      <c r="N30" s="631">
        <v>4288</v>
      </c>
      <c r="O30" s="631">
        <v>46</v>
      </c>
      <c r="P30" s="631">
        <v>15</v>
      </c>
      <c r="Q30" s="631">
        <v>61</v>
      </c>
      <c r="R30" s="631">
        <v>113</v>
      </c>
      <c r="S30" s="631">
        <v>70</v>
      </c>
      <c r="T30" s="631">
        <v>183</v>
      </c>
      <c r="U30" s="631">
        <v>295</v>
      </c>
      <c r="V30" s="631">
        <v>340</v>
      </c>
      <c r="W30" s="631">
        <v>635</v>
      </c>
    </row>
    <row r="31" spans="1:23" ht="24.75" customHeight="1" x14ac:dyDescent="0.35">
      <c r="A31" s="6">
        <v>27</v>
      </c>
      <c r="B31" s="198" t="s">
        <v>37</v>
      </c>
      <c r="C31" s="631">
        <v>19824</v>
      </c>
      <c r="D31" s="631">
        <v>31407</v>
      </c>
      <c r="E31" s="631">
        <v>51231</v>
      </c>
      <c r="F31" s="631">
        <v>1713</v>
      </c>
      <c r="G31" s="631">
        <v>2577</v>
      </c>
      <c r="H31" s="631">
        <v>4290</v>
      </c>
      <c r="I31" s="631">
        <v>47</v>
      </c>
      <c r="J31" s="631">
        <v>26</v>
      </c>
      <c r="K31" s="631">
        <v>73</v>
      </c>
      <c r="L31" s="631">
        <v>1282</v>
      </c>
      <c r="M31" s="631">
        <v>1638</v>
      </c>
      <c r="N31" s="631">
        <v>2920</v>
      </c>
      <c r="O31" s="631">
        <v>150</v>
      </c>
      <c r="P31" s="631">
        <v>194</v>
      </c>
      <c r="Q31" s="631">
        <v>344</v>
      </c>
      <c r="R31" s="631">
        <v>594</v>
      </c>
      <c r="S31" s="631">
        <v>271</v>
      </c>
      <c r="T31" s="631">
        <v>865</v>
      </c>
      <c r="U31" s="631">
        <v>7924</v>
      </c>
      <c r="V31" s="631">
        <v>16180</v>
      </c>
      <c r="W31" s="631">
        <v>24104</v>
      </c>
    </row>
    <row r="32" spans="1:23" ht="24.75" customHeight="1" x14ac:dyDescent="0.35">
      <c r="A32" s="6">
        <v>28</v>
      </c>
      <c r="B32" s="198" t="s">
        <v>38</v>
      </c>
      <c r="C32" s="631">
        <v>55991</v>
      </c>
      <c r="D32" s="631">
        <v>31584</v>
      </c>
      <c r="E32" s="631">
        <v>87575</v>
      </c>
      <c r="F32" s="631">
        <v>5576</v>
      </c>
      <c r="G32" s="631">
        <v>1645</v>
      </c>
      <c r="H32" s="631">
        <v>7221</v>
      </c>
      <c r="I32" s="631">
        <v>2172</v>
      </c>
      <c r="J32" s="631">
        <v>730</v>
      </c>
      <c r="K32" s="631">
        <v>2902</v>
      </c>
      <c r="L32" s="631">
        <v>19232</v>
      </c>
      <c r="M32" s="631">
        <v>8837</v>
      </c>
      <c r="N32" s="631">
        <v>28069</v>
      </c>
      <c r="O32" s="631">
        <v>458</v>
      </c>
      <c r="P32" s="631">
        <v>140</v>
      </c>
      <c r="Q32" s="631">
        <v>598</v>
      </c>
      <c r="R32" s="631">
        <v>1877</v>
      </c>
      <c r="S32" s="631">
        <v>739</v>
      </c>
      <c r="T32" s="631">
        <v>2616</v>
      </c>
      <c r="U32" s="631">
        <v>1158</v>
      </c>
      <c r="V32" s="631">
        <v>1359</v>
      </c>
      <c r="W32" s="631">
        <v>2517</v>
      </c>
    </row>
    <row r="33" spans="1:23" ht="24.75" customHeight="1" x14ac:dyDescent="0.35">
      <c r="A33" s="6">
        <v>29</v>
      </c>
      <c r="B33" s="198" t="s">
        <v>39</v>
      </c>
      <c r="C33" s="631">
        <v>907</v>
      </c>
      <c r="D33" s="631">
        <v>665</v>
      </c>
      <c r="E33" s="631">
        <v>1572</v>
      </c>
      <c r="F33" s="631">
        <v>54</v>
      </c>
      <c r="G33" s="631">
        <v>16</v>
      </c>
      <c r="H33" s="631">
        <v>70</v>
      </c>
      <c r="I33" s="631">
        <v>192</v>
      </c>
      <c r="J33" s="631">
        <v>246</v>
      </c>
      <c r="K33" s="631">
        <v>438</v>
      </c>
      <c r="L33" s="631">
        <v>171</v>
      </c>
      <c r="M33" s="631">
        <v>158</v>
      </c>
      <c r="N33" s="631">
        <v>329</v>
      </c>
      <c r="O33" s="631">
        <v>7</v>
      </c>
      <c r="P33" s="631">
        <v>2</v>
      </c>
      <c r="Q33" s="631">
        <v>9</v>
      </c>
      <c r="R33" s="631">
        <v>15</v>
      </c>
      <c r="S33" s="631">
        <v>3</v>
      </c>
      <c r="T33" s="631">
        <v>18</v>
      </c>
      <c r="U33" s="631">
        <v>195</v>
      </c>
      <c r="V33" s="631">
        <v>251</v>
      </c>
      <c r="W33" s="631">
        <v>446</v>
      </c>
    </row>
    <row r="34" spans="1:23" ht="24.75" customHeight="1" x14ac:dyDescent="0.35">
      <c r="A34" s="6">
        <v>30</v>
      </c>
      <c r="B34" s="198" t="s">
        <v>40</v>
      </c>
      <c r="C34" s="631">
        <v>104549</v>
      </c>
      <c r="D34" s="631">
        <v>110678</v>
      </c>
      <c r="E34" s="631">
        <v>215227</v>
      </c>
      <c r="F34" s="631">
        <v>13240</v>
      </c>
      <c r="G34" s="631">
        <v>11934</v>
      </c>
      <c r="H34" s="631">
        <v>25174</v>
      </c>
      <c r="I34" s="631">
        <v>339</v>
      </c>
      <c r="J34" s="631">
        <v>251</v>
      </c>
      <c r="K34" s="631">
        <v>590</v>
      </c>
      <c r="L34" s="631">
        <v>72823</v>
      </c>
      <c r="M34" s="631">
        <v>79201</v>
      </c>
      <c r="N34" s="631">
        <v>152024</v>
      </c>
      <c r="O34" s="631">
        <v>826</v>
      </c>
      <c r="P34" s="631">
        <v>750</v>
      </c>
      <c r="Q34" s="631">
        <v>1576</v>
      </c>
      <c r="R34" s="631">
        <v>3551</v>
      </c>
      <c r="S34" s="631">
        <v>2870</v>
      </c>
      <c r="T34" s="631">
        <v>6421</v>
      </c>
      <c r="U34" s="631">
        <v>10279</v>
      </c>
      <c r="V34" s="631">
        <v>17266</v>
      </c>
      <c r="W34" s="631">
        <v>27545</v>
      </c>
    </row>
    <row r="35" spans="1:23" ht="24.75" customHeight="1" x14ac:dyDescent="0.35">
      <c r="A35" s="6">
        <v>31</v>
      </c>
      <c r="B35" s="198" t="s">
        <v>41</v>
      </c>
      <c r="C35" s="631">
        <v>46541</v>
      </c>
      <c r="D35" s="631">
        <v>36211</v>
      </c>
      <c r="E35" s="631">
        <v>82752</v>
      </c>
      <c r="F35" s="631">
        <v>5217</v>
      </c>
      <c r="G35" s="631">
        <v>4297</v>
      </c>
      <c r="H35" s="631">
        <v>9514</v>
      </c>
      <c r="I35" s="631">
        <v>2169</v>
      </c>
      <c r="J35" s="631">
        <v>797</v>
      </c>
      <c r="K35" s="631">
        <v>2966</v>
      </c>
      <c r="L35" s="631">
        <v>20399</v>
      </c>
      <c r="M35" s="631">
        <v>14420</v>
      </c>
      <c r="N35" s="631">
        <v>34819</v>
      </c>
      <c r="O35" s="631">
        <v>299</v>
      </c>
      <c r="P35" s="631">
        <v>175</v>
      </c>
      <c r="Q35" s="631">
        <v>474</v>
      </c>
      <c r="R35" s="631">
        <v>3947</v>
      </c>
      <c r="S35" s="631">
        <v>3681</v>
      </c>
      <c r="T35" s="631">
        <v>7628</v>
      </c>
      <c r="U35" s="631">
        <v>1177</v>
      </c>
      <c r="V35" s="631">
        <v>2230</v>
      </c>
      <c r="W35" s="631">
        <v>3407</v>
      </c>
    </row>
    <row r="36" spans="1:23" ht="30" x14ac:dyDescent="0.35">
      <c r="A36" s="6">
        <v>32</v>
      </c>
      <c r="B36" s="198" t="s">
        <v>60</v>
      </c>
      <c r="C36" s="631">
        <v>359</v>
      </c>
      <c r="D36" s="631">
        <v>313</v>
      </c>
      <c r="E36" s="631">
        <v>672</v>
      </c>
      <c r="F36" s="631">
        <v>35</v>
      </c>
      <c r="G36" s="631">
        <v>12</v>
      </c>
      <c r="H36" s="631">
        <v>47</v>
      </c>
      <c r="I36" s="631">
        <v>27</v>
      </c>
      <c r="J36" s="631">
        <v>33</v>
      </c>
      <c r="K36" s="631">
        <v>60</v>
      </c>
      <c r="L36" s="631">
        <v>70</v>
      </c>
      <c r="M36" s="631">
        <v>45</v>
      </c>
      <c r="N36" s="631">
        <v>115</v>
      </c>
      <c r="O36" s="631">
        <v>6</v>
      </c>
      <c r="P36" s="631">
        <v>1</v>
      </c>
      <c r="Q36" s="631">
        <v>7</v>
      </c>
      <c r="R36" s="631">
        <v>15</v>
      </c>
      <c r="S36" s="631">
        <v>9</v>
      </c>
      <c r="T36" s="631">
        <v>24</v>
      </c>
      <c r="U36" s="631">
        <v>14</v>
      </c>
      <c r="V36" s="631">
        <v>23</v>
      </c>
      <c r="W36" s="631">
        <v>37</v>
      </c>
    </row>
    <row r="37" spans="1:23" ht="24.75" customHeight="1" x14ac:dyDescent="0.35">
      <c r="A37" s="6">
        <v>33</v>
      </c>
      <c r="B37" s="199" t="s">
        <v>42</v>
      </c>
      <c r="C37" s="631">
        <v>1772</v>
      </c>
      <c r="D37" s="631">
        <v>1047</v>
      </c>
      <c r="E37" s="631">
        <v>2819</v>
      </c>
      <c r="F37" s="631">
        <v>256</v>
      </c>
      <c r="G37" s="631">
        <v>136</v>
      </c>
      <c r="H37" s="631">
        <v>392</v>
      </c>
      <c r="I37" s="631">
        <v>275</v>
      </c>
      <c r="J37" s="631">
        <v>170</v>
      </c>
      <c r="K37" s="631">
        <v>445</v>
      </c>
      <c r="L37" s="631">
        <v>219</v>
      </c>
      <c r="M37" s="631">
        <v>109</v>
      </c>
      <c r="N37" s="631">
        <v>328</v>
      </c>
      <c r="O37" s="631">
        <v>12</v>
      </c>
      <c r="P37" s="631">
        <v>6</v>
      </c>
      <c r="Q37" s="631">
        <v>18</v>
      </c>
      <c r="R37" s="631">
        <v>29</v>
      </c>
      <c r="S37" s="631">
        <v>8</v>
      </c>
      <c r="T37" s="631">
        <v>37</v>
      </c>
      <c r="U37" s="631">
        <v>123</v>
      </c>
      <c r="V37" s="631">
        <v>78</v>
      </c>
      <c r="W37" s="631">
        <v>201</v>
      </c>
    </row>
    <row r="38" spans="1:23" ht="24.75" customHeight="1" x14ac:dyDescent="0.35">
      <c r="A38" s="6">
        <v>34</v>
      </c>
      <c r="B38" s="198" t="s">
        <v>43</v>
      </c>
      <c r="C38" s="631">
        <v>131112</v>
      </c>
      <c r="D38" s="631">
        <v>61610</v>
      </c>
      <c r="E38" s="631">
        <v>192722</v>
      </c>
      <c r="F38" s="631">
        <v>14283</v>
      </c>
      <c r="G38" s="631">
        <v>4166</v>
      </c>
      <c r="H38" s="631">
        <v>18449</v>
      </c>
      <c r="I38" s="631">
        <v>367</v>
      </c>
      <c r="J38" s="631">
        <v>132</v>
      </c>
      <c r="K38" s="631">
        <v>499</v>
      </c>
      <c r="L38" s="631">
        <v>42076</v>
      </c>
      <c r="M38" s="631">
        <v>14953</v>
      </c>
      <c r="N38" s="631">
        <v>57029</v>
      </c>
      <c r="O38" s="631">
        <v>908</v>
      </c>
      <c r="P38" s="631">
        <v>318</v>
      </c>
      <c r="Q38" s="631">
        <v>1226</v>
      </c>
      <c r="R38" s="631">
        <v>8632</v>
      </c>
      <c r="S38" s="631">
        <v>3955</v>
      </c>
      <c r="T38" s="631">
        <v>12587</v>
      </c>
      <c r="U38" s="631">
        <v>1398</v>
      </c>
      <c r="V38" s="631">
        <v>1796</v>
      </c>
      <c r="W38" s="631">
        <v>3194</v>
      </c>
    </row>
    <row r="39" spans="1:23" ht="24.75" customHeight="1" x14ac:dyDescent="0.35">
      <c r="A39" s="6">
        <v>35</v>
      </c>
      <c r="B39" s="198" t="s">
        <v>44</v>
      </c>
      <c r="C39" s="631">
        <v>11499</v>
      </c>
      <c r="D39" s="631">
        <v>7980</v>
      </c>
      <c r="E39" s="631">
        <v>19479</v>
      </c>
      <c r="F39" s="631">
        <v>971</v>
      </c>
      <c r="G39" s="631">
        <v>491</v>
      </c>
      <c r="H39" s="631">
        <v>1462</v>
      </c>
      <c r="I39" s="631">
        <v>131</v>
      </c>
      <c r="J39" s="631">
        <v>78</v>
      </c>
      <c r="K39" s="631">
        <v>209</v>
      </c>
      <c r="L39" s="631">
        <v>1491</v>
      </c>
      <c r="M39" s="631">
        <v>827</v>
      </c>
      <c r="N39" s="631">
        <v>2318</v>
      </c>
      <c r="O39" s="631">
        <v>89</v>
      </c>
      <c r="P39" s="631">
        <v>41</v>
      </c>
      <c r="Q39" s="631">
        <v>130</v>
      </c>
      <c r="R39" s="631">
        <v>433</v>
      </c>
      <c r="S39" s="631">
        <v>251</v>
      </c>
      <c r="T39" s="631">
        <v>684</v>
      </c>
      <c r="U39" s="631">
        <v>180</v>
      </c>
      <c r="V39" s="631">
        <v>249</v>
      </c>
      <c r="W39" s="631">
        <v>429</v>
      </c>
    </row>
    <row r="40" spans="1:23" ht="24.75" customHeight="1" x14ac:dyDescent="0.35">
      <c r="A40" s="6">
        <v>36</v>
      </c>
      <c r="B40" s="198" t="s">
        <v>45</v>
      </c>
      <c r="C40" s="631">
        <v>47806</v>
      </c>
      <c r="D40" s="631">
        <v>28118</v>
      </c>
      <c r="E40" s="631">
        <v>75924</v>
      </c>
      <c r="F40" s="631">
        <v>6187</v>
      </c>
      <c r="G40" s="631">
        <v>2461</v>
      </c>
      <c r="H40" s="631">
        <v>8648</v>
      </c>
      <c r="I40" s="631">
        <v>717</v>
      </c>
      <c r="J40" s="631">
        <v>518</v>
      </c>
      <c r="K40" s="631">
        <v>1235</v>
      </c>
      <c r="L40" s="631">
        <v>5835</v>
      </c>
      <c r="M40" s="631">
        <v>2078</v>
      </c>
      <c r="N40" s="631">
        <v>7913</v>
      </c>
      <c r="O40" s="631">
        <v>358</v>
      </c>
      <c r="P40" s="631">
        <v>129</v>
      </c>
      <c r="Q40" s="631">
        <v>487</v>
      </c>
      <c r="R40" s="631">
        <v>4687</v>
      </c>
      <c r="S40" s="631">
        <v>1497</v>
      </c>
      <c r="T40" s="631">
        <v>6184</v>
      </c>
      <c r="U40" s="631">
        <v>519</v>
      </c>
      <c r="V40" s="631">
        <v>551</v>
      </c>
      <c r="W40" s="631">
        <v>1070</v>
      </c>
    </row>
    <row r="41" spans="1:23" s="200" customFormat="1" ht="30.75" customHeight="1" x14ac:dyDescent="0.3">
      <c r="A41" s="828" t="s">
        <v>1069</v>
      </c>
      <c r="B41" s="828"/>
      <c r="C41" s="633">
        <v>927394</v>
      </c>
      <c r="D41" s="633">
        <v>736778</v>
      </c>
      <c r="E41" s="633">
        <v>1664172</v>
      </c>
      <c r="F41" s="633">
        <v>96663</v>
      </c>
      <c r="G41" s="633">
        <v>61519</v>
      </c>
      <c r="H41" s="633">
        <v>158182</v>
      </c>
      <c r="I41" s="633">
        <v>24923</v>
      </c>
      <c r="J41" s="633">
        <v>21010</v>
      </c>
      <c r="K41" s="633">
        <v>45933</v>
      </c>
      <c r="L41" s="633">
        <v>306614</v>
      </c>
      <c r="M41" s="633">
        <v>234111</v>
      </c>
      <c r="N41" s="633">
        <v>540725</v>
      </c>
      <c r="O41" s="633">
        <v>7951</v>
      </c>
      <c r="P41" s="633">
        <v>4596</v>
      </c>
      <c r="Q41" s="633">
        <v>12547</v>
      </c>
      <c r="R41" s="633">
        <v>57844</v>
      </c>
      <c r="S41" s="633">
        <v>36845</v>
      </c>
      <c r="T41" s="633">
        <v>94689</v>
      </c>
      <c r="U41" s="633">
        <v>55158</v>
      </c>
      <c r="V41" s="633">
        <v>89706</v>
      </c>
      <c r="W41" s="633">
        <v>144864</v>
      </c>
    </row>
    <row r="42" spans="1:23" x14ac:dyDescent="0.35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mergeCells count="12">
    <mergeCell ref="U2:W2"/>
    <mergeCell ref="A41:B41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ageMargins left="0.59055118110236227" right="0.15748031496062992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2022-23&amp;RT-21</oddFooter>
  </headerFooter>
  <colBreaks count="1" manualBreakCount="1">
    <brk id="14" max="3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CBD4-D2DC-45EC-BA1B-13F621895F3A}">
  <sheetPr codeName="Sheet31">
    <tabColor rgb="FF92D050"/>
  </sheetPr>
  <dimension ref="A1:W43"/>
  <sheetViews>
    <sheetView view="pageBreakPreview" zoomScaleSheetLayoutView="100" workbookViewId="0">
      <selection activeCell="C5" sqref="C5:W41"/>
    </sheetView>
  </sheetViews>
  <sheetFormatPr defaultColWidth="9.26953125" defaultRowHeight="14" x14ac:dyDescent="0.35"/>
  <cols>
    <col min="1" max="1" width="4.7265625" style="207" customWidth="1"/>
    <col min="2" max="2" width="25" style="22" customWidth="1"/>
    <col min="3" max="3" width="14.54296875" style="22" bestFit="1" customWidth="1"/>
    <col min="4" max="8" width="13.26953125" style="22" customWidth="1"/>
    <col min="9" max="14" width="14" style="22" customWidth="1"/>
    <col min="15" max="23" width="10" style="22" customWidth="1"/>
    <col min="24" max="16384" width="9.26953125" style="22"/>
  </cols>
  <sheetData>
    <row r="1" spans="1:23" s="96" customFormat="1" ht="35.25" customHeight="1" x14ac:dyDescent="0.35">
      <c r="A1" s="193"/>
      <c r="B1" s="201" t="s">
        <v>758</v>
      </c>
      <c r="C1" s="840" t="s">
        <v>1045</v>
      </c>
      <c r="D1" s="840"/>
      <c r="E1" s="840"/>
      <c r="F1" s="840"/>
      <c r="G1" s="840"/>
      <c r="H1" s="840"/>
      <c r="I1" s="841" t="str">
        <f>C1</f>
        <v>State/UTs-Wise Distribution of Male and Female Teachers by Position (Based on Actual Responses)</v>
      </c>
      <c r="J1" s="841"/>
      <c r="K1" s="841"/>
      <c r="L1" s="841"/>
      <c r="M1" s="841"/>
      <c r="N1" s="841"/>
      <c r="O1" s="841" t="str">
        <f>C1</f>
        <v>State/UTs-Wise Distribution of Male and Female Teachers by Position (Based on Actual Responses)</v>
      </c>
      <c r="P1" s="841"/>
      <c r="Q1" s="841"/>
      <c r="R1" s="841"/>
      <c r="S1" s="841"/>
      <c r="T1" s="841"/>
      <c r="U1" s="841"/>
      <c r="V1" s="841"/>
      <c r="W1" s="841"/>
    </row>
    <row r="2" spans="1:23" s="204" customFormat="1" ht="18" customHeight="1" x14ac:dyDescent="0.35">
      <c r="A2" s="683" t="s">
        <v>49</v>
      </c>
      <c r="B2" s="842" t="s">
        <v>50</v>
      </c>
      <c r="C2" s="842" t="s">
        <v>759</v>
      </c>
      <c r="D2" s="842"/>
      <c r="E2" s="842"/>
      <c r="F2" s="842" t="s">
        <v>760</v>
      </c>
      <c r="G2" s="843"/>
      <c r="H2" s="843"/>
      <c r="I2" s="842" t="s">
        <v>761</v>
      </c>
      <c r="J2" s="843"/>
      <c r="K2" s="843"/>
      <c r="L2" s="842" t="s">
        <v>762</v>
      </c>
      <c r="M2" s="843"/>
      <c r="N2" s="843"/>
      <c r="O2" s="842" t="s">
        <v>763</v>
      </c>
      <c r="P2" s="843"/>
      <c r="Q2" s="843"/>
      <c r="R2" s="835" t="s">
        <v>12</v>
      </c>
      <c r="S2" s="836"/>
      <c r="T2" s="837"/>
      <c r="U2" s="838" t="s">
        <v>764</v>
      </c>
      <c r="V2" s="839"/>
      <c r="W2" s="839"/>
    </row>
    <row r="3" spans="1:23" s="205" customFormat="1" ht="18" customHeight="1" x14ac:dyDescent="0.35">
      <c r="A3" s="683"/>
      <c r="B3" s="842"/>
      <c r="C3" s="348" t="s">
        <v>93</v>
      </c>
      <c r="D3" s="348" t="s">
        <v>94</v>
      </c>
      <c r="E3" s="348" t="s">
        <v>54</v>
      </c>
      <c r="F3" s="348" t="s">
        <v>93</v>
      </c>
      <c r="G3" s="348" t="s">
        <v>94</v>
      </c>
      <c r="H3" s="348" t="s">
        <v>54</v>
      </c>
      <c r="I3" s="348" t="s">
        <v>93</v>
      </c>
      <c r="J3" s="348" t="s">
        <v>94</v>
      </c>
      <c r="K3" s="348" t="s">
        <v>54</v>
      </c>
      <c r="L3" s="348" t="s">
        <v>93</v>
      </c>
      <c r="M3" s="348" t="s">
        <v>94</v>
      </c>
      <c r="N3" s="348" t="s">
        <v>54</v>
      </c>
      <c r="O3" s="348" t="s">
        <v>93</v>
      </c>
      <c r="P3" s="348" t="s">
        <v>94</v>
      </c>
      <c r="Q3" s="348" t="s">
        <v>54</v>
      </c>
      <c r="R3" s="348" t="s">
        <v>93</v>
      </c>
      <c r="S3" s="348" t="s">
        <v>94</v>
      </c>
      <c r="T3" s="348" t="s">
        <v>54</v>
      </c>
      <c r="U3" s="440" t="s">
        <v>93</v>
      </c>
      <c r="V3" s="440" t="s">
        <v>94</v>
      </c>
      <c r="W3" s="440" t="s">
        <v>54</v>
      </c>
    </row>
    <row r="4" spans="1:23" s="205" customFormat="1" ht="15.5" x14ac:dyDescent="0.35">
      <c r="A4" s="413">
        <v>1</v>
      </c>
      <c r="B4" s="413">
        <v>2</v>
      </c>
      <c r="C4" s="413">
        <v>3</v>
      </c>
      <c r="D4" s="413">
        <v>4</v>
      </c>
      <c r="E4" s="413">
        <v>5</v>
      </c>
      <c r="F4" s="413">
        <v>6</v>
      </c>
      <c r="G4" s="413">
        <v>7</v>
      </c>
      <c r="H4" s="413">
        <v>8</v>
      </c>
      <c r="I4" s="413">
        <v>9</v>
      </c>
      <c r="J4" s="413">
        <v>10</v>
      </c>
      <c r="K4" s="413">
        <v>11</v>
      </c>
      <c r="L4" s="413">
        <v>12</v>
      </c>
      <c r="M4" s="413">
        <v>13</v>
      </c>
      <c r="N4" s="413">
        <v>14</v>
      </c>
      <c r="O4" s="413">
        <v>15</v>
      </c>
      <c r="P4" s="413">
        <v>16</v>
      </c>
      <c r="Q4" s="413">
        <v>17</v>
      </c>
      <c r="R4" s="413">
        <v>18</v>
      </c>
      <c r="S4" s="413">
        <v>19</v>
      </c>
      <c r="T4" s="413">
        <v>20</v>
      </c>
      <c r="U4" s="413">
        <v>21</v>
      </c>
      <c r="V4" s="413">
        <v>22</v>
      </c>
      <c r="W4" s="413">
        <v>23</v>
      </c>
    </row>
    <row r="5" spans="1:23" ht="25.5" customHeight="1" x14ac:dyDescent="0.35">
      <c r="A5" s="6">
        <v>1</v>
      </c>
      <c r="B5" s="441" t="s">
        <v>58</v>
      </c>
      <c r="C5" s="1009">
        <v>4</v>
      </c>
      <c r="D5" s="1009"/>
      <c r="E5" s="1009">
        <v>4</v>
      </c>
      <c r="F5" s="1009"/>
      <c r="G5" s="1009"/>
      <c r="H5" s="1009"/>
      <c r="I5" s="1009">
        <v>47</v>
      </c>
      <c r="J5" s="1009">
        <v>27</v>
      </c>
      <c r="K5" s="1009">
        <v>74</v>
      </c>
      <c r="L5" s="1009"/>
      <c r="M5" s="1009"/>
      <c r="N5" s="1009"/>
      <c r="O5" s="1009">
        <v>8</v>
      </c>
      <c r="P5" s="1009">
        <v>40</v>
      </c>
      <c r="Q5" s="1009">
        <v>48</v>
      </c>
      <c r="R5" s="1009">
        <v>59</v>
      </c>
      <c r="S5" s="1009">
        <v>67</v>
      </c>
      <c r="T5" s="1009">
        <v>126</v>
      </c>
      <c r="U5" s="1009"/>
      <c r="V5" s="1009"/>
      <c r="W5" s="1009"/>
    </row>
    <row r="6" spans="1:23" ht="24.75" customHeight="1" x14ac:dyDescent="0.35">
      <c r="A6" s="6">
        <v>2</v>
      </c>
      <c r="B6" s="442" t="s">
        <v>13</v>
      </c>
      <c r="C6" s="1009">
        <v>7329</v>
      </c>
      <c r="D6" s="1009">
        <v>2592</v>
      </c>
      <c r="E6" s="1009">
        <v>9921</v>
      </c>
      <c r="F6" s="1009">
        <v>6884</v>
      </c>
      <c r="G6" s="1009">
        <v>3174</v>
      </c>
      <c r="H6" s="1009">
        <v>10058</v>
      </c>
      <c r="I6" s="1009">
        <v>47233</v>
      </c>
      <c r="J6" s="1009">
        <v>29898</v>
      </c>
      <c r="K6" s="1009">
        <v>77131</v>
      </c>
      <c r="L6" s="1009">
        <v>1029</v>
      </c>
      <c r="M6" s="1009">
        <v>5136</v>
      </c>
      <c r="N6" s="1009">
        <v>6165</v>
      </c>
      <c r="O6" s="1009">
        <v>2391</v>
      </c>
      <c r="P6" s="1009">
        <v>1718</v>
      </c>
      <c r="Q6" s="1009">
        <v>4109</v>
      </c>
      <c r="R6" s="1009">
        <v>64920</v>
      </c>
      <c r="S6" s="1009">
        <v>42589</v>
      </c>
      <c r="T6" s="1009">
        <v>107509</v>
      </c>
      <c r="U6" s="1009">
        <v>54</v>
      </c>
      <c r="V6" s="1009">
        <v>71</v>
      </c>
      <c r="W6" s="1009">
        <v>125</v>
      </c>
    </row>
    <row r="7" spans="1:23" ht="24.75" customHeight="1" x14ac:dyDescent="0.35">
      <c r="A7" s="6">
        <v>3</v>
      </c>
      <c r="B7" s="442" t="s">
        <v>14</v>
      </c>
      <c r="C7" s="1009">
        <v>172</v>
      </c>
      <c r="D7" s="1009">
        <v>45</v>
      </c>
      <c r="E7" s="1009">
        <v>217</v>
      </c>
      <c r="F7" s="1009">
        <v>187</v>
      </c>
      <c r="G7" s="1009">
        <v>65</v>
      </c>
      <c r="H7" s="1009">
        <v>252</v>
      </c>
      <c r="I7" s="1009">
        <v>834</v>
      </c>
      <c r="J7" s="1009">
        <v>789</v>
      </c>
      <c r="K7" s="1009">
        <v>1623</v>
      </c>
      <c r="L7" s="1009">
        <v>13</v>
      </c>
      <c r="M7" s="1009">
        <v>76</v>
      </c>
      <c r="N7" s="1009">
        <v>89</v>
      </c>
      <c r="O7" s="1009">
        <v>55</v>
      </c>
      <c r="P7" s="1009">
        <v>91</v>
      </c>
      <c r="Q7" s="1009">
        <v>146</v>
      </c>
      <c r="R7" s="1009">
        <v>1265</v>
      </c>
      <c r="S7" s="1009">
        <v>1068</v>
      </c>
      <c r="T7" s="1009">
        <v>2333</v>
      </c>
      <c r="U7" s="1009">
        <v>4</v>
      </c>
      <c r="V7" s="1009">
        <v>2</v>
      </c>
      <c r="W7" s="1009">
        <v>6</v>
      </c>
    </row>
    <row r="8" spans="1:23" ht="24.75" customHeight="1" x14ac:dyDescent="0.35">
      <c r="A8" s="6">
        <v>4</v>
      </c>
      <c r="B8" s="441" t="s">
        <v>15</v>
      </c>
      <c r="C8" s="1009">
        <v>1401</v>
      </c>
      <c r="D8" s="1009">
        <v>512</v>
      </c>
      <c r="E8" s="1009">
        <v>1913</v>
      </c>
      <c r="F8" s="1009">
        <v>2111</v>
      </c>
      <c r="G8" s="1009">
        <v>1230</v>
      </c>
      <c r="H8" s="1009">
        <v>3341</v>
      </c>
      <c r="I8" s="1009">
        <v>9863</v>
      </c>
      <c r="J8" s="1009">
        <v>8378</v>
      </c>
      <c r="K8" s="1009">
        <v>18241</v>
      </c>
      <c r="L8" s="1009">
        <v>663</v>
      </c>
      <c r="M8" s="1009">
        <v>944</v>
      </c>
      <c r="N8" s="1009">
        <v>1607</v>
      </c>
      <c r="O8" s="1009">
        <v>709</v>
      </c>
      <c r="P8" s="1009">
        <v>875</v>
      </c>
      <c r="Q8" s="1009">
        <v>1584</v>
      </c>
      <c r="R8" s="1009">
        <v>14772</v>
      </c>
      <c r="S8" s="1009">
        <v>11962</v>
      </c>
      <c r="T8" s="1009">
        <v>26734</v>
      </c>
      <c r="U8" s="1009">
        <v>25</v>
      </c>
      <c r="V8" s="1009">
        <v>23</v>
      </c>
      <c r="W8" s="1009">
        <v>48</v>
      </c>
    </row>
    <row r="9" spans="1:23" ht="24.75" customHeight="1" x14ac:dyDescent="0.35">
      <c r="A9" s="6">
        <v>5</v>
      </c>
      <c r="B9" s="441" t="s">
        <v>16</v>
      </c>
      <c r="C9" s="1009">
        <v>2255</v>
      </c>
      <c r="D9" s="1009">
        <v>624</v>
      </c>
      <c r="E9" s="1009">
        <v>2879</v>
      </c>
      <c r="F9" s="1009">
        <v>2595</v>
      </c>
      <c r="G9" s="1009">
        <v>671</v>
      </c>
      <c r="H9" s="1009">
        <v>3266</v>
      </c>
      <c r="I9" s="1009">
        <v>22627</v>
      </c>
      <c r="J9" s="1009">
        <v>6977</v>
      </c>
      <c r="K9" s="1009">
        <v>29604</v>
      </c>
      <c r="L9" s="1009">
        <v>1479</v>
      </c>
      <c r="M9" s="1009">
        <v>1565</v>
      </c>
      <c r="N9" s="1009">
        <v>3044</v>
      </c>
      <c r="O9" s="1009">
        <v>1463</v>
      </c>
      <c r="P9" s="1009">
        <v>647</v>
      </c>
      <c r="Q9" s="1009">
        <v>2110</v>
      </c>
      <c r="R9" s="1009">
        <v>30628</v>
      </c>
      <c r="S9" s="1009">
        <v>10569</v>
      </c>
      <c r="T9" s="1009">
        <v>41197</v>
      </c>
      <c r="U9" s="1009">
        <v>209</v>
      </c>
      <c r="V9" s="1009">
        <v>85</v>
      </c>
      <c r="W9" s="1009">
        <v>294</v>
      </c>
    </row>
    <row r="10" spans="1:23" ht="24.75" customHeight="1" x14ac:dyDescent="0.35">
      <c r="A10" s="6">
        <v>6</v>
      </c>
      <c r="B10" s="442" t="s">
        <v>17</v>
      </c>
      <c r="C10" s="1009">
        <v>424</v>
      </c>
      <c r="D10" s="1009">
        <v>324</v>
      </c>
      <c r="E10" s="1009">
        <v>748</v>
      </c>
      <c r="F10" s="1009">
        <v>279</v>
      </c>
      <c r="G10" s="1009">
        <v>289</v>
      </c>
      <c r="H10" s="1009">
        <v>568</v>
      </c>
      <c r="I10" s="1009">
        <v>768</v>
      </c>
      <c r="J10" s="1009">
        <v>1298</v>
      </c>
      <c r="K10" s="1009">
        <v>2066</v>
      </c>
      <c r="L10" s="1009">
        <v>14</v>
      </c>
      <c r="M10" s="1009">
        <v>10</v>
      </c>
      <c r="N10" s="1009">
        <v>24</v>
      </c>
      <c r="O10" s="1009">
        <v>68</v>
      </c>
      <c r="P10" s="1009">
        <v>235</v>
      </c>
      <c r="Q10" s="1009">
        <v>303</v>
      </c>
      <c r="R10" s="1009">
        <v>1556</v>
      </c>
      <c r="S10" s="1009">
        <v>2162</v>
      </c>
      <c r="T10" s="1009">
        <v>3718</v>
      </c>
      <c r="U10" s="1009">
        <v>3</v>
      </c>
      <c r="V10" s="1009">
        <v>6</v>
      </c>
      <c r="W10" s="1009">
        <v>9</v>
      </c>
    </row>
    <row r="11" spans="1:23" ht="24.75" customHeight="1" x14ac:dyDescent="0.35">
      <c r="A11" s="6">
        <v>7</v>
      </c>
      <c r="B11" s="442" t="s">
        <v>18</v>
      </c>
      <c r="C11" s="1010">
        <v>1269</v>
      </c>
      <c r="D11" s="1009">
        <v>698</v>
      </c>
      <c r="E11" s="1009">
        <v>1967</v>
      </c>
      <c r="F11" s="1009">
        <v>955</v>
      </c>
      <c r="G11" s="1009">
        <v>733</v>
      </c>
      <c r="H11" s="1009">
        <v>1688</v>
      </c>
      <c r="I11" s="1009">
        <v>8124</v>
      </c>
      <c r="J11" s="1009">
        <v>7615</v>
      </c>
      <c r="K11" s="1009">
        <v>15739</v>
      </c>
      <c r="L11" s="1009">
        <v>616</v>
      </c>
      <c r="M11" s="1009">
        <v>1957</v>
      </c>
      <c r="N11" s="1009">
        <v>2573</v>
      </c>
      <c r="O11" s="1009">
        <v>1461</v>
      </c>
      <c r="P11" s="1009">
        <v>1374</v>
      </c>
      <c r="Q11" s="1009">
        <v>2835</v>
      </c>
      <c r="R11" s="1009">
        <v>12471</v>
      </c>
      <c r="S11" s="1009">
        <v>12431</v>
      </c>
      <c r="T11" s="1009">
        <v>24902</v>
      </c>
      <c r="U11" s="1009">
        <v>46</v>
      </c>
      <c r="V11" s="1009">
        <v>54</v>
      </c>
      <c r="W11" s="1009">
        <v>100</v>
      </c>
    </row>
    <row r="12" spans="1:23" ht="24.75" customHeight="1" x14ac:dyDescent="0.35">
      <c r="A12" s="6">
        <v>8</v>
      </c>
      <c r="B12" s="442" t="s">
        <v>19</v>
      </c>
      <c r="C12" s="1009">
        <v>2432</v>
      </c>
      <c r="D12" s="1009">
        <v>1666</v>
      </c>
      <c r="E12" s="1009">
        <v>4098</v>
      </c>
      <c r="F12" s="1009">
        <v>1900</v>
      </c>
      <c r="G12" s="1009">
        <v>2621</v>
      </c>
      <c r="H12" s="1009">
        <v>4521</v>
      </c>
      <c r="I12" s="1009">
        <v>5570</v>
      </c>
      <c r="J12" s="1009">
        <v>6948</v>
      </c>
      <c r="K12" s="1009">
        <v>12518</v>
      </c>
      <c r="L12" s="1009">
        <v>83</v>
      </c>
      <c r="M12" s="1009">
        <v>411</v>
      </c>
      <c r="N12" s="1009">
        <v>494</v>
      </c>
      <c r="O12" s="1009">
        <v>568</v>
      </c>
      <c r="P12" s="1009">
        <v>923</v>
      </c>
      <c r="Q12" s="1009">
        <v>1491</v>
      </c>
      <c r="R12" s="1009">
        <v>10724</v>
      </c>
      <c r="S12" s="1009">
        <v>12698</v>
      </c>
      <c r="T12" s="1009">
        <v>23422</v>
      </c>
      <c r="U12" s="1009">
        <v>171</v>
      </c>
      <c r="V12" s="1009">
        <v>129</v>
      </c>
      <c r="W12" s="1009">
        <v>300</v>
      </c>
    </row>
    <row r="13" spans="1:23" ht="24.75" customHeight="1" x14ac:dyDescent="0.35">
      <c r="A13" s="6">
        <v>9</v>
      </c>
      <c r="B13" s="442" t="s">
        <v>20</v>
      </c>
      <c r="C13" s="1009">
        <v>240</v>
      </c>
      <c r="D13" s="1009">
        <v>95</v>
      </c>
      <c r="E13" s="1009">
        <v>335</v>
      </c>
      <c r="F13" s="1009">
        <v>301</v>
      </c>
      <c r="G13" s="1009">
        <v>294</v>
      </c>
      <c r="H13" s="1009">
        <v>595</v>
      </c>
      <c r="I13" s="1009">
        <v>1123</v>
      </c>
      <c r="J13" s="1009">
        <v>1652</v>
      </c>
      <c r="K13" s="1009">
        <v>2775</v>
      </c>
      <c r="L13" s="1009">
        <v>23</v>
      </c>
      <c r="M13" s="1009">
        <v>48</v>
      </c>
      <c r="N13" s="1009">
        <v>71</v>
      </c>
      <c r="O13" s="1009">
        <v>60</v>
      </c>
      <c r="P13" s="1009">
        <v>101</v>
      </c>
      <c r="Q13" s="1009">
        <v>161</v>
      </c>
      <c r="R13" s="1009">
        <v>1776</v>
      </c>
      <c r="S13" s="1009">
        <v>2243</v>
      </c>
      <c r="T13" s="1009">
        <v>4019</v>
      </c>
      <c r="U13" s="1009">
        <v>29</v>
      </c>
      <c r="V13" s="1009">
        <v>53</v>
      </c>
      <c r="W13" s="1009">
        <v>82</v>
      </c>
    </row>
    <row r="14" spans="1:23" ht="24.75" customHeight="1" x14ac:dyDescent="0.35">
      <c r="A14" s="6">
        <v>10</v>
      </c>
      <c r="B14" s="442" t="s">
        <v>21</v>
      </c>
      <c r="C14" s="1009">
        <v>4151</v>
      </c>
      <c r="D14" s="1009">
        <v>1807</v>
      </c>
      <c r="E14" s="1009">
        <v>5958</v>
      </c>
      <c r="F14" s="1009">
        <v>5125</v>
      </c>
      <c r="G14" s="1009">
        <v>2655</v>
      </c>
      <c r="H14" s="1009">
        <v>7780</v>
      </c>
      <c r="I14" s="1009">
        <v>22852</v>
      </c>
      <c r="J14" s="1009">
        <v>17021</v>
      </c>
      <c r="K14" s="1009">
        <v>39873</v>
      </c>
      <c r="L14" s="1009">
        <v>2123</v>
      </c>
      <c r="M14" s="1009">
        <v>5107</v>
      </c>
      <c r="N14" s="1009">
        <v>7230</v>
      </c>
      <c r="O14" s="1009">
        <v>1200</v>
      </c>
      <c r="P14" s="1009">
        <v>1590</v>
      </c>
      <c r="Q14" s="1009">
        <v>2790</v>
      </c>
      <c r="R14" s="1009">
        <v>36939</v>
      </c>
      <c r="S14" s="1009">
        <v>29312</v>
      </c>
      <c r="T14" s="1009">
        <v>66251</v>
      </c>
      <c r="U14" s="1009">
        <v>1488</v>
      </c>
      <c r="V14" s="1009">
        <v>1132</v>
      </c>
      <c r="W14" s="1009">
        <v>2620</v>
      </c>
    </row>
    <row r="15" spans="1:23" ht="24.75" customHeight="1" x14ac:dyDescent="0.35">
      <c r="A15" s="6">
        <v>11</v>
      </c>
      <c r="B15" s="442" t="s">
        <v>22</v>
      </c>
      <c r="C15" s="1009">
        <v>2619</v>
      </c>
      <c r="D15" s="1009">
        <v>1298</v>
      </c>
      <c r="E15" s="1009">
        <v>3917</v>
      </c>
      <c r="F15" s="1009">
        <v>2228</v>
      </c>
      <c r="G15" s="1009">
        <v>2106</v>
      </c>
      <c r="H15" s="1009">
        <v>4334</v>
      </c>
      <c r="I15" s="1009">
        <v>13649</v>
      </c>
      <c r="J15" s="1009">
        <v>16534</v>
      </c>
      <c r="K15" s="1009">
        <v>30183</v>
      </c>
      <c r="L15" s="1009">
        <v>324</v>
      </c>
      <c r="M15" s="1009">
        <v>1344</v>
      </c>
      <c r="N15" s="1009">
        <v>1668</v>
      </c>
      <c r="O15" s="1009">
        <v>980</v>
      </c>
      <c r="P15" s="1009">
        <v>1918</v>
      </c>
      <c r="Q15" s="1009">
        <v>2898</v>
      </c>
      <c r="R15" s="1009">
        <v>20064</v>
      </c>
      <c r="S15" s="1009">
        <v>23483</v>
      </c>
      <c r="T15" s="1009">
        <v>43547</v>
      </c>
      <c r="U15" s="1009">
        <v>264</v>
      </c>
      <c r="V15" s="1009">
        <v>283</v>
      </c>
      <c r="W15" s="1009">
        <v>547</v>
      </c>
    </row>
    <row r="16" spans="1:23" ht="24.75" customHeight="1" x14ac:dyDescent="0.35">
      <c r="A16" s="6">
        <v>12</v>
      </c>
      <c r="B16" s="442" t="s">
        <v>23</v>
      </c>
      <c r="C16" s="1009">
        <v>747</v>
      </c>
      <c r="D16" s="1009">
        <v>264</v>
      </c>
      <c r="E16" s="1009">
        <v>1011</v>
      </c>
      <c r="F16" s="1009">
        <v>732</v>
      </c>
      <c r="G16" s="1009">
        <v>398</v>
      </c>
      <c r="H16" s="1009">
        <v>1130</v>
      </c>
      <c r="I16" s="1009">
        <v>3630</v>
      </c>
      <c r="J16" s="1009">
        <v>3787</v>
      </c>
      <c r="K16" s="1009">
        <v>7417</v>
      </c>
      <c r="L16" s="1009">
        <v>129</v>
      </c>
      <c r="M16" s="1009">
        <v>696</v>
      </c>
      <c r="N16" s="1009">
        <v>825</v>
      </c>
      <c r="O16" s="1009">
        <v>154</v>
      </c>
      <c r="P16" s="1009">
        <v>214</v>
      </c>
      <c r="Q16" s="1009">
        <v>368</v>
      </c>
      <c r="R16" s="1009">
        <v>5415</v>
      </c>
      <c r="S16" s="1009">
        <v>5386</v>
      </c>
      <c r="T16" s="1009">
        <v>10801</v>
      </c>
      <c r="U16" s="1009">
        <v>23</v>
      </c>
      <c r="V16" s="1009">
        <v>27</v>
      </c>
      <c r="W16" s="1009">
        <v>50</v>
      </c>
    </row>
    <row r="17" spans="1:23" ht="24.75" customHeight="1" x14ac:dyDescent="0.35">
      <c r="A17" s="6">
        <v>13</v>
      </c>
      <c r="B17" s="442" t="s">
        <v>24</v>
      </c>
      <c r="C17" s="1009">
        <v>845</v>
      </c>
      <c r="D17" s="1009">
        <v>316</v>
      </c>
      <c r="E17" s="1009">
        <v>1161</v>
      </c>
      <c r="F17" s="1009">
        <v>627</v>
      </c>
      <c r="G17" s="1009">
        <v>406</v>
      </c>
      <c r="H17" s="1009">
        <v>1033</v>
      </c>
      <c r="I17" s="1009">
        <v>4063</v>
      </c>
      <c r="J17" s="1009">
        <v>2956</v>
      </c>
      <c r="K17" s="1009">
        <v>7019</v>
      </c>
      <c r="L17" s="1009">
        <v>328</v>
      </c>
      <c r="M17" s="1009">
        <v>577</v>
      </c>
      <c r="N17" s="1009">
        <v>905</v>
      </c>
      <c r="O17" s="1009">
        <v>979</v>
      </c>
      <c r="P17" s="1009">
        <v>629</v>
      </c>
      <c r="Q17" s="1009">
        <v>1608</v>
      </c>
      <c r="R17" s="1009">
        <v>6868</v>
      </c>
      <c r="S17" s="1009">
        <v>4900</v>
      </c>
      <c r="T17" s="1009">
        <v>11768</v>
      </c>
      <c r="U17" s="1009">
        <v>26</v>
      </c>
      <c r="V17" s="1009">
        <v>16</v>
      </c>
      <c r="W17" s="1009">
        <v>42</v>
      </c>
    </row>
    <row r="18" spans="1:23" ht="24.75" customHeight="1" x14ac:dyDescent="0.35">
      <c r="A18" s="6">
        <v>14</v>
      </c>
      <c r="B18" s="442" t="s">
        <v>25</v>
      </c>
      <c r="C18" s="1009">
        <v>926</v>
      </c>
      <c r="D18" s="1009">
        <v>330</v>
      </c>
      <c r="E18" s="1009">
        <v>1256</v>
      </c>
      <c r="F18" s="1009">
        <v>930</v>
      </c>
      <c r="G18" s="1009">
        <v>299</v>
      </c>
      <c r="H18" s="1009">
        <v>1229</v>
      </c>
      <c r="I18" s="1009">
        <v>7746</v>
      </c>
      <c r="J18" s="1009">
        <v>3968</v>
      </c>
      <c r="K18" s="1009">
        <v>11714</v>
      </c>
      <c r="L18" s="1009">
        <v>502</v>
      </c>
      <c r="M18" s="1009">
        <v>1124</v>
      </c>
      <c r="N18" s="1009">
        <v>1626</v>
      </c>
      <c r="O18" s="1009">
        <v>663</v>
      </c>
      <c r="P18" s="1009">
        <v>456</v>
      </c>
      <c r="Q18" s="1009">
        <v>1119</v>
      </c>
      <c r="R18" s="1009">
        <v>10829</v>
      </c>
      <c r="S18" s="1009">
        <v>6203</v>
      </c>
      <c r="T18" s="1009">
        <v>17032</v>
      </c>
      <c r="U18" s="1009">
        <v>62</v>
      </c>
      <c r="V18" s="1009">
        <v>26</v>
      </c>
      <c r="W18" s="1009">
        <v>88</v>
      </c>
    </row>
    <row r="19" spans="1:23" ht="24.75" customHeight="1" x14ac:dyDescent="0.35">
      <c r="A19" s="6">
        <v>15</v>
      </c>
      <c r="B19" s="442" t="s">
        <v>26</v>
      </c>
      <c r="C19" s="1009">
        <v>12356</v>
      </c>
      <c r="D19" s="1009">
        <v>5596</v>
      </c>
      <c r="E19" s="1009">
        <v>17952</v>
      </c>
      <c r="F19" s="1009">
        <v>9526</v>
      </c>
      <c r="G19" s="1009">
        <v>6602</v>
      </c>
      <c r="H19" s="1009">
        <v>16128</v>
      </c>
      <c r="I19" s="1009">
        <v>43836</v>
      </c>
      <c r="J19" s="1009">
        <v>44775</v>
      </c>
      <c r="K19" s="1009">
        <v>88611</v>
      </c>
      <c r="L19" s="1009">
        <v>5494</v>
      </c>
      <c r="M19" s="1009">
        <v>10544</v>
      </c>
      <c r="N19" s="1009">
        <v>16038</v>
      </c>
      <c r="O19" s="1009">
        <v>6028</v>
      </c>
      <c r="P19" s="1009">
        <v>5503</v>
      </c>
      <c r="Q19" s="1009">
        <v>11531</v>
      </c>
      <c r="R19" s="1009">
        <v>77894</v>
      </c>
      <c r="S19" s="1009">
        <v>73610</v>
      </c>
      <c r="T19" s="1009">
        <v>151504</v>
      </c>
      <c r="U19" s="1009">
        <v>654</v>
      </c>
      <c r="V19" s="1009">
        <v>590</v>
      </c>
      <c r="W19" s="1009">
        <v>1244</v>
      </c>
    </row>
    <row r="20" spans="1:23" ht="24.75" customHeight="1" x14ac:dyDescent="0.35">
      <c r="A20" s="6">
        <v>16</v>
      </c>
      <c r="B20" s="442" t="s">
        <v>27</v>
      </c>
      <c r="C20" s="1009">
        <v>3313</v>
      </c>
      <c r="D20" s="1009">
        <v>2290</v>
      </c>
      <c r="E20" s="1009">
        <v>5603</v>
      </c>
      <c r="F20" s="1009">
        <v>2920</v>
      </c>
      <c r="G20" s="1009">
        <v>3035</v>
      </c>
      <c r="H20" s="1009">
        <v>5955</v>
      </c>
      <c r="I20" s="1009">
        <v>15636</v>
      </c>
      <c r="J20" s="1009">
        <v>30975</v>
      </c>
      <c r="K20" s="1009">
        <v>46611</v>
      </c>
      <c r="L20" s="1009">
        <v>994</v>
      </c>
      <c r="M20" s="1009">
        <v>2453</v>
      </c>
      <c r="N20" s="1009">
        <v>3447</v>
      </c>
      <c r="O20" s="1009">
        <v>1136</v>
      </c>
      <c r="P20" s="1009">
        <v>3421</v>
      </c>
      <c r="Q20" s="1009">
        <v>4557</v>
      </c>
      <c r="R20" s="1009">
        <v>24055</v>
      </c>
      <c r="S20" s="1009">
        <v>42208</v>
      </c>
      <c r="T20" s="1009">
        <v>66263</v>
      </c>
      <c r="U20" s="1009">
        <v>56</v>
      </c>
      <c r="V20" s="1009">
        <v>34</v>
      </c>
      <c r="W20" s="1009">
        <v>90</v>
      </c>
    </row>
    <row r="21" spans="1:23" ht="24.75" customHeight="1" x14ac:dyDescent="0.35">
      <c r="A21" s="6">
        <v>17</v>
      </c>
      <c r="B21" s="443" t="s">
        <v>28</v>
      </c>
      <c r="C21" s="1009">
        <v>9</v>
      </c>
      <c r="D21" s="1009">
        <v>6</v>
      </c>
      <c r="E21" s="1009">
        <v>15</v>
      </c>
      <c r="F21" s="1009">
        <v>3</v>
      </c>
      <c r="G21" s="1009"/>
      <c r="H21" s="1009">
        <v>3</v>
      </c>
      <c r="I21" s="1009">
        <v>134</v>
      </c>
      <c r="J21" s="1009">
        <v>77</v>
      </c>
      <c r="K21" s="1009">
        <v>211</v>
      </c>
      <c r="L21" s="1009">
        <v>8</v>
      </c>
      <c r="M21" s="1009">
        <v>3</v>
      </c>
      <c r="N21" s="1009">
        <v>11</v>
      </c>
      <c r="O21" s="1009">
        <v>48</v>
      </c>
      <c r="P21" s="1009">
        <v>25</v>
      </c>
      <c r="Q21" s="1009">
        <v>73</v>
      </c>
      <c r="R21" s="1009">
        <v>202</v>
      </c>
      <c r="S21" s="1009">
        <v>111</v>
      </c>
      <c r="T21" s="1009">
        <v>313</v>
      </c>
      <c r="U21" s="1009"/>
      <c r="V21" s="1009"/>
      <c r="W21" s="1009"/>
    </row>
    <row r="22" spans="1:23" ht="24.75" customHeight="1" x14ac:dyDescent="0.35">
      <c r="A22" s="6">
        <v>18</v>
      </c>
      <c r="B22" s="442" t="s">
        <v>72</v>
      </c>
      <c r="C22" s="1009">
        <v>2</v>
      </c>
      <c r="D22" s="1009">
        <v>2</v>
      </c>
      <c r="E22" s="1009">
        <v>4</v>
      </c>
      <c r="F22" s="1009"/>
      <c r="G22" s="1009"/>
      <c r="H22" s="1009"/>
      <c r="I22" s="1009">
        <v>32</v>
      </c>
      <c r="J22" s="1009">
        <v>22</v>
      </c>
      <c r="K22" s="1009">
        <v>54</v>
      </c>
      <c r="L22" s="1009"/>
      <c r="M22" s="1009"/>
      <c r="N22" s="1009"/>
      <c r="O22" s="1009"/>
      <c r="P22" s="1009">
        <v>1</v>
      </c>
      <c r="Q22" s="1009">
        <v>1</v>
      </c>
      <c r="R22" s="1009">
        <v>34</v>
      </c>
      <c r="S22" s="1009">
        <v>25</v>
      </c>
      <c r="T22" s="1009">
        <v>59</v>
      </c>
      <c r="U22" s="1009"/>
      <c r="V22" s="1009"/>
      <c r="W22" s="1009"/>
    </row>
    <row r="23" spans="1:23" ht="24.75" customHeight="1" x14ac:dyDescent="0.35">
      <c r="A23" s="6">
        <v>19</v>
      </c>
      <c r="B23" s="442" t="s">
        <v>29</v>
      </c>
      <c r="C23" s="1009">
        <v>5974</v>
      </c>
      <c r="D23" s="1009">
        <v>3237</v>
      </c>
      <c r="E23" s="1009">
        <v>9211</v>
      </c>
      <c r="F23" s="1009">
        <v>4777</v>
      </c>
      <c r="G23" s="1009">
        <v>2970</v>
      </c>
      <c r="H23" s="1009">
        <v>7747</v>
      </c>
      <c r="I23" s="1009">
        <v>31813</v>
      </c>
      <c r="J23" s="1009">
        <v>22917</v>
      </c>
      <c r="K23" s="1009">
        <v>54730</v>
      </c>
      <c r="L23" s="1009">
        <v>2580</v>
      </c>
      <c r="M23" s="1009">
        <v>4580</v>
      </c>
      <c r="N23" s="1009">
        <v>7160</v>
      </c>
      <c r="O23" s="1009">
        <v>3355</v>
      </c>
      <c r="P23" s="1009">
        <v>2938</v>
      </c>
      <c r="Q23" s="1009">
        <v>6293</v>
      </c>
      <c r="R23" s="1009">
        <v>48798</v>
      </c>
      <c r="S23" s="1009">
        <v>36866</v>
      </c>
      <c r="T23" s="1009">
        <v>85664</v>
      </c>
      <c r="U23" s="1009">
        <v>299</v>
      </c>
      <c r="V23" s="1009">
        <v>224</v>
      </c>
      <c r="W23" s="1009">
        <v>523</v>
      </c>
    </row>
    <row r="24" spans="1:23" ht="24.75" customHeight="1" x14ac:dyDescent="0.35">
      <c r="A24" s="6">
        <v>20</v>
      </c>
      <c r="B24" s="442" t="s">
        <v>30</v>
      </c>
      <c r="C24" s="1009">
        <v>12156</v>
      </c>
      <c r="D24" s="1009">
        <v>5070</v>
      </c>
      <c r="E24" s="1009">
        <v>17226</v>
      </c>
      <c r="F24" s="1009">
        <v>12566</v>
      </c>
      <c r="G24" s="1009">
        <v>6540</v>
      </c>
      <c r="H24" s="1009">
        <v>19106</v>
      </c>
      <c r="I24" s="1009">
        <v>63451</v>
      </c>
      <c r="J24" s="1009">
        <v>53875</v>
      </c>
      <c r="K24" s="1009">
        <v>117326</v>
      </c>
      <c r="L24" s="1009">
        <v>3043</v>
      </c>
      <c r="M24" s="1009">
        <v>5634</v>
      </c>
      <c r="N24" s="1009">
        <v>8677</v>
      </c>
      <c r="O24" s="1009">
        <v>5658</v>
      </c>
      <c r="P24" s="1009">
        <v>5911</v>
      </c>
      <c r="Q24" s="1009">
        <v>11569</v>
      </c>
      <c r="R24" s="1009">
        <v>99125</v>
      </c>
      <c r="S24" s="1009">
        <v>79153</v>
      </c>
      <c r="T24" s="1009">
        <v>178278</v>
      </c>
      <c r="U24" s="1009">
        <v>2251</v>
      </c>
      <c r="V24" s="1009">
        <v>2123</v>
      </c>
      <c r="W24" s="1009">
        <v>4374</v>
      </c>
    </row>
    <row r="25" spans="1:23" ht="24.75" customHeight="1" x14ac:dyDescent="0.35">
      <c r="A25" s="6">
        <v>21</v>
      </c>
      <c r="B25" s="442" t="s">
        <v>31</v>
      </c>
      <c r="C25" s="1009">
        <v>351</v>
      </c>
      <c r="D25" s="1009">
        <v>161</v>
      </c>
      <c r="E25" s="1009">
        <v>512</v>
      </c>
      <c r="F25" s="1009">
        <v>450</v>
      </c>
      <c r="G25" s="1009">
        <v>296</v>
      </c>
      <c r="H25" s="1009">
        <v>746</v>
      </c>
      <c r="I25" s="1009">
        <v>2288</v>
      </c>
      <c r="J25" s="1009">
        <v>2521</v>
      </c>
      <c r="K25" s="1009">
        <v>4809</v>
      </c>
      <c r="L25" s="1009">
        <v>54</v>
      </c>
      <c r="M25" s="1009">
        <v>239</v>
      </c>
      <c r="N25" s="1009">
        <v>293</v>
      </c>
      <c r="O25" s="1009">
        <v>151</v>
      </c>
      <c r="P25" s="1009">
        <v>109</v>
      </c>
      <c r="Q25" s="1009">
        <v>260</v>
      </c>
      <c r="R25" s="1009">
        <v>3339</v>
      </c>
      <c r="S25" s="1009">
        <v>3336</v>
      </c>
      <c r="T25" s="1009">
        <v>6675</v>
      </c>
      <c r="U25" s="1009">
        <v>45</v>
      </c>
      <c r="V25" s="1009">
        <v>10</v>
      </c>
      <c r="W25" s="1009">
        <v>55</v>
      </c>
    </row>
    <row r="26" spans="1:23" ht="24.75" customHeight="1" x14ac:dyDescent="0.35">
      <c r="A26" s="6">
        <v>22</v>
      </c>
      <c r="B26" s="442" t="s">
        <v>32</v>
      </c>
      <c r="C26" s="1009">
        <v>210</v>
      </c>
      <c r="D26" s="1009">
        <v>113</v>
      </c>
      <c r="E26" s="1009">
        <v>323</v>
      </c>
      <c r="F26" s="1009">
        <v>232</v>
      </c>
      <c r="G26" s="1009">
        <v>219</v>
      </c>
      <c r="H26" s="1009">
        <v>451</v>
      </c>
      <c r="I26" s="1009">
        <v>1182</v>
      </c>
      <c r="J26" s="1009">
        <v>1826</v>
      </c>
      <c r="K26" s="1009">
        <v>3008</v>
      </c>
      <c r="L26" s="1009">
        <v>37</v>
      </c>
      <c r="M26" s="1009">
        <v>115</v>
      </c>
      <c r="N26" s="1009">
        <v>152</v>
      </c>
      <c r="O26" s="1009">
        <v>55</v>
      </c>
      <c r="P26" s="1009">
        <v>72</v>
      </c>
      <c r="Q26" s="1009">
        <v>127</v>
      </c>
      <c r="R26" s="1009">
        <v>1717</v>
      </c>
      <c r="S26" s="1009">
        <v>2351</v>
      </c>
      <c r="T26" s="1009">
        <v>4068</v>
      </c>
      <c r="U26" s="1009">
        <v>1</v>
      </c>
      <c r="V26" s="1009">
        <v>6</v>
      </c>
      <c r="W26" s="1009">
        <v>7</v>
      </c>
    </row>
    <row r="27" spans="1:23" ht="24.75" customHeight="1" x14ac:dyDescent="0.35">
      <c r="A27" s="6">
        <v>23</v>
      </c>
      <c r="B27" s="442" t="s">
        <v>33</v>
      </c>
      <c r="C27" s="1009">
        <v>160</v>
      </c>
      <c r="D27" s="1009">
        <v>55</v>
      </c>
      <c r="E27" s="1009">
        <v>215</v>
      </c>
      <c r="F27" s="1009">
        <v>241</v>
      </c>
      <c r="G27" s="1009">
        <v>212</v>
      </c>
      <c r="H27" s="1009">
        <v>453</v>
      </c>
      <c r="I27" s="1009">
        <v>584</v>
      </c>
      <c r="J27" s="1009">
        <v>558</v>
      </c>
      <c r="K27" s="1009">
        <v>1142</v>
      </c>
      <c r="L27" s="1009">
        <v>43</v>
      </c>
      <c r="M27" s="1009">
        <v>131</v>
      </c>
      <c r="N27" s="1009">
        <v>174</v>
      </c>
      <c r="O27" s="1009">
        <v>139</v>
      </c>
      <c r="P27" s="1009">
        <v>128</v>
      </c>
      <c r="Q27" s="1009">
        <v>267</v>
      </c>
      <c r="R27" s="1009">
        <v>1181</v>
      </c>
      <c r="S27" s="1009">
        <v>1092</v>
      </c>
      <c r="T27" s="1009">
        <v>2273</v>
      </c>
      <c r="U27" s="1009">
        <v>14</v>
      </c>
      <c r="V27" s="1009">
        <v>8</v>
      </c>
      <c r="W27" s="1009">
        <v>22</v>
      </c>
    </row>
    <row r="28" spans="1:23" ht="24.75" customHeight="1" x14ac:dyDescent="0.35">
      <c r="A28" s="6">
        <v>24</v>
      </c>
      <c r="B28" s="442" t="s">
        <v>34</v>
      </c>
      <c r="C28" s="1009">
        <v>107</v>
      </c>
      <c r="D28" s="1009">
        <v>60</v>
      </c>
      <c r="E28" s="1009">
        <v>167</v>
      </c>
      <c r="F28" s="1009">
        <v>72</v>
      </c>
      <c r="G28" s="1009">
        <v>89</v>
      </c>
      <c r="H28" s="1009">
        <v>161</v>
      </c>
      <c r="I28" s="1009">
        <v>863</v>
      </c>
      <c r="J28" s="1009">
        <v>1317</v>
      </c>
      <c r="K28" s="1009">
        <v>2180</v>
      </c>
      <c r="L28" s="1009">
        <v>44</v>
      </c>
      <c r="M28" s="1009">
        <v>63</v>
      </c>
      <c r="N28" s="1009">
        <v>107</v>
      </c>
      <c r="O28" s="1009">
        <v>20</v>
      </c>
      <c r="P28" s="1009">
        <v>32</v>
      </c>
      <c r="Q28" s="1009">
        <v>52</v>
      </c>
      <c r="R28" s="1009">
        <v>1113</v>
      </c>
      <c r="S28" s="1009">
        <v>1570</v>
      </c>
      <c r="T28" s="1009">
        <v>2683</v>
      </c>
      <c r="U28" s="1009">
        <v>7</v>
      </c>
      <c r="V28" s="1009">
        <v>9</v>
      </c>
      <c r="W28" s="1009">
        <v>16</v>
      </c>
    </row>
    <row r="29" spans="1:23" ht="24.75" customHeight="1" x14ac:dyDescent="0.35">
      <c r="A29" s="6">
        <v>25</v>
      </c>
      <c r="B29" s="442" t="s">
        <v>35</v>
      </c>
      <c r="C29" s="1009">
        <v>2774</v>
      </c>
      <c r="D29" s="1009">
        <v>945</v>
      </c>
      <c r="E29" s="1009">
        <v>3719</v>
      </c>
      <c r="F29" s="1009">
        <v>3070</v>
      </c>
      <c r="G29" s="1009">
        <v>1301</v>
      </c>
      <c r="H29" s="1009">
        <v>4371</v>
      </c>
      <c r="I29" s="1009">
        <v>18941</v>
      </c>
      <c r="J29" s="1009">
        <v>12381</v>
      </c>
      <c r="K29" s="1009">
        <v>31322</v>
      </c>
      <c r="L29" s="1009">
        <v>1396</v>
      </c>
      <c r="M29" s="1009">
        <v>2533</v>
      </c>
      <c r="N29" s="1009">
        <v>3929</v>
      </c>
      <c r="O29" s="1009">
        <v>1156</v>
      </c>
      <c r="P29" s="1009">
        <v>1159</v>
      </c>
      <c r="Q29" s="1009">
        <v>2315</v>
      </c>
      <c r="R29" s="1009">
        <v>27444</v>
      </c>
      <c r="S29" s="1009">
        <v>18397</v>
      </c>
      <c r="T29" s="1009">
        <v>45841</v>
      </c>
      <c r="U29" s="1009">
        <v>107</v>
      </c>
      <c r="V29" s="1009">
        <v>78</v>
      </c>
      <c r="W29" s="1009">
        <v>185</v>
      </c>
    </row>
    <row r="30" spans="1:23" ht="24.75" customHeight="1" x14ac:dyDescent="0.35">
      <c r="A30" s="6">
        <v>26</v>
      </c>
      <c r="B30" s="444" t="s">
        <v>36</v>
      </c>
      <c r="C30" s="1009">
        <v>805</v>
      </c>
      <c r="D30" s="1009">
        <v>374</v>
      </c>
      <c r="E30" s="1009">
        <v>1179</v>
      </c>
      <c r="F30" s="1009">
        <v>532</v>
      </c>
      <c r="G30" s="1009">
        <v>361</v>
      </c>
      <c r="H30" s="1009">
        <v>893</v>
      </c>
      <c r="I30" s="1009">
        <v>2062</v>
      </c>
      <c r="J30" s="1009">
        <v>1963</v>
      </c>
      <c r="K30" s="1009">
        <v>4025</v>
      </c>
      <c r="L30" s="1009">
        <v>382</v>
      </c>
      <c r="M30" s="1009">
        <v>608</v>
      </c>
      <c r="N30" s="1009">
        <v>990</v>
      </c>
      <c r="O30" s="1009">
        <v>63</v>
      </c>
      <c r="P30" s="1009">
        <v>65</v>
      </c>
      <c r="Q30" s="1009">
        <v>128</v>
      </c>
      <c r="R30" s="1009">
        <v>3846</v>
      </c>
      <c r="S30" s="1009">
        <v>3373</v>
      </c>
      <c r="T30" s="1009">
        <v>7219</v>
      </c>
      <c r="U30" s="1009">
        <v>2</v>
      </c>
      <c r="V30" s="1009">
        <v>2</v>
      </c>
      <c r="W30" s="1009">
        <v>4</v>
      </c>
    </row>
    <row r="31" spans="1:23" ht="24.75" customHeight="1" x14ac:dyDescent="0.35">
      <c r="A31" s="6">
        <v>27</v>
      </c>
      <c r="B31" s="442" t="s">
        <v>37</v>
      </c>
      <c r="C31" s="1009">
        <v>2723</v>
      </c>
      <c r="D31" s="1009">
        <v>1793</v>
      </c>
      <c r="E31" s="1009">
        <v>4516</v>
      </c>
      <c r="F31" s="1009">
        <v>2238</v>
      </c>
      <c r="G31" s="1009">
        <v>2118</v>
      </c>
      <c r="H31" s="1009">
        <v>4356</v>
      </c>
      <c r="I31" s="1009">
        <v>13487</v>
      </c>
      <c r="J31" s="1009">
        <v>21395</v>
      </c>
      <c r="K31" s="1009">
        <v>34882</v>
      </c>
      <c r="L31" s="1009">
        <v>669</v>
      </c>
      <c r="M31" s="1009">
        <v>4432</v>
      </c>
      <c r="N31" s="1009">
        <v>5101</v>
      </c>
      <c r="O31" s="1009">
        <v>558</v>
      </c>
      <c r="P31" s="1009">
        <v>1390</v>
      </c>
      <c r="Q31" s="1009">
        <v>1948</v>
      </c>
      <c r="R31" s="1009">
        <v>19824</v>
      </c>
      <c r="S31" s="1009">
        <v>31407</v>
      </c>
      <c r="T31" s="1009">
        <v>51231</v>
      </c>
      <c r="U31" s="1009">
        <v>149</v>
      </c>
      <c r="V31" s="1009">
        <v>279</v>
      </c>
      <c r="W31" s="1009">
        <v>428</v>
      </c>
    </row>
    <row r="32" spans="1:23" ht="24.75" customHeight="1" x14ac:dyDescent="0.35">
      <c r="A32" s="6">
        <v>28</v>
      </c>
      <c r="B32" s="445" t="s">
        <v>38</v>
      </c>
      <c r="C32" s="1009">
        <v>6169</v>
      </c>
      <c r="D32" s="1009">
        <v>2534</v>
      </c>
      <c r="E32" s="1009">
        <v>8703</v>
      </c>
      <c r="F32" s="1009">
        <v>4546</v>
      </c>
      <c r="G32" s="1009">
        <v>2705</v>
      </c>
      <c r="H32" s="1009">
        <v>7251</v>
      </c>
      <c r="I32" s="1009">
        <v>41303</v>
      </c>
      <c r="J32" s="1009">
        <v>24412</v>
      </c>
      <c r="K32" s="1009">
        <v>65715</v>
      </c>
      <c r="L32" s="1009">
        <v>3050</v>
      </c>
      <c r="M32" s="1009">
        <v>1380</v>
      </c>
      <c r="N32" s="1009">
        <v>4430</v>
      </c>
      <c r="O32" s="1009">
        <v>785</v>
      </c>
      <c r="P32" s="1009">
        <v>462</v>
      </c>
      <c r="Q32" s="1009">
        <v>1247</v>
      </c>
      <c r="R32" s="1009">
        <v>55991</v>
      </c>
      <c r="S32" s="1009">
        <v>31584</v>
      </c>
      <c r="T32" s="1009">
        <v>87575</v>
      </c>
      <c r="U32" s="1009">
        <v>138</v>
      </c>
      <c r="V32" s="1009">
        <v>91</v>
      </c>
      <c r="W32" s="1009">
        <v>229</v>
      </c>
    </row>
    <row r="33" spans="1:23" ht="24.75" customHeight="1" x14ac:dyDescent="0.35">
      <c r="A33" s="6">
        <v>29</v>
      </c>
      <c r="B33" s="446" t="s">
        <v>39</v>
      </c>
      <c r="C33" s="1009">
        <v>71</v>
      </c>
      <c r="D33" s="1009">
        <v>30</v>
      </c>
      <c r="E33" s="1009">
        <v>101</v>
      </c>
      <c r="F33" s="1009">
        <v>133</v>
      </c>
      <c r="G33" s="1009">
        <v>54</v>
      </c>
      <c r="H33" s="1009">
        <v>187</v>
      </c>
      <c r="I33" s="1009">
        <v>675</v>
      </c>
      <c r="J33" s="1009">
        <v>526</v>
      </c>
      <c r="K33" s="1009">
        <v>1201</v>
      </c>
      <c r="L33" s="1009">
        <v>19</v>
      </c>
      <c r="M33" s="1009">
        <v>42</v>
      </c>
      <c r="N33" s="1009">
        <v>61</v>
      </c>
      <c r="O33" s="1009">
        <v>9</v>
      </c>
      <c r="P33" s="1009">
        <v>11</v>
      </c>
      <c r="Q33" s="1009">
        <v>20</v>
      </c>
      <c r="R33" s="1009">
        <v>907</v>
      </c>
      <c r="S33" s="1009">
        <v>665</v>
      </c>
      <c r="T33" s="1009">
        <v>1572</v>
      </c>
      <c r="U33" s="1009"/>
      <c r="V33" s="1009">
        <v>2</v>
      </c>
      <c r="W33" s="1009">
        <v>2</v>
      </c>
    </row>
    <row r="34" spans="1:23" ht="24.75" customHeight="1" x14ac:dyDescent="0.35">
      <c r="A34" s="6">
        <v>30</v>
      </c>
      <c r="B34" s="447" t="s">
        <v>40</v>
      </c>
      <c r="C34" s="1009">
        <v>12066</v>
      </c>
      <c r="D34" s="1009">
        <v>6626</v>
      </c>
      <c r="E34" s="1009">
        <v>18692</v>
      </c>
      <c r="F34" s="1009">
        <v>12485</v>
      </c>
      <c r="G34" s="1009">
        <v>9800</v>
      </c>
      <c r="H34" s="1009">
        <v>22285</v>
      </c>
      <c r="I34" s="1009">
        <v>73700</v>
      </c>
      <c r="J34" s="1009">
        <v>82925</v>
      </c>
      <c r="K34" s="1009">
        <v>156625</v>
      </c>
      <c r="L34" s="1009">
        <v>2895</v>
      </c>
      <c r="M34" s="1009">
        <v>7112</v>
      </c>
      <c r="N34" s="1009">
        <v>10007</v>
      </c>
      <c r="O34" s="1009">
        <v>3073</v>
      </c>
      <c r="P34" s="1009">
        <v>4012</v>
      </c>
      <c r="Q34" s="1009">
        <v>7085</v>
      </c>
      <c r="R34" s="1009">
        <v>104549</v>
      </c>
      <c r="S34" s="1009">
        <v>110678</v>
      </c>
      <c r="T34" s="1009">
        <v>215227</v>
      </c>
      <c r="U34" s="1009">
        <v>330</v>
      </c>
      <c r="V34" s="1009">
        <v>203</v>
      </c>
      <c r="W34" s="1009">
        <v>533</v>
      </c>
    </row>
    <row r="35" spans="1:23" ht="24.75" customHeight="1" x14ac:dyDescent="0.35">
      <c r="A35" s="6">
        <v>31</v>
      </c>
      <c r="B35" s="448" t="s">
        <v>41</v>
      </c>
      <c r="C35" s="1009">
        <v>5426</v>
      </c>
      <c r="D35" s="1009">
        <v>1994</v>
      </c>
      <c r="E35" s="1009">
        <v>7420</v>
      </c>
      <c r="F35" s="1009">
        <v>5192</v>
      </c>
      <c r="G35" s="1009">
        <v>2975</v>
      </c>
      <c r="H35" s="1009">
        <v>8167</v>
      </c>
      <c r="I35" s="1009">
        <v>33062</v>
      </c>
      <c r="J35" s="1009">
        <v>27153</v>
      </c>
      <c r="K35" s="1009">
        <v>60215</v>
      </c>
      <c r="L35" s="1009">
        <v>1214</v>
      </c>
      <c r="M35" s="1009">
        <v>2759</v>
      </c>
      <c r="N35" s="1009">
        <v>3973</v>
      </c>
      <c r="O35" s="1009">
        <v>1580</v>
      </c>
      <c r="P35" s="1009">
        <v>1305</v>
      </c>
      <c r="Q35" s="1009">
        <v>2885</v>
      </c>
      <c r="R35" s="1009">
        <v>46541</v>
      </c>
      <c r="S35" s="1009">
        <v>36211</v>
      </c>
      <c r="T35" s="1009">
        <v>82752</v>
      </c>
      <c r="U35" s="1009">
        <v>67</v>
      </c>
      <c r="V35" s="1009">
        <v>25</v>
      </c>
      <c r="W35" s="1009">
        <v>92</v>
      </c>
    </row>
    <row r="36" spans="1:23" ht="30" x14ac:dyDescent="0.35">
      <c r="A36" s="6">
        <v>32</v>
      </c>
      <c r="B36" s="448" t="s">
        <v>60</v>
      </c>
      <c r="C36" s="1009">
        <v>28</v>
      </c>
      <c r="D36" s="1009">
        <v>13</v>
      </c>
      <c r="E36" s="1009">
        <v>41</v>
      </c>
      <c r="F36" s="1009">
        <v>32</v>
      </c>
      <c r="G36" s="1009">
        <v>16</v>
      </c>
      <c r="H36" s="1009">
        <v>48</v>
      </c>
      <c r="I36" s="1009">
        <v>220</v>
      </c>
      <c r="J36" s="1009">
        <v>174</v>
      </c>
      <c r="K36" s="1009">
        <v>394</v>
      </c>
      <c r="L36" s="1009">
        <v>17</v>
      </c>
      <c r="M36" s="1009">
        <v>59</v>
      </c>
      <c r="N36" s="1009">
        <v>76</v>
      </c>
      <c r="O36" s="1009">
        <v>36</v>
      </c>
      <c r="P36" s="1009">
        <v>31</v>
      </c>
      <c r="Q36" s="1009">
        <v>67</v>
      </c>
      <c r="R36" s="1009">
        <v>359</v>
      </c>
      <c r="S36" s="1009">
        <v>313</v>
      </c>
      <c r="T36" s="1009">
        <v>672</v>
      </c>
      <c r="U36" s="1009">
        <v>26</v>
      </c>
      <c r="V36" s="1009">
        <v>20</v>
      </c>
      <c r="W36" s="1009">
        <v>46</v>
      </c>
    </row>
    <row r="37" spans="1:23" ht="24.75" customHeight="1" x14ac:dyDescent="0.35">
      <c r="A37" s="6">
        <v>33</v>
      </c>
      <c r="B37" s="447" t="s">
        <v>42</v>
      </c>
      <c r="C37" s="1009">
        <v>143</v>
      </c>
      <c r="D37" s="1009">
        <v>35</v>
      </c>
      <c r="E37" s="1009">
        <v>178</v>
      </c>
      <c r="F37" s="1009">
        <v>207</v>
      </c>
      <c r="G37" s="1009">
        <v>85</v>
      </c>
      <c r="H37" s="1009">
        <v>292</v>
      </c>
      <c r="I37" s="1009">
        <v>960</v>
      </c>
      <c r="J37" s="1009">
        <v>478</v>
      </c>
      <c r="K37" s="1009">
        <v>1438</v>
      </c>
      <c r="L37" s="1009">
        <v>186</v>
      </c>
      <c r="M37" s="1009">
        <v>260</v>
      </c>
      <c r="N37" s="1009">
        <v>446</v>
      </c>
      <c r="O37" s="1009">
        <v>236</v>
      </c>
      <c r="P37" s="1009">
        <v>150</v>
      </c>
      <c r="Q37" s="1009">
        <v>386</v>
      </c>
      <c r="R37" s="1009">
        <v>1772</v>
      </c>
      <c r="S37" s="1009">
        <v>1047</v>
      </c>
      <c r="T37" s="1009">
        <v>2819</v>
      </c>
      <c r="U37" s="1009">
        <v>40</v>
      </c>
      <c r="V37" s="1009">
        <v>39</v>
      </c>
      <c r="W37" s="1009">
        <v>79</v>
      </c>
    </row>
    <row r="38" spans="1:23" ht="24.75" customHeight="1" x14ac:dyDescent="0.35">
      <c r="A38" s="6">
        <v>34</v>
      </c>
      <c r="B38" s="442" t="s">
        <v>43</v>
      </c>
      <c r="C38" s="1009">
        <v>14151</v>
      </c>
      <c r="D38" s="1009">
        <v>4760</v>
      </c>
      <c r="E38" s="1009">
        <v>18911</v>
      </c>
      <c r="F38" s="1009">
        <v>10778</v>
      </c>
      <c r="G38" s="1009">
        <v>5078</v>
      </c>
      <c r="H38" s="1009">
        <v>15856</v>
      </c>
      <c r="I38" s="1009">
        <v>93700</v>
      </c>
      <c r="J38" s="1009">
        <v>43078</v>
      </c>
      <c r="K38" s="1009">
        <v>136778</v>
      </c>
      <c r="L38" s="1009">
        <v>3511</v>
      </c>
      <c r="M38" s="1009">
        <v>4959</v>
      </c>
      <c r="N38" s="1009">
        <v>8470</v>
      </c>
      <c r="O38" s="1009">
        <v>8591</v>
      </c>
      <c r="P38" s="1009">
        <v>3321</v>
      </c>
      <c r="Q38" s="1009">
        <v>11912</v>
      </c>
      <c r="R38" s="1009">
        <v>131112</v>
      </c>
      <c r="S38" s="1009">
        <v>61610</v>
      </c>
      <c r="T38" s="1009">
        <v>192722</v>
      </c>
      <c r="U38" s="1009">
        <v>381</v>
      </c>
      <c r="V38" s="1009">
        <v>414</v>
      </c>
      <c r="W38" s="1009">
        <v>795</v>
      </c>
    </row>
    <row r="39" spans="1:23" ht="24.75" customHeight="1" x14ac:dyDescent="0.35">
      <c r="A39" s="6">
        <v>35</v>
      </c>
      <c r="B39" s="442" t="s">
        <v>44</v>
      </c>
      <c r="C39" s="1009">
        <v>1822</v>
      </c>
      <c r="D39" s="1009">
        <v>676</v>
      </c>
      <c r="E39" s="1009">
        <v>2498</v>
      </c>
      <c r="F39" s="1009">
        <v>1274</v>
      </c>
      <c r="G39" s="1009">
        <v>746</v>
      </c>
      <c r="H39" s="1009">
        <v>2020</v>
      </c>
      <c r="I39" s="1009">
        <v>7295</v>
      </c>
      <c r="J39" s="1009">
        <v>5367</v>
      </c>
      <c r="K39" s="1009">
        <v>12662</v>
      </c>
      <c r="L39" s="1009">
        <v>411</v>
      </c>
      <c r="M39" s="1009">
        <v>676</v>
      </c>
      <c r="N39" s="1009">
        <v>1087</v>
      </c>
      <c r="O39" s="1009">
        <v>678</v>
      </c>
      <c r="P39" s="1009">
        <v>503</v>
      </c>
      <c r="Q39" s="1009">
        <v>1181</v>
      </c>
      <c r="R39" s="1009">
        <v>11499</v>
      </c>
      <c r="S39" s="1009">
        <v>7980</v>
      </c>
      <c r="T39" s="1009">
        <v>19479</v>
      </c>
      <c r="U39" s="1009">
        <v>19</v>
      </c>
      <c r="V39" s="1009">
        <v>12</v>
      </c>
      <c r="W39" s="1009">
        <v>31</v>
      </c>
    </row>
    <row r="40" spans="1:23" ht="24.75" customHeight="1" x14ac:dyDescent="0.35">
      <c r="A40" s="6">
        <v>36</v>
      </c>
      <c r="B40" s="442" t="s">
        <v>45</v>
      </c>
      <c r="C40" s="1009">
        <v>4752</v>
      </c>
      <c r="D40" s="1009">
        <v>1368</v>
      </c>
      <c r="E40" s="1009">
        <v>6120</v>
      </c>
      <c r="F40" s="1009">
        <v>4748</v>
      </c>
      <c r="G40" s="1009">
        <v>2722</v>
      </c>
      <c r="H40" s="1009">
        <v>7470</v>
      </c>
      <c r="I40" s="1009">
        <v>28910</v>
      </c>
      <c r="J40" s="1009">
        <v>14461</v>
      </c>
      <c r="K40" s="1009">
        <v>43371</v>
      </c>
      <c r="L40" s="1009">
        <v>1382</v>
      </c>
      <c r="M40" s="1009">
        <v>3060</v>
      </c>
      <c r="N40" s="1009">
        <v>4442</v>
      </c>
      <c r="O40" s="1009">
        <v>7493</v>
      </c>
      <c r="P40" s="1009">
        <v>6234</v>
      </c>
      <c r="Q40" s="1009">
        <v>13727</v>
      </c>
      <c r="R40" s="1009">
        <v>47806</v>
      </c>
      <c r="S40" s="1009">
        <v>28118</v>
      </c>
      <c r="T40" s="1009">
        <v>75924</v>
      </c>
      <c r="U40" s="1009">
        <v>521</v>
      </c>
      <c r="V40" s="1009">
        <v>273</v>
      </c>
      <c r="W40" s="1009">
        <v>794</v>
      </c>
    </row>
    <row r="41" spans="1:23" s="23" customFormat="1" ht="24.75" customHeight="1" x14ac:dyDescent="0.35">
      <c r="A41" s="667" t="s">
        <v>46</v>
      </c>
      <c r="B41" s="667"/>
      <c r="C41" s="1003">
        <v>110382</v>
      </c>
      <c r="D41" s="1003">
        <v>48309</v>
      </c>
      <c r="E41" s="1003">
        <v>158691</v>
      </c>
      <c r="F41" s="1003">
        <v>100876</v>
      </c>
      <c r="G41" s="1003">
        <v>62865</v>
      </c>
      <c r="H41" s="1003">
        <v>163741</v>
      </c>
      <c r="I41" s="1003">
        <v>622263</v>
      </c>
      <c r="J41" s="1003">
        <v>501024</v>
      </c>
      <c r="K41" s="1003">
        <v>1123287</v>
      </c>
      <c r="L41" s="1003">
        <v>34755</v>
      </c>
      <c r="M41" s="1003">
        <v>70637</v>
      </c>
      <c r="N41" s="1003">
        <v>105392</v>
      </c>
      <c r="O41" s="1003">
        <v>51607</v>
      </c>
      <c r="P41" s="1003">
        <v>47594</v>
      </c>
      <c r="Q41" s="1003">
        <v>99201</v>
      </c>
      <c r="R41" s="1003">
        <v>927394</v>
      </c>
      <c r="S41" s="1003">
        <v>736778</v>
      </c>
      <c r="T41" s="1003">
        <v>1664172</v>
      </c>
      <c r="U41" s="1003">
        <v>7511</v>
      </c>
      <c r="V41" s="1003">
        <v>6349</v>
      </c>
      <c r="W41" s="1003">
        <v>13860</v>
      </c>
    </row>
    <row r="42" spans="1:23" ht="15.5" x14ac:dyDescent="0.35">
      <c r="A42" s="193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</row>
    <row r="43" spans="1:23" ht="15.5" x14ac:dyDescent="0.35">
      <c r="A43" s="193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ageMargins left="0.47244094488188981" right="0.11811023622047245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2022-23&amp;RT-22</oddFooter>
  </headerFooter>
  <colBreaks count="2" manualBreakCount="2">
    <brk id="8" max="41" man="1"/>
    <brk id="14" max="41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3FF6-8188-4A3E-914E-95204474E44A}">
  <sheetPr codeName="Sheet32">
    <tabColor rgb="FF92D050"/>
  </sheetPr>
  <dimension ref="A1:W41"/>
  <sheetViews>
    <sheetView view="pageBreakPreview" zoomScaleSheetLayoutView="100" workbookViewId="0">
      <selection activeCell="C5" sqref="C5:W41"/>
    </sheetView>
  </sheetViews>
  <sheetFormatPr defaultColWidth="9.26953125" defaultRowHeight="14" x14ac:dyDescent="0.35"/>
  <cols>
    <col min="1" max="1" width="5.26953125" style="215" customWidth="1"/>
    <col min="2" max="2" width="21.26953125" style="22" customWidth="1"/>
    <col min="3" max="8" width="13.26953125" style="22" customWidth="1"/>
    <col min="9" max="14" width="14.54296875" style="22" customWidth="1"/>
    <col min="15" max="19" width="10.26953125" style="22" customWidth="1"/>
    <col min="20" max="20" width="13.7265625" style="22" customWidth="1"/>
    <col min="21" max="23" width="10.26953125" style="22" customWidth="1"/>
    <col min="24" max="16384" width="9.26953125" style="213"/>
  </cols>
  <sheetData>
    <row r="1" spans="1:23" s="209" customFormat="1" ht="38.25" customHeight="1" x14ac:dyDescent="0.35">
      <c r="A1" s="208"/>
      <c r="B1" s="201" t="s">
        <v>765</v>
      </c>
      <c r="C1" s="841" t="s">
        <v>1028</v>
      </c>
      <c r="D1" s="841"/>
      <c r="E1" s="841"/>
      <c r="F1" s="841"/>
      <c r="G1" s="841"/>
      <c r="H1" s="841"/>
      <c r="I1" s="841" t="str">
        <f>C1</f>
        <v>State/UTs-Wise Number of Teachers in Universities &amp; It's Colleges at different post (Based on Actual Response)</v>
      </c>
      <c r="J1" s="841"/>
      <c r="K1" s="841"/>
      <c r="L1" s="841"/>
      <c r="M1" s="841"/>
      <c r="N1" s="841"/>
      <c r="O1" s="841" t="str">
        <f>I1</f>
        <v>State/UTs-Wise Number of Teachers in Universities &amp; It's Colleges at different post (Based on Actual Response)</v>
      </c>
      <c r="P1" s="841"/>
      <c r="Q1" s="841"/>
      <c r="R1" s="841"/>
      <c r="S1" s="841"/>
      <c r="T1" s="841"/>
      <c r="U1" s="841"/>
      <c r="V1" s="841"/>
      <c r="W1" s="841"/>
    </row>
    <row r="2" spans="1:23" s="210" customFormat="1" ht="17.25" customHeight="1" x14ac:dyDescent="0.35">
      <c r="A2" s="850" t="s">
        <v>49</v>
      </c>
      <c r="B2" s="851" t="s">
        <v>50</v>
      </c>
      <c r="C2" s="851" t="s">
        <v>759</v>
      </c>
      <c r="D2" s="851"/>
      <c r="E2" s="851"/>
      <c r="F2" s="851" t="s">
        <v>760</v>
      </c>
      <c r="G2" s="852"/>
      <c r="H2" s="852"/>
      <c r="I2" s="851" t="s">
        <v>761</v>
      </c>
      <c r="J2" s="852"/>
      <c r="K2" s="852"/>
      <c r="L2" s="851" t="s">
        <v>762</v>
      </c>
      <c r="M2" s="852"/>
      <c r="N2" s="852"/>
      <c r="O2" s="851" t="s">
        <v>763</v>
      </c>
      <c r="P2" s="852"/>
      <c r="Q2" s="852"/>
      <c r="R2" s="844" t="s">
        <v>12</v>
      </c>
      <c r="S2" s="845"/>
      <c r="T2" s="846"/>
      <c r="U2" s="847" t="s">
        <v>764</v>
      </c>
      <c r="V2" s="848"/>
      <c r="W2" s="848"/>
    </row>
    <row r="3" spans="1:23" s="211" customFormat="1" ht="14.25" customHeight="1" x14ac:dyDescent="0.35">
      <c r="A3" s="850"/>
      <c r="B3" s="851"/>
      <c r="C3" s="202" t="s">
        <v>93</v>
      </c>
      <c r="D3" s="202" t="s">
        <v>94</v>
      </c>
      <c r="E3" s="202" t="s">
        <v>54</v>
      </c>
      <c r="F3" s="202" t="s">
        <v>93</v>
      </c>
      <c r="G3" s="202" t="s">
        <v>94</v>
      </c>
      <c r="H3" s="202" t="s">
        <v>54</v>
      </c>
      <c r="I3" s="202" t="s">
        <v>93</v>
      </c>
      <c r="J3" s="202" t="s">
        <v>94</v>
      </c>
      <c r="K3" s="202" t="s">
        <v>54</v>
      </c>
      <c r="L3" s="202" t="s">
        <v>93</v>
      </c>
      <c r="M3" s="202" t="s">
        <v>94</v>
      </c>
      <c r="N3" s="202" t="s">
        <v>54</v>
      </c>
      <c r="O3" s="202" t="s">
        <v>93</v>
      </c>
      <c r="P3" s="202" t="s">
        <v>94</v>
      </c>
      <c r="Q3" s="202" t="s">
        <v>54</v>
      </c>
      <c r="R3" s="202" t="s">
        <v>93</v>
      </c>
      <c r="S3" s="202" t="s">
        <v>94</v>
      </c>
      <c r="T3" s="202" t="s">
        <v>54</v>
      </c>
      <c r="U3" s="203" t="s">
        <v>93</v>
      </c>
      <c r="V3" s="203" t="s">
        <v>94</v>
      </c>
      <c r="W3" s="203" t="s">
        <v>54</v>
      </c>
    </row>
    <row r="4" spans="1:23" s="210" customFormat="1" ht="19.5" customHeight="1" x14ac:dyDescent="0.35">
      <c r="A4" s="206">
        <v>1</v>
      </c>
      <c r="B4" s="206">
        <v>2</v>
      </c>
      <c r="C4" s="206">
        <v>3</v>
      </c>
      <c r="D4" s="206">
        <v>4</v>
      </c>
      <c r="E4" s="206">
        <v>5</v>
      </c>
      <c r="F4" s="206">
        <v>6</v>
      </c>
      <c r="G4" s="206">
        <v>7</v>
      </c>
      <c r="H4" s="206">
        <v>8</v>
      </c>
      <c r="I4" s="206">
        <v>9</v>
      </c>
      <c r="J4" s="206">
        <v>10</v>
      </c>
      <c r="K4" s="206">
        <v>11</v>
      </c>
      <c r="L4" s="206">
        <v>12</v>
      </c>
      <c r="M4" s="206">
        <v>13</v>
      </c>
      <c r="N4" s="206">
        <v>14</v>
      </c>
      <c r="O4" s="206">
        <v>15</v>
      </c>
      <c r="P4" s="206">
        <v>16</v>
      </c>
      <c r="Q4" s="206">
        <v>17</v>
      </c>
      <c r="R4" s="206">
        <v>18</v>
      </c>
      <c r="S4" s="206">
        <v>19</v>
      </c>
      <c r="T4" s="206">
        <v>20</v>
      </c>
      <c r="U4" s="206">
        <v>21</v>
      </c>
      <c r="V4" s="206">
        <v>22</v>
      </c>
      <c r="W4" s="206">
        <v>23</v>
      </c>
    </row>
    <row r="5" spans="1:23" ht="22.5" customHeight="1" x14ac:dyDescent="0.35">
      <c r="A5" s="212">
        <v>1</v>
      </c>
      <c r="B5" s="441" t="s">
        <v>58</v>
      </c>
      <c r="C5" s="1011">
        <v>4</v>
      </c>
      <c r="D5" s="1011"/>
      <c r="E5" s="1011">
        <v>4</v>
      </c>
      <c r="F5" s="1011"/>
      <c r="G5" s="1011"/>
      <c r="H5" s="1011"/>
      <c r="I5" s="1011">
        <v>39</v>
      </c>
      <c r="J5" s="1011">
        <v>20</v>
      </c>
      <c r="K5" s="1011">
        <v>59</v>
      </c>
      <c r="L5" s="1011"/>
      <c r="M5" s="1011"/>
      <c r="N5" s="1011"/>
      <c r="O5" s="1011">
        <v>8</v>
      </c>
      <c r="P5" s="1011">
        <v>40</v>
      </c>
      <c r="Q5" s="1011">
        <v>48</v>
      </c>
      <c r="R5" s="1011">
        <v>51</v>
      </c>
      <c r="S5" s="1011">
        <v>60</v>
      </c>
      <c r="T5" s="1011">
        <v>111</v>
      </c>
      <c r="U5" s="1011"/>
      <c r="V5" s="1011"/>
      <c r="W5" s="1011"/>
    </row>
    <row r="6" spans="1:23" ht="24.75" customHeight="1" x14ac:dyDescent="0.35">
      <c r="A6" s="212">
        <v>2</v>
      </c>
      <c r="B6" s="442" t="s">
        <v>13</v>
      </c>
      <c r="C6" s="1011">
        <v>6080</v>
      </c>
      <c r="D6" s="1011">
        <v>1889</v>
      </c>
      <c r="E6" s="1011">
        <v>7969</v>
      </c>
      <c r="F6" s="1011">
        <v>5939</v>
      </c>
      <c r="G6" s="1011">
        <v>2721</v>
      </c>
      <c r="H6" s="1011">
        <v>8660</v>
      </c>
      <c r="I6" s="1011">
        <v>41039</v>
      </c>
      <c r="J6" s="1011">
        <v>26443</v>
      </c>
      <c r="K6" s="1011">
        <v>67482</v>
      </c>
      <c r="L6" s="1011">
        <v>745</v>
      </c>
      <c r="M6" s="1011">
        <v>2544</v>
      </c>
      <c r="N6" s="1011">
        <v>3289</v>
      </c>
      <c r="O6" s="1011">
        <v>1643</v>
      </c>
      <c r="P6" s="1011">
        <v>1178</v>
      </c>
      <c r="Q6" s="1011">
        <v>2821</v>
      </c>
      <c r="R6" s="1011">
        <v>55491</v>
      </c>
      <c r="S6" s="1011">
        <v>34829</v>
      </c>
      <c r="T6" s="1011">
        <v>90320</v>
      </c>
      <c r="U6" s="1011">
        <v>45</v>
      </c>
      <c r="V6" s="1011">
        <v>54</v>
      </c>
      <c r="W6" s="1011">
        <v>99</v>
      </c>
    </row>
    <row r="7" spans="1:23" ht="24.75" customHeight="1" x14ac:dyDescent="0.35">
      <c r="A7" s="212">
        <v>3</v>
      </c>
      <c r="B7" s="442" t="s">
        <v>14</v>
      </c>
      <c r="C7" s="1011">
        <v>35</v>
      </c>
      <c r="D7" s="1011">
        <v>10</v>
      </c>
      <c r="E7" s="1011">
        <v>45</v>
      </c>
      <c r="F7" s="1011">
        <v>86</v>
      </c>
      <c r="G7" s="1011">
        <v>24</v>
      </c>
      <c r="H7" s="1011">
        <v>110</v>
      </c>
      <c r="I7" s="1011">
        <v>361</v>
      </c>
      <c r="J7" s="1011">
        <v>397</v>
      </c>
      <c r="K7" s="1011">
        <v>758</v>
      </c>
      <c r="L7" s="1011">
        <v>10</v>
      </c>
      <c r="M7" s="1011">
        <v>40</v>
      </c>
      <c r="N7" s="1011">
        <v>50</v>
      </c>
      <c r="O7" s="1011">
        <v>29</v>
      </c>
      <c r="P7" s="1011">
        <v>57</v>
      </c>
      <c r="Q7" s="1011">
        <v>86</v>
      </c>
      <c r="R7" s="1011">
        <v>524</v>
      </c>
      <c r="S7" s="1011">
        <v>530</v>
      </c>
      <c r="T7" s="1011">
        <v>1054</v>
      </c>
      <c r="U7" s="1011">
        <v>3</v>
      </c>
      <c r="V7" s="1011">
        <v>2</v>
      </c>
      <c r="W7" s="1011">
        <v>5</v>
      </c>
    </row>
    <row r="8" spans="1:23" ht="24.75" customHeight="1" x14ac:dyDescent="0.35">
      <c r="A8" s="212">
        <v>4</v>
      </c>
      <c r="B8" s="441" t="s">
        <v>15</v>
      </c>
      <c r="C8" s="1011">
        <v>700</v>
      </c>
      <c r="D8" s="1011">
        <v>278</v>
      </c>
      <c r="E8" s="1011">
        <v>978</v>
      </c>
      <c r="F8" s="1011">
        <v>1662</v>
      </c>
      <c r="G8" s="1011">
        <v>1037</v>
      </c>
      <c r="H8" s="1011">
        <v>2699</v>
      </c>
      <c r="I8" s="1011">
        <v>7936</v>
      </c>
      <c r="J8" s="1011">
        <v>6909</v>
      </c>
      <c r="K8" s="1011">
        <v>14845</v>
      </c>
      <c r="L8" s="1011">
        <v>475</v>
      </c>
      <c r="M8" s="1011">
        <v>461</v>
      </c>
      <c r="N8" s="1011">
        <v>936</v>
      </c>
      <c r="O8" s="1011">
        <v>605</v>
      </c>
      <c r="P8" s="1011">
        <v>702</v>
      </c>
      <c r="Q8" s="1011">
        <v>1307</v>
      </c>
      <c r="R8" s="1011">
        <v>11390</v>
      </c>
      <c r="S8" s="1011">
        <v>9400</v>
      </c>
      <c r="T8" s="1011">
        <v>20790</v>
      </c>
      <c r="U8" s="1011">
        <v>12</v>
      </c>
      <c r="V8" s="1011">
        <v>13</v>
      </c>
      <c r="W8" s="1011">
        <v>25</v>
      </c>
    </row>
    <row r="9" spans="1:23" ht="24.75" customHeight="1" x14ac:dyDescent="0.35">
      <c r="A9" s="212">
        <v>5</v>
      </c>
      <c r="B9" s="441" t="s">
        <v>16</v>
      </c>
      <c r="C9" s="1011">
        <v>1406</v>
      </c>
      <c r="D9" s="1011">
        <v>369</v>
      </c>
      <c r="E9" s="1011">
        <v>1775</v>
      </c>
      <c r="F9" s="1011">
        <v>2029</v>
      </c>
      <c r="G9" s="1011">
        <v>524</v>
      </c>
      <c r="H9" s="1011">
        <v>2553</v>
      </c>
      <c r="I9" s="1011">
        <v>19002</v>
      </c>
      <c r="J9" s="1011">
        <v>5911</v>
      </c>
      <c r="K9" s="1011">
        <v>24913</v>
      </c>
      <c r="L9" s="1011">
        <v>649</v>
      </c>
      <c r="M9" s="1011">
        <v>658</v>
      </c>
      <c r="N9" s="1011">
        <v>1307</v>
      </c>
      <c r="O9" s="1011">
        <v>1203</v>
      </c>
      <c r="P9" s="1011">
        <v>573</v>
      </c>
      <c r="Q9" s="1011">
        <v>1776</v>
      </c>
      <c r="R9" s="1011">
        <v>24457</v>
      </c>
      <c r="S9" s="1011">
        <v>8103</v>
      </c>
      <c r="T9" s="1011">
        <v>32560</v>
      </c>
      <c r="U9" s="1011">
        <v>168</v>
      </c>
      <c r="V9" s="1011">
        <v>68</v>
      </c>
      <c r="W9" s="1011">
        <v>236</v>
      </c>
    </row>
    <row r="10" spans="1:23" ht="24.75" customHeight="1" x14ac:dyDescent="0.35">
      <c r="A10" s="212">
        <v>6</v>
      </c>
      <c r="B10" s="442" t="s">
        <v>17</v>
      </c>
      <c r="C10" s="1011">
        <v>84</v>
      </c>
      <c r="D10" s="1011">
        <v>77</v>
      </c>
      <c r="E10" s="1011">
        <v>161</v>
      </c>
      <c r="F10" s="1011">
        <v>109</v>
      </c>
      <c r="G10" s="1011">
        <v>190</v>
      </c>
      <c r="H10" s="1011">
        <v>299</v>
      </c>
      <c r="I10" s="1011">
        <v>303</v>
      </c>
      <c r="J10" s="1011">
        <v>847</v>
      </c>
      <c r="K10" s="1011">
        <v>1150</v>
      </c>
      <c r="L10" s="1011">
        <v>12</v>
      </c>
      <c r="M10" s="1011">
        <v>8</v>
      </c>
      <c r="N10" s="1011">
        <v>20</v>
      </c>
      <c r="O10" s="1011">
        <v>63</v>
      </c>
      <c r="P10" s="1011">
        <v>224</v>
      </c>
      <c r="Q10" s="1011">
        <v>287</v>
      </c>
      <c r="R10" s="1011">
        <v>571</v>
      </c>
      <c r="S10" s="1011">
        <v>1346</v>
      </c>
      <c r="T10" s="1011">
        <v>1917</v>
      </c>
      <c r="U10" s="1011"/>
      <c r="V10" s="1011"/>
      <c r="W10" s="1011"/>
    </row>
    <row r="11" spans="1:23" ht="24.75" customHeight="1" x14ac:dyDescent="0.35">
      <c r="A11" s="212">
        <v>7</v>
      </c>
      <c r="B11" s="442" t="s">
        <v>18</v>
      </c>
      <c r="C11" s="1010">
        <v>950</v>
      </c>
      <c r="D11" s="1011">
        <v>544</v>
      </c>
      <c r="E11" s="1011">
        <v>1494</v>
      </c>
      <c r="F11" s="1011">
        <v>641</v>
      </c>
      <c r="G11" s="1011">
        <v>580</v>
      </c>
      <c r="H11" s="1011">
        <v>1221</v>
      </c>
      <c r="I11" s="1011">
        <v>6633</v>
      </c>
      <c r="J11" s="1011">
        <v>6628</v>
      </c>
      <c r="K11" s="1011">
        <v>13261</v>
      </c>
      <c r="L11" s="1011">
        <v>579</v>
      </c>
      <c r="M11" s="1011">
        <v>1731</v>
      </c>
      <c r="N11" s="1011">
        <v>2310</v>
      </c>
      <c r="O11" s="1011">
        <v>1256</v>
      </c>
      <c r="P11" s="1011">
        <v>1204</v>
      </c>
      <c r="Q11" s="1011">
        <v>2460</v>
      </c>
      <c r="R11" s="1011">
        <v>10088</v>
      </c>
      <c r="S11" s="1011">
        <v>10724</v>
      </c>
      <c r="T11" s="1011">
        <v>20812</v>
      </c>
      <c r="U11" s="1011">
        <v>29</v>
      </c>
      <c r="V11" s="1011">
        <v>37</v>
      </c>
      <c r="W11" s="1011">
        <v>66</v>
      </c>
    </row>
    <row r="12" spans="1:23" ht="24.75" customHeight="1" x14ac:dyDescent="0.35">
      <c r="A12" s="212">
        <v>8</v>
      </c>
      <c r="B12" s="442" t="s">
        <v>19</v>
      </c>
      <c r="C12" s="1011">
        <v>819</v>
      </c>
      <c r="D12" s="1011">
        <v>876</v>
      </c>
      <c r="E12" s="1011">
        <v>1695</v>
      </c>
      <c r="F12" s="1011">
        <v>1143</v>
      </c>
      <c r="G12" s="1011">
        <v>2191</v>
      </c>
      <c r="H12" s="1011">
        <v>3334</v>
      </c>
      <c r="I12" s="1011">
        <v>3023</v>
      </c>
      <c r="J12" s="1011">
        <v>4963</v>
      </c>
      <c r="K12" s="1011">
        <v>7986</v>
      </c>
      <c r="L12" s="1011">
        <v>68</v>
      </c>
      <c r="M12" s="1011">
        <v>216</v>
      </c>
      <c r="N12" s="1011">
        <v>284</v>
      </c>
      <c r="O12" s="1011">
        <v>488</v>
      </c>
      <c r="P12" s="1011">
        <v>821</v>
      </c>
      <c r="Q12" s="1011">
        <v>1309</v>
      </c>
      <c r="R12" s="1011">
        <v>5593</v>
      </c>
      <c r="S12" s="1011">
        <v>9118</v>
      </c>
      <c r="T12" s="1011">
        <v>14711</v>
      </c>
      <c r="U12" s="1011">
        <v>52</v>
      </c>
      <c r="V12" s="1011">
        <v>51</v>
      </c>
      <c r="W12" s="1011">
        <v>103</v>
      </c>
    </row>
    <row r="13" spans="1:23" ht="24.75" customHeight="1" x14ac:dyDescent="0.35">
      <c r="A13" s="212">
        <v>9</v>
      </c>
      <c r="B13" s="442" t="s">
        <v>20</v>
      </c>
      <c r="C13" s="1011">
        <v>127</v>
      </c>
      <c r="D13" s="1011">
        <v>60</v>
      </c>
      <c r="E13" s="1011">
        <v>187</v>
      </c>
      <c r="F13" s="1011">
        <v>203</v>
      </c>
      <c r="G13" s="1011">
        <v>267</v>
      </c>
      <c r="H13" s="1011">
        <v>470</v>
      </c>
      <c r="I13" s="1011">
        <v>703</v>
      </c>
      <c r="J13" s="1011">
        <v>1390</v>
      </c>
      <c r="K13" s="1011">
        <v>2093</v>
      </c>
      <c r="L13" s="1011">
        <v>17</v>
      </c>
      <c r="M13" s="1011">
        <v>37</v>
      </c>
      <c r="N13" s="1011">
        <v>54</v>
      </c>
      <c r="O13" s="1011">
        <v>44</v>
      </c>
      <c r="P13" s="1011">
        <v>81</v>
      </c>
      <c r="Q13" s="1011">
        <v>125</v>
      </c>
      <c r="R13" s="1011">
        <v>1116</v>
      </c>
      <c r="S13" s="1011">
        <v>1870</v>
      </c>
      <c r="T13" s="1011">
        <v>2986</v>
      </c>
      <c r="U13" s="1011">
        <v>22</v>
      </c>
      <c r="V13" s="1011">
        <v>35</v>
      </c>
      <c r="W13" s="1011">
        <v>57</v>
      </c>
    </row>
    <row r="14" spans="1:23" ht="24.75" customHeight="1" x14ac:dyDescent="0.35">
      <c r="A14" s="212">
        <v>10</v>
      </c>
      <c r="B14" s="442" t="s">
        <v>21</v>
      </c>
      <c r="C14" s="1011">
        <v>2545</v>
      </c>
      <c r="D14" s="1011">
        <v>1083</v>
      </c>
      <c r="E14" s="1011">
        <v>3628</v>
      </c>
      <c r="F14" s="1011">
        <v>3709</v>
      </c>
      <c r="G14" s="1011">
        <v>1990</v>
      </c>
      <c r="H14" s="1011">
        <v>5699</v>
      </c>
      <c r="I14" s="1011">
        <v>15769</v>
      </c>
      <c r="J14" s="1011">
        <v>11241</v>
      </c>
      <c r="K14" s="1011">
        <v>27010</v>
      </c>
      <c r="L14" s="1011">
        <v>1362</v>
      </c>
      <c r="M14" s="1011">
        <v>3026</v>
      </c>
      <c r="N14" s="1011">
        <v>4388</v>
      </c>
      <c r="O14" s="1011">
        <v>875</v>
      </c>
      <c r="P14" s="1011">
        <v>1095</v>
      </c>
      <c r="Q14" s="1011">
        <v>1970</v>
      </c>
      <c r="R14" s="1011">
        <v>25092</v>
      </c>
      <c r="S14" s="1011">
        <v>19155</v>
      </c>
      <c r="T14" s="1011">
        <v>44247</v>
      </c>
      <c r="U14" s="1011">
        <v>832</v>
      </c>
      <c r="V14" s="1011">
        <v>720</v>
      </c>
      <c r="W14" s="1011">
        <v>1552</v>
      </c>
    </row>
    <row r="15" spans="1:23" ht="24.75" customHeight="1" x14ac:dyDescent="0.35">
      <c r="A15" s="212">
        <v>11</v>
      </c>
      <c r="B15" s="442" t="s">
        <v>22</v>
      </c>
      <c r="C15" s="1011">
        <v>1173</v>
      </c>
      <c r="D15" s="1011">
        <v>650</v>
      </c>
      <c r="E15" s="1011">
        <v>1823</v>
      </c>
      <c r="F15" s="1011">
        <v>1382</v>
      </c>
      <c r="G15" s="1011">
        <v>1391</v>
      </c>
      <c r="H15" s="1011">
        <v>2773</v>
      </c>
      <c r="I15" s="1011">
        <v>9008</v>
      </c>
      <c r="J15" s="1011">
        <v>12151</v>
      </c>
      <c r="K15" s="1011">
        <v>21159</v>
      </c>
      <c r="L15" s="1011">
        <v>142</v>
      </c>
      <c r="M15" s="1011">
        <v>656</v>
      </c>
      <c r="N15" s="1011">
        <v>798</v>
      </c>
      <c r="O15" s="1011">
        <v>637</v>
      </c>
      <c r="P15" s="1011">
        <v>1472</v>
      </c>
      <c r="Q15" s="1011">
        <v>2109</v>
      </c>
      <c r="R15" s="1011">
        <v>12456</v>
      </c>
      <c r="S15" s="1011">
        <v>16486</v>
      </c>
      <c r="T15" s="1011">
        <v>28942</v>
      </c>
      <c r="U15" s="1011">
        <v>114</v>
      </c>
      <c r="V15" s="1011">
        <v>166</v>
      </c>
      <c r="W15" s="1011">
        <v>280</v>
      </c>
    </row>
    <row r="16" spans="1:23" ht="24.75" customHeight="1" x14ac:dyDescent="0.35">
      <c r="A16" s="212">
        <v>12</v>
      </c>
      <c r="B16" s="442" t="s">
        <v>23</v>
      </c>
      <c r="C16" s="1011">
        <v>283</v>
      </c>
      <c r="D16" s="1011">
        <v>134</v>
      </c>
      <c r="E16" s="1011">
        <v>417</v>
      </c>
      <c r="F16" s="1011">
        <v>428</v>
      </c>
      <c r="G16" s="1011">
        <v>277</v>
      </c>
      <c r="H16" s="1011">
        <v>705</v>
      </c>
      <c r="I16" s="1011">
        <v>2025</v>
      </c>
      <c r="J16" s="1011">
        <v>2439</v>
      </c>
      <c r="K16" s="1011">
        <v>4464</v>
      </c>
      <c r="L16" s="1011">
        <v>69</v>
      </c>
      <c r="M16" s="1011">
        <v>437</v>
      </c>
      <c r="N16" s="1011">
        <v>506</v>
      </c>
      <c r="O16" s="1011">
        <v>104</v>
      </c>
      <c r="P16" s="1011">
        <v>157</v>
      </c>
      <c r="Q16" s="1011">
        <v>261</v>
      </c>
      <c r="R16" s="1011">
        <v>2922</v>
      </c>
      <c r="S16" s="1011">
        <v>3459</v>
      </c>
      <c r="T16" s="1011">
        <v>6381</v>
      </c>
      <c r="U16" s="1011">
        <v>13</v>
      </c>
      <c r="V16" s="1011">
        <v>15</v>
      </c>
      <c r="W16" s="1011">
        <v>28</v>
      </c>
    </row>
    <row r="17" spans="1:23" ht="24.75" customHeight="1" x14ac:dyDescent="0.35">
      <c r="A17" s="212">
        <v>13</v>
      </c>
      <c r="B17" s="442" t="s">
        <v>24</v>
      </c>
      <c r="C17" s="1011">
        <v>390</v>
      </c>
      <c r="D17" s="1011">
        <v>182</v>
      </c>
      <c r="E17" s="1011">
        <v>572</v>
      </c>
      <c r="F17" s="1011">
        <v>438</v>
      </c>
      <c r="G17" s="1011">
        <v>321</v>
      </c>
      <c r="H17" s="1011">
        <v>759</v>
      </c>
      <c r="I17" s="1011">
        <v>2467</v>
      </c>
      <c r="J17" s="1011">
        <v>2217</v>
      </c>
      <c r="K17" s="1011">
        <v>4684</v>
      </c>
      <c r="L17" s="1011">
        <v>138</v>
      </c>
      <c r="M17" s="1011">
        <v>242</v>
      </c>
      <c r="N17" s="1011">
        <v>380</v>
      </c>
      <c r="O17" s="1011">
        <v>722</v>
      </c>
      <c r="P17" s="1011">
        <v>429</v>
      </c>
      <c r="Q17" s="1011">
        <v>1151</v>
      </c>
      <c r="R17" s="1011">
        <v>4163</v>
      </c>
      <c r="S17" s="1011">
        <v>3393</v>
      </c>
      <c r="T17" s="1011">
        <v>7556</v>
      </c>
      <c r="U17" s="1011">
        <v>8</v>
      </c>
      <c r="V17" s="1011">
        <v>2</v>
      </c>
      <c r="W17" s="1011">
        <v>10</v>
      </c>
    </row>
    <row r="18" spans="1:23" ht="24.75" customHeight="1" x14ac:dyDescent="0.35">
      <c r="A18" s="212">
        <v>14</v>
      </c>
      <c r="B18" s="442" t="s">
        <v>25</v>
      </c>
      <c r="C18" s="1011">
        <v>462</v>
      </c>
      <c r="D18" s="1011">
        <v>131</v>
      </c>
      <c r="E18" s="1011">
        <v>593</v>
      </c>
      <c r="F18" s="1011">
        <v>393</v>
      </c>
      <c r="G18" s="1011">
        <v>121</v>
      </c>
      <c r="H18" s="1011">
        <v>514</v>
      </c>
      <c r="I18" s="1011">
        <v>5513</v>
      </c>
      <c r="J18" s="1011">
        <v>2805</v>
      </c>
      <c r="K18" s="1011">
        <v>8318</v>
      </c>
      <c r="L18" s="1011">
        <v>194</v>
      </c>
      <c r="M18" s="1011">
        <v>293</v>
      </c>
      <c r="N18" s="1011">
        <v>487</v>
      </c>
      <c r="O18" s="1011">
        <v>492</v>
      </c>
      <c r="P18" s="1011">
        <v>350</v>
      </c>
      <c r="Q18" s="1011">
        <v>842</v>
      </c>
      <c r="R18" s="1011">
        <v>7078</v>
      </c>
      <c r="S18" s="1011">
        <v>3707</v>
      </c>
      <c r="T18" s="1011">
        <v>10785</v>
      </c>
      <c r="U18" s="1011">
        <v>24</v>
      </c>
      <c r="V18" s="1011">
        <v>7</v>
      </c>
      <c r="W18" s="1011">
        <v>31</v>
      </c>
    </row>
    <row r="19" spans="1:23" ht="24.75" customHeight="1" x14ac:dyDescent="0.35">
      <c r="A19" s="212">
        <v>15</v>
      </c>
      <c r="B19" s="442" t="s">
        <v>26</v>
      </c>
      <c r="C19" s="1011">
        <v>8121</v>
      </c>
      <c r="D19" s="1011">
        <v>3759</v>
      </c>
      <c r="E19" s="1011">
        <v>11880</v>
      </c>
      <c r="F19" s="1011">
        <v>6887</v>
      </c>
      <c r="G19" s="1011">
        <v>4797</v>
      </c>
      <c r="H19" s="1011">
        <v>11684</v>
      </c>
      <c r="I19" s="1011">
        <v>31597</v>
      </c>
      <c r="J19" s="1011">
        <v>33603</v>
      </c>
      <c r="K19" s="1011">
        <v>65200</v>
      </c>
      <c r="L19" s="1011">
        <v>3480</v>
      </c>
      <c r="M19" s="1011">
        <v>6555</v>
      </c>
      <c r="N19" s="1011">
        <v>10035</v>
      </c>
      <c r="O19" s="1011">
        <v>4809</v>
      </c>
      <c r="P19" s="1011">
        <v>4426</v>
      </c>
      <c r="Q19" s="1011">
        <v>9235</v>
      </c>
      <c r="R19" s="1011">
        <v>55378</v>
      </c>
      <c r="S19" s="1011">
        <v>53617</v>
      </c>
      <c r="T19" s="1011">
        <v>108995</v>
      </c>
      <c r="U19" s="1011">
        <v>484</v>
      </c>
      <c r="V19" s="1011">
        <v>477</v>
      </c>
      <c r="W19" s="1011">
        <v>961</v>
      </c>
    </row>
    <row r="20" spans="1:23" ht="24.75" customHeight="1" x14ac:dyDescent="0.35">
      <c r="A20" s="212">
        <v>16</v>
      </c>
      <c r="B20" s="442" t="s">
        <v>27</v>
      </c>
      <c r="C20" s="1011">
        <v>2555</v>
      </c>
      <c r="D20" s="1011">
        <v>1759</v>
      </c>
      <c r="E20" s="1011">
        <v>4314</v>
      </c>
      <c r="F20" s="1011">
        <v>2461</v>
      </c>
      <c r="G20" s="1011">
        <v>2791</v>
      </c>
      <c r="H20" s="1011">
        <v>5252</v>
      </c>
      <c r="I20" s="1011">
        <v>12918</v>
      </c>
      <c r="J20" s="1011">
        <v>27503</v>
      </c>
      <c r="K20" s="1011">
        <v>40421</v>
      </c>
      <c r="L20" s="1011">
        <v>487</v>
      </c>
      <c r="M20" s="1011">
        <v>1269</v>
      </c>
      <c r="N20" s="1011">
        <v>1756</v>
      </c>
      <c r="O20" s="1011">
        <v>863</v>
      </c>
      <c r="P20" s="1011">
        <v>2932</v>
      </c>
      <c r="Q20" s="1011">
        <v>3795</v>
      </c>
      <c r="R20" s="1011">
        <v>19334</v>
      </c>
      <c r="S20" s="1011">
        <v>36283</v>
      </c>
      <c r="T20" s="1011">
        <v>55617</v>
      </c>
      <c r="U20" s="1011">
        <v>50</v>
      </c>
      <c r="V20" s="1011">
        <v>29</v>
      </c>
      <c r="W20" s="1011">
        <v>79</v>
      </c>
    </row>
    <row r="21" spans="1:23" ht="24.75" customHeight="1" x14ac:dyDescent="0.35">
      <c r="A21" s="212">
        <v>17</v>
      </c>
      <c r="B21" s="443" t="s">
        <v>28</v>
      </c>
      <c r="C21" s="1011">
        <v>4</v>
      </c>
      <c r="D21" s="1011">
        <v>3</v>
      </c>
      <c r="E21" s="1011">
        <v>7</v>
      </c>
      <c r="F21" s="1011"/>
      <c r="G21" s="1011"/>
      <c r="H21" s="1011"/>
      <c r="I21" s="1011">
        <v>52</v>
      </c>
      <c r="J21" s="1011">
        <v>39</v>
      </c>
      <c r="K21" s="1011">
        <v>91</v>
      </c>
      <c r="L21" s="1011"/>
      <c r="M21" s="1011"/>
      <c r="N21" s="1011"/>
      <c r="O21" s="1011">
        <v>34</v>
      </c>
      <c r="P21" s="1011">
        <v>11</v>
      </c>
      <c r="Q21" s="1011">
        <v>45</v>
      </c>
      <c r="R21" s="1011">
        <v>90</v>
      </c>
      <c r="S21" s="1011">
        <v>53</v>
      </c>
      <c r="T21" s="1011">
        <v>143</v>
      </c>
      <c r="U21" s="1011"/>
      <c r="V21" s="1011"/>
      <c r="W21" s="1011"/>
    </row>
    <row r="22" spans="1:23" ht="24.75" customHeight="1" x14ac:dyDescent="0.35">
      <c r="A22" s="212">
        <v>18</v>
      </c>
      <c r="B22" s="442" t="s">
        <v>72</v>
      </c>
      <c r="C22" s="1011">
        <v>2</v>
      </c>
      <c r="D22" s="1011">
        <v>2</v>
      </c>
      <c r="E22" s="1011">
        <v>4</v>
      </c>
      <c r="F22" s="1011"/>
      <c r="G22" s="1011"/>
      <c r="H22" s="1011"/>
      <c r="I22" s="1011">
        <v>32</v>
      </c>
      <c r="J22" s="1011">
        <v>22</v>
      </c>
      <c r="K22" s="1011">
        <v>54</v>
      </c>
      <c r="L22" s="1011"/>
      <c r="M22" s="1011"/>
      <c r="N22" s="1011"/>
      <c r="O22" s="1011"/>
      <c r="P22" s="1011">
        <v>1</v>
      </c>
      <c r="Q22" s="1011">
        <v>1</v>
      </c>
      <c r="R22" s="1011">
        <v>34</v>
      </c>
      <c r="S22" s="1011">
        <v>25</v>
      </c>
      <c r="T22" s="1011">
        <v>59</v>
      </c>
      <c r="U22" s="1011"/>
      <c r="V22" s="1011"/>
      <c r="W22" s="1011"/>
    </row>
    <row r="23" spans="1:23" ht="24.75" customHeight="1" x14ac:dyDescent="0.35">
      <c r="A23" s="212">
        <v>19</v>
      </c>
      <c r="B23" s="442" t="s">
        <v>29</v>
      </c>
      <c r="C23" s="1011">
        <v>3828</v>
      </c>
      <c r="D23" s="1011">
        <v>2303</v>
      </c>
      <c r="E23" s="1011">
        <v>6131</v>
      </c>
      <c r="F23" s="1011">
        <v>3119</v>
      </c>
      <c r="G23" s="1011">
        <v>2094</v>
      </c>
      <c r="H23" s="1011">
        <v>5213</v>
      </c>
      <c r="I23" s="1011">
        <v>22065</v>
      </c>
      <c r="J23" s="1011">
        <v>16968</v>
      </c>
      <c r="K23" s="1011">
        <v>39033</v>
      </c>
      <c r="L23" s="1011">
        <v>1478</v>
      </c>
      <c r="M23" s="1011">
        <v>2760</v>
      </c>
      <c r="N23" s="1011">
        <v>4238</v>
      </c>
      <c r="O23" s="1011">
        <v>2728</v>
      </c>
      <c r="P23" s="1011">
        <v>2429</v>
      </c>
      <c r="Q23" s="1011">
        <v>5157</v>
      </c>
      <c r="R23" s="1011">
        <v>33345</v>
      </c>
      <c r="S23" s="1011">
        <v>26682</v>
      </c>
      <c r="T23" s="1011">
        <v>60027</v>
      </c>
      <c r="U23" s="1011">
        <v>127</v>
      </c>
      <c r="V23" s="1011">
        <v>128</v>
      </c>
      <c r="W23" s="1011">
        <v>255</v>
      </c>
    </row>
    <row r="24" spans="1:23" ht="24.75" customHeight="1" x14ac:dyDescent="0.35">
      <c r="A24" s="212">
        <v>20</v>
      </c>
      <c r="B24" s="442" t="s">
        <v>30</v>
      </c>
      <c r="C24" s="1011">
        <v>8087</v>
      </c>
      <c r="D24" s="1011">
        <v>3171</v>
      </c>
      <c r="E24" s="1011">
        <v>11258</v>
      </c>
      <c r="F24" s="1011">
        <v>9931</v>
      </c>
      <c r="G24" s="1011">
        <v>4998</v>
      </c>
      <c r="H24" s="1011">
        <v>14929</v>
      </c>
      <c r="I24" s="1011">
        <v>47279</v>
      </c>
      <c r="J24" s="1011">
        <v>39891</v>
      </c>
      <c r="K24" s="1011">
        <v>87170</v>
      </c>
      <c r="L24" s="1011">
        <v>1482</v>
      </c>
      <c r="M24" s="1011">
        <v>2207</v>
      </c>
      <c r="N24" s="1011">
        <v>3689</v>
      </c>
      <c r="O24" s="1011">
        <v>4962</v>
      </c>
      <c r="P24" s="1011">
        <v>5227</v>
      </c>
      <c r="Q24" s="1011">
        <v>10189</v>
      </c>
      <c r="R24" s="1011">
        <v>73391</v>
      </c>
      <c r="S24" s="1011">
        <v>57093</v>
      </c>
      <c r="T24" s="1011">
        <v>130484</v>
      </c>
      <c r="U24" s="1011">
        <v>1650</v>
      </c>
      <c r="V24" s="1011">
        <v>1599</v>
      </c>
      <c r="W24" s="1011">
        <v>3249</v>
      </c>
    </row>
    <row r="25" spans="1:23" ht="24.75" customHeight="1" x14ac:dyDescent="0.35">
      <c r="A25" s="212">
        <v>21</v>
      </c>
      <c r="B25" s="442" t="s">
        <v>31</v>
      </c>
      <c r="C25" s="1011">
        <v>157</v>
      </c>
      <c r="D25" s="1011">
        <v>75</v>
      </c>
      <c r="E25" s="1011">
        <v>232</v>
      </c>
      <c r="F25" s="1011">
        <v>364</v>
      </c>
      <c r="G25" s="1011">
        <v>263</v>
      </c>
      <c r="H25" s="1011">
        <v>627</v>
      </c>
      <c r="I25" s="1011">
        <v>1932</v>
      </c>
      <c r="J25" s="1011">
        <v>2209</v>
      </c>
      <c r="K25" s="1011">
        <v>4141</v>
      </c>
      <c r="L25" s="1011">
        <v>41</v>
      </c>
      <c r="M25" s="1011">
        <v>135</v>
      </c>
      <c r="N25" s="1011">
        <v>176</v>
      </c>
      <c r="O25" s="1011">
        <v>47</v>
      </c>
      <c r="P25" s="1011">
        <v>49</v>
      </c>
      <c r="Q25" s="1011">
        <v>96</v>
      </c>
      <c r="R25" s="1011">
        <v>2544</v>
      </c>
      <c r="S25" s="1011">
        <v>2733</v>
      </c>
      <c r="T25" s="1011">
        <v>5277</v>
      </c>
      <c r="U25" s="1011">
        <v>3</v>
      </c>
      <c r="V25" s="1011">
        <v>2</v>
      </c>
      <c r="W25" s="1011">
        <v>5</v>
      </c>
    </row>
    <row r="26" spans="1:23" ht="24.75" customHeight="1" x14ac:dyDescent="0.35">
      <c r="A26" s="212">
        <v>22</v>
      </c>
      <c r="B26" s="442" t="s">
        <v>32</v>
      </c>
      <c r="C26" s="1011">
        <v>71</v>
      </c>
      <c r="D26" s="1011">
        <v>46</v>
      </c>
      <c r="E26" s="1011">
        <v>117</v>
      </c>
      <c r="F26" s="1011">
        <v>139</v>
      </c>
      <c r="G26" s="1011">
        <v>156</v>
      </c>
      <c r="H26" s="1011">
        <v>295</v>
      </c>
      <c r="I26" s="1011">
        <v>819</v>
      </c>
      <c r="J26" s="1011">
        <v>1433</v>
      </c>
      <c r="K26" s="1011">
        <v>2252</v>
      </c>
      <c r="L26" s="1011">
        <v>2</v>
      </c>
      <c r="M26" s="1011">
        <v>16</v>
      </c>
      <c r="N26" s="1011">
        <v>18</v>
      </c>
      <c r="O26" s="1011">
        <v>36</v>
      </c>
      <c r="P26" s="1011">
        <v>57</v>
      </c>
      <c r="Q26" s="1011">
        <v>93</v>
      </c>
      <c r="R26" s="1011">
        <v>1067</v>
      </c>
      <c r="S26" s="1011">
        <v>1708</v>
      </c>
      <c r="T26" s="1011">
        <v>2775</v>
      </c>
      <c r="U26" s="1011"/>
      <c r="V26" s="1011"/>
      <c r="W26" s="1011"/>
    </row>
    <row r="27" spans="1:23" ht="24.75" customHeight="1" x14ac:dyDescent="0.35">
      <c r="A27" s="212">
        <v>23</v>
      </c>
      <c r="B27" s="442" t="s">
        <v>33</v>
      </c>
      <c r="C27" s="1011">
        <v>67</v>
      </c>
      <c r="D27" s="1011">
        <v>17</v>
      </c>
      <c r="E27" s="1011">
        <v>84</v>
      </c>
      <c r="F27" s="1011">
        <v>208</v>
      </c>
      <c r="G27" s="1011">
        <v>201</v>
      </c>
      <c r="H27" s="1011">
        <v>409</v>
      </c>
      <c r="I27" s="1011">
        <v>339</v>
      </c>
      <c r="J27" s="1011">
        <v>364</v>
      </c>
      <c r="K27" s="1011">
        <v>703</v>
      </c>
      <c r="L27" s="1011">
        <v>27</v>
      </c>
      <c r="M27" s="1011">
        <v>71</v>
      </c>
      <c r="N27" s="1011">
        <v>98</v>
      </c>
      <c r="O27" s="1011">
        <v>119</v>
      </c>
      <c r="P27" s="1011">
        <v>113</v>
      </c>
      <c r="Q27" s="1011">
        <v>232</v>
      </c>
      <c r="R27" s="1011">
        <v>765</v>
      </c>
      <c r="S27" s="1011">
        <v>767</v>
      </c>
      <c r="T27" s="1011">
        <v>1532</v>
      </c>
      <c r="U27" s="1011">
        <v>5</v>
      </c>
      <c r="V27" s="1011">
        <v>1</v>
      </c>
      <c r="W27" s="1011">
        <v>6</v>
      </c>
    </row>
    <row r="28" spans="1:23" ht="24.75" customHeight="1" x14ac:dyDescent="0.35">
      <c r="A28" s="212">
        <v>24</v>
      </c>
      <c r="B28" s="442" t="s">
        <v>34</v>
      </c>
      <c r="C28" s="1011">
        <v>42</v>
      </c>
      <c r="D28" s="1011">
        <v>26</v>
      </c>
      <c r="E28" s="1011">
        <v>68</v>
      </c>
      <c r="F28" s="1011">
        <v>40</v>
      </c>
      <c r="G28" s="1011">
        <v>63</v>
      </c>
      <c r="H28" s="1011">
        <v>103</v>
      </c>
      <c r="I28" s="1011">
        <v>611</v>
      </c>
      <c r="J28" s="1011">
        <v>1024</v>
      </c>
      <c r="K28" s="1011">
        <v>1635</v>
      </c>
      <c r="L28" s="1011">
        <v>8</v>
      </c>
      <c r="M28" s="1011">
        <v>16</v>
      </c>
      <c r="N28" s="1011">
        <v>24</v>
      </c>
      <c r="O28" s="1011">
        <v>18</v>
      </c>
      <c r="P28" s="1011">
        <v>26</v>
      </c>
      <c r="Q28" s="1011">
        <v>44</v>
      </c>
      <c r="R28" s="1011">
        <v>725</v>
      </c>
      <c r="S28" s="1011">
        <v>1164</v>
      </c>
      <c r="T28" s="1011">
        <v>1889</v>
      </c>
      <c r="U28" s="1011">
        <v>6</v>
      </c>
      <c r="V28" s="1011">
        <v>9</v>
      </c>
      <c r="W28" s="1011">
        <v>15</v>
      </c>
    </row>
    <row r="29" spans="1:23" ht="24.75" customHeight="1" x14ac:dyDescent="0.35">
      <c r="A29" s="212">
        <v>25</v>
      </c>
      <c r="B29" s="442" t="s">
        <v>35</v>
      </c>
      <c r="C29" s="1011">
        <v>1400</v>
      </c>
      <c r="D29" s="1011">
        <v>445</v>
      </c>
      <c r="E29" s="1011">
        <v>1845</v>
      </c>
      <c r="F29" s="1011">
        <v>2024</v>
      </c>
      <c r="G29" s="1011">
        <v>893</v>
      </c>
      <c r="H29" s="1011">
        <v>2917</v>
      </c>
      <c r="I29" s="1011">
        <v>12562</v>
      </c>
      <c r="J29" s="1011">
        <v>8837</v>
      </c>
      <c r="K29" s="1011">
        <v>21399</v>
      </c>
      <c r="L29" s="1011">
        <v>896</v>
      </c>
      <c r="M29" s="1011">
        <v>936</v>
      </c>
      <c r="N29" s="1011">
        <v>1832</v>
      </c>
      <c r="O29" s="1011">
        <v>669</v>
      </c>
      <c r="P29" s="1011">
        <v>800</v>
      </c>
      <c r="Q29" s="1011">
        <v>1469</v>
      </c>
      <c r="R29" s="1011">
        <v>17631</v>
      </c>
      <c r="S29" s="1011">
        <v>11975</v>
      </c>
      <c r="T29" s="1011">
        <v>29606</v>
      </c>
      <c r="U29" s="1011">
        <v>80</v>
      </c>
      <c r="V29" s="1011">
        <v>64</v>
      </c>
      <c r="W29" s="1011">
        <v>144</v>
      </c>
    </row>
    <row r="30" spans="1:23" ht="24.75" customHeight="1" x14ac:dyDescent="0.35">
      <c r="A30" s="212">
        <v>26</v>
      </c>
      <c r="B30" s="444" t="s">
        <v>36</v>
      </c>
      <c r="C30" s="1011">
        <v>315</v>
      </c>
      <c r="D30" s="1011">
        <v>165</v>
      </c>
      <c r="E30" s="1011">
        <v>480</v>
      </c>
      <c r="F30" s="1011">
        <v>273</v>
      </c>
      <c r="G30" s="1011">
        <v>205</v>
      </c>
      <c r="H30" s="1011">
        <v>478</v>
      </c>
      <c r="I30" s="1011">
        <v>1443</v>
      </c>
      <c r="J30" s="1011">
        <v>1484</v>
      </c>
      <c r="K30" s="1011">
        <v>2927</v>
      </c>
      <c r="L30" s="1011">
        <v>80</v>
      </c>
      <c r="M30" s="1011">
        <v>219</v>
      </c>
      <c r="N30" s="1011">
        <v>299</v>
      </c>
      <c r="O30" s="1011">
        <v>39</v>
      </c>
      <c r="P30" s="1011">
        <v>46</v>
      </c>
      <c r="Q30" s="1011">
        <v>85</v>
      </c>
      <c r="R30" s="1011">
        <v>2151</v>
      </c>
      <c r="S30" s="1011">
        <v>2119</v>
      </c>
      <c r="T30" s="1011">
        <v>4270</v>
      </c>
      <c r="U30" s="1011">
        <v>1</v>
      </c>
      <c r="V30" s="1011"/>
      <c r="W30" s="1011">
        <v>1</v>
      </c>
    </row>
    <row r="31" spans="1:23" ht="24.75" customHeight="1" x14ac:dyDescent="0.35">
      <c r="A31" s="212">
        <v>27</v>
      </c>
      <c r="B31" s="442" t="s">
        <v>37</v>
      </c>
      <c r="C31" s="1011">
        <v>1027</v>
      </c>
      <c r="D31" s="1011">
        <v>885</v>
      </c>
      <c r="E31" s="1011">
        <v>1912</v>
      </c>
      <c r="F31" s="1011">
        <v>1090</v>
      </c>
      <c r="G31" s="1011">
        <v>1375</v>
      </c>
      <c r="H31" s="1011">
        <v>2465</v>
      </c>
      <c r="I31" s="1011">
        <v>7128</v>
      </c>
      <c r="J31" s="1011">
        <v>15244</v>
      </c>
      <c r="K31" s="1011">
        <v>22372</v>
      </c>
      <c r="L31" s="1011">
        <v>327</v>
      </c>
      <c r="M31" s="1011">
        <v>2521</v>
      </c>
      <c r="N31" s="1011">
        <v>2848</v>
      </c>
      <c r="O31" s="1011">
        <v>427</v>
      </c>
      <c r="P31" s="1011">
        <v>1218</v>
      </c>
      <c r="Q31" s="1011">
        <v>1645</v>
      </c>
      <c r="R31" s="1011">
        <v>10106</v>
      </c>
      <c r="S31" s="1011">
        <v>21472</v>
      </c>
      <c r="T31" s="1011">
        <v>31578</v>
      </c>
      <c r="U31" s="1011">
        <v>107</v>
      </c>
      <c r="V31" s="1011">
        <v>229</v>
      </c>
      <c r="W31" s="1011">
        <v>336</v>
      </c>
    </row>
    <row r="32" spans="1:23" ht="24.75" customHeight="1" x14ac:dyDescent="0.35">
      <c r="A32" s="212">
        <v>28</v>
      </c>
      <c r="B32" s="445" t="s">
        <v>38</v>
      </c>
      <c r="C32" s="1011">
        <v>3855</v>
      </c>
      <c r="D32" s="1011">
        <v>1669</v>
      </c>
      <c r="E32" s="1011">
        <v>5524</v>
      </c>
      <c r="F32" s="1011">
        <v>2824</v>
      </c>
      <c r="G32" s="1011">
        <v>1802</v>
      </c>
      <c r="H32" s="1011">
        <v>4626</v>
      </c>
      <c r="I32" s="1011">
        <v>31300</v>
      </c>
      <c r="J32" s="1011">
        <v>18455</v>
      </c>
      <c r="K32" s="1011">
        <v>49755</v>
      </c>
      <c r="L32" s="1011">
        <v>1860</v>
      </c>
      <c r="M32" s="1011">
        <v>884</v>
      </c>
      <c r="N32" s="1011">
        <v>2744</v>
      </c>
      <c r="O32" s="1011">
        <v>541</v>
      </c>
      <c r="P32" s="1011">
        <v>302</v>
      </c>
      <c r="Q32" s="1011">
        <v>843</v>
      </c>
      <c r="R32" s="1011">
        <v>40411</v>
      </c>
      <c r="S32" s="1011">
        <v>23127</v>
      </c>
      <c r="T32" s="1011">
        <v>63538</v>
      </c>
      <c r="U32" s="1011">
        <v>31</v>
      </c>
      <c r="V32" s="1011">
        <v>15</v>
      </c>
      <c r="W32" s="1011">
        <v>46</v>
      </c>
    </row>
    <row r="33" spans="1:23" ht="24.75" customHeight="1" x14ac:dyDescent="0.35">
      <c r="A33" s="212">
        <v>29</v>
      </c>
      <c r="B33" s="446" t="s">
        <v>39</v>
      </c>
      <c r="C33" s="1011">
        <v>15</v>
      </c>
      <c r="D33" s="1011">
        <v>4</v>
      </c>
      <c r="E33" s="1011">
        <v>19</v>
      </c>
      <c r="F33" s="1011">
        <v>21</v>
      </c>
      <c r="G33" s="1011">
        <v>14</v>
      </c>
      <c r="H33" s="1011">
        <v>35</v>
      </c>
      <c r="I33" s="1011">
        <v>305</v>
      </c>
      <c r="J33" s="1011">
        <v>282</v>
      </c>
      <c r="K33" s="1011">
        <v>587</v>
      </c>
      <c r="L33" s="1011"/>
      <c r="M33" s="1011">
        <v>4</v>
      </c>
      <c r="N33" s="1011">
        <v>4</v>
      </c>
      <c r="O33" s="1011">
        <v>5</v>
      </c>
      <c r="P33" s="1011">
        <v>8</v>
      </c>
      <c r="Q33" s="1011">
        <v>13</v>
      </c>
      <c r="R33" s="1011">
        <v>346</v>
      </c>
      <c r="S33" s="1011">
        <v>312</v>
      </c>
      <c r="T33" s="1011">
        <v>658</v>
      </c>
      <c r="U33" s="1011"/>
      <c r="V33" s="1011"/>
      <c r="W33" s="1011"/>
    </row>
    <row r="34" spans="1:23" ht="24.75" customHeight="1" x14ac:dyDescent="0.35">
      <c r="A34" s="212">
        <v>30</v>
      </c>
      <c r="B34" s="447" t="s">
        <v>40</v>
      </c>
      <c r="C34" s="1011">
        <v>7804</v>
      </c>
      <c r="D34" s="1011">
        <v>4737</v>
      </c>
      <c r="E34" s="1011">
        <v>12541</v>
      </c>
      <c r="F34" s="1011">
        <v>9086</v>
      </c>
      <c r="G34" s="1011">
        <v>7901</v>
      </c>
      <c r="H34" s="1011">
        <v>16987</v>
      </c>
      <c r="I34" s="1011">
        <v>51942</v>
      </c>
      <c r="J34" s="1011">
        <v>67104</v>
      </c>
      <c r="K34" s="1011">
        <v>119046</v>
      </c>
      <c r="L34" s="1011">
        <v>2294</v>
      </c>
      <c r="M34" s="1011">
        <v>5893</v>
      </c>
      <c r="N34" s="1011">
        <v>8187</v>
      </c>
      <c r="O34" s="1011">
        <v>2567</v>
      </c>
      <c r="P34" s="1011">
        <v>3550</v>
      </c>
      <c r="Q34" s="1011">
        <v>6117</v>
      </c>
      <c r="R34" s="1011">
        <v>73908</v>
      </c>
      <c r="S34" s="1011">
        <v>89363</v>
      </c>
      <c r="T34" s="1011">
        <v>163271</v>
      </c>
      <c r="U34" s="1011">
        <v>215</v>
      </c>
      <c r="V34" s="1011">
        <v>178</v>
      </c>
      <c r="W34" s="1011">
        <v>393</v>
      </c>
    </row>
    <row r="35" spans="1:23" ht="24.75" customHeight="1" x14ac:dyDescent="0.35">
      <c r="A35" s="212">
        <v>31</v>
      </c>
      <c r="B35" s="448" t="s">
        <v>41</v>
      </c>
      <c r="C35" s="1011">
        <v>4263</v>
      </c>
      <c r="D35" s="1011">
        <v>1565</v>
      </c>
      <c r="E35" s="1011">
        <v>5828</v>
      </c>
      <c r="F35" s="1011">
        <v>4417</v>
      </c>
      <c r="G35" s="1011">
        <v>2672</v>
      </c>
      <c r="H35" s="1011">
        <v>7089</v>
      </c>
      <c r="I35" s="1011">
        <v>28316</v>
      </c>
      <c r="J35" s="1011">
        <v>24382</v>
      </c>
      <c r="K35" s="1011">
        <v>52698</v>
      </c>
      <c r="L35" s="1011">
        <v>832</v>
      </c>
      <c r="M35" s="1011">
        <v>1878</v>
      </c>
      <c r="N35" s="1011">
        <v>2710</v>
      </c>
      <c r="O35" s="1011">
        <v>990</v>
      </c>
      <c r="P35" s="1011">
        <v>1037</v>
      </c>
      <c r="Q35" s="1011">
        <v>2027</v>
      </c>
      <c r="R35" s="1011">
        <v>38884</v>
      </c>
      <c r="S35" s="1011">
        <v>31559</v>
      </c>
      <c r="T35" s="1011">
        <v>70443</v>
      </c>
      <c r="U35" s="1011">
        <v>66</v>
      </c>
      <c r="V35" s="1011">
        <v>25</v>
      </c>
      <c r="W35" s="1011">
        <v>91</v>
      </c>
    </row>
    <row r="36" spans="1:23" ht="30" x14ac:dyDescent="0.35">
      <c r="A36" s="212">
        <v>32</v>
      </c>
      <c r="B36" s="448" t="s">
        <v>60</v>
      </c>
      <c r="C36" s="1011">
        <v>25</v>
      </c>
      <c r="D36" s="1011">
        <v>12</v>
      </c>
      <c r="E36" s="1011">
        <v>37</v>
      </c>
      <c r="F36" s="1011">
        <v>29</v>
      </c>
      <c r="G36" s="1011">
        <v>14</v>
      </c>
      <c r="H36" s="1011">
        <v>43</v>
      </c>
      <c r="I36" s="1011">
        <v>213</v>
      </c>
      <c r="J36" s="1011">
        <v>168</v>
      </c>
      <c r="K36" s="1011">
        <v>381</v>
      </c>
      <c r="L36" s="1011">
        <v>17</v>
      </c>
      <c r="M36" s="1011">
        <v>59</v>
      </c>
      <c r="N36" s="1011">
        <v>76</v>
      </c>
      <c r="O36" s="1011">
        <v>35</v>
      </c>
      <c r="P36" s="1011">
        <v>30</v>
      </c>
      <c r="Q36" s="1011">
        <v>65</v>
      </c>
      <c r="R36" s="1011">
        <v>339</v>
      </c>
      <c r="S36" s="1011">
        <v>302</v>
      </c>
      <c r="T36" s="1011">
        <v>641</v>
      </c>
      <c r="U36" s="1011">
        <v>20</v>
      </c>
      <c r="V36" s="1011">
        <v>19</v>
      </c>
      <c r="W36" s="1011">
        <v>39</v>
      </c>
    </row>
    <row r="37" spans="1:23" ht="24.75" customHeight="1" x14ac:dyDescent="0.35">
      <c r="A37" s="212">
        <v>33</v>
      </c>
      <c r="B37" s="447" t="s">
        <v>42</v>
      </c>
      <c r="C37" s="1011">
        <v>85</v>
      </c>
      <c r="D37" s="1011">
        <v>24</v>
      </c>
      <c r="E37" s="1011">
        <v>109</v>
      </c>
      <c r="F37" s="1011">
        <v>160</v>
      </c>
      <c r="G37" s="1011">
        <v>67</v>
      </c>
      <c r="H37" s="1011">
        <v>227</v>
      </c>
      <c r="I37" s="1011">
        <v>632</v>
      </c>
      <c r="J37" s="1011">
        <v>340</v>
      </c>
      <c r="K37" s="1011">
        <v>972</v>
      </c>
      <c r="L37" s="1011">
        <v>168</v>
      </c>
      <c r="M37" s="1011">
        <v>188</v>
      </c>
      <c r="N37" s="1011">
        <v>356</v>
      </c>
      <c r="O37" s="1011">
        <v>208</v>
      </c>
      <c r="P37" s="1011">
        <v>139</v>
      </c>
      <c r="Q37" s="1011">
        <v>347</v>
      </c>
      <c r="R37" s="1011">
        <v>1291</v>
      </c>
      <c r="S37" s="1011">
        <v>797</v>
      </c>
      <c r="T37" s="1011">
        <v>2088</v>
      </c>
      <c r="U37" s="1011">
        <v>38</v>
      </c>
      <c r="V37" s="1011">
        <v>39</v>
      </c>
      <c r="W37" s="1011">
        <v>77</v>
      </c>
    </row>
    <row r="38" spans="1:23" ht="24.75" customHeight="1" x14ac:dyDescent="0.35">
      <c r="A38" s="212">
        <v>34</v>
      </c>
      <c r="B38" s="442" t="s">
        <v>43</v>
      </c>
      <c r="C38" s="1011">
        <v>8925</v>
      </c>
      <c r="D38" s="1011">
        <v>3097</v>
      </c>
      <c r="E38" s="1011">
        <v>12022</v>
      </c>
      <c r="F38" s="1011">
        <v>7540</v>
      </c>
      <c r="G38" s="1011">
        <v>3694</v>
      </c>
      <c r="H38" s="1011">
        <v>11234</v>
      </c>
      <c r="I38" s="1011">
        <v>76545</v>
      </c>
      <c r="J38" s="1011">
        <v>34547</v>
      </c>
      <c r="K38" s="1011">
        <v>111092</v>
      </c>
      <c r="L38" s="1011">
        <v>1014</v>
      </c>
      <c r="M38" s="1011">
        <v>1179</v>
      </c>
      <c r="N38" s="1011">
        <v>2193</v>
      </c>
      <c r="O38" s="1011">
        <v>7720</v>
      </c>
      <c r="P38" s="1011">
        <v>2911</v>
      </c>
      <c r="Q38" s="1011">
        <v>10631</v>
      </c>
      <c r="R38" s="1011">
        <v>101864</v>
      </c>
      <c r="S38" s="1011">
        <v>45489</v>
      </c>
      <c r="T38" s="1011">
        <v>147353</v>
      </c>
      <c r="U38" s="1011">
        <v>120</v>
      </c>
      <c r="V38" s="1011">
        <v>61</v>
      </c>
      <c r="W38" s="1011">
        <v>181</v>
      </c>
    </row>
    <row r="39" spans="1:23" ht="24.75" customHeight="1" x14ac:dyDescent="0.35">
      <c r="A39" s="212">
        <v>35</v>
      </c>
      <c r="B39" s="442" t="s">
        <v>44</v>
      </c>
      <c r="C39" s="1011">
        <v>597</v>
      </c>
      <c r="D39" s="1011">
        <v>298</v>
      </c>
      <c r="E39" s="1011">
        <v>895</v>
      </c>
      <c r="F39" s="1011">
        <v>515</v>
      </c>
      <c r="G39" s="1011">
        <v>368</v>
      </c>
      <c r="H39" s="1011">
        <v>883</v>
      </c>
      <c r="I39" s="1011">
        <v>3686</v>
      </c>
      <c r="J39" s="1011">
        <v>3079</v>
      </c>
      <c r="K39" s="1011">
        <v>6765</v>
      </c>
      <c r="L39" s="1011">
        <v>141</v>
      </c>
      <c r="M39" s="1011">
        <v>385</v>
      </c>
      <c r="N39" s="1011">
        <v>526</v>
      </c>
      <c r="O39" s="1011">
        <v>422</v>
      </c>
      <c r="P39" s="1011">
        <v>326</v>
      </c>
      <c r="Q39" s="1011">
        <v>748</v>
      </c>
      <c r="R39" s="1011">
        <v>5364</v>
      </c>
      <c r="S39" s="1011">
        <v>4465</v>
      </c>
      <c r="T39" s="1011">
        <v>9829</v>
      </c>
      <c r="U39" s="1011">
        <v>3</v>
      </c>
      <c r="V39" s="1011">
        <v>9</v>
      </c>
      <c r="W39" s="1011">
        <v>12</v>
      </c>
    </row>
    <row r="40" spans="1:23" ht="24.75" customHeight="1" x14ac:dyDescent="0.35">
      <c r="A40" s="212">
        <v>36</v>
      </c>
      <c r="B40" s="442" t="s">
        <v>45</v>
      </c>
      <c r="C40" s="1011">
        <v>2309</v>
      </c>
      <c r="D40" s="1011">
        <v>695</v>
      </c>
      <c r="E40" s="1011">
        <v>3004</v>
      </c>
      <c r="F40" s="1011">
        <v>3522</v>
      </c>
      <c r="G40" s="1011">
        <v>2320</v>
      </c>
      <c r="H40" s="1011">
        <v>5842</v>
      </c>
      <c r="I40" s="1011">
        <v>20451</v>
      </c>
      <c r="J40" s="1011">
        <v>11017</v>
      </c>
      <c r="K40" s="1011">
        <v>31468</v>
      </c>
      <c r="L40" s="1011">
        <v>996</v>
      </c>
      <c r="M40" s="1011">
        <v>1562</v>
      </c>
      <c r="N40" s="1011">
        <v>2558</v>
      </c>
      <c r="O40" s="1011">
        <v>6972</v>
      </c>
      <c r="P40" s="1011">
        <v>5960</v>
      </c>
      <c r="Q40" s="1011">
        <v>12932</v>
      </c>
      <c r="R40" s="1011">
        <v>34655</v>
      </c>
      <c r="S40" s="1011">
        <v>21790</v>
      </c>
      <c r="T40" s="1011">
        <v>56445</v>
      </c>
      <c r="U40" s="1011">
        <v>405</v>
      </c>
      <c r="V40" s="1011">
        <v>236</v>
      </c>
      <c r="W40" s="1011">
        <v>641</v>
      </c>
    </row>
    <row r="41" spans="1:23" s="214" customFormat="1" ht="24.75" customHeight="1" x14ac:dyDescent="0.35">
      <c r="A41" s="849" t="s">
        <v>46</v>
      </c>
      <c r="B41" s="849"/>
      <c r="C41" s="1012">
        <v>68612</v>
      </c>
      <c r="D41" s="1012">
        <v>31040</v>
      </c>
      <c r="E41" s="1012">
        <v>99652</v>
      </c>
      <c r="F41" s="1012">
        <v>72812</v>
      </c>
      <c r="G41" s="1012">
        <v>48322</v>
      </c>
      <c r="H41" s="1012">
        <v>121134</v>
      </c>
      <c r="I41" s="1012">
        <v>465988</v>
      </c>
      <c r="J41" s="1012">
        <v>392356</v>
      </c>
      <c r="K41" s="1012">
        <v>858344</v>
      </c>
      <c r="L41" s="1012">
        <v>20090</v>
      </c>
      <c r="M41" s="1012">
        <v>39086</v>
      </c>
      <c r="N41" s="1012">
        <v>59176</v>
      </c>
      <c r="O41" s="1012">
        <v>42380</v>
      </c>
      <c r="P41" s="1012">
        <v>39981</v>
      </c>
      <c r="Q41" s="1012">
        <v>82361</v>
      </c>
      <c r="R41" s="1012">
        <v>674615</v>
      </c>
      <c r="S41" s="1012">
        <v>555075</v>
      </c>
      <c r="T41" s="1012">
        <v>1229690</v>
      </c>
      <c r="U41" s="1012">
        <v>4733</v>
      </c>
      <c r="V41" s="1012">
        <v>4290</v>
      </c>
      <c r="W41" s="1012">
        <v>9023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ageMargins left="0.39370078740157483" right="0.15748031496062992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2022-23&amp;RT-22a</oddFooter>
  </headerFooter>
  <colBreaks count="2" manualBreakCount="2">
    <brk id="8" max="40" man="1"/>
    <brk id="14" max="4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BB28-EA3B-4F3F-816E-3851074E1632}">
  <sheetPr codeName="Sheet33">
    <tabColor rgb="FF92D050"/>
  </sheetPr>
  <dimension ref="A1:W39"/>
  <sheetViews>
    <sheetView showZeros="0" view="pageBreakPreview" topLeftCell="C33" zoomScaleSheetLayoutView="100" workbookViewId="0">
      <selection activeCell="C39" sqref="A39:XFD39"/>
    </sheetView>
  </sheetViews>
  <sheetFormatPr defaultColWidth="9.26953125" defaultRowHeight="13" x14ac:dyDescent="0.35"/>
  <cols>
    <col min="1" max="1" width="4.26953125" style="575" bestFit="1" customWidth="1"/>
    <col min="2" max="2" width="31.54296875" style="575" bestFit="1" customWidth="1"/>
    <col min="3" max="11" width="9.1796875" style="367" customWidth="1"/>
    <col min="12" max="16" width="8.08984375" style="367" bestFit="1" customWidth="1"/>
    <col min="17" max="17" width="9" style="367" bestFit="1" customWidth="1"/>
    <col min="18" max="20" width="10.36328125" style="367" bestFit="1" customWidth="1"/>
    <col min="21" max="23" width="8.08984375" style="367" bestFit="1" customWidth="1"/>
    <col min="24" max="16384" width="9.26953125" style="575"/>
  </cols>
  <sheetData>
    <row r="1" spans="1:23" x14ac:dyDescent="0.35">
      <c r="B1" s="576" t="s">
        <v>766</v>
      </c>
      <c r="C1" s="857" t="s">
        <v>1017</v>
      </c>
      <c r="D1" s="857"/>
      <c r="E1" s="857"/>
      <c r="F1" s="857"/>
      <c r="G1" s="857"/>
      <c r="H1" s="857"/>
      <c r="I1" s="857"/>
      <c r="J1" s="857"/>
      <c r="K1" s="857"/>
      <c r="L1" s="857" t="str">
        <f>C1</f>
        <v>State/UTs-wsie Number of Teachers in Universities teaching departments and it's Constituent Units/Off-campus Centres (Based on Actual Response)</v>
      </c>
      <c r="M1" s="857"/>
      <c r="N1" s="857"/>
      <c r="O1" s="857"/>
      <c r="P1" s="857"/>
      <c r="Q1" s="857"/>
      <c r="R1" s="857"/>
      <c r="S1" s="857"/>
      <c r="T1" s="857"/>
      <c r="U1" s="857"/>
      <c r="V1" s="857"/>
      <c r="W1" s="857"/>
    </row>
    <row r="2" spans="1:23" s="579" customFormat="1" x14ac:dyDescent="0.35">
      <c r="A2" s="858" t="s">
        <v>49</v>
      </c>
      <c r="B2" s="859" t="s">
        <v>50</v>
      </c>
      <c r="C2" s="860" t="s">
        <v>759</v>
      </c>
      <c r="D2" s="860"/>
      <c r="E2" s="860"/>
      <c r="F2" s="860" t="s">
        <v>760</v>
      </c>
      <c r="G2" s="861"/>
      <c r="H2" s="861"/>
      <c r="I2" s="860" t="s">
        <v>761</v>
      </c>
      <c r="J2" s="861"/>
      <c r="K2" s="861"/>
      <c r="L2" s="860" t="s">
        <v>762</v>
      </c>
      <c r="M2" s="861"/>
      <c r="N2" s="861"/>
      <c r="O2" s="860" t="s">
        <v>767</v>
      </c>
      <c r="P2" s="861"/>
      <c r="Q2" s="861"/>
      <c r="R2" s="862" t="s">
        <v>12</v>
      </c>
      <c r="S2" s="863"/>
      <c r="T2" s="864"/>
      <c r="U2" s="855" t="s">
        <v>764</v>
      </c>
      <c r="V2" s="856"/>
      <c r="W2" s="856"/>
    </row>
    <row r="3" spans="1:23" s="579" customFormat="1" x14ac:dyDescent="0.35">
      <c r="A3" s="858"/>
      <c r="B3" s="859"/>
      <c r="C3" s="577" t="s">
        <v>93</v>
      </c>
      <c r="D3" s="577" t="s">
        <v>94</v>
      </c>
      <c r="E3" s="577" t="s">
        <v>54</v>
      </c>
      <c r="F3" s="577" t="s">
        <v>93</v>
      </c>
      <c r="G3" s="577" t="s">
        <v>94</v>
      </c>
      <c r="H3" s="577" t="s">
        <v>54</v>
      </c>
      <c r="I3" s="577" t="s">
        <v>93</v>
      </c>
      <c r="J3" s="577" t="s">
        <v>94</v>
      </c>
      <c r="K3" s="577" t="s">
        <v>54</v>
      </c>
      <c r="L3" s="577" t="s">
        <v>93</v>
      </c>
      <c r="M3" s="577" t="s">
        <v>94</v>
      </c>
      <c r="N3" s="577" t="s">
        <v>54</v>
      </c>
      <c r="O3" s="577" t="s">
        <v>93</v>
      </c>
      <c r="P3" s="577" t="s">
        <v>94</v>
      </c>
      <c r="Q3" s="577" t="s">
        <v>54</v>
      </c>
      <c r="R3" s="577" t="s">
        <v>93</v>
      </c>
      <c r="S3" s="577" t="s">
        <v>94</v>
      </c>
      <c r="T3" s="577" t="s">
        <v>54</v>
      </c>
      <c r="U3" s="578" t="s">
        <v>93</v>
      </c>
      <c r="V3" s="578" t="s">
        <v>94</v>
      </c>
      <c r="W3" s="578" t="s">
        <v>54</v>
      </c>
    </row>
    <row r="4" spans="1:23" s="579" customFormat="1" ht="13.5" x14ac:dyDescent="0.35">
      <c r="A4" s="580">
        <v>1</v>
      </c>
      <c r="B4" s="580">
        <v>2</v>
      </c>
      <c r="C4" s="580">
        <v>3</v>
      </c>
      <c r="D4" s="580">
        <v>4</v>
      </c>
      <c r="E4" s="580">
        <v>5</v>
      </c>
      <c r="F4" s="580">
        <v>6</v>
      </c>
      <c r="G4" s="580">
        <v>7</v>
      </c>
      <c r="H4" s="580">
        <v>8</v>
      </c>
      <c r="I4" s="580">
        <v>9</v>
      </c>
      <c r="J4" s="580">
        <v>10</v>
      </c>
      <c r="K4" s="580">
        <v>11</v>
      </c>
      <c r="L4" s="580">
        <v>12</v>
      </c>
      <c r="M4" s="580">
        <v>13</v>
      </c>
      <c r="N4" s="580">
        <v>14</v>
      </c>
      <c r="O4" s="580">
        <v>15</v>
      </c>
      <c r="P4" s="580">
        <v>16</v>
      </c>
      <c r="Q4" s="580">
        <v>17</v>
      </c>
      <c r="R4" s="580">
        <v>18</v>
      </c>
      <c r="S4" s="580">
        <v>19</v>
      </c>
      <c r="T4" s="580">
        <v>20</v>
      </c>
      <c r="U4" s="580">
        <v>21</v>
      </c>
      <c r="V4" s="580">
        <v>22</v>
      </c>
      <c r="W4" s="580">
        <v>23</v>
      </c>
    </row>
    <row r="5" spans="1:23" ht="25.5" customHeight="1" x14ac:dyDescent="0.35">
      <c r="A5" s="581">
        <v>1</v>
      </c>
      <c r="B5" s="582" t="s">
        <v>13</v>
      </c>
      <c r="C5" s="634">
        <v>988</v>
      </c>
      <c r="D5" s="634">
        <v>341</v>
      </c>
      <c r="E5" s="634">
        <v>1329</v>
      </c>
      <c r="F5" s="634">
        <v>870</v>
      </c>
      <c r="G5" s="634">
        <v>374</v>
      </c>
      <c r="H5" s="634">
        <v>1244</v>
      </c>
      <c r="I5" s="634">
        <v>3158</v>
      </c>
      <c r="J5" s="634">
        <v>1633</v>
      </c>
      <c r="K5" s="634">
        <v>4791</v>
      </c>
      <c r="L5" s="634">
        <v>36</v>
      </c>
      <c r="M5" s="634">
        <v>61</v>
      </c>
      <c r="N5" s="634">
        <v>97</v>
      </c>
      <c r="O5" s="634">
        <v>625</v>
      </c>
      <c r="P5" s="634">
        <v>440</v>
      </c>
      <c r="Q5" s="634">
        <v>1065</v>
      </c>
      <c r="R5" s="634">
        <v>5684</v>
      </c>
      <c r="S5" s="634">
        <v>2866</v>
      </c>
      <c r="T5" s="634">
        <v>8550</v>
      </c>
      <c r="U5" s="634">
        <v>7</v>
      </c>
      <c r="V5" s="634">
        <v>17</v>
      </c>
      <c r="W5" s="634">
        <v>24</v>
      </c>
    </row>
    <row r="6" spans="1:23" ht="25.5" customHeight="1" x14ac:dyDescent="0.35">
      <c r="A6" s="581">
        <v>2</v>
      </c>
      <c r="B6" s="582" t="s">
        <v>14</v>
      </c>
      <c r="C6" s="634">
        <v>130</v>
      </c>
      <c r="D6" s="634">
        <v>30</v>
      </c>
      <c r="E6" s="634">
        <v>160</v>
      </c>
      <c r="F6" s="634">
        <v>101</v>
      </c>
      <c r="G6" s="634">
        <v>41</v>
      </c>
      <c r="H6" s="634">
        <v>142</v>
      </c>
      <c r="I6" s="634">
        <v>424</v>
      </c>
      <c r="J6" s="634">
        <v>341</v>
      </c>
      <c r="K6" s="634">
        <v>765</v>
      </c>
      <c r="L6" s="634">
        <v>1</v>
      </c>
      <c r="M6" s="634">
        <v>20</v>
      </c>
      <c r="N6" s="634">
        <v>21</v>
      </c>
      <c r="O6" s="634">
        <v>21</v>
      </c>
      <c r="P6" s="634">
        <v>28</v>
      </c>
      <c r="Q6" s="634">
        <v>49</v>
      </c>
      <c r="R6" s="634">
        <v>678</v>
      </c>
      <c r="S6" s="634">
        <v>460</v>
      </c>
      <c r="T6" s="634">
        <v>1138</v>
      </c>
      <c r="U6" s="634">
        <v>1</v>
      </c>
      <c r="V6" s="634"/>
      <c r="W6" s="634">
        <v>1</v>
      </c>
    </row>
    <row r="7" spans="1:23" ht="25.5" customHeight="1" x14ac:dyDescent="0.35">
      <c r="A7" s="581">
        <v>3</v>
      </c>
      <c r="B7" s="582" t="s">
        <v>15</v>
      </c>
      <c r="C7" s="634">
        <v>661</v>
      </c>
      <c r="D7" s="634">
        <v>157</v>
      </c>
      <c r="E7" s="634">
        <v>818</v>
      </c>
      <c r="F7" s="634">
        <v>448</v>
      </c>
      <c r="G7" s="634">
        <v>183</v>
      </c>
      <c r="H7" s="634">
        <v>631</v>
      </c>
      <c r="I7" s="634">
        <v>1464</v>
      </c>
      <c r="J7" s="634">
        <v>1037</v>
      </c>
      <c r="K7" s="634">
        <v>2501</v>
      </c>
      <c r="L7" s="634">
        <v>1</v>
      </c>
      <c r="M7" s="634">
        <v>14</v>
      </c>
      <c r="N7" s="634">
        <v>15</v>
      </c>
      <c r="O7" s="634">
        <v>29</v>
      </c>
      <c r="P7" s="634">
        <v>51</v>
      </c>
      <c r="Q7" s="634">
        <v>80</v>
      </c>
      <c r="R7" s="634">
        <v>2607</v>
      </c>
      <c r="S7" s="634">
        <v>1443</v>
      </c>
      <c r="T7" s="634">
        <v>4050</v>
      </c>
      <c r="U7" s="634">
        <v>4</v>
      </c>
      <c r="V7" s="634">
        <v>1</v>
      </c>
      <c r="W7" s="634">
        <v>5</v>
      </c>
    </row>
    <row r="8" spans="1:23" ht="25.5" customHeight="1" x14ac:dyDescent="0.35">
      <c r="A8" s="581">
        <v>4</v>
      </c>
      <c r="B8" s="582" t="s">
        <v>16</v>
      </c>
      <c r="C8" s="634">
        <v>690</v>
      </c>
      <c r="D8" s="634">
        <v>143</v>
      </c>
      <c r="E8" s="634">
        <v>833</v>
      </c>
      <c r="F8" s="634">
        <v>529</v>
      </c>
      <c r="G8" s="634">
        <v>128</v>
      </c>
      <c r="H8" s="634">
        <v>657</v>
      </c>
      <c r="I8" s="634">
        <v>1808</v>
      </c>
      <c r="J8" s="634">
        <v>553</v>
      </c>
      <c r="K8" s="634">
        <v>2361</v>
      </c>
      <c r="L8" s="634">
        <v>362</v>
      </c>
      <c r="M8" s="634">
        <v>252</v>
      </c>
      <c r="N8" s="634">
        <v>614</v>
      </c>
      <c r="O8" s="634">
        <v>117</v>
      </c>
      <c r="P8" s="634">
        <v>44</v>
      </c>
      <c r="Q8" s="634">
        <v>161</v>
      </c>
      <c r="R8" s="634">
        <v>3531</v>
      </c>
      <c r="S8" s="634">
        <v>1130</v>
      </c>
      <c r="T8" s="634">
        <v>4661</v>
      </c>
      <c r="U8" s="634">
        <v>25</v>
      </c>
      <c r="V8" s="634">
        <v>10</v>
      </c>
      <c r="W8" s="634">
        <v>35</v>
      </c>
    </row>
    <row r="9" spans="1:23" ht="25.5" customHeight="1" x14ac:dyDescent="0.35">
      <c r="A9" s="581">
        <v>5</v>
      </c>
      <c r="B9" s="582" t="s">
        <v>17</v>
      </c>
      <c r="C9" s="634">
        <v>331</v>
      </c>
      <c r="D9" s="634">
        <v>242</v>
      </c>
      <c r="E9" s="634">
        <v>573</v>
      </c>
      <c r="F9" s="634">
        <v>170</v>
      </c>
      <c r="G9" s="634">
        <v>99</v>
      </c>
      <c r="H9" s="634">
        <v>269</v>
      </c>
      <c r="I9" s="634">
        <v>386</v>
      </c>
      <c r="J9" s="634">
        <v>393</v>
      </c>
      <c r="K9" s="634">
        <v>779</v>
      </c>
      <c r="L9" s="634">
        <v>2</v>
      </c>
      <c r="M9" s="634">
        <v>2</v>
      </c>
      <c r="N9" s="634">
        <v>4</v>
      </c>
      <c r="O9" s="634">
        <v>1</v>
      </c>
      <c r="P9" s="634">
        <v>1</v>
      </c>
      <c r="Q9" s="634">
        <v>2</v>
      </c>
      <c r="R9" s="634">
        <v>893</v>
      </c>
      <c r="S9" s="634">
        <v>743</v>
      </c>
      <c r="T9" s="634">
        <v>1636</v>
      </c>
      <c r="U9" s="634">
        <v>3</v>
      </c>
      <c r="V9" s="634">
        <v>6</v>
      </c>
      <c r="W9" s="634">
        <v>9</v>
      </c>
    </row>
    <row r="10" spans="1:23" ht="25.5" customHeight="1" x14ac:dyDescent="0.35">
      <c r="A10" s="581">
        <v>6</v>
      </c>
      <c r="B10" s="582" t="s">
        <v>18</v>
      </c>
      <c r="C10" s="634">
        <v>295</v>
      </c>
      <c r="D10" s="634">
        <v>111</v>
      </c>
      <c r="E10" s="634">
        <v>406</v>
      </c>
      <c r="F10" s="634">
        <v>311</v>
      </c>
      <c r="G10" s="634">
        <v>144</v>
      </c>
      <c r="H10" s="634">
        <v>455</v>
      </c>
      <c r="I10" s="634">
        <v>1335</v>
      </c>
      <c r="J10" s="634">
        <v>819</v>
      </c>
      <c r="K10" s="634">
        <v>2154</v>
      </c>
      <c r="L10" s="634">
        <v>8</v>
      </c>
      <c r="M10" s="634">
        <v>16</v>
      </c>
      <c r="N10" s="634">
        <v>24</v>
      </c>
      <c r="O10" s="634">
        <v>180</v>
      </c>
      <c r="P10" s="634">
        <v>150</v>
      </c>
      <c r="Q10" s="634">
        <v>330</v>
      </c>
      <c r="R10" s="634">
        <v>2143</v>
      </c>
      <c r="S10" s="634">
        <v>1256</v>
      </c>
      <c r="T10" s="634">
        <v>3399</v>
      </c>
      <c r="U10" s="634">
        <v>14</v>
      </c>
      <c r="V10" s="634">
        <v>16</v>
      </c>
      <c r="W10" s="634">
        <v>30</v>
      </c>
    </row>
    <row r="11" spans="1:23" ht="25.5" customHeight="1" x14ac:dyDescent="0.35">
      <c r="A11" s="581">
        <v>7</v>
      </c>
      <c r="B11" s="582" t="s">
        <v>19</v>
      </c>
      <c r="C11" s="635">
        <v>1542</v>
      </c>
      <c r="D11" s="634">
        <v>695</v>
      </c>
      <c r="E11" s="634">
        <v>2237</v>
      </c>
      <c r="F11" s="634">
        <v>701</v>
      </c>
      <c r="G11" s="634">
        <v>382</v>
      </c>
      <c r="H11" s="634">
        <v>1083</v>
      </c>
      <c r="I11" s="634">
        <v>2167</v>
      </c>
      <c r="J11" s="634">
        <v>1427</v>
      </c>
      <c r="K11" s="634">
        <v>3594</v>
      </c>
      <c r="L11" s="634">
        <v>6</v>
      </c>
      <c r="M11" s="634">
        <v>32</v>
      </c>
      <c r="N11" s="634">
        <v>38</v>
      </c>
      <c r="O11" s="634">
        <v>73</v>
      </c>
      <c r="P11" s="634">
        <v>89</v>
      </c>
      <c r="Q11" s="634">
        <v>162</v>
      </c>
      <c r="R11" s="634">
        <v>4588</v>
      </c>
      <c r="S11" s="634">
        <v>2696</v>
      </c>
      <c r="T11" s="634">
        <v>7284</v>
      </c>
      <c r="U11" s="634">
        <v>99</v>
      </c>
      <c r="V11" s="634">
        <v>71</v>
      </c>
      <c r="W11" s="634">
        <v>170</v>
      </c>
    </row>
    <row r="12" spans="1:23" ht="25.5" customHeight="1" x14ac:dyDescent="0.35">
      <c r="A12" s="581">
        <v>8</v>
      </c>
      <c r="B12" s="582" t="s">
        <v>20</v>
      </c>
      <c r="C12" s="634">
        <v>87</v>
      </c>
      <c r="D12" s="634">
        <v>30</v>
      </c>
      <c r="E12" s="634">
        <v>117</v>
      </c>
      <c r="F12" s="634">
        <v>68</v>
      </c>
      <c r="G12" s="634">
        <v>18</v>
      </c>
      <c r="H12" s="634">
        <v>86</v>
      </c>
      <c r="I12" s="634">
        <v>204</v>
      </c>
      <c r="J12" s="634">
        <v>131</v>
      </c>
      <c r="K12" s="634">
        <v>335</v>
      </c>
      <c r="L12" s="634"/>
      <c r="M12" s="634"/>
      <c r="N12" s="634"/>
      <c r="O12" s="634">
        <v>4</v>
      </c>
      <c r="P12" s="634">
        <v>3</v>
      </c>
      <c r="Q12" s="634">
        <v>7</v>
      </c>
      <c r="R12" s="634">
        <v>368</v>
      </c>
      <c r="S12" s="634">
        <v>186</v>
      </c>
      <c r="T12" s="634">
        <v>554</v>
      </c>
      <c r="U12" s="634">
        <v>5</v>
      </c>
      <c r="V12" s="634">
        <v>4</v>
      </c>
      <c r="W12" s="634">
        <v>9</v>
      </c>
    </row>
    <row r="13" spans="1:23" ht="25.5" customHeight="1" x14ac:dyDescent="0.35">
      <c r="A13" s="581">
        <v>9</v>
      </c>
      <c r="B13" s="582" t="s">
        <v>21</v>
      </c>
      <c r="C13" s="634">
        <v>1448</v>
      </c>
      <c r="D13" s="634">
        <v>531</v>
      </c>
      <c r="E13" s="634">
        <v>1979</v>
      </c>
      <c r="F13" s="634">
        <v>1372</v>
      </c>
      <c r="G13" s="634">
        <v>644</v>
      </c>
      <c r="H13" s="634">
        <v>2016</v>
      </c>
      <c r="I13" s="634">
        <v>6662</v>
      </c>
      <c r="J13" s="634">
        <v>5402</v>
      </c>
      <c r="K13" s="634">
        <v>12064</v>
      </c>
      <c r="L13" s="634">
        <v>369</v>
      </c>
      <c r="M13" s="634">
        <v>590</v>
      </c>
      <c r="N13" s="634">
        <v>959</v>
      </c>
      <c r="O13" s="634">
        <v>284</v>
      </c>
      <c r="P13" s="634">
        <v>473</v>
      </c>
      <c r="Q13" s="634">
        <v>757</v>
      </c>
      <c r="R13" s="634">
        <v>10783</v>
      </c>
      <c r="S13" s="634">
        <v>8044</v>
      </c>
      <c r="T13" s="634">
        <v>18827</v>
      </c>
      <c r="U13" s="634">
        <v>648</v>
      </c>
      <c r="V13" s="634">
        <v>404</v>
      </c>
      <c r="W13" s="634">
        <v>1052</v>
      </c>
    </row>
    <row r="14" spans="1:23" ht="25.5" customHeight="1" x14ac:dyDescent="0.35">
      <c r="A14" s="581">
        <v>10</v>
      </c>
      <c r="B14" s="582" t="s">
        <v>22</v>
      </c>
      <c r="C14" s="634">
        <v>1284</v>
      </c>
      <c r="D14" s="634">
        <v>536</v>
      </c>
      <c r="E14" s="634">
        <v>1820</v>
      </c>
      <c r="F14" s="634">
        <v>805</v>
      </c>
      <c r="G14" s="634">
        <v>680</v>
      </c>
      <c r="H14" s="634">
        <v>1485</v>
      </c>
      <c r="I14" s="634">
        <v>2916</v>
      </c>
      <c r="J14" s="634">
        <v>3345</v>
      </c>
      <c r="K14" s="634">
        <v>6261</v>
      </c>
      <c r="L14" s="634">
        <v>77</v>
      </c>
      <c r="M14" s="634">
        <v>150</v>
      </c>
      <c r="N14" s="634">
        <v>227</v>
      </c>
      <c r="O14" s="634">
        <v>201</v>
      </c>
      <c r="P14" s="634">
        <v>330</v>
      </c>
      <c r="Q14" s="634">
        <v>531</v>
      </c>
      <c r="R14" s="634">
        <v>5386</v>
      </c>
      <c r="S14" s="634">
        <v>5118</v>
      </c>
      <c r="T14" s="634">
        <v>10504</v>
      </c>
      <c r="U14" s="634">
        <v>103</v>
      </c>
      <c r="V14" s="634">
        <v>77</v>
      </c>
      <c r="W14" s="634">
        <v>180</v>
      </c>
    </row>
    <row r="15" spans="1:23" ht="25.5" customHeight="1" x14ac:dyDescent="0.35">
      <c r="A15" s="581">
        <v>11</v>
      </c>
      <c r="B15" s="582" t="s">
        <v>23</v>
      </c>
      <c r="C15" s="634">
        <v>420</v>
      </c>
      <c r="D15" s="634">
        <v>94</v>
      </c>
      <c r="E15" s="634">
        <v>514</v>
      </c>
      <c r="F15" s="634">
        <v>277</v>
      </c>
      <c r="G15" s="634">
        <v>102</v>
      </c>
      <c r="H15" s="634">
        <v>379</v>
      </c>
      <c r="I15" s="634">
        <v>1161</v>
      </c>
      <c r="J15" s="634">
        <v>989</v>
      </c>
      <c r="K15" s="634">
        <v>2150</v>
      </c>
      <c r="L15" s="634">
        <v>5</v>
      </c>
      <c r="M15" s="634">
        <v>31</v>
      </c>
      <c r="N15" s="634">
        <v>36</v>
      </c>
      <c r="O15" s="634">
        <v>32</v>
      </c>
      <c r="P15" s="634">
        <v>34</v>
      </c>
      <c r="Q15" s="634">
        <v>66</v>
      </c>
      <c r="R15" s="634">
        <v>1904</v>
      </c>
      <c r="S15" s="634">
        <v>1261</v>
      </c>
      <c r="T15" s="634">
        <v>3165</v>
      </c>
      <c r="U15" s="634">
        <v>9</v>
      </c>
      <c r="V15" s="634">
        <v>11</v>
      </c>
      <c r="W15" s="634">
        <v>20</v>
      </c>
    </row>
    <row r="16" spans="1:23" ht="25.5" customHeight="1" x14ac:dyDescent="0.35">
      <c r="A16" s="581">
        <v>12</v>
      </c>
      <c r="B16" s="582" t="s">
        <v>24</v>
      </c>
      <c r="C16" s="634">
        <v>392</v>
      </c>
      <c r="D16" s="634">
        <v>97</v>
      </c>
      <c r="E16" s="634">
        <v>489</v>
      </c>
      <c r="F16" s="634">
        <v>184</v>
      </c>
      <c r="G16" s="634">
        <v>78</v>
      </c>
      <c r="H16" s="634">
        <v>262</v>
      </c>
      <c r="I16" s="634">
        <v>1233</v>
      </c>
      <c r="J16" s="634">
        <v>500</v>
      </c>
      <c r="K16" s="634">
        <v>1733</v>
      </c>
      <c r="L16" s="634">
        <v>11</v>
      </c>
      <c r="M16" s="634">
        <v>41</v>
      </c>
      <c r="N16" s="634">
        <v>52</v>
      </c>
      <c r="O16" s="634">
        <v>175</v>
      </c>
      <c r="P16" s="634">
        <v>108</v>
      </c>
      <c r="Q16" s="634">
        <v>283</v>
      </c>
      <c r="R16" s="634">
        <v>1996</v>
      </c>
      <c r="S16" s="634">
        <v>824</v>
      </c>
      <c r="T16" s="634">
        <v>2820</v>
      </c>
      <c r="U16" s="634">
        <v>1</v>
      </c>
      <c r="V16" s="634"/>
      <c r="W16" s="634">
        <v>1</v>
      </c>
    </row>
    <row r="17" spans="1:23" ht="25.5" customHeight="1" x14ac:dyDescent="0.35">
      <c r="A17" s="581">
        <v>13</v>
      </c>
      <c r="B17" s="582" t="s">
        <v>25</v>
      </c>
      <c r="C17" s="634">
        <v>323</v>
      </c>
      <c r="D17" s="634">
        <v>75</v>
      </c>
      <c r="E17" s="634">
        <v>398</v>
      </c>
      <c r="F17" s="634">
        <v>497</v>
      </c>
      <c r="G17" s="634">
        <v>156</v>
      </c>
      <c r="H17" s="634">
        <v>653</v>
      </c>
      <c r="I17" s="634">
        <v>1777</v>
      </c>
      <c r="J17" s="634">
        <v>923</v>
      </c>
      <c r="K17" s="634">
        <v>2700</v>
      </c>
      <c r="L17" s="634">
        <v>85</v>
      </c>
      <c r="M17" s="634">
        <v>98</v>
      </c>
      <c r="N17" s="634">
        <v>183</v>
      </c>
      <c r="O17" s="634">
        <v>113</v>
      </c>
      <c r="P17" s="634">
        <v>81</v>
      </c>
      <c r="Q17" s="634">
        <v>194</v>
      </c>
      <c r="R17" s="634">
        <v>2827</v>
      </c>
      <c r="S17" s="634">
        <v>1349</v>
      </c>
      <c r="T17" s="634">
        <v>4176</v>
      </c>
      <c r="U17" s="634">
        <v>32</v>
      </c>
      <c r="V17" s="634">
        <v>16</v>
      </c>
      <c r="W17" s="634">
        <v>48</v>
      </c>
    </row>
    <row r="18" spans="1:23" ht="25.5" customHeight="1" x14ac:dyDescent="0.35">
      <c r="A18" s="581">
        <v>14</v>
      </c>
      <c r="B18" s="582" t="s">
        <v>26</v>
      </c>
      <c r="C18" s="634">
        <v>3384</v>
      </c>
      <c r="D18" s="634">
        <v>1229</v>
      </c>
      <c r="E18" s="634">
        <v>4613</v>
      </c>
      <c r="F18" s="634">
        <v>2422</v>
      </c>
      <c r="G18" s="634">
        <v>1534</v>
      </c>
      <c r="H18" s="634">
        <v>3956</v>
      </c>
      <c r="I18" s="634">
        <v>6475</v>
      </c>
      <c r="J18" s="634">
        <v>6117</v>
      </c>
      <c r="K18" s="634">
        <v>12592</v>
      </c>
      <c r="L18" s="634">
        <v>356</v>
      </c>
      <c r="M18" s="634">
        <v>562</v>
      </c>
      <c r="N18" s="634">
        <v>918</v>
      </c>
      <c r="O18" s="634">
        <v>883</v>
      </c>
      <c r="P18" s="634">
        <v>773</v>
      </c>
      <c r="Q18" s="634">
        <v>1656</v>
      </c>
      <c r="R18" s="634">
        <v>13676</v>
      </c>
      <c r="S18" s="634">
        <v>10316</v>
      </c>
      <c r="T18" s="634">
        <v>23992</v>
      </c>
      <c r="U18" s="634">
        <v>156</v>
      </c>
      <c r="V18" s="634">
        <v>101</v>
      </c>
      <c r="W18" s="634">
        <v>257</v>
      </c>
    </row>
    <row r="19" spans="1:23" ht="25.5" customHeight="1" x14ac:dyDescent="0.35">
      <c r="A19" s="581">
        <v>15</v>
      </c>
      <c r="B19" s="582" t="s">
        <v>27</v>
      </c>
      <c r="C19" s="634">
        <v>591</v>
      </c>
      <c r="D19" s="634">
        <v>276</v>
      </c>
      <c r="E19" s="634">
        <v>867</v>
      </c>
      <c r="F19" s="634">
        <v>427</v>
      </c>
      <c r="G19" s="634">
        <v>226</v>
      </c>
      <c r="H19" s="634">
        <v>653</v>
      </c>
      <c r="I19" s="634">
        <v>1451</v>
      </c>
      <c r="J19" s="634">
        <v>1914</v>
      </c>
      <c r="K19" s="634">
        <v>3365</v>
      </c>
      <c r="L19" s="634">
        <v>19</v>
      </c>
      <c r="M19" s="634">
        <v>10</v>
      </c>
      <c r="N19" s="634">
        <v>29</v>
      </c>
      <c r="O19" s="634">
        <v>150</v>
      </c>
      <c r="P19" s="634">
        <v>215</v>
      </c>
      <c r="Q19" s="634">
        <v>365</v>
      </c>
      <c r="R19" s="634">
        <v>2642</v>
      </c>
      <c r="S19" s="634">
        <v>2645</v>
      </c>
      <c r="T19" s="634">
        <v>5287</v>
      </c>
      <c r="U19" s="634">
        <v>4</v>
      </c>
      <c r="V19" s="634">
        <v>4</v>
      </c>
      <c r="W19" s="634">
        <v>8</v>
      </c>
    </row>
    <row r="20" spans="1:23" ht="25.5" customHeight="1" x14ac:dyDescent="0.35">
      <c r="A20" s="581">
        <v>16</v>
      </c>
      <c r="B20" s="582" t="s">
        <v>28</v>
      </c>
      <c r="C20" s="634">
        <v>2</v>
      </c>
      <c r="D20" s="634"/>
      <c r="E20" s="634">
        <v>2</v>
      </c>
      <c r="F20" s="634">
        <v>3</v>
      </c>
      <c r="G20" s="634"/>
      <c r="H20" s="634">
        <v>3</v>
      </c>
      <c r="I20" s="634">
        <v>62</v>
      </c>
      <c r="J20" s="634">
        <v>18</v>
      </c>
      <c r="K20" s="634">
        <v>80</v>
      </c>
      <c r="L20" s="634">
        <v>2</v>
      </c>
      <c r="M20" s="634">
        <v>1</v>
      </c>
      <c r="N20" s="634">
        <v>3</v>
      </c>
      <c r="O20" s="634"/>
      <c r="P20" s="634"/>
      <c r="Q20" s="634"/>
      <c r="R20" s="634">
        <v>69</v>
      </c>
      <c r="S20" s="634">
        <v>19</v>
      </c>
      <c r="T20" s="634">
        <v>88</v>
      </c>
      <c r="U20" s="634"/>
      <c r="V20" s="634"/>
      <c r="W20" s="634"/>
    </row>
    <row r="21" spans="1:23" ht="25.5" customHeight="1" x14ac:dyDescent="0.35">
      <c r="A21" s="581">
        <v>17</v>
      </c>
      <c r="B21" s="582" t="s">
        <v>29</v>
      </c>
      <c r="C21" s="634">
        <v>1910</v>
      </c>
      <c r="D21" s="634">
        <v>793</v>
      </c>
      <c r="E21" s="634">
        <v>2703</v>
      </c>
      <c r="F21" s="634">
        <v>1549</v>
      </c>
      <c r="G21" s="634">
        <v>810</v>
      </c>
      <c r="H21" s="634">
        <v>2359</v>
      </c>
      <c r="I21" s="634">
        <v>8270</v>
      </c>
      <c r="J21" s="634">
        <v>4930</v>
      </c>
      <c r="K21" s="634">
        <v>13200</v>
      </c>
      <c r="L21" s="634">
        <v>707</v>
      </c>
      <c r="M21" s="634">
        <v>952</v>
      </c>
      <c r="N21" s="634">
        <v>1659</v>
      </c>
      <c r="O21" s="634">
        <v>395</v>
      </c>
      <c r="P21" s="634">
        <v>378</v>
      </c>
      <c r="Q21" s="634">
        <v>773</v>
      </c>
      <c r="R21" s="634">
        <v>12973</v>
      </c>
      <c r="S21" s="634">
        <v>7944</v>
      </c>
      <c r="T21" s="634">
        <v>20917</v>
      </c>
      <c r="U21" s="634">
        <v>142</v>
      </c>
      <c r="V21" s="634">
        <v>81</v>
      </c>
      <c r="W21" s="634">
        <v>223</v>
      </c>
    </row>
    <row r="22" spans="1:23" ht="25.5" customHeight="1" x14ac:dyDescent="0.35">
      <c r="A22" s="581">
        <v>18</v>
      </c>
      <c r="B22" s="582" t="s">
        <v>30</v>
      </c>
      <c r="C22" s="634">
        <v>2678</v>
      </c>
      <c r="D22" s="634">
        <v>1161</v>
      </c>
      <c r="E22" s="634">
        <v>3839</v>
      </c>
      <c r="F22" s="634">
        <v>2284</v>
      </c>
      <c r="G22" s="634">
        <v>1340</v>
      </c>
      <c r="H22" s="634">
        <v>3624</v>
      </c>
      <c r="I22" s="634">
        <v>6355</v>
      </c>
      <c r="J22" s="634">
        <v>5898</v>
      </c>
      <c r="K22" s="634">
        <v>12253</v>
      </c>
      <c r="L22" s="634">
        <v>266</v>
      </c>
      <c r="M22" s="634">
        <v>421</v>
      </c>
      <c r="N22" s="634">
        <v>687</v>
      </c>
      <c r="O22" s="634">
        <v>437</v>
      </c>
      <c r="P22" s="634">
        <v>398</v>
      </c>
      <c r="Q22" s="634">
        <v>835</v>
      </c>
      <c r="R22" s="634">
        <v>12517</v>
      </c>
      <c r="S22" s="634">
        <v>9655</v>
      </c>
      <c r="T22" s="634">
        <v>22172</v>
      </c>
      <c r="U22" s="634">
        <v>497</v>
      </c>
      <c r="V22" s="634">
        <v>437</v>
      </c>
      <c r="W22" s="634">
        <v>934</v>
      </c>
    </row>
    <row r="23" spans="1:23" ht="25.5" customHeight="1" x14ac:dyDescent="0.35">
      <c r="A23" s="581">
        <v>19</v>
      </c>
      <c r="B23" s="582" t="s">
        <v>31</v>
      </c>
      <c r="C23" s="634">
        <v>183</v>
      </c>
      <c r="D23" s="634">
        <v>66</v>
      </c>
      <c r="E23" s="634">
        <v>249</v>
      </c>
      <c r="F23" s="634">
        <v>82</v>
      </c>
      <c r="G23" s="634">
        <v>31</v>
      </c>
      <c r="H23" s="634">
        <v>113</v>
      </c>
      <c r="I23" s="634">
        <v>324</v>
      </c>
      <c r="J23" s="634">
        <v>238</v>
      </c>
      <c r="K23" s="634">
        <v>562</v>
      </c>
      <c r="L23" s="634">
        <v>4</v>
      </c>
      <c r="M23" s="634"/>
      <c r="N23" s="634">
        <v>4</v>
      </c>
      <c r="O23" s="634">
        <v>79</v>
      </c>
      <c r="P23" s="634">
        <v>53</v>
      </c>
      <c r="Q23" s="634">
        <v>132</v>
      </c>
      <c r="R23" s="634">
        <v>713</v>
      </c>
      <c r="S23" s="634">
        <v>394</v>
      </c>
      <c r="T23" s="634">
        <v>1107</v>
      </c>
      <c r="U23" s="634">
        <v>41</v>
      </c>
      <c r="V23" s="634">
        <v>6</v>
      </c>
      <c r="W23" s="634">
        <v>47</v>
      </c>
    </row>
    <row r="24" spans="1:23" ht="25.5" customHeight="1" x14ac:dyDescent="0.35">
      <c r="A24" s="581">
        <v>20</v>
      </c>
      <c r="B24" s="582" t="s">
        <v>32</v>
      </c>
      <c r="C24" s="634">
        <v>136</v>
      </c>
      <c r="D24" s="634">
        <v>45</v>
      </c>
      <c r="E24" s="634">
        <v>181</v>
      </c>
      <c r="F24" s="634">
        <v>84</v>
      </c>
      <c r="G24" s="634">
        <v>41</v>
      </c>
      <c r="H24" s="634">
        <v>125</v>
      </c>
      <c r="I24" s="634">
        <v>285</v>
      </c>
      <c r="J24" s="634">
        <v>309</v>
      </c>
      <c r="K24" s="634">
        <v>594</v>
      </c>
      <c r="L24" s="634">
        <v>5</v>
      </c>
      <c r="M24" s="634">
        <v>5</v>
      </c>
      <c r="N24" s="634">
        <v>10</v>
      </c>
      <c r="O24" s="634">
        <v>9</v>
      </c>
      <c r="P24" s="634">
        <v>5</v>
      </c>
      <c r="Q24" s="634">
        <v>14</v>
      </c>
      <c r="R24" s="634">
        <v>520</v>
      </c>
      <c r="S24" s="634">
        <v>411</v>
      </c>
      <c r="T24" s="634">
        <v>931</v>
      </c>
      <c r="U24" s="634">
        <v>1</v>
      </c>
      <c r="V24" s="634">
        <v>6</v>
      </c>
      <c r="W24" s="634">
        <v>7</v>
      </c>
    </row>
    <row r="25" spans="1:23" ht="25.5" customHeight="1" x14ac:dyDescent="0.35">
      <c r="A25" s="581">
        <v>21</v>
      </c>
      <c r="B25" s="582" t="s">
        <v>33</v>
      </c>
      <c r="C25" s="634">
        <v>66</v>
      </c>
      <c r="D25" s="634">
        <v>15</v>
      </c>
      <c r="E25" s="634">
        <v>81</v>
      </c>
      <c r="F25" s="634">
        <v>33</v>
      </c>
      <c r="G25" s="634">
        <v>10</v>
      </c>
      <c r="H25" s="634">
        <v>43</v>
      </c>
      <c r="I25" s="634">
        <v>125</v>
      </c>
      <c r="J25" s="634">
        <v>62</v>
      </c>
      <c r="K25" s="634">
        <v>187</v>
      </c>
      <c r="L25" s="634"/>
      <c r="M25" s="634"/>
      <c r="N25" s="634"/>
      <c r="O25" s="634">
        <v>5</v>
      </c>
      <c r="P25" s="634">
        <v>2</v>
      </c>
      <c r="Q25" s="634">
        <v>7</v>
      </c>
      <c r="R25" s="634">
        <v>238</v>
      </c>
      <c r="S25" s="634">
        <v>95</v>
      </c>
      <c r="T25" s="634">
        <v>333</v>
      </c>
      <c r="U25" s="634">
        <v>9</v>
      </c>
      <c r="V25" s="634">
        <v>6</v>
      </c>
      <c r="W25" s="634">
        <v>15</v>
      </c>
    </row>
    <row r="26" spans="1:23" ht="25.5" customHeight="1" x14ac:dyDescent="0.35">
      <c r="A26" s="581">
        <v>22</v>
      </c>
      <c r="B26" s="582" t="s">
        <v>34</v>
      </c>
      <c r="C26" s="634">
        <v>56</v>
      </c>
      <c r="D26" s="634">
        <v>18</v>
      </c>
      <c r="E26" s="634">
        <v>74</v>
      </c>
      <c r="F26" s="634">
        <v>26</v>
      </c>
      <c r="G26" s="634">
        <v>12</v>
      </c>
      <c r="H26" s="634">
        <v>38</v>
      </c>
      <c r="I26" s="634">
        <v>192</v>
      </c>
      <c r="J26" s="634">
        <v>176</v>
      </c>
      <c r="K26" s="634">
        <v>368</v>
      </c>
      <c r="L26" s="634"/>
      <c r="M26" s="634"/>
      <c r="N26" s="634"/>
      <c r="O26" s="634"/>
      <c r="P26" s="634"/>
      <c r="Q26" s="634"/>
      <c r="R26" s="634">
        <v>274</v>
      </c>
      <c r="S26" s="634">
        <v>206</v>
      </c>
      <c r="T26" s="634">
        <v>480</v>
      </c>
      <c r="U26" s="634"/>
      <c r="V26" s="634"/>
      <c r="W26" s="634"/>
    </row>
    <row r="27" spans="1:23" ht="25.5" customHeight="1" x14ac:dyDescent="0.35">
      <c r="A27" s="581">
        <v>23</v>
      </c>
      <c r="B27" s="582" t="s">
        <v>35</v>
      </c>
      <c r="C27" s="634">
        <v>1068</v>
      </c>
      <c r="D27" s="634">
        <v>247</v>
      </c>
      <c r="E27" s="634">
        <v>1315</v>
      </c>
      <c r="F27" s="634">
        <v>945</v>
      </c>
      <c r="G27" s="634">
        <v>363</v>
      </c>
      <c r="H27" s="634">
        <v>1308</v>
      </c>
      <c r="I27" s="634">
        <v>2722</v>
      </c>
      <c r="J27" s="634">
        <v>1671</v>
      </c>
      <c r="K27" s="634">
        <v>4393</v>
      </c>
      <c r="L27" s="634">
        <v>9</v>
      </c>
      <c r="M27" s="634">
        <v>14</v>
      </c>
      <c r="N27" s="634">
        <v>23</v>
      </c>
      <c r="O27" s="634">
        <v>221</v>
      </c>
      <c r="P27" s="634">
        <v>190</v>
      </c>
      <c r="Q27" s="634">
        <v>411</v>
      </c>
      <c r="R27" s="634">
        <v>4979</v>
      </c>
      <c r="S27" s="634">
        <v>2492</v>
      </c>
      <c r="T27" s="634">
        <v>7471</v>
      </c>
      <c r="U27" s="634">
        <v>14</v>
      </c>
      <c r="V27" s="634">
        <v>7</v>
      </c>
      <c r="W27" s="634">
        <v>21</v>
      </c>
    </row>
    <row r="28" spans="1:23" ht="25.5" customHeight="1" x14ac:dyDescent="0.35">
      <c r="A28" s="581">
        <v>24</v>
      </c>
      <c r="B28" s="582" t="s">
        <v>36</v>
      </c>
      <c r="C28" s="634">
        <v>483</v>
      </c>
      <c r="D28" s="634">
        <v>205</v>
      </c>
      <c r="E28" s="634">
        <v>688</v>
      </c>
      <c r="F28" s="634">
        <v>259</v>
      </c>
      <c r="G28" s="634">
        <v>156</v>
      </c>
      <c r="H28" s="634">
        <v>415</v>
      </c>
      <c r="I28" s="634">
        <v>493</v>
      </c>
      <c r="J28" s="634">
        <v>392</v>
      </c>
      <c r="K28" s="634">
        <v>885</v>
      </c>
      <c r="L28" s="634">
        <v>302</v>
      </c>
      <c r="M28" s="634">
        <v>378</v>
      </c>
      <c r="N28" s="634">
        <v>680</v>
      </c>
      <c r="O28" s="634">
        <v>16</v>
      </c>
      <c r="P28" s="634">
        <v>13</v>
      </c>
      <c r="Q28" s="634">
        <v>29</v>
      </c>
      <c r="R28" s="634">
        <v>1554</v>
      </c>
      <c r="S28" s="634">
        <v>1146</v>
      </c>
      <c r="T28" s="634">
        <v>2700</v>
      </c>
      <c r="U28" s="634">
        <v>1</v>
      </c>
      <c r="V28" s="634">
        <v>2</v>
      </c>
      <c r="W28" s="634">
        <v>3</v>
      </c>
    </row>
    <row r="29" spans="1:23" ht="25.5" customHeight="1" x14ac:dyDescent="0.35">
      <c r="A29" s="581">
        <v>25</v>
      </c>
      <c r="B29" s="582" t="s">
        <v>37</v>
      </c>
      <c r="C29" s="634">
        <v>1496</v>
      </c>
      <c r="D29" s="634">
        <v>677</v>
      </c>
      <c r="E29" s="634">
        <v>2173</v>
      </c>
      <c r="F29" s="634">
        <v>1132</v>
      </c>
      <c r="G29" s="634">
        <v>704</v>
      </c>
      <c r="H29" s="634">
        <v>1836</v>
      </c>
      <c r="I29" s="634">
        <v>4270</v>
      </c>
      <c r="J29" s="634">
        <v>4533</v>
      </c>
      <c r="K29" s="634">
        <v>8803</v>
      </c>
      <c r="L29" s="634">
        <v>60</v>
      </c>
      <c r="M29" s="634">
        <v>169</v>
      </c>
      <c r="N29" s="634">
        <v>229</v>
      </c>
      <c r="O29" s="634">
        <v>83</v>
      </c>
      <c r="P29" s="634">
        <v>127</v>
      </c>
      <c r="Q29" s="634">
        <v>210</v>
      </c>
      <c r="R29" s="634">
        <v>7081</v>
      </c>
      <c r="S29" s="634">
        <v>6259</v>
      </c>
      <c r="T29" s="634">
        <v>13340</v>
      </c>
      <c r="U29" s="634">
        <v>40</v>
      </c>
      <c r="V29" s="634">
        <v>49</v>
      </c>
      <c r="W29" s="634">
        <v>89</v>
      </c>
    </row>
    <row r="30" spans="1:23" ht="25.5" customHeight="1" x14ac:dyDescent="0.35">
      <c r="A30" s="581">
        <v>26</v>
      </c>
      <c r="B30" s="582" t="s">
        <v>38</v>
      </c>
      <c r="C30" s="634">
        <v>1901</v>
      </c>
      <c r="D30" s="634">
        <v>705</v>
      </c>
      <c r="E30" s="634">
        <v>2606</v>
      </c>
      <c r="F30" s="634">
        <v>1649</v>
      </c>
      <c r="G30" s="634">
        <v>855</v>
      </c>
      <c r="H30" s="634">
        <v>2504</v>
      </c>
      <c r="I30" s="634">
        <v>6537</v>
      </c>
      <c r="J30" s="634">
        <v>4383</v>
      </c>
      <c r="K30" s="634">
        <v>10920</v>
      </c>
      <c r="L30" s="634">
        <v>512</v>
      </c>
      <c r="M30" s="634">
        <v>262</v>
      </c>
      <c r="N30" s="634">
        <v>774</v>
      </c>
      <c r="O30" s="634">
        <v>107</v>
      </c>
      <c r="P30" s="634">
        <v>123</v>
      </c>
      <c r="Q30" s="634">
        <v>230</v>
      </c>
      <c r="R30" s="634">
        <v>10795</v>
      </c>
      <c r="S30" s="634">
        <v>6399</v>
      </c>
      <c r="T30" s="634">
        <v>17194</v>
      </c>
      <c r="U30" s="634">
        <v>89</v>
      </c>
      <c r="V30" s="634">
        <v>71</v>
      </c>
      <c r="W30" s="634">
        <v>160</v>
      </c>
    </row>
    <row r="31" spans="1:23" ht="25.5" customHeight="1" x14ac:dyDescent="0.35">
      <c r="A31" s="581">
        <v>27</v>
      </c>
      <c r="B31" s="582" t="s">
        <v>39</v>
      </c>
      <c r="C31" s="634">
        <v>54</v>
      </c>
      <c r="D31" s="634">
        <v>23</v>
      </c>
      <c r="E31" s="634">
        <v>77</v>
      </c>
      <c r="F31" s="634">
        <v>112</v>
      </c>
      <c r="G31" s="634">
        <v>40</v>
      </c>
      <c r="H31" s="634">
        <v>152</v>
      </c>
      <c r="I31" s="634">
        <v>309</v>
      </c>
      <c r="J31" s="634">
        <v>207</v>
      </c>
      <c r="K31" s="634">
        <v>516</v>
      </c>
      <c r="L31" s="634">
        <v>8</v>
      </c>
      <c r="M31" s="634">
        <v>28</v>
      </c>
      <c r="N31" s="634">
        <v>36</v>
      </c>
      <c r="O31" s="634">
        <v>1</v>
      </c>
      <c r="P31" s="634">
        <v>2</v>
      </c>
      <c r="Q31" s="634">
        <v>3</v>
      </c>
      <c r="R31" s="634">
        <v>484</v>
      </c>
      <c r="S31" s="634">
        <v>302</v>
      </c>
      <c r="T31" s="634">
        <v>786</v>
      </c>
      <c r="U31" s="634"/>
      <c r="V31" s="634">
        <v>2</v>
      </c>
      <c r="W31" s="634">
        <v>2</v>
      </c>
    </row>
    <row r="32" spans="1:23" ht="25.5" customHeight="1" x14ac:dyDescent="0.35">
      <c r="A32" s="581">
        <v>28</v>
      </c>
      <c r="B32" s="582" t="s">
        <v>40</v>
      </c>
      <c r="C32" s="634">
        <v>3596</v>
      </c>
      <c r="D32" s="634">
        <v>1597</v>
      </c>
      <c r="E32" s="634">
        <v>5193</v>
      </c>
      <c r="F32" s="634">
        <v>3318</v>
      </c>
      <c r="G32" s="634">
        <v>1871</v>
      </c>
      <c r="H32" s="634">
        <v>5189</v>
      </c>
      <c r="I32" s="634">
        <v>9374</v>
      </c>
      <c r="J32" s="634">
        <v>8427</v>
      </c>
      <c r="K32" s="634">
        <v>17801</v>
      </c>
      <c r="L32" s="634">
        <v>287</v>
      </c>
      <c r="M32" s="634">
        <v>465</v>
      </c>
      <c r="N32" s="634">
        <v>752</v>
      </c>
      <c r="O32" s="634">
        <v>114</v>
      </c>
      <c r="P32" s="634">
        <v>173</v>
      </c>
      <c r="Q32" s="634">
        <v>287</v>
      </c>
      <c r="R32" s="634">
        <v>16790</v>
      </c>
      <c r="S32" s="634">
        <v>12552</v>
      </c>
      <c r="T32" s="634">
        <v>29342</v>
      </c>
      <c r="U32" s="634">
        <v>101</v>
      </c>
      <c r="V32" s="634">
        <v>19</v>
      </c>
      <c r="W32" s="634">
        <v>120</v>
      </c>
    </row>
    <row r="33" spans="1:23" ht="25.5" customHeight="1" x14ac:dyDescent="0.35">
      <c r="A33" s="581">
        <v>29</v>
      </c>
      <c r="B33" s="582" t="s">
        <v>41</v>
      </c>
      <c r="C33" s="634">
        <v>888</v>
      </c>
      <c r="D33" s="634">
        <v>269</v>
      </c>
      <c r="E33" s="634">
        <v>1157</v>
      </c>
      <c r="F33" s="634">
        <v>682</v>
      </c>
      <c r="G33" s="634">
        <v>239</v>
      </c>
      <c r="H33" s="634">
        <v>921</v>
      </c>
      <c r="I33" s="634">
        <v>2402</v>
      </c>
      <c r="J33" s="634">
        <v>1460</v>
      </c>
      <c r="K33" s="634">
        <v>3862</v>
      </c>
      <c r="L33" s="634">
        <v>290</v>
      </c>
      <c r="M33" s="634">
        <v>1</v>
      </c>
      <c r="N33" s="634">
        <v>291</v>
      </c>
      <c r="O33" s="634">
        <v>451</v>
      </c>
      <c r="P33" s="634">
        <v>195</v>
      </c>
      <c r="Q33" s="634">
        <v>646</v>
      </c>
      <c r="R33" s="634">
        <v>4713</v>
      </c>
      <c r="S33" s="634">
        <v>2164</v>
      </c>
      <c r="T33" s="634">
        <v>6877</v>
      </c>
      <c r="U33" s="634"/>
      <c r="V33" s="634"/>
      <c r="W33" s="634"/>
    </row>
    <row r="34" spans="1:23" ht="25.5" customHeight="1" x14ac:dyDescent="0.35">
      <c r="A34" s="581">
        <v>30</v>
      </c>
      <c r="B34" s="582" t="s">
        <v>60</v>
      </c>
      <c r="C34" s="634">
        <v>1</v>
      </c>
      <c r="D34" s="634"/>
      <c r="E34" s="634">
        <v>1</v>
      </c>
      <c r="F34" s="634">
        <v>1</v>
      </c>
      <c r="G34" s="634"/>
      <c r="H34" s="634">
        <v>1</v>
      </c>
      <c r="I34" s="634">
        <v>6</v>
      </c>
      <c r="J34" s="634">
        <v>3</v>
      </c>
      <c r="K34" s="634">
        <v>9</v>
      </c>
      <c r="L34" s="634"/>
      <c r="M34" s="634"/>
      <c r="N34" s="634"/>
      <c r="O34" s="634"/>
      <c r="P34" s="634"/>
      <c r="Q34" s="634"/>
      <c r="R34" s="634">
        <v>12</v>
      </c>
      <c r="S34" s="634">
        <v>3</v>
      </c>
      <c r="T34" s="634">
        <v>15</v>
      </c>
      <c r="U34" s="634">
        <v>4</v>
      </c>
      <c r="V34" s="634"/>
      <c r="W34" s="634">
        <v>4</v>
      </c>
    </row>
    <row r="35" spans="1:23" ht="25.5" customHeight="1" x14ac:dyDescent="0.35">
      <c r="A35" s="581">
        <v>31</v>
      </c>
      <c r="B35" s="582" t="s">
        <v>42</v>
      </c>
      <c r="C35" s="634">
        <v>52</v>
      </c>
      <c r="D35" s="634">
        <v>4</v>
      </c>
      <c r="E35" s="634">
        <v>56</v>
      </c>
      <c r="F35" s="634">
        <v>47</v>
      </c>
      <c r="G35" s="634">
        <v>12</v>
      </c>
      <c r="H35" s="634">
        <v>59</v>
      </c>
      <c r="I35" s="634">
        <v>313</v>
      </c>
      <c r="J35" s="634">
        <v>106</v>
      </c>
      <c r="K35" s="634">
        <v>419</v>
      </c>
      <c r="L35" s="634">
        <v>2</v>
      </c>
      <c r="M35" s="634">
        <v>6</v>
      </c>
      <c r="N35" s="634">
        <v>8</v>
      </c>
      <c r="O35" s="634">
        <v>27</v>
      </c>
      <c r="P35" s="634">
        <v>7</v>
      </c>
      <c r="Q35" s="634">
        <v>34</v>
      </c>
      <c r="R35" s="634">
        <v>441</v>
      </c>
      <c r="S35" s="634">
        <v>135</v>
      </c>
      <c r="T35" s="634">
        <v>576</v>
      </c>
      <c r="U35" s="634"/>
      <c r="V35" s="634"/>
      <c r="W35" s="634"/>
    </row>
    <row r="36" spans="1:23" ht="25.5" customHeight="1" x14ac:dyDescent="0.35">
      <c r="A36" s="581">
        <v>32</v>
      </c>
      <c r="B36" s="582" t="s">
        <v>43</v>
      </c>
      <c r="C36" s="634">
        <v>4320</v>
      </c>
      <c r="D36" s="634">
        <v>1288</v>
      </c>
      <c r="E36" s="634">
        <v>5608</v>
      </c>
      <c r="F36" s="634">
        <v>2869</v>
      </c>
      <c r="G36" s="634">
        <v>1185</v>
      </c>
      <c r="H36" s="634">
        <v>4054</v>
      </c>
      <c r="I36" s="634">
        <v>9736</v>
      </c>
      <c r="J36" s="634">
        <v>5794</v>
      </c>
      <c r="K36" s="634">
        <v>15530</v>
      </c>
      <c r="L36" s="634">
        <v>414</v>
      </c>
      <c r="M36" s="634">
        <v>492</v>
      </c>
      <c r="N36" s="634">
        <v>906</v>
      </c>
      <c r="O36" s="634">
        <v>476</v>
      </c>
      <c r="P36" s="634">
        <v>283</v>
      </c>
      <c r="Q36" s="634">
        <v>759</v>
      </c>
      <c r="R36" s="634">
        <v>18048</v>
      </c>
      <c r="S36" s="634">
        <v>9385</v>
      </c>
      <c r="T36" s="634">
        <v>27433</v>
      </c>
      <c r="U36" s="634">
        <v>233</v>
      </c>
      <c r="V36" s="634">
        <v>343</v>
      </c>
      <c r="W36" s="634">
        <v>576</v>
      </c>
    </row>
    <row r="37" spans="1:23" ht="25.5" customHeight="1" x14ac:dyDescent="0.35">
      <c r="A37" s="581">
        <v>33</v>
      </c>
      <c r="B37" s="582" t="s">
        <v>44</v>
      </c>
      <c r="C37" s="634">
        <v>1124</v>
      </c>
      <c r="D37" s="634">
        <v>352</v>
      </c>
      <c r="E37" s="634">
        <v>1476</v>
      </c>
      <c r="F37" s="634">
        <v>732</v>
      </c>
      <c r="G37" s="634">
        <v>356</v>
      </c>
      <c r="H37" s="634">
        <v>1088</v>
      </c>
      <c r="I37" s="634">
        <v>2784</v>
      </c>
      <c r="J37" s="634">
        <v>1872</v>
      </c>
      <c r="K37" s="634">
        <v>4656</v>
      </c>
      <c r="L37" s="634">
        <v>95</v>
      </c>
      <c r="M37" s="634">
        <v>178</v>
      </c>
      <c r="N37" s="634">
        <v>273</v>
      </c>
      <c r="O37" s="634">
        <v>239</v>
      </c>
      <c r="P37" s="634">
        <v>168</v>
      </c>
      <c r="Q37" s="634">
        <v>407</v>
      </c>
      <c r="R37" s="634">
        <v>4987</v>
      </c>
      <c r="S37" s="634">
        <v>2928</v>
      </c>
      <c r="T37" s="634">
        <v>7915</v>
      </c>
      <c r="U37" s="634">
        <v>13</v>
      </c>
      <c r="V37" s="634">
        <v>2</v>
      </c>
      <c r="W37" s="634">
        <v>15</v>
      </c>
    </row>
    <row r="38" spans="1:23" ht="25.5" customHeight="1" x14ac:dyDescent="0.35">
      <c r="A38" s="581">
        <v>34</v>
      </c>
      <c r="B38" s="582" t="s">
        <v>45</v>
      </c>
      <c r="C38" s="634">
        <v>1987</v>
      </c>
      <c r="D38" s="634">
        <v>419</v>
      </c>
      <c r="E38" s="634">
        <v>2406</v>
      </c>
      <c r="F38" s="634">
        <v>1148</v>
      </c>
      <c r="G38" s="634">
        <v>336</v>
      </c>
      <c r="H38" s="634">
        <v>1484</v>
      </c>
      <c r="I38" s="634">
        <v>3350</v>
      </c>
      <c r="J38" s="634">
        <v>1813</v>
      </c>
      <c r="K38" s="634">
        <v>5163</v>
      </c>
      <c r="L38" s="634">
        <v>77</v>
      </c>
      <c r="M38" s="634">
        <v>69</v>
      </c>
      <c r="N38" s="634">
        <v>146</v>
      </c>
      <c r="O38" s="634">
        <v>327</v>
      </c>
      <c r="P38" s="634">
        <v>155</v>
      </c>
      <c r="Q38" s="634">
        <v>482</v>
      </c>
      <c r="R38" s="634">
        <v>6986</v>
      </c>
      <c r="S38" s="634">
        <v>2820</v>
      </c>
      <c r="T38" s="634">
        <v>9806</v>
      </c>
      <c r="U38" s="634">
        <v>97</v>
      </c>
      <c r="V38" s="634">
        <v>28</v>
      </c>
      <c r="W38" s="634">
        <v>125</v>
      </c>
    </row>
    <row r="39" spans="1:23" s="1013" customFormat="1" ht="19.5" customHeight="1" x14ac:dyDescent="0.35">
      <c r="A39" s="853" t="s">
        <v>46</v>
      </c>
      <c r="B39" s="854"/>
      <c r="C39" s="636">
        <v>34567</v>
      </c>
      <c r="D39" s="636">
        <v>12471</v>
      </c>
      <c r="E39" s="636">
        <v>47038</v>
      </c>
      <c r="F39" s="636">
        <v>26137</v>
      </c>
      <c r="G39" s="636">
        <v>13150</v>
      </c>
      <c r="H39" s="636">
        <v>39287</v>
      </c>
      <c r="I39" s="636">
        <v>90530</v>
      </c>
      <c r="J39" s="636">
        <v>67816</v>
      </c>
      <c r="K39" s="636">
        <v>158346</v>
      </c>
      <c r="L39" s="636">
        <v>4378</v>
      </c>
      <c r="M39" s="636">
        <v>5320</v>
      </c>
      <c r="N39" s="636">
        <v>9698</v>
      </c>
      <c r="O39" s="636">
        <v>5875</v>
      </c>
      <c r="P39" s="636">
        <v>5092</v>
      </c>
      <c r="Q39" s="636">
        <v>10967</v>
      </c>
      <c r="R39" s="636">
        <v>163880</v>
      </c>
      <c r="S39" s="636">
        <v>105646</v>
      </c>
      <c r="T39" s="636">
        <v>269526</v>
      </c>
      <c r="U39" s="636">
        <v>2393</v>
      </c>
      <c r="V39" s="636">
        <v>1797</v>
      </c>
      <c r="W39" s="636">
        <v>4190</v>
      </c>
    </row>
  </sheetData>
  <mergeCells count="12">
    <mergeCell ref="A39:B39"/>
    <mergeCell ref="U2:W2"/>
    <mergeCell ref="C1:K1"/>
    <mergeCell ref="L1:W1"/>
    <mergeCell ref="A2:A3"/>
    <mergeCell ref="B2:B3"/>
    <mergeCell ref="C2:E2"/>
    <mergeCell ref="F2:H2"/>
    <mergeCell ref="I2:K2"/>
    <mergeCell ref="L2:N2"/>
    <mergeCell ref="O2:Q2"/>
    <mergeCell ref="R2:T2"/>
  </mergeCells>
  <pageMargins left="0.51181102362204722" right="0.15748031496062992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2022-23&amp;RT-22b</oddFooter>
  </headerFooter>
  <colBreaks count="1" manualBreakCount="1">
    <brk id="11" max="39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ED2C-6E9F-4D3E-BBA7-C3F6A4ECD10D}">
  <sheetPr codeName="Sheet34">
    <tabColor rgb="FF92D050"/>
  </sheetPr>
  <dimension ref="A1:S40"/>
  <sheetViews>
    <sheetView view="pageBreakPreview" topLeftCell="B32" zoomScaleSheetLayoutView="100" workbookViewId="0">
      <selection activeCell="I38" sqref="I38"/>
    </sheetView>
  </sheetViews>
  <sheetFormatPr defaultColWidth="9.26953125" defaultRowHeight="14" x14ac:dyDescent="0.35"/>
  <cols>
    <col min="1" max="1" width="23.26953125" style="39" customWidth="1"/>
    <col min="2" max="2" width="9" style="39" bestFit="1" customWidth="1"/>
    <col min="3" max="3" width="7.453125" style="39" bestFit="1" customWidth="1"/>
    <col min="4" max="4" width="9" style="39" bestFit="1" customWidth="1"/>
    <col min="5" max="5" width="9" style="39" customWidth="1"/>
    <col min="6" max="6" width="9" style="39" bestFit="1" customWidth="1"/>
    <col min="7" max="7" width="9" style="39" customWidth="1"/>
    <col min="8" max="15" width="9" style="39" bestFit="1" customWidth="1"/>
    <col min="16" max="16" width="10" style="39" bestFit="1" customWidth="1"/>
    <col min="17" max="18" width="8.7265625" style="39" hidden="1" customWidth="1"/>
    <col min="19" max="19" width="9.26953125" style="223"/>
    <col min="20" max="16384" width="9.26953125" style="39"/>
  </cols>
  <sheetData>
    <row r="1" spans="1:19" s="66" customFormat="1" ht="33.75" customHeight="1" x14ac:dyDescent="0.35">
      <c r="A1" s="26" t="s">
        <v>768</v>
      </c>
      <c r="B1" s="743" t="s">
        <v>1018</v>
      </c>
      <c r="C1" s="730"/>
      <c r="D1" s="730"/>
      <c r="E1" s="730"/>
      <c r="F1" s="730"/>
      <c r="G1" s="730"/>
      <c r="H1" s="730"/>
      <c r="I1" s="730"/>
      <c r="J1" s="730"/>
      <c r="K1" s="743" t="str">
        <f>B1</f>
        <v>State/UTs-Wise Number of Male &amp; Female Non-Teaching staff at different post
(Based on Actual Response)</v>
      </c>
      <c r="L1" s="730"/>
      <c r="M1" s="730"/>
      <c r="N1" s="730"/>
      <c r="O1" s="730"/>
      <c r="P1" s="730"/>
      <c r="S1" s="216"/>
    </row>
    <row r="2" spans="1:19" s="218" customFormat="1" ht="31.5" customHeight="1" x14ac:dyDescent="0.35">
      <c r="A2" s="865" t="s">
        <v>1005</v>
      </c>
      <c r="B2" s="867" t="s">
        <v>769</v>
      </c>
      <c r="C2" s="867"/>
      <c r="D2" s="867"/>
      <c r="E2" s="867" t="s">
        <v>770</v>
      </c>
      <c r="F2" s="868"/>
      <c r="G2" s="868"/>
      <c r="H2" s="867" t="s">
        <v>771</v>
      </c>
      <c r="I2" s="868"/>
      <c r="J2" s="868"/>
      <c r="K2" s="867" t="s">
        <v>772</v>
      </c>
      <c r="L2" s="868"/>
      <c r="M2" s="868"/>
      <c r="N2" s="869" t="s">
        <v>12</v>
      </c>
      <c r="O2" s="870"/>
      <c r="P2" s="871"/>
      <c r="Q2" s="217"/>
      <c r="S2" s="219"/>
    </row>
    <row r="3" spans="1:19" s="218" customFormat="1" ht="19.5" customHeight="1" x14ac:dyDescent="0.35">
      <c r="A3" s="866"/>
      <c r="B3" s="220" t="s">
        <v>93</v>
      </c>
      <c r="C3" s="220" t="s">
        <v>94</v>
      </c>
      <c r="D3" s="220" t="s">
        <v>54</v>
      </c>
      <c r="E3" s="220" t="s">
        <v>93</v>
      </c>
      <c r="F3" s="220" t="s">
        <v>94</v>
      </c>
      <c r="G3" s="220" t="s">
        <v>54</v>
      </c>
      <c r="H3" s="220" t="s">
        <v>93</v>
      </c>
      <c r="I3" s="220" t="s">
        <v>94</v>
      </c>
      <c r="J3" s="220" t="s">
        <v>54</v>
      </c>
      <c r="K3" s="220" t="s">
        <v>93</v>
      </c>
      <c r="L3" s="220" t="s">
        <v>94</v>
      </c>
      <c r="M3" s="220" t="s">
        <v>54</v>
      </c>
      <c r="N3" s="220" t="s">
        <v>93</v>
      </c>
      <c r="O3" s="220" t="s">
        <v>94</v>
      </c>
      <c r="P3" s="220" t="s">
        <v>54</v>
      </c>
      <c r="Q3" s="217"/>
      <c r="S3" s="219"/>
    </row>
    <row r="4" spans="1:19" ht="30" customHeight="1" x14ac:dyDescent="0.35">
      <c r="A4" s="221" t="s">
        <v>58</v>
      </c>
      <c r="B4" s="1011">
        <v>4</v>
      </c>
      <c r="C4" s="1011">
        <v>8</v>
      </c>
      <c r="D4" s="644">
        <v>12</v>
      </c>
      <c r="E4" s="1011">
        <v>4</v>
      </c>
      <c r="F4" s="1011">
        <v>12</v>
      </c>
      <c r="G4" s="644">
        <v>16</v>
      </c>
      <c r="H4" s="1011">
        <v>11</v>
      </c>
      <c r="I4" s="1011">
        <v>14</v>
      </c>
      <c r="J4" s="644">
        <v>25</v>
      </c>
      <c r="K4" s="1011">
        <v>0</v>
      </c>
      <c r="L4" s="1011">
        <v>0</v>
      </c>
      <c r="M4" s="644">
        <v>0</v>
      </c>
      <c r="N4" s="1011">
        <v>19</v>
      </c>
      <c r="O4" s="1011">
        <v>34</v>
      </c>
      <c r="P4" s="1011">
        <v>53</v>
      </c>
      <c r="Q4" s="222"/>
    </row>
    <row r="5" spans="1:19" ht="20.25" customHeight="1" x14ac:dyDescent="0.35">
      <c r="A5" s="221" t="s">
        <v>13</v>
      </c>
      <c r="B5" s="1011">
        <v>8449</v>
      </c>
      <c r="C5" s="1011">
        <v>9069</v>
      </c>
      <c r="D5" s="644">
        <v>17518</v>
      </c>
      <c r="E5" s="1011">
        <v>8912</v>
      </c>
      <c r="F5" s="1011">
        <v>7834</v>
      </c>
      <c r="G5" s="644">
        <v>16746</v>
      </c>
      <c r="H5" s="1011">
        <v>11797</v>
      </c>
      <c r="I5" s="1011">
        <v>9362</v>
      </c>
      <c r="J5" s="644">
        <v>21159</v>
      </c>
      <c r="K5" s="1011">
        <v>8465</v>
      </c>
      <c r="L5" s="1011">
        <v>10053</v>
      </c>
      <c r="M5" s="644">
        <v>18518</v>
      </c>
      <c r="N5" s="1011">
        <v>37623</v>
      </c>
      <c r="O5" s="1011">
        <v>36318</v>
      </c>
      <c r="P5" s="1011">
        <v>73941</v>
      </c>
      <c r="Q5" s="222"/>
    </row>
    <row r="6" spans="1:19" ht="20.25" customHeight="1" x14ac:dyDescent="0.35">
      <c r="A6" s="221" t="s">
        <v>14</v>
      </c>
      <c r="B6" s="1011">
        <v>177</v>
      </c>
      <c r="C6" s="1011">
        <v>191</v>
      </c>
      <c r="D6" s="644">
        <v>368</v>
      </c>
      <c r="E6" s="1011">
        <v>204</v>
      </c>
      <c r="F6" s="1011">
        <v>359</v>
      </c>
      <c r="G6" s="644">
        <v>563</v>
      </c>
      <c r="H6" s="1011">
        <v>832</v>
      </c>
      <c r="I6" s="1011">
        <v>700</v>
      </c>
      <c r="J6" s="644">
        <v>1532</v>
      </c>
      <c r="K6" s="1011">
        <v>288</v>
      </c>
      <c r="L6" s="1011">
        <v>290</v>
      </c>
      <c r="M6" s="644">
        <v>578</v>
      </c>
      <c r="N6" s="1011">
        <v>1501</v>
      </c>
      <c r="O6" s="1011">
        <v>1540</v>
      </c>
      <c r="P6" s="1011">
        <v>3041</v>
      </c>
      <c r="Q6" s="222"/>
    </row>
    <row r="7" spans="1:19" ht="20.25" customHeight="1" x14ac:dyDescent="0.35">
      <c r="A7" s="221" t="s">
        <v>15</v>
      </c>
      <c r="B7" s="1011">
        <v>948</v>
      </c>
      <c r="C7" s="1011">
        <v>461</v>
      </c>
      <c r="D7" s="644">
        <v>1409</v>
      </c>
      <c r="E7" s="1011">
        <v>1735</v>
      </c>
      <c r="F7" s="1011">
        <v>1292</v>
      </c>
      <c r="G7" s="644">
        <v>3027</v>
      </c>
      <c r="H7" s="1011">
        <v>6101</v>
      </c>
      <c r="I7" s="1011">
        <v>3568</v>
      </c>
      <c r="J7" s="644">
        <v>9669</v>
      </c>
      <c r="K7" s="1011">
        <v>6951</v>
      </c>
      <c r="L7" s="1011">
        <v>2289</v>
      </c>
      <c r="M7" s="644">
        <v>9240</v>
      </c>
      <c r="N7" s="1011">
        <v>15735</v>
      </c>
      <c r="O7" s="1011">
        <v>7610</v>
      </c>
      <c r="P7" s="1011">
        <v>23345</v>
      </c>
      <c r="Q7" s="222"/>
    </row>
    <row r="8" spans="1:19" ht="20.25" customHeight="1" x14ac:dyDescent="0.35">
      <c r="A8" s="221" t="s">
        <v>16</v>
      </c>
      <c r="B8" s="1011">
        <v>2056</v>
      </c>
      <c r="C8" s="1011">
        <v>1039</v>
      </c>
      <c r="D8" s="644">
        <v>3095</v>
      </c>
      <c r="E8" s="1011">
        <v>2727</v>
      </c>
      <c r="F8" s="1011">
        <v>2137</v>
      </c>
      <c r="G8" s="644">
        <v>4864</v>
      </c>
      <c r="H8" s="1011">
        <v>13467</v>
      </c>
      <c r="I8" s="1011">
        <v>4733</v>
      </c>
      <c r="J8" s="644">
        <v>18200</v>
      </c>
      <c r="K8" s="1011">
        <v>10490</v>
      </c>
      <c r="L8" s="1011">
        <v>3470</v>
      </c>
      <c r="M8" s="644">
        <v>13960</v>
      </c>
      <c r="N8" s="1011">
        <v>28740</v>
      </c>
      <c r="O8" s="1011">
        <v>11379</v>
      </c>
      <c r="P8" s="1011">
        <v>40119</v>
      </c>
      <c r="Q8" s="222"/>
    </row>
    <row r="9" spans="1:19" ht="20.25" customHeight="1" x14ac:dyDescent="0.35">
      <c r="A9" s="221" t="s">
        <v>17</v>
      </c>
      <c r="B9" s="1011">
        <v>398</v>
      </c>
      <c r="C9" s="1011">
        <v>206</v>
      </c>
      <c r="D9" s="644">
        <v>604</v>
      </c>
      <c r="E9" s="1011">
        <v>972</v>
      </c>
      <c r="F9" s="1011">
        <v>694</v>
      </c>
      <c r="G9" s="644">
        <v>1666</v>
      </c>
      <c r="H9" s="1011">
        <v>2435</v>
      </c>
      <c r="I9" s="1011">
        <v>1125</v>
      </c>
      <c r="J9" s="644">
        <v>3560</v>
      </c>
      <c r="K9" s="1011">
        <v>484</v>
      </c>
      <c r="L9" s="1011">
        <v>91</v>
      </c>
      <c r="M9" s="644">
        <v>575</v>
      </c>
      <c r="N9" s="1011">
        <v>4289</v>
      </c>
      <c r="O9" s="1011">
        <v>2116</v>
      </c>
      <c r="P9" s="1011">
        <v>6405</v>
      </c>
      <c r="Q9" s="222"/>
    </row>
    <row r="10" spans="1:19" ht="20.25" customHeight="1" x14ac:dyDescent="0.35">
      <c r="A10" s="221" t="s">
        <v>18</v>
      </c>
      <c r="B10" s="1011">
        <v>1490</v>
      </c>
      <c r="C10" s="1011">
        <v>1174</v>
      </c>
      <c r="D10" s="644">
        <v>2664</v>
      </c>
      <c r="E10" s="1011">
        <v>2118</v>
      </c>
      <c r="F10" s="1011">
        <v>1707</v>
      </c>
      <c r="G10" s="644">
        <v>3825</v>
      </c>
      <c r="H10" s="1011">
        <v>5438</v>
      </c>
      <c r="I10" s="1011">
        <v>3681</v>
      </c>
      <c r="J10" s="644">
        <v>9119</v>
      </c>
      <c r="K10" s="1011">
        <v>3248</v>
      </c>
      <c r="L10" s="1011">
        <v>2378</v>
      </c>
      <c r="M10" s="644">
        <v>5626</v>
      </c>
      <c r="N10" s="1011">
        <v>12294</v>
      </c>
      <c r="O10" s="1011">
        <v>8940</v>
      </c>
      <c r="P10" s="1011">
        <v>21234</v>
      </c>
      <c r="Q10" s="222"/>
    </row>
    <row r="11" spans="1:19" ht="20.25" customHeight="1" x14ac:dyDescent="0.35">
      <c r="A11" s="221" t="s">
        <v>19</v>
      </c>
      <c r="B11" s="1011">
        <v>1353</v>
      </c>
      <c r="C11" s="1010">
        <v>780</v>
      </c>
      <c r="D11" s="644">
        <v>2133</v>
      </c>
      <c r="E11" s="1011">
        <v>5119</v>
      </c>
      <c r="F11" s="1011">
        <v>5491</v>
      </c>
      <c r="G11" s="644">
        <v>10610</v>
      </c>
      <c r="H11" s="1011">
        <v>12712</v>
      </c>
      <c r="I11" s="1011">
        <v>3079</v>
      </c>
      <c r="J11" s="644">
        <v>15791</v>
      </c>
      <c r="K11" s="1011">
        <v>1499</v>
      </c>
      <c r="L11" s="1011">
        <v>1117</v>
      </c>
      <c r="M11" s="644">
        <v>2616</v>
      </c>
      <c r="N11" s="1011">
        <v>20683</v>
      </c>
      <c r="O11" s="1011">
        <v>10467</v>
      </c>
      <c r="P11" s="1011">
        <v>31150</v>
      </c>
      <c r="Q11" s="222"/>
    </row>
    <row r="12" spans="1:19" ht="20.25" customHeight="1" x14ac:dyDescent="0.35">
      <c r="A12" s="221" t="s">
        <v>20</v>
      </c>
      <c r="B12" s="1011">
        <v>148</v>
      </c>
      <c r="C12" s="1011">
        <v>86</v>
      </c>
      <c r="D12" s="644">
        <v>234</v>
      </c>
      <c r="E12" s="1011">
        <v>153</v>
      </c>
      <c r="F12" s="1011">
        <v>137</v>
      </c>
      <c r="G12" s="644">
        <v>290</v>
      </c>
      <c r="H12" s="1011">
        <v>2261</v>
      </c>
      <c r="I12" s="1011">
        <v>2578</v>
      </c>
      <c r="J12" s="644">
        <v>4839</v>
      </c>
      <c r="K12" s="1011">
        <v>86</v>
      </c>
      <c r="L12" s="1011">
        <v>70</v>
      </c>
      <c r="M12" s="644">
        <v>156</v>
      </c>
      <c r="N12" s="1011">
        <v>2648</v>
      </c>
      <c r="O12" s="1011">
        <v>2871</v>
      </c>
      <c r="P12" s="1011">
        <v>5519</v>
      </c>
      <c r="Q12" s="222"/>
    </row>
    <row r="13" spans="1:19" ht="20.25" customHeight="1" x14ac:dyDescent="0.35">
      <c r="A13" s="221" t="s">
        <v>21</v>
      </c>
      <c r="B13" s="1011">
        <v>4265</v>
      </c>
      <c r="C13" s="1011">
        <v>3184</v>
      </c>
      <c r="D13" s="644">
        <v>7449</v>
      </c>
      <c r="E13" s="1011">
        <v>4986</v>
      </c>
      <c r="F13" s="1011">
        <v>3260</v>
      </c>
      <c r="G13" s="644">
        <v>8246</v>
      </c>
      <c r="H13" s="1011">
        <v>11087</v>
      </c>
      <c r="I13" s="1011">
        <v>6694</v>
      </c>
      <c r="J13" s="644">
        <v>17781</v>
      </c>
      <c r="K13" s="1011">
        <v>8982</v>
      </c>
      <c r="L13" s="1011">
        <v>4469</v>
      </c>
      <c r="M13" s="644">
        <v>13451</v>
      </c>
      <c r="N13" s="1011">
        <v>29320</v>
      </c>
      <c r="O13" s="1011">
        <v>17607</v>
      </c>
      <c r="P13" s="1011">
        <v>46927</v>
      </c>
      <c r="Q13" s="222"/>
    </row>
    <row r="14" spans="1:19" ht="20.25" customHeight="1" x14ac:dyDescent="0.35">
      <c r="A14" s="221" t="s">
        <v>22</v>
      </c>
      <c r="B14" s="1011">
        <v>1336</v>
      </c>
      <c r="C14" s="1011">
        <v>855</v>
      </c>
      <c r="D14" s="644">
        <v>2191</v>
      </c>
      <c r="E14" s="1011">
        <v>3150</v>
      </c>
      <c r="F14" s="1011">
        <v>1772</v>
      </c>
      <c r="G14" s="644">
        <v>4922</v>
      </c>
      <c r="H14" s="1011">
        <v>15082</v>
      </c>
      <c r="I14" s="1011">
        <v>7191</v>
      </c>
      <c r="J14" s="644">
        <v>22273</v>
      </c>
      <c r="K14" s="1011">
        <v>9644</v>
      </c>
      <c r="L14" s="1011">
        <v>4286</v>
      </c>
      <c r="M14" s="644">
        <v>13930</v>
      </c>
      <c r="N14" s="1011">
        <v>29212</v>
      </c>
      <c r="O14" s="1011">
        <v>14104</v>
      </c>
      <c r="P14" s="1011">
        <v>43316</v>
      </c>
      <c r="Q14" s="222"/>
    </row>
    <row r="15" spans="1:19" ht="20.25" customHeight="1" x14ac:dyDescent="0.35">
      <c r="A15" s="221" t="s">
        <v>23</v>
      </c>
      <c r="B15" s="1011">
        <v>1067</v>
      </c>
      <c r="C15" s="1011">
        <v>661</v>
      </c>
      <c r="D15" s="644">
        <v>1728</v>
      </c>
      <c r="E15" s="1011">
        <v>1007</v>
      </c>
      <c r="F15" s="1011">
        <v>544</v>
      </c>
      <c r="G15" s="644">
        <v>1551</v>
      </c>
      <c r="H15" s="1011">
        <v>4133</v>
      </c>
      <c r="I15" s="1011">
        <v>2360</v>
      </c>
      <c r="J15" s="644">
        <v>6493</v>
      </c>
      <c r="K15" s="1011">
        <v>2840</v>
      </c>
      <c r="L15" s="1011">
        <v>1545</v>
      </c>
      <c r="M15" s="644">
        <v>4385</v>
      </c>
      <c r="N15" s="1011">
        <v>9047</v>
      </c>
      <c r="O15" s="1011">
        <v>5110</v>
      </c>
      <c r="P15" s="1011">
        <v>14157</v>
      </c>
      <c r="Q15" s="222"/>
    </row>
    <row r="16" spans="1:19" ht="20.25" customHeight="1" x14ac:dyDescent="0.35">
      <c r="A16" s="221" t="s">
        <v>24</v>
      </c>
      <c r="B16" s="1011">
        <v>1390</v>
      </c>
      <c r="C16" s="1011">
        <v>953</v>
      </c>
      <c r="D16" s="644">
        <v>2343</v>
      </c>
      <c r="E16" s="1011">
        <v>2134</v>
      </c>
      <c r="F16" s="1011">
        <v>1225</v>
      </c>
      <c r="G16" s="644">
        <v>3359</v>
      </c>
      <c r="H16" s="1011">
        <v>3975</v>
      </c>
      <c r="I16" s="1011">
        <v>1821</v>
      </c>
      <c r="J16" s="644">
        <v>5796</v>
      </c>
      <c r="K16" s="1011">
        <v>4614</v>
      </c>
      <c r="L16" s="1011">
        <v>1420</v>
      </c>
      <c r="M16" s="644">
        <v>6034</v>
      </c>
      <c r="N16" s="1011">
        <v>12113</v>
      </c>
      <c r="O16" s="1011">
        <v>5419</v>
      </c>
      <c r="P16" s="1011">
        <v>17532</v>
      </c>
      <c r="Q16" s="222"/>
    </row>
    <row r="17" spans="1:17" ht="20.25" customHeight="1" x14ac:dyDescent="0.35">
      <c r="A17" s="221" t="s">
        <v>25</v>
      </c>
      <c r="B17" s="1011">
        <v>670</v>
      </c>
      <c r="C17" s="1011">
        <v>607</v>
      </c>
      <c r="D17" s="644">
        <v>1277</v>
      </c>
      <c r="E17" s="1011">
        <v>1387</v>
      </c>
      <c r="F17" s="1011">
        <v>1663</v>
      </c>
      <c r="G17" s="644">
        <v>3050</v>
      </c>
      <c r="H17" s="1011">
        <v>4651</v>
      </c>
      <c r="I17" s="1011">
        <v>1773</v>
      </c>
      <c r="J17" s="644">
        <v>6424</v>
      </c>
      <c r="K17" s="1011">
        <v>4086</v>
      </c>
      <c r="L17" s="1011">
        <v>1778</v>
      </c>
      <c r="M17" s="644">
        <v>5864</v>
      </c>
      <c r="N17" s="1011">
        <v>10794</v>
      </c>
      <c r="O17" s="1011">
        <v>5821</v>
      </c>
      <c r="P17" s="1011">
        <v>16615</v>
      </c>
      <c r="Q17" s="222"/>
    </row>
    <row r="18" spans="1:17" ht="20.25" customHeight="1" x14ac:dyDescent="0.35">
      <c r="A18" s="221" t="s">
        <v>26</v>
      </c>
      <c r="B18" s="1011">
        <v>7386</v>
      </c>
      <c r="C18" s="1011">
        <v>7789</v>
      </c>
      <c r="D18" s="644">
        <v>15175</v>
      </c>
      <c r="E18" s="1011">
        <v>9755</v>
      </c>
      <c r="F18" s="1011">
        <v>11252</v>
      </c>
      <c r="G18" s="644">
        <v>21007</v>
      </c>
      <c r="H18" s="1011">
        <v>29555</v>
      </c>
      <c r="I18" s="1011">
        <v>29079</v>
      </c>
      <c r="J18" s="644">
        <v>58634</v>
      </c>
      <c r="K18" s="1011">
        <v>21155</v>
      </c>
      <c r="L18" s="1011">
        <v>20982</v>
      </c>
      <c r="M18" s="644">
        <v>42137</v>
      </c>
      <c r="N18" s="1011">
        <v>67851</v>
      </c>
      <c r="O18" s="1011">
        <v>69102</v>
      </c>
      <c r="P18" s="1011">
        <v>136953</v>
      </c>
      <c r="Q18" s="222"/>
    </row>
    <row r="19" spans="1:17" ht="20.25" customHeight="1" x14ac:dyDescent="0.35">
      <c r="A19" s="221" t="s">
        <v>27</v>
      </c>
      <c r="B19" s="1011">
        <v>5633</v>
      </c>
      <c r="C19" s="1011">
        <v>11419</v>
      </c>
      <c r="D19" s="644">
        <v>17052</v>
      </c>
      <c r="E19" s="1011">
        <v>4387</v>
      </c>
      <c r="F19" s="1011">
        <v>7541</v>
      </c>
      <c r="G19" s="644">
        <v>11928</v>
      </c>
      <c r="H19" s="1011">
        <v>9642</v>
      </c>
      <c r="I19" s="1011">
        <v>11354</v>
      </c>
      <c r="J19" s="644">
        <v>20996</v>
      </c>
      <c r="K19" s="1011">
        <v>3509</v>
      </c>
      <c r="L19" s="1011">
        <v>5229</v>
      </c>
      <c r="M19" s="644">
        <v>8738</v>
      </c>
      <c r="N19" s="1011">
        <v>23171</v>
      </c>
      <c r="O19" s="1011">
        <v>35543</v>
      </c>
      <c r="P19" s="1011">
        <v>58714</v>
      </c>
      <c r="Q19" s="222"/>
    </row>
    <row r="20" spans="1:17" ht="20.25" customHeight="1" x14ac:dyDescent="0.35">
      <c r="A20" s="221" t="s">
        <v>28</v>
      </c>
      <c r="B20" s="1011">
        <v>30</v>
      </c>
      <c r="C20" s="1011">
        <v>10</v>
      </c>
      <c r="D20" s="644">
        <v>40</v>
      </c>
      <c r="E20" s="1011">
        <v>8</v>
      </c>
      <c r="F20" s="1011">
        <v>5</v>
      </c>
      <c r="G20" s="644">
        <v>13</v>
      </c>
      <c r="H20" s="1011">
        <v>84</v>
      </c>
      <c r="I20" s="1011">
        <v>80</v>
      </c>
      <c r="J20" s="644">
        <v>164</v>
      </c>
      <c r="K20" s="1011">
        <v>15</v>
      </c>
      <c r="L20" s="1011">
        <v>14</v>
      </c>
      <c r="M20" s="644">
        <v>29</v>
      </c>
      <c r="N20" s="1011">
        <v>137</v>
      </c>
      <c r="O20" s="1011">
        <v>109</v>
      </c>
      <c r="P20" s="1011">
        <v>246</v>
      </c>
      <c r="Q20" s="222"/>
    </row>
    <row r="21" spans="1:17" ht="20.25" customHeight="1" x14ac:dyDescent="0.35">
      <c r="A21" s="221" t="s">
        <v>72</v>
      </c>
      <c r="B21" s="1011">
        <v>0</v>
      </c>
      <c r="C21" s="1011"/>
      <c r="D21" s="644"/>
      <c r="E21" s="1011">
        <v>0</v>
      </c>
      <c r="F21" s="1011"/>
      <c r="G21" s="644"/>
      <c r="H21" s="1011">
        <v>1</v>
      </c>
      <c r="I21" s="1011">
        <v>2</v>
      </c>
      <c r="J21" s="644">
        <v>3</v>
      </c>
      <c r="K21" s="1011">
        <v>0</v>
      </c>
      <c r="L21" s="1011"/>
      <c r="M21" s="644"/>
      <c r="N21" s="1011">
        <v>1</v>
      </c>
      <c r="O21" s="1011">
        <v>2</v>
      </c>
      <c r="P21" s="1011">
        <v>3</v>
      </c>
      <c r="Q21" s="222"/>
    </row>
    <row r="22" spans="1:17" ht="20.25" customHeight="1" x14ac:dyDescent="0.35">
      <c r="A22" s="221" t="s">
        <v>29</v>
      </c>
      <c r="B22" s="1011">
        <v>4031</v>
      </c>
      <c r="C22" s="1011">
        <v>3651</v>
      </c>
      <c r="D22" s="644">
        <v>7682</v>
      </c>
      <c r="E22" s="1011">
        <v>6287</v>
      </c>
      <c r="F22" s="1011">
        <v>5530</v>
      </c>
      <c r="G22" s="644">
        <v>11817</v>
      </c>
      <c r="H22" s="1011">
        <v>18851</v>
      </c>
      <c r="I22" s="1011">
        <v>12697</v>
      </c>
      <c r="J22" s="644">
        <v>31548</v>
      </c>
      <c r="K22" s="1011">
        <v>11595</v>
      </c>
      <c r="L22" s="1011">
        <v>5744</v>
      </c>
      <c r="M22" s="644">
        <v>17339</v>
      </c>
      <c r="N22" s="1011">
        <v>40764</v>
      </c>
      <c r="O22" s="1011">
        <v>27622</v>
      </c>
      <c r="P22" s="1011">
        <v>68386</v>
      </c>
      <c r="Q22" s="222"/>
    </row>
    <row r="23" spans="1:17" ht="20.25" customHeight="1" x14ac:dyDescent="0.35">
      <c r="A23" s="221" t="s">
        <v>30</v>
      </c>
      <c r="B23" s="1011">
        <v>10537</v>
      </c>
      <c r="C23" s="1011">
        <v>6224</v>
      </c>
      <c r="D23" s="644">
        <v>16761</v>
      </c>
      <c r="E23" s="1011">
        <v>13390</v>
      </c>
      <c r="F23" s="1011">
        <v>9442</v>
      </c>
      <c r="G23" s="644">
        <v>22832</v>
      </c>
      <c r="H23" s="1011">
        <v>49908</v>
      </c>
      <c r="I23" s="1011">
        <v>27912</v>
      </c>
      <c r="J23" s="644">
        <v>77820</v>
      </c>
      <c r="K23" s="1011">
        <v>40813</v>
      </c>
      <c r="L23" s="1011">
        <v>13654</v>
      </c>
      <c r="M23" s="644">
        <v>54467</v>
      </c>
      <c r="N23" s="1011">
        <v>114648</v>
      </c>
      <c r="O23" s="1011">
        <v>57232</v>
      </c>
      <c r="P23" s="1011">
        <v>171880</v>
      </c>
      <c r="Q23" s="222"/>
    </row>
    <row r="24" spans="1:17" ht="20.25" customHeight="1" x14ac:dyDescent="0.35">
      <c r="A24" s="221" t="s">
        <v>31</v>
      </c>
      <c r="B24" s="1011">
        <v>246</v>
      </c>
      <c r="C24" s="1011">
        <v>256</v>
      </c>
      <c r="D24" s="644">
        <v>502</v>
      </c>
      <c r="E24" s="1011">
        <v>244</v>
      </c>
      <c r="F24" s="1011">
        <v>671</v>
      </c>
      <c r="G24" s="644">
        <v>915</v>
      </c>
      <c r="H24" s="1011">
        <v>1187</v>
      </c>
      <c r="I24" s="1011">
        <v>1143</v>
      </c>
      <c r="J24" s="644">
        <v>2330</v>
      </c>
      <c r="K24" s="1011">
        <v>968</v>
      </c>
      <c r="L24" s="1011">
        <v>597</v>
      </c>
      <c r="M24" s="644">
        <v>1565</v>
      </c>
      <c r="N24" s="1011">
        <v>2645</v>
      </c>
      <c r="O24" s="1011">
        <v>2667</v>
      </c>
      <c r="P24" s="1011">
        <v>5312</v>
      </c>
      <c r="Q24" s="222"/>
    </row>
    <row r="25" spans="1:17" ht="20.25" customHeight="1" x14ac:dyDescent="0.35">
      <c r="A25" s="221" t="s">
        <v>32</v>
      </c>
      <c r="B25" s="1011">
        <v>227</v>
      </c>
      <c r="C25" s="1011">
        <v>155</v>
      </c>
      <c r="D25" s="644">
        <v>382</v>
      </c>
      <c r="E25" s="1011">
        <v>295</v>
      </c>
      <c r="F25" s="1011">
        <v>243</v>
      </c>
      <c r="G25" s="644">
        <v>538</v>
      </c>
      <c r="H25" s="1011">
        <v>452</v>
      </c>
      <c r="I25" s="1011">
        <v>323</v>
      </c>
      <c r="J25" s="644">
        <v>775</v>
      </c>
      <c r="K25" s="1011">
        <v>554</v>
      </c>
      <c r="L25" s="1011">
        <v>490</v>
      </c>
      <c r="M25" s="644">
        <v>1044</v>
      </c>
      <c r="N25" s="1011">
        <v>1528</v>
      </c>
      <c r="O25" s="1011">
        <v>1211</v>
      </c>
      <c r="P25" s="1011">
        <v>2739</v>
      </c>
      <c r="Q25" s="222"/>
    </row>
    <row r="26" spans="1:17" ht="20.25" customHeight="1" x14ac:dyDescent="0.35">
      <c r="A26" s="221" t="s">
        <v>33</v>
      </c>
      <c r="B26" s="1011">
        <v>52</v>
      </c>
      <c r="C26" s="1011">
        <v>34</v>
      </c>
      <c r="D26" s="644">
        <v>86</v>
      </c>
      <c r="E26" s="1011">
        <v>162</v>
      </c>
      <c r="F26" s="1011">
        <v>396</v>
      </c>
      <c r="G26" s="644">
        <v>558</v>
      </c>
      <c r="H26" s="1011">
        <v>395</v>
      </c>
      <c r="I26" s="1011">
        <v>309</v>
      </c>
      <c r="J26" s="644">
        <v>704</v>
      </c>
      <c r="K26" s="1011">
        <v>287</v>
      </c>
      <c r="L26" s="1011">
        <v>150</v>
      </c>
      <c r="M26" s="644">
        <v>437</v>
      </c>
      <c r="N26" s="1011">
        <v>896</v>
      </c>
      <c r="O26" s="1011">
        <v>889</v>
      </c>
      <c r="P26" s="1011">
        <v>1785</v>
      </c>
      <c r="Q26" s="222"/>
    </row>
    <row r="27" spans="1:17" ht="20.25" customHeight="1" x14ac:dyDescent="0.35">
      <c r="A27" s="221" t="s">
        <v>34</v>
      </c>
      <c r="B27" s="1011">
        <v>170</v>
      </c>
      <c r="C27" s="1011">
        <v>96</v>
      </c>
      <c r="D27" s="644">
        <v>266</v>
      </c>
      <c r="E27" s="1011">
        <v>165</v>
      </c>
      <c r="F27" s="1011">
        <v>136</v>
      </c>
      <c r="G27" s="644">
        <v>301</v>
      </c>
      <c r="H27" s="1011">
        <v>552</v>
      </c>
      <c r="I27" s="1011">
        <v>333</v>
      </c>
      <c r="J27" s="644">
        <v>885</v>
      </c>
      <c r="K27" s="1011">
        <v>557</v>
      </c>
      <c r="L27" s="1011">
        <v>315</v>
      </c>
      <c r="M27" s="644">
        <v>872</v>
      </c>
      <c r="N27" s="1011">
        <v>1444</v>
      </c>
      <c r="O27" s="1011">
        <v>880</v>
      </c>
      <c r="P27" s="1011">
        <v>2324</v>
      </c>
      <c r="Q27" s="222"/>
    </row>
    <row r="28" spans="1:17" ht="20.25" customHeight="1" x14ac:dyDescent="0.35">
      <c r="A28" s="221" t="s">
        <v>35</v>
      </c>
      <c r="B28" s="1011">
        <v>1985</v>
      </c>
      <c r="C28" s="1011">
        <v>976</v>
      </c>
      <c r="D28" s="644">
        <v>2961</v>
      </c>
      <c r="E28" s="1011">
        <v>3622</v>
      </c>
      <c r="F28" s="1011">
        <v>2612</v>
      </c>
      <c r="G28" s="644">
        <v>6234</v>
      </c>
      <c r="H28" s="1011">
        <v>9911</v>
      </c>
      <c r="I28" s="1011">
        <v>7128</v>
      </c>
      <c r="J28" s="644">
        <v>17039</v>
      </c>
      <c r="K28" s="1011">
        <v>8435</v>
      </c>
      <c r="L28" s="1011">
        <v>4440</v>
      </c>
      <c r="M28" s="644">
        <v>12875</v>
      </c>
      <c r="N28" s="1011">
        <v>23953</v>
      </c>
      <c r="O28" s="1011">
        <v>15156</v>
      </c>
      <c r="P28" s="1011">
        <v>39109</v>
      </c>
      <c r="Q28" s="222"/>
    </row>
    <row r="29" spans="1:17" ht="20.25" customHeight="1" x14ac:dyDescent="0.35">
      <c r="A29" s="221" t="s">
        <v>36</v>
      </c>
      <c r="B29" s="1011">
        <v>488</v>
      </c>
      <c r="C29" s="1011">
        <v>525</v>
      </c>
      <c r="D29" s="644">
        <v>1013</v>
      </c>
      <c r="E29" s="1011">
        <v>1139</v>
      </c>
      <c r="F29" s="1011">
        <v>3016</v>
      </c>
      <c r="G29" s="644">
        <v>4155</v>
      </c>
      <c r="H29" s="1011">
        <v>2421</v>
      </c>
      <c r="I29" s="1011">
        <v>2981</v>
      </c>
      <c r="J29" s="644">
        <v>5402</v>
      </c>
      <c r="K29" s="1011">
        <v>794</v>
      </c>
      <c r="L29" s="1011">
        <v>1064</v>
      </c>
      <c r="M29" s="644">
        <v>1858</v>
      </c>
      <c r="N29" s="1011">
        <v>4842</v>
      </c>
      <c r="O29" s="1011">
        <v>7586</v>
      </c>
      <c r="P29" s="1011">
        <v>12428</v>
      </c>
      <c r="Q29" s="222"/>
    </row>
    <row r="30" spans="1:17" ht="20.25" customHeight="1" x14ac:dyDescent="0.35">
      <c r="A30" s="221" t="s">
        <v>37</v>
      </c>
      <c r="B30" s="1011">
        <v>2812</v>
      </c>
      <c r="C30" s="1011">
        <v>3038</v>
      </c>
      <c r="D30" s="644">
        <v>5850</v>
      </c>
      <c r="E30" s="1011">
        <v>6893</v>
      </c>
      <c r="F30" s="1011">
        <v>6734</v>
      </c>
      <c r="G30" s="644">
        <v>13627</v>
      </c>
      <c r="H30" s="1011">
        <v>9533</v>
      </c>
      <c r="I30" s="1011">
        <v>6321</v>
      </c>
      <c r="J30" s="644">
        <v>15854</v>
      </c>
      <c r="K30" s="1011">
        <v>10543</v>
      </c>
      <c r="L30" s="1011">
        <v>6023</v>
      </c>
      <c r="M30" s="644">
        <v>16566</v>
      </c>
      <c r="N30" s="1011">
        <v>29781</v>
      </c>
      <c r="O30" s="1011">
        <v>22116</v>
      </c>
      <c r="P30" s="1011">
        <v>51897</v>
      </c>
      <c r="Q30" s="222"/>
    </row>
    <row r="31" spans="1:17" ht="20.25" customHeight="1" x14ac:dyDescent="0.35">
      <c r="A31" s="221" t="s">
        <v>38</v>
      </c>
      <c r="B31" s="1011">
        <v>11892</v>
      </c>
      <c r="C31" s="1011">
        <v>5850</v>
      </c>
      <c r="D31" s="644">
        <v>17742</v>
      </c>
      <c r="E31" s="1011">
        <v>8065</v>
      </c>
      <c r="F31" s="1011">
        <v>3858</v>
      </c>
      <c r="G31" s="644">
        <v>11923</v>
      </c>
      <c r="H31" s="1011">
        <v>14525</v>
      </c>
      <c r="I31" s="1011">
        <v>6902</v>
      </c>
      <c r="J31" s="644">
        <v>21427</v>
      </c>
      <c r="K31" s="1011">
        <v>8002</v>
      </c>
      <c r="L31" s="1011">
        <v>4267</v>
      </c>
      <c r="M31" s="644">
        <v>12269</v>
      </c>
      <c r="N31" s="1011">
        <v>42484</v>
      </c>
      <c r="O31" s="1011">
        <v>20877</v>
      </c>
      <c r="P31" s="1011">
        <v>63361</v>
      </c>
      <c r="Q31" s="222"/>
    </row>
    <row r="32" spans="1:17" ht="20.25" customHeight="1" x14ac:dyDescent="0.35">
      <c r="A32" s="221" t="s">
        <v>39</v>
      </c>
      <c r="B32" s="1011">
        <v>131</v>
      </c>
      <c r="C32" s="1011">
        <v>58</v>
      </c>
      <c r="D32" s="644">
        <v>189</v>
      </c>
      <c r="E32" s="1011">
        <v>72</v>
      </c>
      <c r="F32" s="1011">
        <v>56</v>
      </c>
      <c r="G32" s="644">
        <v>128</v>
      </c>
      <c r="H32" s="1011">
        <v>302</v>
      </c>
      <c r="I32" s="1011">
        <v>316</v>
      </c>
      <c r="J32" s="644">
        <v>618</v>
      </c>
      <c r="K32" s="1011">
        <v>277</v>
      </c>
      <c r="L32" s="1011">
        <v>196</v>
      </c>
      <c r="M32" s="644">
        <v>473</v>
      </c>
      <c r="N32" s="1011">
        <v>782</v>
      </c>
      <c r="O32" s="1011">
        <v>626</v>
      </c>
      <c r="P32" s="1011">
        <v>1408</v>
      </c>
      <c r="Q32" s="222"/>
    </row>
    <row r="33" spans="1:19" ht="20.25" customHeight="1" x14ac:dyDescent="0.35">
      <c r="A33" s="221" t="s">
        <v>40</v>
      </c>
      <c r="B33" s="1011">
        <v>16195</v>
      </c>
      <c r="C33" s="1011">
        <v>16893</v>
      </c>
      <c r="D33" s="644">
        <v>33088</v>
      </c>
      <c r="E33" s="1011">
        <v>21166</v>
      </c>
      <c r="F33" s="1011">
        <v>21563</v>
      </c>
      <c r="G33" s="644">
        <v>42729</v>
      </c>
      <c r="H33" s="1011">
        <v>31885</v>
      </c>
      <c r="I33" s="1011">
        <v>33239</v>
      </c>
      <c r="J33" s="644">
        <v>65124</v>
      </c>
      <c r="K33" s="1011">
        <v>23879</v>
      </c>
      <c r="L33" s="1011">
        <v>26229</v>
      </c>
      <c r="M33" s="644">
        <v>50108</v>
      </c>
      <c r="N33" s="1011">
        <v>93125</v>
      </c>
      <c r="O33" s="1011">
        <v>97924</v>
      </c>
      <c r="P33" s="1011">
        <v>191049</v>
      </c>
      <c r="Q33" s="222"/>
    </row>
    <row r="34" spans="1:19" ht="20.25" customHeight="1" x14ac:dyDescent="0.35">
      <c r="A34" s="221" t="s">
        <v>41</v>
      </c>
      <c r="B34" s="1011">
        <v>6290</v>
      </c>
      <c r="C34" s="1011">
        <v>7067</v>
      </c>
      <c r="D34" s="644">
        <v>13357</v>
      </c>
      <c r="E34" s="1011">
        <v>4668</v>
      </c>
      <c r="F34" s="1011">
        <v>4678</v>
      </c>
      <c r="G34" s="644">
        <v>9346</v>
      </c>
      <c r="H34" s="1011">
        <v>8423</v>
      </c>
      <c r="I34" s="1011">
        <v>8091</v>
      </c>
      <c r="J34" s="644">
        <v>16514</v>
      </c>
      <c r="K34" s="1011">
        <v>6887</v>
      </c>
      <c r="L34" s="1011">
        <v>8769</v>
      </c>
      <c r="M34" s="644">
        <v>15656</v>
      </c>
      <c r="N34" s="1011">
        <v>26268</v>
      </c>
      <c r="O34" s="1011">
        <v>28605</v>
      </c>
      <c r="P34" s="1011">
        <v>54873</v>
      </c>
      <c r="Q34" s="222"/>
    </row>
    <row r="35" spans="1:19" ht="28" x14ac:dyDescent="0.35">
      <c r="A35" s="221" t="s">
        <v>60</v>
      </c>
      <c r="B35" s="1011">
        <v>7</v>
      </c>
      <c r="C35" s="1011">
        <v>39</v>
      </c>
      <c r="D35" s="644">
        <v>46</v>
      </c>
      <c r="E35" s="1011">
        <v>11</v>
      </c>
      <c r="F35" s="1011">
        <v>28</v>
      </c>
      <c r="G35" s="644">
        <v>39</v>
      </c>
      <c r="H35" s="1011">
        <v>103</v>
      </c>
      <c r="I35" s="1011">
        <v>106</v>
      </c>
      <c r="J35" s="644">
        <v>209</v>
      </c>
      <c r="K35" s="1011">
        <v>50</v>
      </c>
      <c r="L35" s="1011">
        <v>45</v>
      </c>
      <c r="M35" s="644">
        <v>95</v>
      </c>
      <c r="N35" s="1011">
        <v>171</v>
      </c>
      <c r="O35" s="1011">
        <v>218</v>
      </c>
      <c r="P35" s="1011">
        <v>389</v>
      </c>
      <c r="Q35" s="222"/>
    </row>
    <row r="36" spans="1:19" ht="20.25" customHeight="1" x14ac:dyDescent="0.35">
      <c r="A36" s="221" t="s">
        <v>42</v>
      </c>
      <c r="B36" s="1011">
        <v>54</v>
      </c>
      <c r="C36" s="1011">
        <v>18</v>
      </c>
      <c r="D36" s="644">
        <v>72</v>
      </c>
      <c r="E36" s="1011">
        <v>196</v>
      </c>
      <c r="F36" s="1011">
        <v>75</v>
      </c>
      <c r="G36" s="644">
        <v>271</v>
      </c>
      <c r="H36" s="1011">
        <v>1166</v>
      </c>
      <c r="I36" s="1011">
        <v>1581</v>
      </c>
      <c r="J36" s="644">
        <v>2747</v>
      </c>
      <c r="K36" s="1011">
        <v>657</v>
      </c>
      <c r="L36" s="1011">
        <v>468</v>
      </c>
      <c r="M36" s="644">
        <v>1125</v>
      </c>
      <c r="N36" s="1011">
        <v>2073</v>
      </c>
      <c r="O36" s="1011">
        <v>2142</v>
      </c>
      <c r="P36" s="1011">
        <v>4215</v>
      </c>
      <c r="Q36" s="222"/>
    </row>
    <row r="37" spans="1:19" ht="20.25" customHeight="1" x14ac:dyDescent="0.35">
      <c r="A37" s="221" t="s">
        <v>43</v>
      </c>
      <c r="B37" s="1011">
        <v>8288</v>
      </c>
      <c r="C37" s="1011">
        <v>5073</v>
      </c>
      <c r="D37" s="644">
        <v>13361</v>
      </c>
      <c r="E37" s="1011">
        <v>15883</v>
      </c>
      <c r="F37" s="1011">
        <v>11968</v>
      </c>
      <c r="G37" s="644">
        <v>27851</v>
      </c>
      <c r="H37" s="1011">
        <v>42730</v>
      </c>
      <c r="I37" s="1011">
        <v>18590</v>
      </c>
      <c r="J37" s="644">
        <v>61320</v>
      </c>
      <c r="K37" s="1011">
        <v>29400</v>
      </c>
      <c r="L37" s="1011">
        <v>13502</v>
      </c>
      <c r="M37" s="644">
        <v>42902</v>
      </c>
      <c r="N37" s="1011">
        <v>96301</v>
      </c>
      <c r="O37" s="1011">
        <v>49133</v>
      </c>
      <c r="P37" s="1011">
        <v>145434</v>
      </c>
      <c r="Q37" s="222"/>
    </row>
    <row r="38" spans="1:19" ht="20.25" customHeight="1" x14ac:dyDescent="0.35">
      <c r="A38" s="221" t="s">
        <v>44</v>
      </c>
      <c r="B38" s="1011">
        <v>724</v>
      </c>
      <c r="C38" s="1011">
        <v>321</v>
      </c>
      <c r="D38" s="644">
        <v>1045</v>
      </c>
      <c r="E38" s="1011">
        <v>3634</v>
      </c>
      <c r="F38" s="1011">
        <v>2563</v>
      </c>
      <c r="G38" s="644">
        <v>6197</v>
      </c>
      <c r="H38" s="1011">
        <v>6388</v>
      </c>
      <c r="I38" s="1011">
        <v>3824</v>
      </c>
      <c r="J38" s="644">
        <v>10212</v>
      </c>
      <c r="K38" s="1011">
        <v>4792</v>
      </c>
      <c r="L38" s="1011">
        <v>2549</v>
      </c>
      <c r="M38" s="644">
        <v>7341</v>
      </c>
      <c r="N38" s="1011">
        <v>15538</v>
      </c>
      <c r="O38" s="1011">
        <v>9257</v>
      </c>
      <c r="P38" s="1011">
        <v>24795</v>
      </c>
      <c r="Q38" s="222"/>
    </row>
    <row r="39" spans="1:19" ht="20.25" customHeight="1" x14ac:dyDescent="0.35">
      <c r="A39" s="221" t="s">
        <v>45</v>
      </c>
      <c r="B39" s="1011">
        <v>2437</v>
      </c>
      <c r="C39" s="1011">
        <v>1152</v>
      </c>
      <c r="D39" s="644">
        <v>3589</v>
      </c>
      <c r="E39" s="1011">
        <v>4731</v>
      </c>
      <c r="F39" s="1011">
        <v>2738</v>
      </c>
      <c r="G39" s="644">
        <v>7469</v>
      </c>
      <c r="H39" s="1011">
        <v>9077</v>
      </c>
      <c r="I39" s="1011">
        <v>3449</v>
      </c>
      <c r="J39" s="644">
        <v>12526</v>
      </c>
      <c r="K39" s="1011">
        <v>12838</v>
      </c>
      <c r="L39" s="1011">
        <v>5943</v>
      </c>
      <c r="M39" s="644">
        <v>18781</v>
      </c>
      <c r="N39" s="1011">
        <v>29083</v>
      </c>
      <c r="O39" s="1011">
        <v>13282</v>
      </c>
      <c r="P39" s="1011">
        <v>42365</v>
      </c>
      <c r="Q39" s="222"/>
    </row>
    <row r="40" spans="1:19" s="46" customFormat="1" ht="20.25" customHeight="1" x14ac:dyDescent="0.35">
      <c r="A40" s="224" t="s">
        <v>46</v>
      </c>
      <c r="B40" s="1012">
        <v>103366</v>
      </c>
      <c r="C40" s="1012">
        <v>89918</v>
      </c>
      <c r="D40" s="1012">
        <v>193284</v>
      </c>
      <c r="E40" s="1012">
        <v>139381</v>
      </c>
      <c r="F40" s="1012">
        <v>123232</v>
      </c>
      <c r="G40" s="1012">
        <v>262613</v>
      </c>
      <c r="H40" s="1012">
        <v>341073</v>
      </c>
      <c r="I40" s="1012">
        <v>224439</v>
      </c>
      <c r="J40" s="1012">
        <v>565512</v>
      </c>
      <c r="K40" s="1012">
        <v>247684</v>
      </c>
      <c r="L40" s="1012">
        <v>153926</v>
      </c>
      <c r="M40" s="1012">
        <v>401610</v>
      </c>
      <c r="N40" s="1012">
        <v>831504</v>
      </c>
      <c r="O40" s="1012">
        <v>591515</v>
      </c>
      <c r="P40" s="1012">
        <v>1423019</v>
      </c>
      <c r="Q40" s="225"/>
      <c r="S40" s="223"/>
    </row>
  </sheetData>
  <mergeCells count="8">
    <mergeCell ref="B1:J1"/>
    <mergeCell ref="K1:P1"/>
    <mergeCell ref="A2:A3"/>
    <mergeCell ref="B2:D2"/>
    <mergeCell ref="E2:G2"/>
    <mergeCell ref="H2:J2"/>
    <mergeCell ref="K2:M2"/>
    <mergeCell ref="N2:P2"/>
  </mergeCells>
  <pageMargins left="0.59055118110236227" right="0.35433070866141736" top="0.39370078740157483" bottom="0.39370078740157483" header="0.31496062992125984" footer="0.19685039370078741"/>
  <pageSetup paperSize="9" scale="85" firstPageNumber="79" orientation="portrait" r:id="rId1"/>
  <headerFooter>
    <oddFooter>&amp;L&amp;"Arial,Italic"&amp;9AISHE 2022-23&amp;RT-23</oddFooter>
  </headerFooter>
  <colBreaks count="1" manualBreakCount="1">
    <brk id="10" max="39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4C83-0672-4E79-AA8A-5E2AF10FF223}">
  <sheetPr codeName="Sheet35">
    <tabColor rgb="FF92D050"/>
  </sheetPr>
  <dimension ref="A1:AL40"/>
  <sheetViews>
    <sheetView view="pageBreakPreview" topLeftCell="J1" zoomScaleSheetLayoutView="100" workbookViewId="0">
      <selection activeCell="T3" sqref="T3"/>
    </sheetView>
  </sheetViews>
  <sheetFormatPr defaultColWidth="9.26953125" defaultRowHeight="14" x14ac:dyDescent="0.3"/>
  <cols>
    <col min="1" max="1" width="5.7265625" style="47" bestFit="1" customWidth="1"/>
    <col min="2" max="2" width="19.7265625" style="47" customWidth="1"/>
    <col min="3" max="4" width="9" style="47" bestFit="1" customWidth="1"/>
    <col min="5" max="5" width="10" style="47" bestFit="1" customWidth="1"/>
    <col min="6" max="6" width="9" style="47" bestFit="1" customWidth="1"/>
    <col min="7" max="7" width="7.453125" style="47" bestFit="1" customWidth="1"/>
    <col min="8" max="8" width="9" style="47" bestFit="1" customWidth="1"/>
    <col min="9" max="11" width="7.453125" style="47" bestFit="1" customWidth="1"/>
    <col min="12" max="14" width="9" style="47" bestFit="1" customWidth="1"/>
    <col min="15" max="15" width="6.453125" style="47" bestFit="1" customWidth="1"/>
    <col min="16" max="16" width="7.08984375" style="47" bestFit="1" customWidth="1"/>
    <col min="17" max="17" width="6.453125" style="47" bestFit="1" customWidth="1"/>
    <col min="18" max="23" width="7.453125" style="47" bestFit="1" customWidth="1"/>
    <col min="24" max="24" width="6.453125" style="47" bestFit="1" customWidth="1"/>
    <col min="25" max="25" width="7.08984375" style="47" bestFit="1" customWidth="1"/>
    <col min="26" max="26" width="6.453125" style="47" bestFit="1" customWidth="1"/>
    <col min="27" max="16384" width="9.26953125" style="47"/>
  </cols>
  <sheetData>
    <row r="1" spans="1:38" s="66" customFormat="1" ht="37.5" customHeight="1" x14ac:dyDescent="0.35">
      <c r="A1" s="617"/>
      <c r="B1" s="583" t="s">
        <v>773</v>
      </c>
      <c r="C1" s="872" t="s">
        <v>1062</v>
      </c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  <c r="O1" s="872" t="s">
        <v>1063</v>
      </c>
      <c r="P1" s="873"/>
      <c r="Q1" s="873"/>
      <c r="R1" s="873"/>
      <c r="S1" s="873"/>
      <c r="T1" s="873"/>
      <c r="U1" s="873"/>
      <c r="V1" s="873"/>
      <c r="W1" s="873"/>
      <c r="X1" s="873"/>
      <c r="Y1" s="873"/>
      <c r="Z1" s="873"/>
      <c r="AA1" s="872"/>
      <c r="AB1" s="873"/>
      <c r="AC1" s="873"/>
      <c r="AD1" s="873"/>
      <c r="AE1" s="873"/>
      <c r="AF1" s="873"/>
      <c r="AG1" s="873"/>
      <c r="AH1" s="873"/>
      <c r="AI1" s="873"/>
      <c r="AJ1" s="873"/>
      <c r="AK1" s="873"/>
      <c r="AL1" s="873"/>
    </row>
    <row r="2" spans="1:38" s="226" customFormat="1" ht="21.75" customHeight="1" x14ac:dyDescent="0.3">
      <c r="A2" s="874" t="s">
        <v>1030</v>
      </c>
      <c r="B2" s="874" t="s">
        <v>1005</v>
      </c>
      <c r="C2" s="874" t="s">
        <v>565</v>
      </c>
      <c r="D2" s="874"/>
      <c r="E2" s="874"/>
      <c r="F2" s="874" t="s">
        <v>747</v>
      </c>
      <c r="G2" s="874"/>
      <c r="H2" s="874"/>
      <c r="I2" s="874" t="s">
        <v>748</v>
      </c>
      <c r="J2" s="874"/>
      <c r="K2" s="874"/>
      <c r="L2" s="874" t="s">
        <v>756</v>
      </c>
      <c r="M2" s="874"/>
      <c r="N2" s="874"/>
      <c r="O2" s="874" t="s">
        <v>757</v>
      </c>
      <c r="P2" s="874"/>
      <c r="Q2" s="874"/>
      <c r="R2" s="874" t="s">
        <v>122</v>
      </c>
      <c r="S2" s="874"/>
      <c r="T2" s="874"/>
      <c r="U2" s="874" t="s">
        <v>123</v>
      </c>
      <c r="V2" s="874"/>
      <c r="W2" s="874"/>
      <c r="X2" s="874" t="s">
        <v>124</v>
      </c>
      <c r="Y2" s="874"/>
      <c r="Z2" s="874"/>
    </row>
    <row r="3" spans="1:38" s="226" customFormat="1" ht="30" customHeight="1" x14ac:dyDescent="0.3">
      <c r="A3" s="874"/>
      <c r="B3" s="874"/>
      <c r="C3" s="82" t="s">
        <v>93</v>
      </c>
      <c r="D3" s="82" t="s">
        <v>94</v>
      </c>
      <c r="E3" s="82" t="s">
        <v>54</v>
      </c>
      <c r="F3" s="82" t="s">
        <v>93</v>
      </c>
      <c r="G3" s="82" t="s">
        <v>94</v>
      </c>
      <c r="H3" s="82" t="s">
        <v>54</v>
      </c>
      <c r="I3" s="82" t="s">
        <v>93</v>
      </c>
      <c r="J3" s="82" t="s">
        <v>94</v>
      </c>
      <c r="K3" s="82" t="s">
        <v>54</v>
      </c>
      <c r="L3" s="82" t="s">
        <v>93</v>
      </c>
      <c r="M3" s="82" t="s">
        <v>94</v>
      </c>
      <c r="N3" s="82" t="s">
        <v>54</v>
      </c>
      <c r="O3" s="82" t="s">
        <v>93</v>
      </c>
      <c r="P3" s="82" t="s">
        <v>94</v>
      </c>
      <c r="Q3" s="82" t="s">
        <v>54</v>
      </c>
      <c r="R3" s="82" t="s">
        <v>93</v>
      </c>
      <c r="S3" s="82" t="s">
        <v>94</v>
      </c>
      <c r="T3" s="82" t="s">
        <v>54</v>
      </c>
      <c r="U3" s="82" t="s">
        <v>93</v>
      </c>
      <c r="V3" s="82" t="s">
        <v>94</v>
      </c>
      <c r="W3" s="82" t="s">
        <v>54</v>
      </c>
      <c r="X3" s="82" t="s">
        <v>93</v>
      </c>
      <c r="Y3" s="82" t="s">
        <v>94</v>
      </c>
      <c r="Z3" s="82" t="s">
        <v>54</v>
      </c>
    </row>
    <row r="4" spans="1:38" ht="25.5" customHeight="1" x14ac:dyDescent="0.3">
      <c r="A4" s="618">
        <v>1</v>
      </c>
      <c r="B4" s="221" t="s">
        <v>58</v>
      </c>
      <c r="C4" s="644">
        <v>19</v>
      </c>
      <c r="D4" s="644">
        <v>34</v>
      </c>
      <c r="E4" s="644">
        <v>53</v>
      </c>
      <c r="F4" s="644">
        <v>0</v>
      </c>
      <c r="G4" s="644">
        <v>0</v>
      </c>
      <c r="H4" s="644">
        <v>0</v>
      </c>
      <c r="I4" s="644">
        <v>0</v>
      </c>
      <c r="J4" s="644">
        <v>0</v>
      </c>
      <c r="K4" s="644">
        <v>0</v>
      </c>
      <c r="L4" s="644">
        <v>2</v>
      </c>
      <c r="M4" s="644">
        <v>4</v>
      </c>
      <c r="N4" s="644">
        <v>6</v>
      </c>
      <c r="O4" s="644">
        <v>1</v>
      </c>
      <c r="P4" s="644">
        <v>0</v>
      </c>
      <c r="Q4" s="644">
        <v>1</v>
      </c>
      <c r="R4" s="644">
        <v>1</v>
      </c>
      <c r="S4" s="644">
        <v>3</v>
      </c>
      <c r="T4" s="644">
        <v>4</v>
      </c>
      <c r="U4" s="644">
        <v>0</v>
      </c>
      <c r="V4" s="644">
        <v>1</v>
      </c>
      <c r="W4" s="644">
        <v>1</v>
      </c>
      <c r="X4" s="644">
        <v>0</v>
      </c>
      <c r="Y4" s="644">
        <v>0</v>
      </c>
      <c r="Z4" s="644">
        <v>0</v>
      </c>
    </row>
    <row r="5" spans="1:38" ht="29.25" customHeight="1" x14ac:dyDescent="0.3">
      <c r="A5" s="618">
        <v>2</v>
      </c>
      <c r="B5" s="221" t="s">
        <v>13</v>
      </c>
      <c r="C5" s="644">
        <v>37623</v>
      </c>
      <c r="D5" s="644">
        <v>36318</v>
      </c>
      <c r="E5" s="644">
        <v>73941</v>
      </c>
      <c r="F5" s="644">
        <v>6944</v>
      </c>
      <c r="G5" s="644">
        <v>9476</v>
      </c>
      <c r="H5" s="644">
        <v>16420</v>
      </c>
      <c r="I5" s="644">
        <v>1575</v>
      </c>
      <c r="J5" s="644">
        <v>2163</v>
      </c>
      <c r="K5" s="644">
        <v>3738</v>
      </c>
      <c r="L5" s="644">
        <v>14017</v>
      </c>
      <c r="M5" s="644">
        <v>11268</v>
      </c>
      <c r="N5" s="644">
        <v>25285</v>
      </c>
      <c r="O5" s="644">
        <v>120</v>
      </c>
      <c r="P5" s="644">
        <v>101</v>
      </c>
      <c r="Q5" s="644">
        <v>221</v>
      </c>
      <c r="R5" s="644">
        <v>924</v>
      </c>
      <c r="S5" s="644">
        <v>779</v>
      </c>
      <c r="T5" s="644">
        <v>1703</v>
      </c>
      <c r="U5" s="644">
        <v>395</v>
      </c>
      <c r="V5" s="644">
        <v>547</v>
      </c>
      <c r="W5" s="644">
        <v>942</v>
      </c>
      <c r="X5" s="644">
        <v>298</v>
      </c>
      <c r="Y5" s="644">
        <v>188</v>
      </c>
      <c r="Z5" s="644">
        <v>486</v>
      </c>
    </row>
    <row r="6" spans="1:38" ht="29.25" customHeight="1" x14ac:dyDescent="0.3">
      <c r="A6" s="618">
        <v>3</v>
      </c>
      <c r="B6" s="221" t="s">
        <v>14</v>
      </c>
      <c r="C6" s="644">
        <v>1501</v>
      </c>
      <c r="D6" s="644">
        <v>1540</v>
      </c>
      <c r="E6" s="644">
        <v>3041</v>
      </c>
      <c r="F6" s="644">
        <v>58</v>
      </c>
      <c r="G6" s="644">
        <v>24</v>
      </c>
      <c r="H6" s="644">
        <v>82</v>
      </c>
      <c r="I6" s="644">
        <v>803</v>
      </c>
      <c r="J6" s="644">
        <v>1260</v>
      </c>
      <c r="K6" s="644">
        <v>2063</v>
      </c>
      <c r="L6" s="644">
        <v>153</v>
      </c>
      <c r="M6" s="644">
        <v>58</v>
      </c>
      <c r="N6" s="644">
        <v>211</v>
      </c>
      <c r="O6" s="644">
        <v>1</v>
      </c>
      <c r="P6" s="644">
        <v>4</v>
      </c>
      <c r="Q6" s="644">
        <v>5</v>
      </c>
      <c r="R6" s="644">
        <v>14</v>
      </c>
      <c r="S6" s="644">
        <v>1</v>
      </c>
      <c r="T6" s="644">
        <v>15</v>
      </c>
      <c r="U6" s="644">
        <v>51</v>
      </c>
      <c r="V6" s="644">
        <v>147</v>
      </c>
      <c r="W6" s="644">
        <v>198</v>
      </c>
      <c r="X6" s="644">
        <v>3</v>
      </c>
      <c r="Y6" s="644">
        <v>0</v>
      </c>
      <c r="Z6" s="644">
        <v>3</v>
      </c>
    </row>
    <row r="7" spans="1:38" ht="29.25" customHeight="1" x14ac:dyDescent="0.3">
      <c r="A7" s="618">
        <v>4</v>
      </c>
      <c r="B7" s="221" t="s">
        <v>15</v>
      </c>
      <c r="C7" s="644">
        <v>15735</v>
      </c>
      <c r="D7" s="644">
        <v>7610</v>
      </c>
      <c r="E7" s="644">
        <v>23345</v>
      </c>
      <c r="F7" s="644">
        <v>1304</v>
      </c>
      <c r="G7" s="644">
        <v>716</v>
      </c>
      <c r="H7" s="644">
        <v>2020</v>
      </c>
      <c r="I7" s="644">
        <v>1902</v>
      </c>
      <c r="J7" s="644">
        <v>1141</v>
      </c>
      <c r="K7" s="644">
        <v>3043</v>
      </c>
      <c r="L7" s="644">
        <v>3783</v>
      </c>
      <c r="M7" s="644">
        <v>1856</v>
      </c>
      <c r="N7" s="644">
        <v>5639</v>
      </c>
      <c r="O7" s="644">
        <v>49</v>
      </c>
      <c r="P7" s="644">
        <v>14</v>
      </c>
      <c r="Q7" s="644">
        <v>63</v>
      </c>
      <c r="R7" s="644">
        <v>985</v>
      </c>
      <c r="S7" s="644">
        <v>462</v>
      </c>
      <c r="T7" s="644">
        <v>1447</v>
      </c>
      <c r="U7" s="644">
        <v>165</v>
      </c>
      <c r="V7" s="644">
        <v>204</v>
      </c>
      <c r="W7" s="644">
        <v>369</v>
      </c>
      <c r="X7" s="644">
        <v>116</v>
      </c>
      <c r="Y7" s="644">
        <v>73</v>
      </c>
      <c r="Z7" s="644">
        <v>189</v>
      </c>
    </row>
    <row r="8" spans="1:38" ht="29.25" customHeight="1" x14ac:dyDescent="0.3">
      <c r="A8" s="618">
        <v>5</v>
      </c>
      <c r="B8" s="221" t="s">
        <v>16</v>
      </c>
      <c r="C8" s="644">
        <v>28740</v>
      </c>
      <c r="D8" s="644">
        <v>11379</v>
      </c>
      <c r="E8" s="644">
        <v>40119</v>
      </c>
      <c r="F8" s="644">
        <v>2537</v>
      </c>
      <c r="G8" s="644">
        <v>1353</v>
      </c>
      <c r="H8" s="644">
        <v>3890</v>
      </c>
      <c r="I8" s="644">
        <v>345</v>
      </c>
      <c r="J8" s="644">
        <v>336</v>
      </c>
      <c r="K8" s="644">
        <v>681</v>
      </c>
      <c r="L8" s="644">
        <v>10272</v>
      </c>
      <c r="M8" s="644">
        <v>3549</v>
      </c>
      <c r="N8" s="644">
        <v>13821</v>
      </c>
      <c r="O8" s="644">
        <v>53</v>
      </c>
      <c r="P8" s="644">
        <v>20</v>
      </c>
      <c r="Q8" s="644">
        <v>73</v>
      </c>
      <c r="R8" s="644">
        <v>1195</v>
      </c>
      <c r="S8" s="644">
        <v>303</v>
      </c>
      <c r="T8" s="644">
        <v>1498</v>
      </c>
      <c r="U8" s="644">
        <v>205</v>
      </c>
      <c r="V8" s="644">
        <v>150</v>
      </c>
      <c r="W8" s="644">
        <v>355</v>
      </c>
      <c r="X8" s="644">
        <v>206</v>
      </c>
      <c r="Y8" s="644">
        <v>142</v>
      </c>
      <c r="Z8" s="644">
        <v>348</v>
      </c>
    </row>
    <row r="9" spans="1:38" ht="29.25" customHeight="1" x14ac:dyDescent="0.3">
      <c r="A9" s="618">
        <v>6</v>
      </c>
      <c r="B9" s="221" t="s">
        <v>17</v>
      </c>
      <c r="C9" s="644">
        <v>4289</v>
      </c>
      <c r="D9" s="644">
        <v>2116</v>
      </c>
      <c r="E9" s="644">
        <v>6405</v>
      </c>
      <c r="F9" s="644">
        <v>979</v>
      </c>
      <c r="G9" s="644">
        <v>364</v>
      </c>
      <c r="H9" s="644">
        <v>1343</v>
      </c>
      <c r="I9" s="644">
        <v>24</v>
      </c>
      <c r="J9" s="644">
        <v>9</v>
      </c>
      <c r="K9" s="644">
        <v>33</v>
      </c>
      <c r="L9" s="644">
        <v>237</v>
      </c>
      <c r="M9" s="644">
        <v>202</v>
      </c>
      <c r="N9" s="644">
        <v>439</v>
      </c>
      <c r="O9" s="644">
        <v>33</v>
      </c>
      <c r="P9" s="644">
        <v>36</v>
      </c>
      <c r="Q9" s="644">
        <v>69</v>
      </c>
      <c r="R9" s="644">
        <v>6</v>
      </c>
      <c r="S9" s="644">
        <v>7</v>
      </c>
      <c r="T9" s="644">
        <v>13</v>
      </c>
      <c r="U9" s="644">
        <v>106</v>
      </c>
      <c r="V9" s="644">
        <v>218</v>
      </c>
      <c r="W9" s="644">
        <v>324</v>
      </c>
      <c r="X9" s="644">
        <v>10</v>
      </c>
      <c r="Y9" s="644">
        <v>6</v>
      </c>
      <c r="Z9" s="644">
        <v>16</v>
      </c>
    </row>
    <row r="10" spans="1:38" ht="29.25" customHeight="1" x14ac:dyDescent="0.3">
      <c r="A10" s="618">
        <v>7</v>
      </c>
      <c r="B10" s="221" t="s">
        <v>18</v>
      </c>
      <c r="C10" s="644">
        <v>12294</v>
      </c>
      <c r="D10" s="644">
        <v>8940</v>
      </c>
      <c r="E10" s="644">
        <v>21234</v>
      </c>
      <c r="F10" s="644">
        <v>1580</v>
      </c>
      <c r="G10" s="644">
        <v>1328</v>
      </c>
      <c r="H10" s="644">
        <v>2908</v>
      </c>
      <c r="I10" s="644">
        <v>1683</v>
      </c>
      <c r="J10" s="644">
        <v>1317</v>
      </c>
      <c r="K10" s="644">
        <v>3000</v>
      </c>
      <c r="L10" s="644">
        <v>4261</v>
      </c>
      <c r="M10" s="644">
        <v>2844</v>
      </c>
      <c r="N10" s="644">
        <v>7105</v>
      </c>
      <c r="O10" s="644">
        <v>40</v>
      </c>
      <c r="P10" s="644">
        <v>27</v>
      </c>
      <c r="Q10" s="644">
        <v>67</v>
      </c>
      <c r="R10" s="644">
        <v>144</v>
      </c>
      <c r="S10" s="644">
        <v>78</v>
      </c>
      <c r="T10" s="644">
        <v>222</v>
      </c>
      <c r="U10" s="644">
        <v>151</v>
      </c>
      <c r="V10" s="644">
        <v>276</v>
      </c>
      <c r="W10" s="644">
        <v>427</v>
      </c>
      <c r="X10" s="644">
        <v>112</v>
      </c>
      <c r="Y10" s="644">
        <v>42</v>
      </c>
      <c r="Z10" s="644">
        <v>154</v>
      </c>
    </row>
    <row r="11" spans="1:38" ht="29.25" customHeight="1" x14ac:dyDescent="0.3">
      <c r="A11" s="618">
        <v>8</v>
      </c>
      <c r="B11" s="221" t="s">
        <v>19</v>
      </c>
      <c r="C11" s="644">
        <v>20683</v>
      </c>
      <c r="D11" s="632">
        <v>10467</v>
      </c>
      <c r="E11" s="644">
        <v>31150</v>
      </c>
      <c r="F11" s="644">
        <v>4006</v>
      </c>
      <c r="G11" s="644">
        <v>1996</v>
      </c>
      <c r="H11" s="644">
        <v>6002</v>
      </c>
      <c r="I11" s="644">
        <v>744</v>
      </c>
      <c r="J11" s="644">
        <v>571</v>
      </c>
      <c r="K11" s="644">
        <v>1315</v>
      </c>
      <c r="L11" s="644">
        <v>3427</v>
      </c>
      <c r="M11" s="644">
        <v>1855</v>
      </c>
      <c r="N11" s="644">
        <v>5282</v>
      </c>
      <c r="O11" s="644">
        <v>246</v>
      </c>
      <c r="P11" s="644">
        <v>87</v>
      </c>
      <c r="Q11" s="644">
        <v>333</v>
      </c>
      <c r="R11" s="644">
        <v>1014</v>
      </c>
      <c r="S11" s="644">
        <v>136</v>
      </c>
      <c r="T11" s="644">
        <v>1150</v>
      </c>
      <c r="U11" s="644">
        <v>290</v>
      </c>
      <c r="V11" s="644">
        <v>190</v>
      </c>
      <c r="W11" s="644">
        <v>480</v>
      </c>
      <c r="X11" s="644">
        <v>80</v>
      </c>
      <c r="Y11" s="644">
        <v>165</v>
      </c>
      <c r="Z11" s="644">
        <v>245</v>
      </c>
    </row>
    <row r="12" spans="1:38" ht="29.25" customHeight="1" x14ac:dyDescent="0.3">
      <c r="A12" s="618">
        <v>9</v>
      </c>
      <c r="B12" s="221" t="s">
        <v>20</v>
      </c>
      <c r="C12" s="644">
        <v>2648</v>
      </c>
      <c r="D12" s="644">
        <v>2871</v>
      </c>
      <c r="E12" s="644">
        <v>5519</v>
      </c>
      <c r="F12" s="644">
        <v>75</v>
      </c>
      <c r="G12" s="644">
        <v>48</v>
      </c>
      <c r="H12" s="644">
        <v>123</v>
      </c>
      <c r="I12" s="644">
        <v>227</v>
      </c>
      <c r="J12" s="644">
        <v>267</v>
      </c>
      <c r="K12" s="644">
        <v>494</v>
      </c>
      <c r="L12" s="644">
        <v>365</v>
      </c>
      <c r="M12" s="644">
        <v>523</v>
      </c>
      <c r="N12" s="644">
        <v>888</v>
      </c>
      <c r="O12" s="644">
        <v>45</v>
      </c>
      <c r="P12" s="644">
        <v>21</v>
      </c>
      <c r="Q12" s="644">
        <v>66</v>
      </c>
      <c r="R12" s="644">
        <v>32</v>
      </c>
      <c r="S12" s="644">
        <v>43</v>
      </c>
      <c r="T12" s="644">
        <v>75</v>
      </c>
      <c r="U12" s="644">
        <v>166</v>
      </c>
      <c r="V12" s="644">
        <v>582</v>
      </c>
      <c r="W12" s="644">
        <v>748</v>
      </c>
      <c r="X12" s="644">
        <v>36</v>
      </c>
      <c r="Y12" s="644">
        <v>14</v>
      </c>
      <c r="Z12" s="644">
        <v>50</v>
      </c>
    </row>
    <row r="13" spans="1:38" ht="29.25" customHeight="1" x14ac:dyDescent="0.3">
      <c r="A13" s="618">
        <v>10</v>
      </c>
      <c r="B13" s="221" t="s">
        <v>21</v>
      </c>
      <c r="C13" s="644">
        <v>29320</v>
      </c>
      <c r="D13" s="644">
        <v>17607</v>
      </c>
      <c r="E13" s="644">
        <v>46927</v>
      </c>
      <c r="F13" s="644">
        <v>4130</v>
      </c>
      <c r="G13" s="644">
        <v>2890</v>
      </c>
      <c r="H13" s="644">
        <v>7020</v>
      </c>
      <c r="I13" s="644">
        <v>3027</v>
      </c>
      <c r="J13" s="644">
        <v>2069</v>
      </c>
      <c r="K13" s="644">
        <v>5096</v>
      </c>
      <c r="L13" s="644">
        <v>6797</v>
      </c>
      <c r="M13" s="644">
        <v>3579</v>
      </c>
      <c r="N13" s="644">
        <v>10376</v>
      </c>
      <c r="O13" s="644">
        <v>97</v>
      </c>
      <c r="P13" s="644">
        <v>44</v>
      </c>
      <c r="Q13" s="644">
        <v>141</v>
      </c>
      <c r="R13" s="644">
        <v>255</v>
      </c>
      <c r="S13" s="644">
        <v>155</v>
      </c>
      <c r="T13" s="644">
        <v>410</v>
      </c>
      <c r="U13" s="644">
        <v>122</v>
      </c>
      <c r="V13" s="644">
        <v>204</v>
      </c>
      <c r="W13" s="644">
        <v>326</v>
      </c>
      <c r="X13" s="644">
        <v>183</v>
      </c>
      <c r="Y13" s="644">
        <v>100</v>
      </c>
      <c r="Z13" s="644">
        <v>283</v>
      </c>
    </row>
    <row r="14" spans="1:38" ht="29.25" customHeight="1" x14ac:dyDescent="0.3">
      <c r="A14" s="618">
        <v>11</v>
      </c>
      <c r="B14" s="221" t="s">
        <v>22</v>
      </c>
      <c r="C14" s="644">
        <v>29212</v>
      </c>
      <c r="D14" s="644">
        <v>14104</v>
      </c>
      <c r="E14" s="644">
        <v>43316</v>
      </c>
      <c r="F14" s="644">
        <v>4892</v>
      </c>
      <c r="G14" s="644">
        <v>2814</v>
      </c>
      <c r="H14" s="644">
        <v>7706</v>
      </c>
      <c r="I14" s="644">
        <v>158</v>
      </c>
      <c r="J14" s="644">
        <v>125</v>
      </c>
      <c r="K14" s="644">
        <v>283</v>
      </c>
      <c r="L14" s="644">
        <v>5002</v>
      </c>
      <c r="M14" s="644">
        <v>2081</v>
      </c>
      <c r="N14" s="644">
        <v>7083</v>
      </c>
      <c r="O14" s="644">
        <v>199</v>
      </c>
      <c r="P14" s="644">
        <v>61</v>
      </c>
      <c r="Q14" s="644">
        <v>260</v>
      </c>
      <c r="R14" s="644">
        <v>255</v>
      </c>
      <c r="S14" s="644">
        <v>88</v>
      </c>
      <c r="T14" s="644">
        <v>343</v>
      </c>
      <c r="U14" s="644">
        <v>127</v>
      </c>
      <c r="V14" s="644">
        <v>89</v>
      </c>
      <c r="W14" s="644">
        <v>216</v>
      </c>
      <c r="X14" s="644">
        <v>191</v>
      </c>
      <c r="Y14" s="644">
        <v>93</v>
      </c>
      <c r="Z14" s="644">
        <v>284</v>
      </c>
    </row>
    <row r="15" spans="1:38" ht="29.25" customHeight="1" x14ac:dyDescent="0.3">
      <c r="A15" s="618">
        <v>12</v>
      </c>
      <c r="B15" s="221" t="s">
        <v>23</v>
      </c>
      <c r="C15" s="644">
        <v>9047</v>
      </c>
      <c r="D15" s="644">
        <v>5110</v>
      </c>
      <c r="E15" s="644">
        <v>14157</v>
      </c>
      <c r="F15" s="644">
        <v>1396</v>
      </c>
      <c r="G15" s="644">
        <v>1143</v>
      </c>
      <c r="H15" s="644">
        <v>2539</v>
      </c>
      <c r="I15" s="644">
        <v>301</v>
      </c>
      <c r="J15" s="644">
        <v>196</v>
      </c>
      <c r="K15" s="644">
        <v>497</v>
      </c>
      <c r="L15" s="644">
        <v>853</v>
      </c>
      <c r="M15" s="644">
        <v>490</v>
      </c>
      <c r="N15" s="644">
        <v>1343</v>
      </c>
      <c r="O15" s="644">
        <v>49</v>
      </c>
      <c r="P15" s="644">
        <v>18</v>
      </c>
      <c r="Q15" s="644">
        <v>67</v>
      </c>
      <c r="R15" s="644">
        <v>15</v>
      </c>
      <c r="S15" s="644">
        <v>12</v>
      </c>
      <c r="T15" s="644">
        <v>27</v>
      </c>
      <c r="U15" s="644">
        <v>27</v>
      </c>
      <c r="V15" s="644">
        <v>9</v>
      </c>
      <c r="W15" s="644">
        <v>36</v>
      </c>
      <c r="X15" s="644">
        <v>31</v>
      </c>
      <c r="Y15" s="644">
        <v>26</v>
      </c>
      <c r="Z15" s="644">
        <v>57</v>
      </c>
    </row>
    <row r="16" spans="1:38" ht="29.25" customHeight="1" x14ac:dyDescent="0.3">
      <c r="A16" s="618">
        <v>13</v>
      </c>
      <c r="B16" s="221" t="s">
        <v>24</v>
      </c>
      <c r="C16" s="644">
        <v>12113</v>
      </c>
      <c r="D16" s="644">
        <v>5419</v>
      </c>
      <c r="E16" s="644">
        <v>17532</v>
      </c>
      <c r="F16" s="644">
        <v>880</v>
      </c>
      <c r="G16" s="644">
        <v>431</v>
      </c>
      <c r="H16" s="644">
        <v>1311</v>
      </c>
      <c r="I16" s="644">
        <v>371</v>
      </c>
      <c r="J16" s="644">
        <v>130</v>
      </c>
      <c r="K16" s="644">
        <v>501</v>
      </c>
      <c r="L16" s="644">
        <v>408</v>
      </c>
      <c r="M16" s="644">
        <v>219</v>
      </c>
      <c r="N16" s="644">
        <v>627</v>
      </c>
      <c r="O16" s="644">
        <v>13</v>
      </c>
      <c r="P16" s="644">
        <v>10</v>
      </c>
      <c r="Q16" s="644">
        <v>23</v>
      </c>
      <c r="R16" s="644">
        <v>5044</v>
      </c>
      <c r="S16" s="644">
        <v>1905</v>
      </c>
      <c r="T16" s="644">
        <v>6949</v>
      </c>
      <c r="U16" s="644">
        <v>251</v>
      </c>
      <c r="V16" s="644">
        <v>142</v>
      </c>
      <c r="W16" s="644">
        <v>393</v>
      </c>
      <c r="X16" s="644">
        <v>16</v>
      </c>
      <c r="Y16" s="644">
        <v>14</v>
      </c>
      <c r="Z16" s="644">
        <v>30</v>
      </c>
    </row>
    <row r="17" spans="1:26" ht="29.25" customHeight="1" x14ac:dyDescent="0.3">
      <c r="A17" s="618">
        <v>14</v>
      </c>
      <c r="B17" s="221" t="s">
        <v>25</v>
      </c>
      <c r="C17" s="644">
        <v>10794</v>
      </c>
      <c r="D17" s="644">
        <v>5821</v>
      </c>
      <c r="E17" s="644">
        <v>16615</v>
      </c>
      <c r="F17" s="644">
        <v>1290</v>
      </c>
      <c r="G17" s="644">
        <v>823</v>
      </c>
      <c r="H17" s="644">
        <v>2113</v>
      </c>
      <c r="I17" s="644">
        <v>1729</v>
      </c>
      <c r="J17" s="644">
        <v>1657</v>
      </c>
      <c r="K17" s="644">
        <v>3386</v>
      </c>
      <c r="L17" s="644">
        <v>3838</v>
      </c>
      <c r="M17" s="644">
        <v>1536</v>
      </c>
      <c r="N17" s="644">
        <v>5374</v>
      </c>
      <c r="O17" s="644">
        <v>38</v>
      </c>
      <c r="P17" s="644">
        <v>18</v>
      </c>
      <c r="Q17" s="644">
        <v>56</v>
      </c>
      <c r="R17" s="644">
        <v>397</v>
      </c>
      <c r="S17" s="644">
        <v>185</v>
      </c>
      <c r="T17" s="644">
        <v>582</v>
      </c>
      <c r="U17" s="644">
        <v>282</v>
      </c>
      <c r="V17" s="644">
        <v>295</v>
      </c>
      <c r="W17" s="644">
        <v>577</v>
      </c>
      <c r="X17" s="644">
        <v>46</v>
      </c>
      <c r="Y17" s="644">
        <v>40</v>
      </c>
      <c r="Z17" s="644">
        <v>86</v>
      </c>
    </row>
    <row r="18" spans="1:26" ht="29.25" customHeight="1" x14ac:dyDescent="0.3">
      <c r="A18" s="618">
        <v>15</v>
      </c>
      <c r="B18" s="221" t="s">
        <v>26</v>
      </c>
      <c r="C18" s="644">
        <v>67851</v>
      </c>
      <c r="D18" s="644">
        <v>69102</v>
      </c>
      <c r="E18" s="644">
        <v>136953</v>
      </c>
      <c r="F18" s="644">
        <v>8440</v>
      </c>
      <c r="G18" s="644">
        <v>9243</v>
      </c>
      <c r="H18" s="644">
        <v>17683</v>
      </c>
      <c r="I18" s="644">
        <v>3138</v>
      </c>
      <c r="J18" s="644">
        <v>3066</v>
      </c>
      <c r="K18" s="644">
        <v>6204</v>
      </c>
      <c r="L18" s="644">
        <v>26781</v>
      </c>
      <c r="M18" s="644">
        <v>26698</v>
      </c>
      <c r="N18" s="644">
        <v>53479</v>
      </c>
      <c r="O18" s="644">
        <v>256</v>
      </c>
      <c r="P18" s="644">
        <v>204</v>
      </c>
      <c r="Q18" s="644">
        <v>460</v>
      </c>
      <c r="R18" s="644">
        <v>2310</v>
      </c>
      <c r="S18" s="644">
        <v>2101</v>
      </c>
      <c r="T18" s="644">
        <v>4411</v>
      </c>
      <c r="U18" s="644">
        <v>1636</v>
      </c>
      <c r="V18" s="644">
        <v>2935</v>
      </c>
      <c r="W18" s="644">
        <v>4571</v>
      </c>
      <c r="X18" s="644">
        <v>449</v>
      </c>
      <c r="Y18" s="644">
        <v>399</v>
      </c>
      <c r="Z18" s="644">
        <v>848</v>
      </c>
    </row>
    <row r="19" spans="1:26" ht="29.25" customHeight="1" x14ac:dyDescent="0.3">
      <c r="A19" s="618">
        <v>16</v>
      </c>
      <c r="B19" s="221" t="s">
        <v>27</v>
      </c>
      <c r="C19" s="644">
        <v>23171</v>
      </c>
      <c r="D19" s="644">
        <v>35543</v>
      </c>
      <c r="E19" s="644">
        <v>58714</v>
      </c>
      <c r="F19" s="644">
        <v>1338</v>
      </c>
      <c r="G19" s="644">
        <v>2479</v>
      </c>
      <c r="H19" s="644">
        <v>3817</v>
      </c>
      <c r="I19" s="644">
        <v>299</v>
      </c>
      <c r="J19" s="644">
        <v>426</v>
      </c>
      <c r="K19" s="644">
        <v>725</v>
      </c>
      <c r="L19" s="644">
        <v>8976</v>
      </c>
      <c r="M19" s="644">
        <v>12883</v>
      </c>
      <c r="N19" s="644">
        <v>21859</v>
      </c>
      <c r="O19" s="644">
        <v>222</v>
      </c>
      <c r="P19" s="644">
        <v>245</v>
      </c>
      <c r="Q19" s="644">
        <v>467</v>
      </c>
      <c r="R19" s="644">
        <v>2195</v>
      </c>
      <c r="S19" s="644">
        <v>2589</v>
      </c>
      <c r="T19" s="644">
        <v>4784</v>
      </c>
      <c r="U19" s="644">
        <v>2925</v>
      </c>
      <c r="V19" s="644">
        <v>3541</v>
      </c>
      <c r="W19" s="644">
        <v>6466</v>
      </c>
      <c r="X19" s="644">
        <v>60</v>
      </c>
      <c r="Y19" s="644">
        <v>114</v>
      </c>
      <c r="Z19" s="644">
        <v>174</v>
      </c>
    </row>
    <row r="20" spans="1:26" ht="29.25" customHeight="1" x14ac:dyDescent="0.3">
      <c r="A20" s="618">
        <v>17</v>
      </c>
      <c r="B20" s="221" t="s">
        <v>28</v>
      </c>
      <c r="C20" s="644">
        <v>137</v>
      </c>
      <c r="D20" s="644">
        <v>109</v>
      </c>
      <c r="E20" s="644">
        <v>246</v>
      </c>
      <c r="F20" s="644">
        <v>0</v>
      </c>
      <c r="G20" s="644">
        <v>1</v>
      </c>
      <c r="H20" s="644">
        <v>1</v>
      </c>
      <c r="I20" s="644">
        <v>66</v>
      </c>
      <c r="J20" s="644">
        <v>72</v>
      </c>
      <c r="K20" s="644">
        <v>138</v>
      </c>
      <c r="L20" s="644">
        <v>4</v>
      </c>
      <c r="M20" s="644">
        <v>0</v>
      </c>
      <c r="N20" s="644">
        <v>4</v>
      </c>
      <c r="O20" s="644">
        <v>1</v>
      </c>
      <c r="P20" s="644">
        <v>0</v>
      </c>
      <c r="Q20" s="644">
        <v>1</v>
      </c>
      <c r="R20" s="644">
        <v>18</v>
      </c>
      <c r="S20" s="644">
        <v>8</v>
      </c>
      <c r="T20" s="644">
        <v>26</v>
      </c>
      <c r="U20" s="644">
        <v>18</v>
      </c>
      <c r="V20" s="644">
        <v>43</v>
      </c>
      <c r="W20" s="644">
        <v>61</v>
      </c>
      <c r="X20" s="644">
        <v>0</v>
      </c>
      <c r="Y20" s="644">
        <v>0</v>
      </c>
      <c r="Z20" s="644">
        <v>0</v>
      </c>
    </row>
    <row r="21" spans="1:26" ht="29.25" customHeight="1" x14ac:dyDescent="0.3">
      <c r="A21" s="618">
        <v>18</v>
      </c>
      <c r="B21" s="221" t="s">
        <v>72</v>
      </c>
      <c r="C21" s="644">
        <v>1</v>
      </c>
      <c r="D21" s="644">
        <v>2</v>
      </c>
      <c r="E21" s="644">
        <v>3</v>
      </c>
      <c r="F21" s="644">
        <v>0</v>
      </c>
      <c r="G21" s="644">
        <v>0</v>
      </c>
      <c r="H21" s="644">
        <v>0</v>
      </c>
      <c r="I21" s="644">
        <v>1</v>
      </c>
      <c r="J21" s="644">
        <v>2</v>
      </c>
      <c r="K21" s="644">
        <v>3</v>
      </c>
      <c r="L21" s="644">
        <v>0</v>
      </c>
      <c r="M21" s="644">
        <v>0</v>
      </c>
      <c r="N21" s="644">
        <v>0</v>
      </c>
      <c r="O21" s="644">
        <v>0</v>
      </c>
      <c r="P21" s="644">
        <v>0</v>
      </c>
      <c r="Q21" s="644">
        <v>0</v>
      </c>
      <c r="R21" s="644">
        <v>1</v>
      </c>
      <c r="S21" s="644">
        <v>2</v>
      </c>
      <c r="T21" s="644">
        <v>3</v>
      </c>
      <c r="U21" s="644">
        <v>0</v>
      </c>
      <c r="V21" s="644">
        <v>0</v>
      </c>
      <c r="W21" s="644">
        <v>0</v>
      </c>
      <c r="X21" s="644">
        <v>0</v>
      </c>
      <c r="Y21" s="644">
        <v>0</v>
      </c>
      <c r="Z21" s="644">
        <v>0</v>
      </c>
    </row>
    <row r="22" spans="1:26" ht="29.25" customHeight="1" x14ac:dyDescent="0.3">
      <c r="A22" s="618">
        <v>19</v>
      </c>
      <c r="B22" s="221" t="s">
        <v>29</v>
      </c>
      <c r="C22" s="644">
        <v>40764</v>
      </c>
      <c r="D22" s="644">
        <v>27622</v>
      </c>
      <c r="E22" s="644">
        <v>68386</v>
      </c>
      <c r="F22" s="644">
        <v>5366</v>
      </c>
      <c r="G22" s="644">
        <v>3634</v>
      </c>
      <c r="H22" s="644">
        <v>9000</v>
      </c>
      <c r="I22" s="644">
        <v>2387</v>
      </c>
      <c r="J22" s="644">
        <v>1845</v>
      </c>
      <c r="K22" s="644">
        <v>4232</v>
      </c>
      <c r="L22" s="644">
        <v>10022</v>
      </c>
      <c r="M22" s="644">
        <v>7069</v>
      </c>
      <c r="N22" s="644">
        <v>17091</v>
      </c>
      <c r="O22" s="644">
        <v>156</v>
      </c>
      <c r="P22" s="644">
        <v>76</v>
      </c>
      <c r="Q22" s="644">
        <v>232</v>
      </c>
      <c r="R22" s="644">
        <v>458</v>
      </c>
      <c r="S22" s="644">
        <v>321</v>
      </c>
      <c r="T22" s="644">
        <v>779</v>
      </c>
      <c r="U22" s="644">
        <v>221</v>
      </c>
      <c r="V22" s="644">
        <v>572</v>
      </c>
      <c r="W22" s="644">
        <v>793</v>
      </c>
      <c r="X22" s="644">
        <v>392</v>
      </c>
      <c r="Y22" s="644">
        <v>265</v>
      </c>
      <c r="Z22" s="644">
        <v>657</v>
      </c>
    </row>
    <row r="23" spans="1:26" ht="29.25" customHeight="1" x14ac:dyDescent="0.3">
      <c r="A23" s="618">
        <v>20</v>
      </c>
      <c r="B23" s="221" t="s">
        <v>30</v>
      </c>
      <c r="C23" s="644">
        <v>114648</v>
      </c>
      <c r="D23" s="644">
        <v>57232</v>
      </c>
      <c r="E23" s="644">
        <v>171880</v>
      </c>
      <c r="F23" s="644">
        <v>15383</v>
      </c>
      <c r="G23" s="644">
        <v>10416</v>
      </c>
      <c r="H23" s="644">
        <v>25799</v>
      </c>
      <c r="I23" s="644">
        <v>4846</v>
      </c>
      <c r="J23" s="644">
        <v>2675</v>
      </c>
      <c r="K23" s="644">
        <v>7521</v>
      </c>
      <c r="L23" s="644">
        <v>27412</v>
      </c>
      <c r="M23" s="644">
        <v>12864</v>
      </c>
      <c r="N23" s="644">
        <v>40276</v>
      </c>
      <c r="O23" s="644">
        <v>632</v>
      </c>
      <c r="P23" s="644">
        <v>258</v>
      </c>
      <c r="Q23" s="644">
        <v>890</v>
      </c>
      <c r="R23" s="644">
        <v>2721</v>
      </c>
      <c r="S23" s="644">
        <v>1236</v>
      </c>
      <c r="T23" s="644">
        <v>3957</v>
      </c>
      <c r="U23" s="644">
        <v>1454</v>
      </c>
      <c r="V23" s="644">
        <v>1347</v>
      </c>
      <c r="W23" s="644">
        <v>2801</v>
      </c>
      <c r="X23" s="644">
        <v>463</v>
      </c>
      <c r="Y23" s="644">
        <v>186</v>
      </c>
      <c r="Z23" s="644">
        <v>649</v>
      </c>
    </row>
    <row r="24" spans="1:26" ht="29.25" customHeight="1" x14ac:dyDescent="0.3">
      <c r="A24" s="618">
        <v>21</v>
      </c>
      <c r="B24" s="221" t="s">
        <v>31</v>
      </c>
      <c r="C24" s="644">
        <v>2645</v>
      </c>
      <c r="D24" s="644">
        <v>2667</v>
      </c>
      <c r="E24" s="644">
        <v>5312</v>
      </c>
      <c r="F24" s="644">
        <v>119</v>
      </c>
      <c r="G24" s="644">
        <v>84</v>
      </c>
      <c r="H24" s="644">
        <v>203</v>
      </c>
      <c r="I24" s="644">
        <v>400</v>
      </c>
      <c r="J24" s="644">
        <v>631</v>
      </c>
      <c r="K24" s="644">
        <v>1031</v>
      </c>
      <c r="L24" s="644">
        <v>425</v>
      </c>
      <c r="M24" s="644">
        <v>356</v>
      </c>
      <c r="N24" s="644">
        <v>781</v>
      </c>
      <c r="O24" s="644">
        <v>4</v>
      </c>
      <c r="P24" s="644">
        <v>9</v>
      </c>
      <c r="Q24" s="644">
        <v>13</v>
      </c>
      <c r="R24" s="644">
        <v>76</v>
      </c>
      <c r="S24" s="644">
        <v>25</v>
      </c>
      <c r="T24" s="644">
        <v>101</v>
      </c>
      <c r="U24" s="644">
        <v>25</v>
      </c>
      <c r="V24" s="644">
        <v>108</v>
      </c>
      <c r="W24" s="644">
        <v>133</v>
      </c>
      <c r="X24" s="644">
        <v>8</v>
      </c>
      <c r="Y24" s="644">
        <v>9</v>
      </c>
      <c r="Z24" s="644">
        <v>17</v>
      </c>
    </row>
    <row r="25" spans="1:26" ht="29.25" customHeight="1" x14ac:dyDescent="0.3">
      <c r="A25" s="618">
        <v>22</v>
      </c>
      <c r="B25" s="221" t="s">
        <v>32</v>
      </c>
      <c r="C25" s="644">
        <v>1528</v>
      </c>
      <c r="D25" s="644">
        <v>1211</v>
      </c>
      <c r="E25" s="644">
        <v>2739</v>
      </c>
      <c r="F25" s="644">
        <v>46</v>
      </c>
      <c r="G25" s="644">
        <v>15</v>
      </c>
      <c r="H25" s="644">
        <v>61</v>
      </c>
      <c r="I25" s="644">
        <v>906</v>
      </c>
      <c r="J25" s="644">
        <v>903</v>
      </c>
      <c r="K25" s="644">
        <v>1809</v>
      </c>
      <c r="L25" s="644">
        <v>59</v>
      </c>
      <c r="M25" s="644">
        <v>48</v>
      </c>
      <c r="N25" s="644">
        <v>107</v>
      </c>
      <c r="O25" s="644">
        <v>6</v>
      </c>
      <c r="P25" s="644">
        <v>0</v>
      </c>
      <c r="Q25" s="644">
        <v>6</v>
      </c>
      <c r="R25" s="644">
        <v>36</v>
      </c>
      <c r="S25" s="644">
        <v>13</v>
      </c>
      <c r="T25" s="644">
        <v>49</v>
      </c>
      <c r="U25" s="644">
        <v>189</v>
      </c>
      <c r="V25" s="644">
        <v>253</v>
      </c>
      <c r="W25" s="644">
        <v>442</v>
      </c>
      <c r="X25" s="644">
        <v>1</v>
      </c>
      <c r="Y25" s="644">
        <v>0</v>
      </c>
      <c r="Z25" s="644">
        <v>1</v>
      </c>
    </row>
    <row r="26" spans="1:26" ht="29.25" customHeight="1" x14ac:dyDescent="0.3">
      <c r="A26" s="618">
        <v>23</v>
      </c>
      <c r="B26" s="221" t="s">
        <v>33</v>
      </c>
      <c r="C26" s="644">
        <v>896</v>
      </c>
      <c r="D26" s="644">
        <v>889</v>
      </c>
      <c r="E26" s="644">
        <v>1785</v>
      </c>
      <c r="F26" s="644">
        <v>9</v>
      </c>
      <c r="G26" s="644">
        <v>7</v>
      </c>
      <c r="H26" s="644">
        <v>16</v>
      </c>
      <c r="I26" s="644">
        <v>692</v>
      </c>
      <c r="J26" s="644">
        <v>757</v>
      </c>
      <c r="K26" s="644">
        <v>1449</v>
      </c>
      <c r="L26" s="644">
        <v>27</v>
      </c>
      <c r="M26" s="644">
        <v>1</v>
      </c>
      <c r="N26" s="644">
        <v>28</v>
      </c>
      <c r="O26" s="644">
        <v>2</v>
      </c>
      <c r="P26" s="644">
        <v>4</v>
      </c>
      <c r="Q26" s="644">
        <v>6</v>
      </c>
      <c r="R26" s="644">
        <v>2</v>
      </c>
      <c r="S26" s="644">
        <v>0</v>
      </c>
      <c r="T26" s="644">
        <v>2</v>
      </c>
      <c r="U26" s="644">
        <v>498</v>
      </c>
      <c r="V26" s="644">
        <v>431</v>
      </c>
      <c r="W26" s="644">
        <v>929</v>
      </c>
      <c r="X26" s="644">
        <v>0</v>
      </c>
      <c r="Y26" s="644">
        <v>0</v>
      </c>
      <c r="Z26" s="644">
        <v>0</v>
      </c>
    </row>
    <row r="27" spans="1:26" ht="29.25" customHeight="1" x14ac:dyDescent="0.3">
      <c r="A27" s="618">
        <v>24</v>
      </c>
      <c r="B27" s="221" t="s">
        <v>34</v>
      </c>
      <c r="C27" s="644">
        <v>1444</v>
      </c>
      <c r="D27" s="644">
        <v>880</v>
      </c>
      <c r="E27" s="644">
        <v>2324</v>
      </c>
      <c r="F27" s="644">
        <v>19</v>
      </c>
      <c r="G27" s="644">
        <v>6</v>
      </c>
      <c r="H27" s="644">
        <v>25</v>
      </c>
      <c r="I27" s="644">
        <v>1232</v>
      </c>
      <c r="J27" s="644">
        <v>789</v>
      </c>
      <c r="K27" s="644">
        <v>2021</v>
      </c>
      <c r="L27" s="644">
        <v>50</v>
      </c>
      <c r="M27" s="644">
        <v>24</v>
      </c>
      <c r="N27" s="644">
        <v>74</v>
      </c>
      <c r="O27" s="644">
        <v>5</v>
      </c>
      <c r="P27" s="644">
        <v>3</v>
      </c>
      <c r="Q27" s="644">
        <v>8</v>
      </c>
      <c r="R27" s="644">
        <v>10</v>
      </c>
      <c r="S27" s="644">
        <v>1</v>
      </c>
      <c r="T27" s="644">
        <v>11</v>
      </c>
      <c r="U27" s="644">
        <v>614</v>
      </c>
      <c r="V27" s="644">
        <v>337</v>
      </c>
      <c r="W27" s="644">
        <v>951</v>
      </c>
      <c r="X27" s="644">
        <v>3</v>
      </c>
      <c r="Y27" s="644">
        <v>4</v>
      </c>
      <c r="Z27" s="644">
        <v>7</v>
      </c>
    </row>
    <row r="28" spans="1:26" ht="29.25" customHeight="1" x14ac:dyDescent="0.3">
      <c r="A28" s="618">
        <v>25</v>
      </c>
      <c r="B28" s="221" t="s">
        <v>35</v>
      </c>
      <c r="C28" s="644">
        <v>23953</v>
      </c>
      <c r="D28" s="644">
        <v>15156</v>
      </c>
      <c r="E28" s="644">
        <v>39109</v>
      </c>
      <c r="F28" s="644">
        <v>2514</v>
      </c>
      <c r="G28" s="644">
        <v>1974</v>
      </c>
      <c r="H28" s="644">
        <v>4488</v>
      </c>
      <c r="I28" s="644">
        <v>1502</v>
      </c>
      <c r="J28" s="644">
        <v>1008</v>
      </c>
      <c r="K28" s="644">
        <v>2510</v>
      </c>
      <c r="L28" s="644">
        <v>4608</v>
      </c>
      <c r="M28" s="644">
        <v>2170</v>
      </c>
      <c r="N28" s="644">
        <v>6778</v>
      </c>
      <c r="O28" s="644">
        <v>28</v>
      </c>
      <c r="P28" s="644">
        <v>37</v>
      </c>
      <c r="Q28" s="644">
        <v>65</v>
      </c>
      <c r="R28" s="644">
        <v>111</v>
      </c>
      <c r="S28" s="644">
        <v>60</v>
      </c>
      <c r="T28" s="644">
        <v>171</v>
      </c>
      <c r="U28" s="644">
        <v>65</v>
      </c>
      <c r="V28" s="644">
        <v>101</v>
      </c>
      <c r="W28" s="644">
        <v>166</v>
      </c>
      <c r="X28" s="644">
        <v>306</v>
      </c>
      <c r="Y28" s="644">
        <v>80</v>
      </c>
      <c r="Z28" s="644">
        <v>386</v>
      </c>
    </row>
    <row r="29" spans="1:26" ht="29.25" customHeight="1" x14ac:dyDescent="0.3">
      <c r="A29" s="618">
        <v>26</v>
      </c>
      <c r="B29" s="221" t="s">
        <v>36</v>
      </c>
      <c r="C29" s="644">
        <v>4842</v>
      </c>
      <c r="D29" s="644">
        <v>7586</v>
      </c>
      <c r="E29" s="644">
        <v>12428</v>
      </c>
      <c r="F29" s="644">
        <v>1167</v>
      </c>
      <c r="G29" s="644">
        <v>2612</v>
      </c>
      <c r="H29" s="644">
        <v>3779</v>
      </c>
      <c r="I29" s="644">
        <v>56</v>
      </c>
      <c r="J29" s="644">
        <v>45</v>
      </c>
      <c r="K29" s="644">
        <v>101</v>
      </c>
      <c r="L29" s="644">
        <v>2907</v>
      </c>
      <c r="M29" s="644">
        <v>3662</v>
      </c>
      <c r="N29" s="644">
        <v>6569</v>
      </c>
      <c r="O29" s="644">
        <v>28</v>
      </c>
      <c r="P29" s="644">
        <v>20</v>
      </c>
      <c r="Q29" s="644">
        <v>48</v>
      </c>
      <c r="R29" s="644">
        <v>44</v>
      </c>
      <c r="S29" s="644">
        <v>29</v>
      </c>
      <c r="T29" s="644">
        <v>73</v>
      </c>
      <c r="U29" s="644">
        <v>92</v>
      </c>
      <c r="V29" s="644">
        <v>248</v>
      </c>
      <c r="W29" s="644">
        <v>340</v>
      </c>
      <c r="X29" s="644">
        <v>3</v>
      </c>
      <c r="Y29" s="644">
        <v>0</v>
      </c>
      <c r="Z29" s="644">
        <v>3</v>
      </c>
    </row>
    <row r="30" spans="1:26" ht="29.25" customHeight="1" x14ac:dyDescent="0.3">
      <c r="A30" s="618">
        <v>27</v>
      </c>
      <c r="B30" s="221" t="s">
        <v>37</v>
      </c>
      <c r="C30" s="644">
        <v>29781</v>
      </c>
      <c r="D30" s="644">
        <v>22116</v>
      </c>
      <c r="E30" s="644">
        <v>51897</v>
      </c>
      <c r="F30" s="644">
        <v>6537</v>
      </c>
      <c r="G30" s="644">
        <v>5360</v>
      </c>
      <c r="H30" s="644">
        <v>11897</v>
      </c>
      <c r="I30" s="644">
        <v>86</v>
      </c>
      <c r="J30" s="644">
        <v>58</v>
      </c>
      <c r="K30" s="644">
        <v>144</v>
      </c>
      <c r="L30" s="644">
        <v>2022</v>
      </c>
      <c r="M30" s="644">
        <v>1767</v>
      </c>
      <c r="N30" s="644">
        <v>3789</v>
      </c>
      <c r="O30" s="644">
        <v>129</v>
      </c>
      <c r="P30" s="644">
        <v>75</v>
      </c>
      <c r="Q30" s="644">
        <v>204</v>
      </c>
      <c r="R30" s="644">
        <v>112</v>
      </c>
      <c r="S30" s="644">
        <v>65</v>
      </c>
      <c r="T30" s="644">
        <v>177</v>
      </c>
      <c r="U30" s="644">
        <v>2689</v>
      </c>
      <c r="V30" s="644">
        <v>1637</v>
      </c>
      <c r="W30" s="644">
        <v>4326</v>
      </c>
      <c r="X30" s="644">
        <v>36</v>
      </c>
      <c r="Y30" s="644">
        <v>55</v>
      </c>
      <c r="Z30" s="644">
        <v>91</v>
      </c>
    </row>
    <row r="31" spans="1:26" ht="29.25" customHeight="1" x14ac:dyDescent="0.3">
      <c r="A31" s="618">
        <v>28</v>
      </c>
      <c r="B31" s="221" t="s">
        <v>38</v>
      </c>
      <c r="C31" s="644">
        <v>42484</v>
      </c>
      <c r="D31" s="644">
        <v>20877</v>
      </c>
      <c r="E31" s="644">
        <v>63361</v>
      </c>
      <c r="F31" s="644">
        <v>5738</v>
      </c>
      <c r="G31" s="644">
        <v>3574</v>
      </c>
      <c r="H31" s="644">
        <v>9312</v>
      </c>
      <c r="I31" s="644">
        <v>2908</v>
      </c>
      <c r="J31" s="644">
        <v>1718</v>
      </c>
      <c r="K31" s="644">
        <v>4626</v>
      </c>
      <c r="L31" s="644">
        <v>12574</v>
      </c>
      <c r="M31" s="644">
        <v>6489</v>
      </c>
      <c r="N31" s="644">
        <v>19063</v>
      </c>
      <c r="O31" s="644">
        <v>107</v>
      </c>
      <c r="P31" s="644">
        <v>55</v>
      </c>
      <c r="Q31" s="644">
        <v>162</v>
      </c>
      <c r="R31" s="644">
        <v>675</v>
      </c>
      <c r="S31" s="644">
        <v>391</v>
      </c>
      <c r="T31" s="644">
        <v>1066</v>
      </c>
      <c r="U31" s="644">
        <v>273</v>
      </c>
      <c r="V31" s="644">
        <v>220</v>
      </c>
      <c r="W31" s="644">
        <v>493</v>
      </c>
      <c r="X31" s="644">
        <v>646</v>
      </c>
      <c r="Y31" s="644">
        <v>290</v>
      </c>
      <c r="Z31" s="644">
        <v>936</v>
      </c>
    </row>
    <row r="32" spans="1:26" ht="29.25" customHeight="1" x14ac:dyDescent="0.3">
      <c r="A32" s="618">
        <v>29</v>
      </c>
      <c r="B32" s="221" t="s">
        <v>39</v>
      </c>
      <c r="C32" s="644">
        <v>782</v>
      </c>
      <c r="D32" s="644">
        <v>626</v>
      </c>
      <c r="E32" s="644">
        <v>1408</v>
      </c>
      <c r="F32" s="644">
        <v>61</v>
      </c>
      <c r="G32" s="644">
        <v>49</v>
      </c>
      <c r="H32" s="644">
        <v>110</v>
      </c>
      <c r="I32" s="644">
        <v>161</v>
      </c>
      <c r="J32" s="644">
        <v>168</v>
      </c>
      <c r="K32" s="644">
        <v>329</v>
      </c>
      <c r="L32" s="644">
        <v>215</v>
      </c>
      <c r="M32" s="644">
        <v>156</v>
      </c>
      <c r="N32" s="644">
        <v>371</v>
      </c>
      <c r="O32" s="644">
        <v>5</v>
      </c>
      <c r="P32" s="644">
        <v>1</v>
      </c>
      <c r="Q32" s="644">
        <v>6</v>
      </c>
      <c r="R32" s="644">
        <v>1</v>
      </c>
      <c r="S32" s="644">
        <v>0</v>
      </c>
      <c r="T32" s="644">
        <v>1</v>
      </c>
      <c r="U32" s="644">
        <v>24</v>
      </c>
      <c r="V32" s="644">
        <v>33</v>
      </c>
      <c r="W32" s="644">
        <v>57</v>
      </c>
      <c r="X32" s="644">
        <v>0</v>
      </c>
      <c r="Y32" s="644">
        <v>0</v>
      </c>
      <c r="Z32" s="644">
        <v>0</v>
      </c>
    </row>
    <row r="33" spans="1:26" ht="29.25" customHeight="1" x14ac:dyDescent="0.3">
      <c r="A33" s="618">
        <v>30</v>
      </c>
      <c r="B33" s="221" t="s">
        <v>40</v>
      </c>
      <c r="C33" s="644">
        <v>93125</v>
      </c>
      <c r="D33" s="644">
        <v>97924</v>
      </c>
      <c r="E33" s="644">
        <v>191049</v>
      </c>
      <c r="F33" s="644">
        <v>13129</v>
      </c>
      <c r="G33" s="644">
        <v>17522</v>
      </c>
      <c r="H33" s="644">
        <v>30651</v>
      </c>
      <c r="I33" s="644">
        <v>1016</v>
      </c>
      <c r="J33" s="644">
        <v>1105</v>
      </c>
      <c r="K33" s="644">
        <v>2121</v>
      </c>
      <c r="L33" s="644">
        <v>46708</v>
      </c>
      <c r="M33" s="644">
        <v>46777</v>
      </c>
      <c r="N33" s="644">
        <v>93485</v>
      </c>
      <c r="O33" s="644">
        <v>417</v>
      </c>
      <c r="P33" s="644">
        <v>316</v>
      </c>
      <c r="Q33" s="644">
        <v>733</v>
      </c>
      <c r="R33" s="644">
        <v>1349</v>
      </c>
      <c r="S33" s="644">
        <v>922</v>
      </c>
      <c r="T33" s="644">
        <v>2271</v>
      </c>
      <c r="U33" s="644">
        <v>3360</v>
      </c>
      <c r="V33" s="644">
        <v>4257</v>
      </c>
      <c r="W33" s="644">
        <v>7617</v>
      </c>
      <c r="X33" s="644">
        <v>271</v>
      </c>
      <c r="Y33" s="644">
        <v>206</v>
      </c>
      <c r="Z33" s="644">
        <v>477</v>
      </c>
    </row>
    <row r="34" spans="1:26" ht="29.25" customHeight="1" x14ac:dyDescent="0.3">
      <c r="A34" s="618">
        <v>31</v>
      </c>
      <c r="B34" s="221" t="s">
        <v>41</v>
      </c>
      <c r="C34" s="644">
        <v>26268</v>
      </c>
      <c r="D34" s="644">
        <v>28605</v>
      </c>
      <c r="E34" s="644">
        <v>54873</v>
      </c>
      <c r="F34" s="644">
        <v>4166</v>
      </c>
      <c r="G34" s="644">
        <v>5314</v>
      </c>
      <c r="H34" s="644">
        <v>9480</v>
      </c>
      <c r="I34" s="644">
        <v>1497</v>
      </c>
      <c r="J34" s="644">
        <v>2115</v>
      </c>
      <c r="K34" s="644">
        <v>3612</v>
      </c>
      <c r="L34" s="644">
        <v>9470</v>
      </c>
      <c r="M34" s="644">
        <v>9597</v>
      </c>
      <c r="N34" s="644">
        <v>19067</v>
      </c>
      <c r="O34" s="644">
        <v>121</v>
      </c>
      <c r="P34" s="644">
        <v>139</v>
      </c>
      <c r="Q34" s="644">
        <v>260</v>
      </c>
      <c r="R34" s="644">
        <v>1903</v>
      </c>
      <c r="S34" s="644">
        <v>1739</v>
      </c>
      <c r="T34" s="644">
        <v>3642</v>
      </c>
      <c r="U34" s="644">
        <v>339</v>
      </c>
      <c r="V34" s="644">
        <v>721</v>
      </c>
      <c r="W34" s="644">
        <v>1060</v>
      </c>
      <c r="X34" s="644">
        <v>252</v>
      </c>
      <c r="Y34" s="644">
        <v>206</v>
      </c>
      <c r="Z34" s="644">
        <v>458</v>
      </c>
    </row>
    <row r="35" spans="1:26" ht="33.75" customHeight="1" x14ac:dyDescent="0.3">
      <c r="A35" s="618">
        <v>32</v>
      </c>
      <c r="B35" s="221" t="s">
        <v>60</v>
      </c>
      <c r="C35" s="644">
        <v>171</v>
      </c>
      <c r="D35" s="644">
        <v>218</v>
      </c>
      <c r="E35" s="644">
        <v>389</v>
      </c>
      <c r="F35" s="644">
        <v>10</v>
      </c>
      <c r="G35" s="644">
        <v>12</v>
      </c>
      <c r="H35" s="644">
        <v>22</v>
      </c>
      <c r="I35" s="644">
        <v>65</v>
      </c>
      <c r="J35" s="644">
        <v>83</v>
      </c>
      <c r="K35" s="644">
        <v>148</v>
      </c>
      <c r="L35" s="644">
        <v>19</v>
      </c>
      <c r="M35" s="644">
        <v>23</v>
      </c>
      <c r="N35" s="644">
        <v>42</v>
      </c>
      <c r="O35" s="644">
        <v>0</v>
      </c>
      <c r="P35" s="644">
        <v>1</v>
      </c>
      <c r="Q35" s="644">
        <v>1</v>
      </c>
      <c r="R35" s="644">
        <v>3</v>
      </c>
      <c r="S35" s="644">
        <v>1</v>
      </c>
      <c r="T35" s="644">
        <v>4</v>
      </c>
      <c r="U35" s="644">
        <v>2</v>
      </c>
      <c r="V35" s="644">
        <v>4</v>
      </c>
      <c r="W35" s="644">
        <v>6</v>
      </c>
      <c r="X35" s="644">
        <v>0</v>
      </c>
      <c r="Y35" s="644">
        <v>0</v>
      </c>
      <c r="Z35" s="644">
        <v>0</v>
      </c>
    </row>
    <row r="36" spans="1:26" ht="25.5" customHeight="1" x14ac:dyDescent="0.3">
      <c r="A36" s="618">
        <v>33</v>
      </c>
      <c r="B36" s="221" t="s">
        <v>42</v>
      </c>
      <c r="C36" s="644">
        <v>2073</v>
      </c>
      <c r="D36" s="644">
        <v>2142</v>
      </c>
      <c r="E36" s="644">
        <v>4215</v>
      </c>
      <c r="F36" s="644">
        <v>350</v>
      </c>
      <c r="G36" s="644">
        <v>440</v>
      </c>
      <c r="H36" s="644">
        <v>790</v>
      </c>
      <c r="I36" s="644">
        <v>413</v>
      </c>
      <c r="J36" s="644">
        <v>479</v>
      </c>
      <c r="K36" s="644">
        <v>892</v>
      </c>
      <c r="L36" s="644">
        <v>276</v>
      </c>
      <c r="M36" s="644">
        <v>122</v>
      </c>
      <c r="N36" s="644">
        <v>398</v>
      </c>
      <c r="O36" s="644">
        <v>20</v>
      </c>
      <c r="P36" s="644">
        <v>9</v>
      </c>
      <c r="Q36" s="644">
        <v>29</v>
      </c>
      <c r="R36" s="644">
        <v>20</v>
      </c>
      <c r="S36" s="644">
        <v>31</v>
      </c>
      <c r="T36" s="644">
        <v>51</v>
      </c>
      <c r="U36" s="644">
        <v>4</v>
      </c>
      <c r="V36" s="644">
        <v>6</v>
      </c>
      <c r="W36" s="644">
        <v>10</v>
      </c>
      <c r="X36" s="644">
        <v>0</v>
      </c>
      <c r="Y36" s="644">
        <v>0</v>
      </c>
      <c r="Z36" s="644">
        <v>0</v>
      </c>
    </row>
    <row r="37" spans="1:26" ht="25.5" customHeight="1" x14ac:dyDescent="0.3">
      <c r="A37" s="618">
        <v>34</v>
      </c>
      <c r="B37" s="221" t="s">
        <v>43</v>
      </c>
      <c r="C37" s="644">
        <v>96301</v>
      </c>
      <c r="D37" s="644">
        <v>49133</v>
      </c>
      <c r="E37" s="644">
        <v>145434</v>
      </c>
      <c r="F37" s="644">
        <v>15944</v>
      </c>
      <c r="G37" s="644">
        <v>10605</v>
      </c>
      <c r="H37" s="644">
        <v>26549</v>
      </c>
      <c r="I37" s="644">
        <v>1395</v>
      </c>
      <c r="J37" s="644">
        <v>975</v>
      </c>
      <c r="K37" s="644">
        <v>2370</v>
      </c>
      <c r="L37" s="644">
        <v>29922</v>
      </c>
      <c r="M37" s="644">
        <v>14745</v>
      </c>
      <c r="N37" s="644">
        <v>44667</v>
      </c>
      <c r="O37" s="644">
        <v>434</v>
      </c>
      <c r="P37" s="644">
        <v>237</v>
      </c>
      <c r="Q37" s="644">
        <v>671</v>
      </c>
      <c r="R37" s="644">
        <v>8240</v>
      </c>
      <c r="S37" s="644">
        <v>2517</v>
      </c>
      <c r="T37" s="644">
        <v>10757</v>
      </c>
      <c r="U37" s="644">
        <v>861</v>
      </c>
      <c r="V37" s="644">
        <v>668</v>
      </c>
      <c r="W37" s="644">
        <v>1529</v>
      </c>
      <c r="X37" s="644">
        <v>465</v>
      </c>
      <c r="Y37" s="644">
        <v>215</v>
      </c>
      <c r="Z37" s="644">
        <v>680</v>
      </c>
    </row>
    <row r="38" spans="1:26" ht="25.5" customHeight="1" x14ac:dyDescent="0.3">
      <c r="A38" s="618">
        <v>35</v>
      </c>
      <c r="B38" s="221" t="s">
        <v>44</v>
      </c>
      <c r="C38" s="644">
        <v>15538</v>
      </c>
      <c r="D38" s="644">
        <v>9257</v>
      </c>
      <c r="E38" s="644">
        <v>24795</v>
      </c>
      <c r="F38" s="644">
        <v>2112</v>
      </c>
      <c r="G38" s="644">
        <v>1329</v>
      </c>
      <c r="H38" s="644">
        <v>3441</v>
      </c>
      <c r="I38" s="644">
        <v>397</v>
      </c>
      <c r="J38" s="644">
        <v>364</v>
      </c>
      <c r="K38" s="644">
        <v>761</v>
      </c>
      <c r="L38" s="644">
        <v>1912</v>
      </c>
      <c r="M38" s="644">
        <v>1198</v>
      </c>
      <c r="N38" s="644">
        <v>3110</v>
      </c>
      <c r="O38" s="644">
        <v>28</v>
      </c>
      <c r="P38" s="644">
        <v>13</v>
      </c>
      <c r="Q38" s="644">
        <v>41</v>
      </c>
      <c r="R38" s="644">
        <v>190</v>
      </c>
      <c r="S38" s="644">
        <v>82</v>
      </c>
      <c r="T38" s="644">
        <v>272</v>
      </c>
      <c r="U38" s="644">
        <v>158</v>
      </c>
      <c r="V38" s="644">
        <v>124</v>
      </c>
      <c r="W38" s="644">
        <v>282</v>
      </c>
      <c r="X38" s="644">
        <v>98</v>
      </c>
      <c r="Y38" s="644">
        <v>95</v>
      </c>
      <c r="Z38" s="644">
        <v>193</v>
      </c>
    </row>
    <row r="39" spans="1:26" ht="25.5" customHeight="1" x14ac:dyDescent="0.3">
      <c r="A39" s="618">
        <v>36</v>
      </c>
      <c r="B39" s="221" t="s">
        <v>45</v>
      </c>
      <c r="C39" s="644">
        <v>29083</v>
      </c>
      <c r="D39" s="644">
        <v>13282</v>
      </c>
      <c r="E39" s="644">
        <v>42365</v>
      </c>
      <c r="F39" s="644">
        <v>4344</v>
      </c>
      <c r="G39" s="644">
        <v>1591</v>
      </c>
      <c r="H39" s="644">
        <v>5935</v>
      </c>
      <c r="I39" s="644">
        <v>1045</v>
      </c>
      <c r="J39" s="644">
        <v>547</v>
      </c>
      <c r="K39" s="644">
        <v>1592</v>
      </c>
      <c r="L39" s="644">
        <v>2482</v>
      </c>
      <c r="M39" s="644">
        <v>1016</v>
      </c>
      <c r="N39" s="644">
        <v>3498</v>
      </c>
      <c r="O39" s="644">
        <v>110</v>
      </c>
      <c r="P39" s="644">
        <v>22</v>
      </c>
      <c r="Q39" s="644">
        <v>132</v>
      </c>
      <c r="R39" s="644">
        <v>1298</v>
      </c>
      <c r="S39" s="644">
        <v>662</v>
      </c>
      <c r="T39" s="644">
        <v>1960</v>
      </c>
      <c r="U39" s="644">
        <v>247</v>
      </c>
      <c r="V39" s="644">
        <v>154</v>
      </c>
      <c r="W39" s="644">
        <v>401</v>
      </c>
      <c r="X39" s="644">
        <v>120</v>
      </c>
      <c r="Y39" s="644">
        <v>80</v>
      </c>
      <c r="Z39" s="644">
        <v>200</v>
      </c>
    </row>
    <row r="40" spans="1:26" s="84" customFormat="1" ht="25.5" customHeight="1" x14ac:dyDescent="0.3">
      <c r="A40" s="726" t="s">
        <v>46</v>
      </c>
      <c r="B40" s="726"/>
      <c r="C40" s="649">
        <v>831504</v>
      </c>
      <c r="D40" s="648">
        <v>591515</v>
      </c>
      <c r="E40" s="648">
        <v>1423019</v>
      </c>
      <c r="F40" s="649">
        <v>116863</v>
      </c>
      <c r="G40" s="648">
        <v>99673</v>
      </c>
      <c r="H40" s="648">
        <v>216536</v>
      </c>
      <c r="I40" s="649">
        <v>37397</v>
      </c>
      <c r="J40" s="648">
        <v>31072</v>
      </c>
      <c r="K40" s="648">
        <v>68469</v>
      </c>
      <c r="L40" s="649">
        <v>240286</v>
      </c>
      <c r="M40" s="648">
        <v>177729</v>
      </c>
      <c r="N40" s="648">
        <v>418015</v>
      </c>
      <c r="O40" s="649">
        <v>3695</v>
      </c>
      <c r="P40" s="649">
        <v>2185</v>
      </c>
      <c r="Q40" s="649">
        <v>5880</v>
      </c>
      <c r="R40" s="649">
        <v>32054</v>
      </c>
      <c r="S40" s="649">
        <v>16952</v>
      </c>
      <c r="T40" s="649">
        <v>49006</v>
      </c>
      <c r="U40" s="649">
        <v>18032</v>
      </c>
      <c r="V40" s="649">
        <v>20794</v>
      </c>
      <c r="W40" s="649">
        <v>38826</v>
      </c>
      <c r="X40" s="649">
        <v>4901</v>
      </c>
      <c r="Y40" s="649">
        <v>3107</v>
      </c>
      <c r="Z40" s="649">
        <v>8008</v>
      </c>
    </row>
  </sheetData>
  <mergeCells count="14">
    <mergeCell ref="AA1:AL1"/>
    <mergeCell ref="A40:B40"/>
    <mergeCell ref="A2:A3"/>
    <mergeCell ref="X2:Z2"/>
    <mergeCell ref="C1:N1"/>
    <mergeCell ref="O1:Z1"/>
    <mergeCell ref="B2:B3"/>
    <mergeCell ref="C2:E2"/>
    <mergeCell ref="F2:H2"/>
    <mergeCell ref="I2:K2"/>
    <mergeCell ref="L2:N2"/>
    <mergeCell ref="O2:Q2"/>
    <mergeCell ref="R2:T2"/>
    <mergeCell ref="U2:W2"/>
  </mergeCells>
  <pageMargins left="0.51181102362204722" right="0.11811023622047245" top="0.39370078740157483" bottom="0.39370078740157483" header="0.31496062992125984" footer="0.19685039370078741"/>
  <pageSetup paperSize="9" scale="62" firstPageNumber="24" orientation="portrait" r:id="rId1"/>
  <headerFooter>
    <oddFooter>&amp;L&amp;"Arial,Italic"&amp;9AISHE 2022-23&amp;RT-24</oddFooter>
  </headerFooter>
  <colBreaks count="1" manualBreakCount="1">
    <brk id="14" max="39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2FC8-6B1B-44F1-9DB4-4C02149B0A23}">
  <sheetPr codeName="Sheet36">
    <tabColor rgb="FF92D050"/>
  </sheetPr>
  <dimension ref="A1:H42"/>
  <sheetViews>
    <sheetView view="pageBreakPreview" topLeftCell="C1" zoomScale="96" zoomScaleSheetLayoutView="96" workbookViewId="0">
      <pane ySplit="4" topLeftCell="A14" activePane="bottomLeft" state="frozen"/>
      <selection activeCell="S20" sqref="S20"/>
      <selection pane="bottomLeft" activeCell="R23" sqref="R23"/>
    </sheetView>
  </sheetViews>
  <sheetFormatPr defaultRowHeight="14" x14ac:dyDescent="0.3"/>
  <cols>
    <col min="1" max="1" width="5.26953125" style="242" customWidth="1"/>
    <col min="2" max="2" width="26.26953125" style="242" customWidth="1"/>
    <col min="3" max="3" width="10.81640625" style="242" bestFit="1" customWidth="1"/>
    <col min="4" max="8" width="15.26953125" style="242" customWidth="1"/>
    <col min="9" max="247" width="8.81640625" style="242"/>
    <col min="248" max="248" width="5.26953125" style="242" customWidth="1"/>
    <col min="249" max="249" width="22.54296875" style="242" customWidth="1"/>
    <col min="250" max="250" width="17.7265625" style="242" customWidth="1"/>
    <col min="251" max="251" width="19" style="242" customWidth="1"/>
    <col min="252" max="252" width="22.26953125" style="242" customWidth="1"/>
    <col min="253" max="503" width="8.81640625" style="242"/>
    <col min="504" max="504" width="5.26953125" style="242" customWidth="1"/>
    <col min="505" max="505" width="22.54296875" style="242" customWidth="1"/>
    <col min="506" max="506" width="17.7265625" style="242" customWidth="1"/>
    <col min="507" max="507" width="19" style="242" customWidth="1"/>
    <col min="508" max="508" width="22.26953125" style="242" customWidth="1"/>
    <col min="509" max="759" width="8.81640625" style="242"/>
    <col min="760" max="760" width="5.26953125" style="242" customWidth="1"/>
    <col min="761" max="761" width="22.54296875" style="242" customWidth="1"/>
    <col min="762" max="762" width="17.7265625" style="242" customWidth="1"/>
    <col min="763" max="763" width="19" style="242" customWidth="1"/>
    <col min="764" max="764" width="22.26953125" style="242" customWidth="1"/>
    <col min="765" max="1015" width="8.81640625" style="242"/>
    <col min="1016" max="1016" width="5.26953125" style="242" customWidth="1"/>
    <col min="1017" max="1017" width="22.54296875" style="242" customWidth="1"/>
    <col min="1018" max="1018" width="17.7265625" style="242" customWidth="1"/>
    <col min="1019" max="1019" width="19" style="242" customWidth="1"/>
    <col min="1020" max="1020" width="22.26953125" style="242" customWidth="1"/>
    <col min="1021" max="1271" width="8.81640625" style="242"/>
    <col min="1272" max="1272" width="5.26953125" style="242" customWidth="1"/>
    <col min="1273" max="1273" width="22.54296875" style="242" customWidth="1"/>
    <col min="1274" max="1274" width="17.7265625" style="242" customWidth="1"/>
    <col min="1275" max="1275" width="19" style="242" customWidth="1"/>
    <col min="1276" max="1276" width="22.26953125" style="242" customWidth="1"/>
    <col min="1277" max="1527" width="8.81640625" style="242"/>
    <col min="1528" max="1528" width="5.26953125" style="242" customWidth="1"/>
    <col min="1529" max="1529" width="22.54296875" style="242" customWidth="1"/>
    <col min="1530" max="1530" width="17.7265625" style="242" customWidth="1"/>
    <col min="1531" max="1531" width="19" style="242" customWidth="1"/>
    <col min="1532" max="1532" width="22.26953125" style="242" customWidth="1"/>
    <col min="1533" max="1783" width="8.81640625" style="242"/>
    <col min="1784" max="1784" width="5.26953125" style="242" customWidth="1"/>
    <col min="1785" max="1785" width="22.54296875" style="242" customWidth="1"/>
    <col min="1786" max="1786" width="17.7265625" style="242" customWidth="1"/>
    <col min="1787" max="1787" width="19" style="242" customWidth="1"/>
    <col min="1788" max="1788" width="22.26953125" style="242" customWidth="1"/>
    <col min="1789" max="2039" width="8.81640625" style="242"/>
    <col min="2040" max="2040" width="5.26953125" style="242" customWidth="1"/>
    <col min="2041" max="2041" width="22.54296875" style="242" customWidth="1"/>
    <col min="2042" max="2042" width="17.7265625" style="242" customWidth="1"/>
    <col min="2043" max="2043" width="19" style="242" customWidth="1"/>
    <col min="2044" max="2044" width="22.26953125" style="242" customWidth="1"/>
    <col min="2045" max="2295" width="8.81640625" style="242"/>
    <col min="2296" max="2296" width="5.26953125" style="242" customWidth="1"/>
    <col min="2297" max="2297" width="22.54296875" style="242" customWidth="1"/>
    <col min="2298" max="2298" width="17.7265625" style="242" customWidth="1"/>
    <col min="2299" max="2299" width="19" style="242" customWidth="1"/>
    <col min="2300" max="2300" width="22.26953125" style="242" customWidth="1"/>
    <col min="2301" max="2551" width="8.81640625" style="242"/>
    <col min="2552" max="2552" width="5.26953125" style="242" customWidth="1"/>
    <col min="2553" max="2553" width="22.54296875" style="242" customWidth="1"/>
    <col min="2554" max="2554" width="17.7265625" style="242" customWidth="1"/>
    <col min="2555" max="2555" width="19" style="242" customWidth="1"/>
    <col min="2556" max="2556" width="22.26953125" style="242" customWidth="1"/>
    <col min="2557" max="2807" width="8.81640625" style="242"/>
    <col min="2808" max="2808" width="5.26953125" style="242" customWidth="1"/>
    <col min="2809" max="2809" width="22.54296875" style="242" customWidth="1"/>
    <col min="2810" max="2810" width="17.7265625" style="242" customWidth="1"/>
    <col min="2811" max="2811" width="19" style="242" customWidth="1"/>
    <col min="2812" max="2812" width="22.26953125" style="242" customWidth="1"/>
    <col min="2813" max="3063" width="8.81640625" style="242"/>
    <col min="3064" max="3064" width="5.26953125" style="242" customWidth="1"/>
    <col min="3065" max="3065" width="22.54296875" style="242" customWidth="1"/>
    <col min="3066" max="3066" width="17.7265625" style="242" customWidth="1"/>
    <col min="3067" max="3067" width="19" style="242" customWidth="1"/>
    <col min="3068" max="3068" width="22.26953125" style="242" customWidth="1"/>
    <col min="3069" max="3319" width="8.81640625" style="242"/>
    <col min="3320" max="3320" width="5.26953125" style="242" customWidth="1"/>
    <col min="3321" max="3321" width="22.54296875" style="242" customWidth="1"/>
    <col min="3322" max="3322" width="17.7265625" style="242" customWidth="1"/>
    <col min="3323" max="3323" width="19" style="242" customWidth="1"/>
    <col min="3324" max="3324" width="22.26953125" style="242" customWidth="1"/>
    <col min="3325" max="3575" width="8.81640625" style="242"/>
    <col min="3576" max="3576" width="5.26953125" style="242" customWidth="1"/>
    <col min="3577" max="3577" width="22.54296875" style="242" customWidth="1"/>
    <col min="3578" max="3578" width="17.7265625" style="242" customWidth="1"/>
    <col min="3579" max="3579" width="19" style="242" customWidth="1"/>
    <col min="3580" max="3580" width="22.26953125" style="242" customWidth="1"/>
    <col min="3581" max="3831" width="8.81640625" style="242"/>
    <col min="3832" max="3832" width="5.26953125" style="242" customWidth="1"/>
    <col min="3833" max="3833" width="22.54296875" style="242" customWidth="1"/>
    <col min="3834" max="3834" width="17.7265625" style="242" customWidth="1"/>
    <col min="3835" max="3835" width="19" style="242" customWidth="1"/>
    <col min="3836" max="3836" width="22.26953125" style="242" customWidth="1"/>
    <col min="3837" max="4087" width="8.81640625" style="242"/>
    <col min="4088" max="4088" width="5.26953125" style="242" customWidth="1"/>
    <col min="4089" max="4089" width="22.54296875" style="242" customWidth="1"/>
    <col min="4090" max="4090" width="17.7265625" style="242" customWidth="1"/>
    <col min="4091" max="4091" width="19" style="242" customWidth="1"/>
    <col min="4092" max="4092" width="22.26953125" style="242" customWidth="1"/>
    <col min="4093" max="4343" width="8.81640625" style="242"/>
    <col min="4344" max="4344" width="5.26953125" style="242" customWidth="1"/>
    <col min="4345" max="4345" width="22.54296875" style="242" customWidth="1"/>
    <col min="4346" max="4346" width="17.7265625" style="242" customWidth="1"/>
    <col min="4347" max="4347" width="19" style="242" customWidth="1"/>
    <col min="4348" max="4348" width="22.26953125" style="242" customWidth="1"/>
    <col min="4349" max="4599" width="8.81640625" style="242"/>
    <col min="4600" max="4600" width="5.26953125" style="242" customWidth="1"/>
    <col min="4601" max="4601" width="22.54296875" style="242" customWidth="1"/>
    <col min="4602" max="4602" width="17.7265625" style="242" customWidth="1"/>
    <col min="4603" max="4603" width="19" style="242" customWidth="1"/>
    <col min="4604" max="4604" width="22.26953125" style="242" customWidth="1"/>
    <col min="4605" max="4855" width="8.81640625" style="242"/>
    <col min="4856" max="4856" width="5.26953125" style="242" customWidth="1"/>
    <col min="4857" max="4857" width="22.54296875" style="242" customWidth="1"/>
    <col min="4858" max="4858" width="17.7265625" style="242" customWidth="1"/>
    <col min="4859" max="4859" width="19" style="242" customWidth="1"/>
    <col min="4860" max="4860" width="22.26953125" style="242" customWidth="1"/>
    <col min="4861" max="5111" width="8.81640625" style="242"/>
    <col min="5112" max="5112" width="5.26953125" style="242" customWidth="1"/>
    <col min="5113" max="5113" width="22.54296875" style="242" customWidth="1"/>
    <col min="5114" max="5114" width="17.7265625" style="242" customWidth="1"/>
    <col min="5115" max="5115" width="19" style="242" customWidth="1"/>
    <col min="5116" max="5116" width="22.26953125" style="242" customWidth="1"/>
    <col min="5117" max="5367" width="8.81640625" style="242"/>
    <col min="5368" max="5368" width="5.26953125" style="242" customWidth="1"/>
    <col min="5369" max="5369" width="22.54296875" style="242" customWidth="1"/>
    <col min="5370" max="5370" width="17.7265625" style="242" customWidth="1"/>
    <col min="5371" max="5371" width="19" style="242" customWidth="1"/>
    <col min="5372" max="5372" width="22.26953125" style="242" customWidth="1"/>
    <col min="5373" max="5623" width="8.81640625" style="242"/>
    <col min="5624" max="5624" width="5.26953125" style="242" customWidth="1"/>
    <col min="5625" max="5625" width="22.54296875" style="242" customWidth="1"/>
    <col min="5626" max="5626" width="17.7265625" style="242" customWidth="1"/>
    <col min="5627" max="5627" width="19" style="242" customWidth="1"/>
    <col min="5628" max="5628" width="22.26953125" style="242" customWidth="1"/>
    <col min="5629" max="5879" width="8.81640625" style="242"/>
    <col min="5880" max="5880" width="5.26953125" style="242" customWidth="1"/>
    <col min="5881" max="5881" width="22.54296875" style="242" customWidth="1"/>
    <col min="5882" max="5882" width="17.7265625" style="242" customWidth="1"/>
    <col min="5883" max="5883" width="19" style="242" customWidth="1"/>
    <col min="5884" max="5884" width="22.26953125" style="242" customWidth="1"/>
    <col min="5885" max="6135" width="8.81640625" style="242"/>
    <col min="6136" max="6136" width="5.26953125" style="242" customWidth="1"/>
    <col min="6137" max="6137" width="22.54296875" style="242" customWidth="1"/>
    <col min="6138" max="6138" width="17.7265625" style="242" customWidth="1"/>
    <col min="6139" max="6139" width="19" style="242" customWidth="1"/>
    <col min="6140" max="6140" width="22.26953125" style="242" customWidth="1"/>
    <col min="6141" max="6391" width="8.81640625" style="242"/>
    <col min="6392" max="6392" width="5.26953125" style="242" customWidth="1"/>
    <col min="6393" max="6393" width="22.54296875" style="242" customWidth="1"/>
    <col min="6394" max="6394" width="17.7265625" style="242" customWidth="1"/>
    <col min="6395" max="6395" width="19" style="242" customWidth="1"/>
    <col min="6396" max="6396" width="22.26953125" style="242" customWidth="1"/>
    <col min="6397" max="6647" width="8.81640625" style="242"/>
    <col min="6648" max="6648" width="5.26953125" style="242" customWidth="1"/>
    <col min="6649" max="6649" width="22.54296875" style="242" customWidth="1"/>
    <col min="6650" max="6650" width="17.7265625" style="242" customWidth="1"/>
    <col min="6651" max="6651" width="19" style="242" customWidth="1"/>
    <col min="6652" max="6652" width="22.26953125" style="242" customWidth="1"/>
    <col min="6653" max="6903" width="8.81640625" style="242"/>
    <col min="6904" max="6904" width="5.26953125" style="242" customWidth="1"/>
    <col min="6905" max="6905" width="22.54296875" style="242" customWidth="1"/>
    <col min="6906" max="6906" width="17.7265625" style="242" customWidth="1"/>
    <col min="6907" max="6907" width="19" style="242" customWidth="1"/>
    <col min="6908" max="6908" width="22.26953125" style="242" customWidth="1"/>
    <col min="6909" max="7159" width="8.81640625" style="242"/>
    <col min="7160" max="7160" width="5.26953125" style="242" customWidth="1"/>
    <col min="7161" max="7161" width="22.54296875" style="242" customWidth="1"/>
    <col min="7162" max="7162" width="17.7265625" style="242" customWidth="1"/>
    <col min="7163" max="7163" width="19" style="242" customWidth="1"/>
    <col min="7164" max="7164" width="22.26953125" style="242" customWidth="1"/>
    <col min="7165" max="7415" width="8.81640625" style="242"/>
    <col min="7416" max="7416" width="5.26953125" style="242" customWidth="1"/>
    <col min="7417" max="7417" width="22.54296875" style="242" customWidth="1"/>
    <col min="7418" max="7418" width="17.7265625" style="242" customWidth="1"/>
    <col min="7419" max="7419" width="19" style="242" customWidth="1"/>
    <col min="7420" max="7420" width="22.26953125" style="242" customWidth="1"/>
    <col min="7421" max="7671" width="8.81640625" style="242"/>
    <col min="7672" max="7672" width="5.26953125" style="242" customWidth="1"/>
    <col min="7673" max="7673" width="22.54296875" style="242" customWidth="1"/>
    <col min="7674" max="7674" width="17.7265625" style="242" customWidth="1"/>
    <col min="7675" max="7675" width="19" style="242" customWidth="1"/>
    <col min="7676" max="7676" width="22.26953125" style="242" customWidth="1"/>
    <col min="7677" max="7927" width="8.81640625" style="242"/>
    <col min="7928" max="7928" width="5.26953125" style="242" customWidth="1"/>
    <col min="7929" max="7929" width="22.54296875" style="242" customWidth="1"/>
    <col min="7930" max="7930" width="17.7265625" style="242" customWidth="1"/>
    <col min="7931" max="7931" width="19" style="242" customWidth="1"/>
    <col min="7932" max="7932" width="22.26953125" style="242" customWidth="1"/>
    <col min="7933" max="8183" width="8.81640625" style="242"/>
    <col min="8184" max="8184" width="5.26953125" style="242" customWidth="1"/>
    <col min="8185" max="8185" width="22.54296875" style="242" customWidth="1"/>
    <col min="8186" max="8186" width="17.7265625" style="242" customWidth="1"/>
    <col min="8187" max="8187" width="19" style="242" customWidth="1"/>
    <col min="8188" max="8188" width="22.26953125" style="242" customWidth="1"/>
    <col min="8189" max="8439" width="8.81640625" style="242"/>
    <col min="8440" max="8440" width="5.26953125" style="242" customWidth="1"/>
    <col min="8441" max="8441" width="22.54296875" style="242" customWidth="1"/>
    <col min="8442" max="8442" width="17.7265625" style="242" customWidth="1"/>
    <col min="8443" max="8443" width="19" style="242" customWidth="1"/>
    <col min="8444" max="8444" width="22.26953125" style="242" customWidth="1"/>
    <col min="8445" max="8695" width="8.81640625" style="242"/>
    <col min="8696" max="8696" width="5.26953125" style="242" customWidth="1"/>
    <col min="8697" max="8697" width="22.54296875" style="242" customWidth="1"/>
    <col min="8698" max="8698" width="17.7265625" style="242" customWidth="1"/>
    <col min="8699" max="8699" width="19" style="242" customWidth="1"/>
    <col min="8700" max="8700" width="22.26953125" style="242" customWidth="1"/>
    <col min="8701" max="8951" width="8.81640625" style="242"/>
    <col min="8952" max="8952" width="5.26953125" style="242" customWidth="1"/>
    <col min="8953" max="8953" width="22.54296875" style="242" customWidth="1"/>
    <col min="8954" max="8954" width="17.7265625" style="242" customWidth="1"/>
    <col min="8955" max="8955" width="19" style="242" customWidth="1"/>
    <col min="8956" max="8956" width="22.26953125" style="242" customWidth="1"/>
    <col min="8957" max="9207" width="8.81640625" style="242"/>
    <col min="9208" max="9208" width="5.26953125" style="242" customWidth="1"/>
    <col min="9209" max="9209" width="22.54296875" style="242" customWidth="1"/>
    <col min="9210" max="9210" width="17.7265625" style="242" customWidth="1"/>
    <col min="9211" max="9211" width="19" style="242" customWidth="1"/>
    <col min="9212" max="9212" width="22.26953125" style="242" customWidth="1"/>
    <col min="9213" max="9463" width="8.81640625" style="242"/>
    <col min="9464" max="9464" width="5.26953125" style="242" customWidth="1"/>
    <col min="9465" max="9465" width="22.54296875" style="242" customWidth="1"/>
    <col min="9466" max="9466" width="17.7265625" style="242" customWidth="1"/>
    <col min="9467" max="9467" width="19" style="242" customWidth="1"/>
    <col min="9468" max="9468" width="22.26953125" style="242" customWidth="1"/>
    <col min="9469" max="9719" width="8.81640625" style="242"/>
    <col min="9720" max="9720" width="5.26953125" style="242" customWidth="1"/>
    <col min="9721" max="9721" width="22.54296875" style="242" customWidth="1"/>
    <col min="9722" max="9722" width="17.7265625" style="242" customWidth="1"/>
    <col min="9723" max="9723" width="19" style="242" customWidth="1"/>
    <col min="9724" max="9724" width="22.26953125" style="242" customWidth="1"/>
    <col min="9725" max="9975" width="8.81640625" style="242"/>
    <col min="9976" max="9976" width="5.26953125" style="242" customWidth="1"/>
    <col min="9977" max="9977" width="22.54296875" style="242" customWidth="1"/>
    <col min="9978" max="9978" width="17.7265625" style="242" customWidth="1"/>
    <col min="9979" max="9979" width="19" style="242" customWidth="1"/>
    <col min="9980" max="9980" width="22.26953125" style="242" customWidth="1"/>
    <col min="9981" max="10231" width="8.81640625" style="242"/>
    <col min="10232" max="10232" width="5.26953125" style="242" customWidth="1"/>
    <col min="10233" max="10233" width="22.54296875" style="242" customWidth="1"/>
    <col min="10234" max="10234" width="17.7265625" style="242" customWidth="1"/>
    <col min="10235" max="10235" width="19" style="242" customWidth="1"/>
    <col min="10236" max="10236" width="22.26953125" style="242" customWidth="1"/>
    <col min="10237" max="10487" width="8.81640625" style="242"/>
    <col min="10488" max="10488" width="5.26953125" style="242" customWidth="1"/>
    <col min="10489" max="10489" width="22.54296875" style="242" customWidth="1"/>
    <col min="10490" max="10490" width="17.7265625" style="242" customWidth="1"/>
    <col min="10491" max="10491" width="19" style="242" customWidth="1"/>
    <col min="10492" max="10492" width="22.26953125" style="242" customWidth="1"/>
    <col min="10493" max="10743" width="8.81640625" style="242"/>
    <col min="10744" max="10744" width="5.26953125" style="242" customWidth="1"/>
    <col min="10745" max="10745" width="22.54296875" style="242" customWidth="1"/>
    <col min="10746" max="10746" width="17.7265625" style="242" customWidth="1"/>
    <col min="10747" max="10747" width="19" style="242" customWidth="1"/>
    <col min="10748" max="10748" width="22.26953125" style="242" customWidth="1"/>
    <col min="10749" max="10999" width="8.81640625" style="242"/>
    <col min="11000" max="11000" width="5.26953125" style="242" customWidth="1"/>
    <col min="11001" max="11001" width="22.54296875" style="242" customWidth="1"/>
    <col min="11002" max="11002" width="17.7265625" style="242" customWidth="1"/>
    <col min="11003" max="11003" width="19" style="242" customWidth="1"/>
    <col min="11004" max="11004" width="22.26953125" style="242" customWidth="1"/>
    <col min="11005" max="11255" width="8.81640625" style="242"/>
    <col min="11256" max="11256" width="5.26953125" style="242" customWidth="1"/>
    <col min="11257" max="11257" width="22.54296875" style="242" customWidth="1"/>
    <col min="11258" max="11258" width="17.7265625" style="242" customWidth="1"/>
    <col min="11259" max="11259" width="19" style="242" customWidth="1"/>
    <col min="11260" max="11260" width="22.26953125" style="242" customWidth="1"/>
    <col min="11261" max="11511" width="8.81640625" style="242"/>
    <col min="11512" max="11512" width="5.26953125" style="242" customWidth="1"/>
    <col min="11513" max="11513" width="22.54296875" style="242" customWidth="1"/>
    <col min="11514" max="11514" width="17.7265625" style="242" customWidth="1"/>
    <col min="11515" max="11515" width="19" style="242" customWidth="1"/>
    <col min="11516" max="11516" width="22.26953125" style="242" customWidth="1"/>
    <col min="11517" max="11767" width="8.81640625" style="242"/>
    <col min="11768" max="11768" width="5.26953125" style="242" customWidth="1"/>
    <col min="11769" max="11769" width="22.54296875" style="242" customWidth="1"/>
    <col min="11770" max="11770" width="17.7265625" style="242" customWidth="1"/>
    <col min="11771" max="11771" width="19" style="242" customWidth="1"/>
    <col min="11772" max="11772" width="22.26953125" style="242" customWidth="1"/>
    <col min="11773" max="12023" width="8.81640625" style="242"/>
    <col min="12024" max="12024" width="5.26953125" style="242" customWidth="1"/>
    <col min="12025" max="12025" width="22.54296875" style="242" customWidth="1"/>
    <col min="12026" max="12026" width="17.7265625" style="242" customWidth="1"/>
    <col min="12027" max="12027" width="19" style="242" customWidth="1"/>
    <col min="12028" max="12028" width="22.26953125" style="242" customWidth="1"/>
    <col min="12029" max="12279" width="8.81640625" style="242"/>
    <col min="12280" max="12280" width="5.26953125" style="242" customWidth="1"/>
    <col min="12281" max="12281" width="22.54296875" style="242" customWidth="1"/>
    <col min="12282" max="12282" width="17.7265625" style="242" customWidth="1"/>
    <col min="12283" max="12283" width="19" style="242" customWidth="1"/>
    <col min="12284" max="12284" width="22.26953125" style="242" customWidth="1"/>
    <col min="12285" max="12535" width="8.81640625" style="242"/>
    <col min="12536" max="12536" width="5.26953125" style="242" customWidth="1"/>
    <col min="12537" max="12537" width="22.54296875" style="242" customWidth="1"/>
    <col min="12538" max="12538" width="17.7265625" style="242" customWidth="1"/>
    <col min="12539" max="12539" width="19" style="242" customWidth="1"/>
    <col min="12540" max="12540" width="22.26953125" style="242" customWidth="1"/>
    <col min="12541" max="12791" width="8.81640625" style="242"/>
    <col min="12792" max="12792" width="5.26953125" style="242" customWidth="1"/>
    <col min="12793" max="12793" width="22.54296875" style="242" customWidth="1"/>
    <col min="12794" max="12794" width="17.7265625" style="242" customWidth="1"/>
    <col min="12795" max="12795" width="19" style="242" customWidth="1"/>
    <col min="12796" max="12796" width="22.26953125" style="242" customWidth="1"/>
    <col min="12797" max="13047" width="8.81640625" style="242"/>
    <col min="13048" max="13048" width="5.26953125" style="242" customWidth="1"/>
    <col min="13049" max="13049" width="22.54296875" style="242" customWidth="1"/>
    <col min="13050" max="13050" width="17.7265625" style="242" customWidth="1"/>
    <col min="13051" max="13051" width="19" style="242" customWidth="1"/>
    <col min="13052" max="13052" width="22.26953125" style="242" customWidth="1"/>
    <col min="13053" max="13303" width="8.81640625" style="242"/>
    <col min="13304" max="13304" width="5.26953125" style="242" customWidth="1"/>
    <col min="13305" max="13305" width="22.54296875" style="242" customWidth="1"/>
    <col min="13306" max="13306" width="17.7265625" style="242" customWidth="1"/>
    <col min="13307" max="13307" width="19" style="242" customWidth="1"/>
    <col min="13308" max="13308" width="22.26953125" style="242" customWidth="1"/>
    <col min="13309" max="13559" width="8.81640625" style="242"/>
    <col min="13560" max="13560" width="5.26953125" style="242" customWidth="1"/>
    <col min="13561" max="13561" width="22.54296875" style="242" customWidth="1"/>
    <col min="13562" max="13562" width="17.7265625" style="242" customWidth="1"/>
    <col min="13563" max="13563" width="19" style="242" customWidth="1"/>
    <col min="13564" max="13564" width="22.26953125" style="242" customWidth="1"/>
    <col min="13565" max="13815" width="8.81640625" style="242"/>
    <col min="13816" max="13816" width="5.26953125" style="242" customWidth="1"/>
    <col min="13817" max="13817" width="22.54296875" style="242" customWidth="1"/>
    <col min="13818" max="13818" width="17.7265625" style="242" customWidth="1"/>
    <col min="13819" max="13819" width="19" style="242" customWidth="1"/>
    <col min="13820" max="13820" width="22.26953125" style="242" customWidth="1"/>
    <col min="13821" max="14071" width="8.81640625" style="242"/>
    <col min="14072" max="14072" width="5.26953125" style="242" customWidth="1"/>
    <col min="14073" max="14073" width="22.54296875" style="242" customWidth="1"/>
    <col min="14074" max="14074" width="17.7265625" style="242" customWidth="1"/>
    <col min="14075" max="14075" width="19" style="242" customWidth="1"/>
    <col min="14076" max="14076" width="22.26953125" style="242" customWidth="1"/>
    <col min="14077" max="14327" width="8.81640625" style="242"/>
    <col min="14328" max="14328" width="5.26953125" style="242" customWidth="1"/>
    <col min="14329" max="14329" width="22.54296875" style="242" customWidth="1"/>
    <col min="14330" max="14330" width="17.7265625" style="242" customWidth="1"/>
    <col min="14331" max="14331" width="19" style="242" customWidth="1"/>
    <col min="14332" max="14332" width="22.26953125" style="242" customWidth="1"/>
    <col min="14333" max="14583" width="8.81640625" style="242"/>
    <col min="14584" max="14584" width="5.26953125" style="242" customWidth="1"/>
    <col min="14585" max="14585" width="22.54296875" style="242" customWidth="1"/>
    <col min="14586" max="14586" width="17.7265625" style="242" customWidth="1"/>
    <col min="14587" max="14587" width="19" style="242" customWidth="1"/>
    <col min="14588" max="14588" width="22.26953125" style="242" customWidth="1"/>
    <col min="14589" max="14839" width="8.81640625" style="242"/>
    <col min="14840" max="14840" width="5.26953125" style="242" customWidth="1"/>
    <col min="14841" max="14841" width="22.54296875" style="242" customWidth="1"/>
    <col min="14842" max="14842" width="17.7265625" style="242" customWidth="1"/>
    <col min="14843" max="14843" width="19" style="242" customWidth="1"/>
    <col min="14844" max="14844" width="22.26953125" style="242" customWidth="1"/>
    <col min="14845" max="15095" width="8.81640625" style="242"/>
    <col min="15096" max="15096" width="5.26953125" style="242" customWidth="1"/>
    <col min="15097" max="15097" width="22.54296875" style="242" customWidth="1"/>
    <col min="15098" max="15098" width="17.7265625" style="242" customWidth="1"/>
    <col min="15099" max="15099" width="19" style="242" customWidth="1"/>
    <col min="15100" max="15100" width="22.26953125" style="242" customWidth="1"/>
    <col min="15101" max="15351" width="8.81640625" style="242"/>
    <col min="15352" max="15352" width="5.26953125" style="242" customWidth="1"/>
    <col min="15353" max="15353" width="22.54296875" style="242" customWidth="1"/>
    <col min="15354" max="15354" width="17.7265625" style="242" customWidth="1"/>
    <col min="15355" max="15355" width="19" style="242" customWidth="1"/>
    <col min="15356" max="15356" width="22.26953125" style="242" customWidth="1"/>
    <col min="15357" max="15607" width="8.81640625" style="242"/>
    <col min="15608" max="15608" width="5.26953125" style="242" customWidth="1"/>
    <col min="15609" max="15609" width="22.54296875" style="242" customWidth="1"/>
    <col min="15610" max="15610" width="17.7265625" style="242" customWidth="1"/>
    <col min="15611" max="15611" width="19" style="242" customWidth="1"/>
    <col min="15612" max="15612" width="22.26953125" style="242" customWidth="1"/>
    <col min="15613" max="15863" width="8.81640625" style="242"/>
    <col min="15864" max="15864" width="5.26953125" style="242" customWidth="1"/>
    <col min="15865" max="15865" width="22.54296875" style="242" customWidth="1"/>
    <col min="15866" max="15866" width="17.7265625" style="242" customWidth="1"/>
    <col min="15867" max="15867" width="19" style="242" customWidth="1"/>
    <col min="15868" max="15868" width="22.26953125" style="242" customWidth="1"/>
    <col min="15869" max="16119" width="8.81640625" style="242"/>
    <col min="16120" max="16120" width="5.26953125" style="242" customWidth="1"/>
    <col min="16121" max="16121" width="22.54296875" style="242" customWidth="1"/>
    <col min="16122" max="16122" width="17.7265625" style="242" customWidth="1"/>
    <col min="16123" max="16123" width="19" style="242" customWidth="1"/>
    <col min="16124" max="16124" width="22.26953125" style="242" customWidth="1"/>
    <col min="16125" max="16384" width="8.81640625" style="242"/>
  </cols>
  <sheetData>
    <row r="1" spans="1:8" s="227" customFormat="1" ht="23.25" customHeight="1" x14ac:dyDescent="0.35">
      <c r="A1" s="876" t="s">
        <v>1019</v>
      </c>
      <c r="B1" s="876"/>
      <c r="C1" s="876"/>
      <c r="D1" s="876"/>
      <c r="E1" s="876"/>
      <c r="F1" s="876"/>
      <c r="G1" s="876"/>
      <c r="H1" s="876"/>
    </row>
    <row r="2" spans="1:8" s="439" customFormat="1" ht="33" customHeight="1" x14ac:dyDescent="0.3">
      <c r="A2" s="877" t="s">
        <v>73</v>
      </c>
      <c r="B2" s="877" t="s">
        <v>50</v>
      </c>
      <c r="C2" s="879" t="s">
        <v>774</v>
      </c>
      <c r="D2" s="880"/>
      <c r="E2" s="879" t="s">
        <v>775</v>
      </c>
      <c r="F2" s="880"/>
      <c r="G2" s="879" t="s">
        <v>776</v>
      </c>
      <c r="H2" s="880"/>
    </row>
    <row r="3" spans="1:8" s="439" customFormat="1" ht="45" customHeight="1" x14ac:dyDescent="0.3">
      <c r="A3" s="878"/>
      <c r="B3" s="878"/>
      <c r="C3" s="228" t="s">
        <v>777</v>
      </c>
      <c r="D3" s="228" t="s">
        <v>778</v>
      </c>
      <c r="E3" s="228" t="s">
        <v>777</v>
      </c>
      <c r="F3" s="228" t="s">
        <v>778</v>
      </c>
      <c r="G3" s="228" t="s">
        <v>777</v>
      </c>
      <c r="H3" s="228" t="s">
        <v>778</v>
      </c>
    </row>
    <row r="4" spans="1:8" s="439" customFormat="1" ht="17.25" customHeight="1" x14ac:dyDescent="0.3">
      <c r="A4" s="438">
        <v>1</v>
      </c>
      <c r="B4" s="438">
        <v>2</v>
      </c>
      <c r="C4" s="438">
        <v>3</v>
      </c>
      <c r="D4" s="438">
        <v>4</v>
      </c>
      <c r="E4" s="438">
        <v>5</v>
      </c>
      <c r="F4" s="438">
        <v>6</v>
      </c>
      <c r="G4" s="438">
        <v>7</v>
      </c>
      <c r="H4" s="438">
        <v>8</v>
      </c>
    </row>
    <row r="5" spans="1:8" s="232" customFormat="1" ht="29.25" customHeight="1" x14ac:dyDescent="0.35">
      <c r="A5" s="229">
        <v>1</v>
      </c>
      <c r="B5" s="230" t="s">
        <v>58</v>
      </c>
      <c r="C5" s="231">
        <v>50</v>
      </c>
      <c r="D5" s="231">
        <v>16</v>
      </c>
      <c r="E5" s="231">
        <v>56</v>
      </c>
      <c r="F5" s="231">
        <v>17</v>
      </c>
      <c r="G5" s="231"/>
      <c r="H5" s="231">
        <v>0</v>
      </c>
    </row>
    <row r="6" spans="1:8" s="232" customFormat="1" ht="24.75" customHeight="1" x14ac:dyDescent="0.35">
      <c r="A6" s="229">
        <v>2</v>
      </c>
      <c r="B6" s="233" t="s">
        <v>13</v>
      </c>
      <c r="C6" s="231">
        <v>17</v>
      </c>
      <c r="D6" s="231">
        <v>15</v>
      </c>
      <c r="E6" s="231">
        <v>18</v>
      </c>
      <c r="F6" s="231">
        <v>15</v>
      </c>
      <c r="G6" s="231">
        <v>41</v>
      </c>
      <c r="H6" s="231">
        <v>17</v>
      </c>
    </row>
    <row r="7" spans="1:8" s="232" customFormat="1" ht="24.75" customHeight="1" x14ac:dyDescent="0.35">
      <c r="A7" s="229">
        <v>3</v>
      </c>
      <c r="B7" s="233" t="s">
        <v>14</v>
      </c>
      <c r="C7" s="231">
        <v>27</v>
      </c>
      <c r="D7" s="231">
        <v>23</v>
      </c>
      <c r="E7" s="231">
        <v>28</v>
      </c>
      <c r="F7" s="231">
        <v>23</v>
      </c>
      <c r="G7" s="231">
        <v>29</v>
      </c>
      <c r="H7" s="231">
        <v>20</v>
      </c>
    </row>
    <row r="8" spans="1:8" s="232" customFormat="1" ht="24.75" customHeight="1" x14ac:dyDescent="0.35">
      <c r="A8" s="229">
        <v>4</v>
      </c>
      <c r="B8" s="230" t="s">
        <v>15</v>
      </c>
      <c r="C8" s="231">
        <v>28</v>
      </c>
      <c r="D8" s="231">
        <v>25</v>
      </c>
      <c r="E8" s="231">
        <v>29</v>
      </c>
      <c r="F8" s="231">
        <v>25</v>
      </c>
      <c r="G8" s="231">
        <v>41</v>
      </c>
      <c r="H8" s="231">
        <v>18</v>
      </c>
    </row>
    <row r="9" spans="1:8" s="232" customFormat="1" ht="24.75" customHeight="1" x14ac:dyDescent="0.35">
      <c r="A9" s="229">
        <v>5</v>
      </c>
      <c r="B9" s="230" t="s">
        <v>16</v>
      </c>
      <c r="C9" s="231">
        <v>64</v>
      </c>
      <c r="D9" s="231">
        <v>60</v>
      </c>
      <c r="E9" s="231">
        <v>68</v>
      </c>
      <c r="F9" s="231">
        <v>64</v>
      </c>
      <c r="G9" s="231">
        <v>61</v>
      </c>
      <c r="H9" s="231">
        <v>26</v>
      </c>
    </row>
    <row r="10" spans="1:8" s="232" customFormat="1" ht="24.75" customHeight="1" x14ac:dyDescent="0.35">
      <c r="A10" s="229">
        <v>6</v>
      </c>
      <c r="B10" s="233" t="s">
        <v>17</v>
      </c>
      <c r="C10" s="231">
        <v>29</v>
      </c>
      <c r="D10" s="231">
        <v>20</v>
      </c>
      <c r="E10" s="231">
        <v>29</v>
      </c>
      <c r="F10" s="231">
        <v>20</v>
      </c>
      <c r="G10" s="231">
        <v>34</v>
      </c>
      <c r="H10" s="231">
        <v>13</v>
      </c>
    </row>
    <row r="11" spans="1:8" s="232" customFormat="1" ht="24.75" customHeight="1" x14ac:dyDescent="0.35">
      <c r="A11" s="229">
        <v>7</v>
      </c>
      <c r="B11" s="233" t="s">
        <v>18</v>
      </c>
      <c r="C11" s="417">
        <v>27</v>
      </c>
      <c r="D11" s="231">
        <v>26</v>
      </c>
      <c r="E11" s="231">
        <v>27</v>
      </c>
      <c r="F11" s="231">
        <v>26</v>
      </c>
      <c r="G11" s="231">
        <v>32</v>
      </c>
      <c r="H11" s="231">
        <v>21</v>
      </c>
    </row>
    <row r="12" spans="1:8" s="232" customFormat="1" ht="24.75" customHeight="1" x14ac:dyDescent="0.35">
      <c r="A12" s="229">
        <v>8</v>
      </c>
      <c r="B12" s="233" t="s">
        <v>19</v>
      </c>
      <c r="C12" s="231">
        <v>54</v>
      </c>
      <c r="D12" s="231">
        <v>26</v>
      </c>
      <c r="E12" s="231">
        <v>57</v>
      </c>
      <c r="F12" s="231">
        <v>27</v>
      </c>
      <c r="G12" s="231">
        <v>114</v>
      </c>
      <c r="H12" s="231">
        <v>24</v>
      </c>
    </row>
    <row r="13" spans="1:8" s="232" customFormat="1" ht="24.75" customHeight="1" x14ac:dyDescent="0.35">
      <c r="A13" s="229">
        <v>9</v>
      </c>
      <c r="B13" s="233" t="s">
        <v>20</v>
      </c>
      <c r="C13" s="231">
        <v>16</v>
      </c>
      <c r="D13" s="231">
        <v>15</v>
      </c>
      <c r="E13" s="231">
        <v>16</v>
      </c>
      <c r="F13" s="231">
        <v>15</v>
      </c>
      <c r="G13" s="231">
        <v>28</v>
      </c>
      <c r="H13" s="231">
        <v>17</v>
      </c>
    </row>
    <row r="14" spans="1:8" s="232" customFormat="1" ht="24.75" customHeight="1" x14ac:dyDescent="0.35">
      <c r="A14" s="229">
        <v>10</v>
      </c>
      <c r="B14" s="233" t="s">
        <v>21</v>
      </c>
      <c r="C14" s="231">
        <v>28</v>
      </c>
      <c r="D14" s="231">
        <v>26</v>
      </c>
      <c r="E14" s="231">
        <v>28</v>
      </c>
      <c r="F14" s="231">
        <v>27</v>
      </c>
      <c r="G14" s="231">
        <v>27</v>
      </c>
      <c r="H14" s="231">
        <v>22</v>
      </c>
    </row>
    <row r="15" spans="1:8" s="232" customFormat="1" ht="24.75" customHeight="1" x14ac:dyDescent="0.35">
      <c r="A15" s="229">
        <v>11</v>
      </c>
      <c r="B15" s="233" t="s">
        <v>22</v>
      </c>
      <c r="C15" s="231">
        <v>26</v>
      </c>
      <c r="D15" s="231">
        <v>22</v>
      </c>
      <c r="E15" s="231">
        <v>27</v>
      </c>
      <c r="F15" s="231">
        <v>23</v>
      </c>
      <c r="G15" s="231">
        <v>33</v>
      </c>
      <c r="H15" s="231">
        <v>19</v>
      </c>
    </row>
    <row r="16" spans="1:8" s="232" customFormat="1" ht="24.75" customHeight="1" x14ac:dyDescent="0.35">
      <c r="A16" s="229">
        <v>12</v>
      </c>
      <c r="B16" s="233" t="s">
        <v>23</v>
      </c>
      <c r="C16" s="231">
        <v>29</v>
      </c>
      <c r="D16" s="231">
        <v>24</v>
      </c>
      <c r="E16" s="231">
        <v>32</v>
      </c>
      <c r="F16" s="231">
        <v>25</v>
      </c>
      <c r="G16" s="231">
        <v>35</v>
      </c>
      <c r="H16" s="231">
        <v>16</v>
      </c>
    </row>
    <row r="17" spans="1:8" s="232" customFormat="1" ht="24.75" customHeight="1" x14ac:dyDescent="0.35">
      <c r="A17" s="229">
        <v>13</v>
      </c>
      <c r="B17" s="233" t="s">
        <v>24</v>
      </c>
      <c r="C17" s="231">
        <v>34</v>
      </c>
      <c r="D17" s="231">
        <v>24</v>
      </c>
      <c r="E17" s="231">
        <v>36</v>
      </c>
      <c r="F17" s="231">
        <v>25</v>
      </c>
      <c r="G17" s="231">
        <v>57</v>
      </c>
      <c r="H17" s="231">
        <v>15</v>
      </c>
    </row>
    <row r="18" spans="1:8" s="232" customFormat="1" ht="24.75" customHeight="1" x14ac:dyDescent="0.35">
      <c r="A18" s="229">
        <v>14</v>
      </c>
      <c r="B18" s="233" t="s">
        <v>25</v>
      </c>
      <c r="C18" s="231">
        <v>53</v>
      </c>
      <c r="D18" s="231">
        <v>50</v>
      </c>
      <c r="E18" s="231">
        <v>58</v>
      </c>
      <c r="F18" s="231">
        <v>55</v>
      </c>
      <c r="G18" s="231">
        <v>44</v>
      </c>
      <c r="H18" s="231">
        <v>31</v>
      </c>
    </row>
    <row r="19" spans="1:8" s="232" customFormat="1" ht="24.75" customHeight="1" x14ac:dyDescent="0.35">
      <c r="A19" s="229">
        <v>15</v>
      </c>
      <c r="B19" s="233" t="s">
        <v>26</v>
      </c>
      <c r="C19" s="231">
        <v>17</v>
      </c>
      <c r="D19" s="231">
        <v>16</v>
      </c>
      <c r="E19" s="231">
        <v>17</v>
      </c>
      <c r="F19" s="231">
        <v>16</v>
      </c>
      <c r="G19" s="231">
        <v>21</v>
      </c>
      <c r="H19" s="231">
        <v>17</v>
      </c>
    </row>
    <row r="20" spans="1:8" s="232" customFormat="1" ht="24.75" customHeight="1" x14ac:dyDescent="0.35">
      <c r="A20" s="229">
        <v>16</v>
      </c>
      <c r="B20" s="233" t="s">
        <v>27</v>
      </c>
      <c r="C20" s="231">
        <v>17</v>
      </c>
      <c r="D20" s="231">
        <v>14</v>
      </c>
      <c r="E20" s="231">
        <v>18</v>
      </c>
      <c r="F20" s="231">
        <v>14</v>
      </c>
      <c r="G20" s="231">
        <v>50</v>
      </c>
      <c r="H20" s="231">
        <v>13</v>
      </c>
    </row>
    <row r="21" spans="1:8" s="232" customFormat="1" ht="24.75" customHeight="1" x14ac:dyDescent="0.35">
      <c r="A21" s="229">
        <v>17</v>
      </c>
      <c r="B21" s="221" t="s">
        <v>28</v>
      </c>
      <c r="C21" s="231">
        <v>15</v>
      </c>
      <c r="D21" s="231">
        <v>14</v>
      </c>
      <c r="E21" s="231">
        <v>17</v>
      </c>
      <c r="F21" s="231">
        <v>17</v>
      </c>
      <c r="G21" s="231">
        <v>9</v>
      </c>
      <c r="H21" s="231">
        <v>9</v>
      </c>
    </row>
    <row r="22" spans="1:8" s="232" customFormat="1" ht="24.75" customHeight="1" x14ac:dyDescent="0.35">
      <c r="A22" s="229">
        <v>18</v>
      </c>
      <c r="B22" s="233" t="s">
        <v>72</v>
      </c>
      <c r="C22" s="231">
        <v>9</v>
      </c>
      <c r="D22" s="231">
        <v>9</v>
      </c>
      <c r="E22" s="231">
        <v>9</v>
      </c>
      <c r="F22" s="231">
        <v>9</v>
      </c>
      <c r="G22" s="231"/>
      <c r="H22" s="231"/>
    </row>
    <row r="23" spans="1:8" s="232" customFormat="1" ht="24.75" customHeight="1" x14ac:dyDescent="0.35">
      <c r="A23" s="229">
        <v>19</v>
      </c>
      <c r="B23" s="233" t="s">
        <v>29</v>
      </c>
      <c r="C23" s="231">
        <v>30</v>
      </c>
      <c r="D23" s="231">
        <v>28</v>
      </c>
      <c r="E23" s="231">
        <v>31</v>
      </c>
      <c r="F23" s="231">
        <v>29</v>
      </c>
      <c r="G23" s="231">
        <v>28</v>
      </c>
      <c r="H23" s="231">
        <v>22</v>
      </c>
    </row>
    <row r="24" spans="1:8" s="232" customFormat="1" ht="24.75" customHeight="1" x14ac:dyDescent="0.35">
      <c r="A24" s="229">
        <v>20</v>
      </c>
      <c r="B24" s="233" t="s">
        <v>30</v>
      </c>
      <c r="C24" s="231">
        <v>26</v>
      </c>
      <c r="D24" s="231">
        <v>22</v>
      </c>
      <c r="E24" s="231">
        <v>28</v>
      </c>
      <c r="F24" s="231">
        <v>24</v>
      </c>
      <c r="G24" s="231">
        <v>43</v>
      </c>
      <c r="H24" s="231">
        <v>15</v>
      </c>
    </row>
    <row r="25" spans="1:8" s="232" customFormat="1" ht="24.75" customHeight="1" x14ac:dyDescent="0.35">
      <c r="A25" s="229">
        <v>21</v>
      </c>
      <c r="B25" s="233" t="s">
        <v>31</v>
      </c>
      <c r="C25" s="231">
        <v>18</v>
      </c>
      <c r="D25" s="231">
        <v>17</v>
      </c>
      <c r="E25" s="231">
        <v>18</v>
      </c>
      <c r="F25" s="231">
        <v>17</v>
      </c>
      <c r="G25" s="231">
        <v>19</v>
      </c>
      <c r="H25" s="231">
        <v>14</v>
      </c>
    </row>
    <row r="26" spans="1:8" s="232" customFormat="1" ht="24.75" customHeight="1" x14ac:dyDescent="0.35">
      <c r="A26" s="229">
        <v>22</v>
      </c>
      <c r="B26" s="233" t="s">
        <v>32</v>
      </c>
      <c r="C26" s="231">
        <v>25</v>
      </c>
      <c r="D26" s="231">
        <v>23</v>
      </c>
      <c r="E26" s="231">
        <v>26</v>
      </c>
      <c r="F26" s="231">
        <v>24</v>
      </c>
      <c r="G26" s="231">
        <v>30</v>
      </c>
      <c r="H26" s="231">
        <v>21</v>
      </c>
    </row>
    <row r="27" spans="1:8" s="232" customFormat="1" ht="24.75" customHeight="1" x14ac:dyDescent="0.35">
      <c r="A27" s="229">
        <v>23</v>
      </c>
      <c r="B27" s="233" t="s">
        <v>33</v>
      </c>
      <c r="C27" s="231">
        <v>21</v>
      </c>
      <c r="D27" s="231">
        <v>18</v>
      </c>
      <c r="E27" s="231">
        <v>21</v>
      </c>
      <c r="F27" s="231">
        <v>17</v>
      </c>
      <c r="G27" s="231">
        <v>37</v>
      </c>
      <c r="H27" s="231">
        <v>15</v>
      </c>
    </row>
    <row r="28" spans="1:8" s="232" customFormat="1" ht="24.75" customHeight="1" x14ac:dyDescent="0.35">
      <c r="A28" s="229">
        <v>24</v>
      </c>
      <c r="B28" s="233" t="s">
        <v>34</v>
      </c>
      <c r="C28" s="231">
        <v>19</v>
      </c>
      <c r="D28" s="231">
        <v>17</v>
      </c>
      <c r="E28" s="231">
        <v>21</v>
      </c>
      <c r="F28" s="231">
        <v>19</v>
      </c>
      <c r="G28" s="231">
        <v>25</v>
      </c>
      <c r="H28" s="231">
        <v>16</v>
      </c>
    </row>
    <row r="29" spans="1:8" s="232" customFormat="1" ht="24.75" customHeight="1" x14ac:dyDescent="0.35">
      <c r="A29" s="229">
        <v>25</v>
      </c>
      <c r="B29" s="233" t="s">
        <v>35</v>
      </c>
      <c r="C29" s="231">
        <v>24</v>
      </c>
      <c r="D29" s="231">
        <v>23</v>
      </c>
      <c r="E29" s="231">
        <v>26</v>
      </c>
      <c r="F29" s="231">
        <v>24</v>
      </c>
      <c r="G29" s="231">
        <v>25</v>
      </c>
      <c r="H29" s="231">
        <v>19</v>
      </c>
    </row>
    <row r="30" spans="1:8" s="232" customFormat="1" ht="24.75" customHeight="1" x14ac:dyDescent="0.35">
      <c r="A30" s="229">
        <v>26</v>
      </c>
      <c r="B30" s="234" t="s">
        <v>36</v>
      </c>
      <c r="C30" s="231">
        <v>13</v>
      </c>
      <c r="D30" s="231">
        <v>10</v>
      </c>
      <c r="E30" s="231">
        <v>13</v>
      </c>
      <c r="F30" s="231">
        <v>10</v>
      </c>
      <c r="G30" s="231">
        <v>15</v>
      </c>
      <c r="H30" s="231">
        <v>8</v>
      </c>
    </row>
    <row r="31" spans="1:8" s="232" customFormat="1" ht="24.75" customHeight="1" x14ac:dyDescent="0.35">
      <c r="A31" s="229">
        <v>27</v>
      </c>
      <c r="B31" s="233" t="s">
        <v>37</v>
      </c>
      <c r="C31" s="231">
        <v>18</v>
      </c>
      <c r="D31" s="231">
        <v>16</v>
      </c>
      <c r="E31" s="231">
        <v>19</v>
      </c>
      <c r="F31" s="231">
        <v>16</v>
      </c>
      <c r="G31" s="231">
        <v>22</v>
      </c>
      <c r="H31" s="231">
        <v>15</v>
      </c>
    </row>
    <row r="32" spans="1:8" s="232" customFormat="1" ht="24.75" customHeight="1" x14ac:dyDescent="0.35">
      <c r="A32" s="229">
        <v>28</v>
      </c>
      <c r="B32" s="235" t="s">
        <v>38</v>
      </c>
      <c r="C32" s="231">
        <v>28</v>
      </c>
      <c r="D32" s="231">
        <v>26</v>
      </c>
      <c r="E32" s="231">
        <v>29</v>
      </c>
      <c r="F32" s="231">
        <v>27</v>
      </c>
      <c r="G32" s="231">
        <v>29</v>
      </c>
      <c r="H32" s="231">
        <v>19</v>
      </c>
    </row>
    <row r="33" spans="1:8" s="232" customFormat="1" ht="24.75" customHeight="1" x14ac:dyDescent="0.35">
      <c r="A33" s="229">
        <v>29</v>
      </c>
      <c r="B33" s="236" t="s">
        <v>39</v>
      </c>
      <c r="C33" s="231">
        <v>20</v>
      </c>
      <c r="D33" s="231">
        <v>17</v>
      </c>
      <c r="E33" s="231">
        <v>21</v>
      </c>
      <c r="F33" s="231">
        <v>17</v>
      </c>
      <c r="G33" s="231">
        <v>20</v>
      </c>
      <c r="H33" s="231">
        <v>13</v>
      </c>
    </row>
    <row r="34" spans="1:8" s="232" customFormat="1" ht="24.75" customHeight="1" x14ac:dyDescent="0.35">
      <c r="A34" s="229">
        <v>30</v>
      </c>
      <c r="B34" s="237" t="s">
        <v>40</v>
      </c>
      <c r="C34" s="231">
        <v>16</v>
      </c>
      <c r="D34" s="231">
        <v>14</v>
      </c>
      <c r="E34" s="231">
        <v>16</v>
      </c>
      <c r="F34" s="231">
        <v>15</v>
      </c>
      <c r="G34" s="231">
        <v>25</v>
      </c>
      <c r="H34" s="231">
        <v>15</v>
      </c>
    </row>
    <row r="35" spans="1:8" s="232" customFormat="1" ht="24.75" customHeight="1" x14ac:dyDescent="0.35">
      <c r="A35" s="229">
        <v>31</v>
      </c>
      <c r="B35" s="238" t="s">
        <v>41</v>
      </c>
      <c r="C35" s="231">
        <v>18</v>
      </c>
      <c r="D35" s="231">
        <v>17</v>
      </c>
      <c r="E35" s="231">
        <v>19</v>
      </c>
      <c r="F35" s="231">
        <v>17</v>
      </c>
      <c r="G35" s="231">
        <v>40</v>
      </c>
      <c r="H35" s="231">
        <v>20</v>
      </c>
    </row>
    <row r="36" spans="1:8" s="232" customFormat="1" ht="28" x14ac:dyDescent="0.35">
      <c r="A36" s="229">
        <v>32</v>
      </c>
      <c r="B36" s="238" t="s">
        <v>60</v>
      </c>
      <c r="C36" s="231">
        <v>19</v>
      </c>
      <c r="D36" s="231">
        <v>19</v>
      </c>
      <c r="E36" s="231">
        <v>20</v>
      </c>
      <c r="F36" s="231">
        <v>20</v>
      </c>
      <c r="G36" s="231">
        <v>25</v>
      </c>
      <c r="H36" s="231">
        <v>25</v>
      </c>
    </row>
    <row r="37" spans="1:8" s="232" customFormat="1" ht="24.75" customHeight="1" x14ac:dyDescent="0.35">
      <c r="A37" s="229">
        <v>33</v>
      </c>
      <c r="B37" s="237" t="s">
        <v>42</v>
      </c>
      <c r="C37" s="231">
        <v>36</v>
      </c>
      <c r="D37" s="231">
        <v>34</v>
      </c>
      <c r="E37" s="231">
        <v>38</v>
      </c>
      <c r="F37" s="231">
        <v>35</v>
      </c>
      <c r="G37" s="231">
        <v>38</v>
      </c>
      <c r="H37" s="231">
        <v>26</v>
      </c>
    </row>
    <row r="38" spans="1:8" s="232" customFormat="1" ht="24.75" customHeight="1" x14ac:dyDescent="0.35">
      <c r="A38" s="229">
        <v>34</v>
      </c>
      <c r="B38" s="233" t="s">
        <v>43</v>
      </c>
      <c r="C38" s="231">
        <v>36</v>
      </c>
      <c r="D38" s="231">
        <v>35</v>
      </c>
      <c r="E38" s="231">
        <v>38</v>
      </c>
      <c r="F38" s="231">
        <v>37</v>
      </c>
      <c r="G38" s="231">
        <v>26</v>
      </c>
      <c r="H38" s="231">
        <v>20</v>
      </c>
    </row>
    <row r="39" spans="1:8" s="232" customFormat="1" ht="24.75" customHeight="1" x14ac:dyDescent="0.35">
      <c r="A39" s="229">
        <v>35</v>
      </c>
      <c r="B39" s="233" t="s">
        <v>44</v>
      </c>
      <c r="C39" s="231">
        <v>27</v>
      </c>
      <c r="D39" s="231">
        <v>22</v>
      </c>
      <c r="E39" s="231">
        <v>29</v>
      </c>
      <c r="F39" s="231">
        <v>23</v>
      </c>
      <c r="G39" s="231">
        <v>34</v>
      </c>
      <c r="H39" s="231">
        <v>20</v>
      </c>
    </row>
    <row r="40" spans="1:8" s="232" customFormat="1" ht="24.75" customHeight="1" x14ac:dyDescent="0.35">
      <c r="A40" s="229">
        <v>36</v>
      </c>
      <c r="B40" s="233" t="s">
        <v>45</v>
      </c>
      <c r="C40" s="231">
        <v>35</v>
      </c>
      <c r="D40" s="231">
        <v>28</v>
      </c>
      <c r="E40" s="231">
        <v>38</v>
      </c>
      <c r="F40" s="231">
        <v>30</v>
      </c>
      <c r="G40" s="231">
        <v>78</v>
      </c>
      <c r="H40" s="231">
        <v>21</v>
      </c>
    </row>
    <row r="41" spans="1:8" s="240" customFormat="1" ht="24.75" customHeight="1" x14ac:dyDescent="0.35">
      <c r="A41" s="875" t="s">
        <v>46</v>
      </c>
      <c r="B41" s="875"/>
      <c r="C41" s="239">
        <v>26</v>
      </c>
      <c r="D41" s="239">
        <v>23</v>
      </c>
      <c r="E41" s="239">
        <v>27</v>
      </c>
      <c r="F41" s="239">
        <v>24</v>
      </c>
      <c r="G41" s="239">
        <v>35</v>
      </c>
      <c r="H41" s="239">
        <v>19</v>
      </c>
    </row>
    <row r="42" spans="1:8" s="241" customFormat="1" ht="16.149999999999999" customHeight="1" x14ac:dyDescent="0.3">
      <c r="C42" s="242"/>
    </row>
  </sheetData>
  <mergeCells count="7">
    <mergeCell ref="A41:B41"/>
    <mergeCell ref="A1:H1"/>
    <mergeCell ref="A2:A3"/>
    <mergeCell ref="B2:B3"/>
    <mergeCell ref="C2:D2"/>
    <mergeCell ref="E2:F2"/>
    <mergeCell ref="G2:H2"/>
  </mergeCells>
  <pageMargins left="0.59055118110236227" right="0.35433070866141736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2022-23&amp;RT-25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6266-F99B-4114-AF16-6C36FE6CF115}">
  <sheetPr codeName="Sheet37">
    <tabColor rgb="FF92D050"/>
  </sheetPr>
  <dimension ref="A1:AB29"/>
  <sheetViews>
    <sheetView view="pageBreakPreview" zoomScale="104" zoomScaleSheetLayoutView="104" workbookViewId="0">
      <pane xSplit="1" topLeftCell="M1" activePane="topRight" state="frozen"/>
      <selection activeCell="S20" sqref="S20"/>
      <selection pane="topRight" activeCell="Y7" sqref="Y7"/>
    </sheetView>
  </sheetViews>
  <sheetFormatPr defaultColWidth="9.26953125" defaultRowHeight="13" x14ac:dyDescent="0.3"/>
  <cols>
    <col min="1" max="1" width="23.54296875" style="243" customWidth="1"/>
    <col min="2" max="2" width="7.54296875" style="243" customWidth="1"/>
    <col min="3" max="3" width="8" style="243" bestFit="1" customWidth="1"/>
    <col min="4" max="4" width="9.26953125" style="243" customWidth="1"/>
    <col min="5" max="7" width="7.54296875" style="243" customWidth="1"/>
    <col min="8" max="9" width="9.26953125" style="243" customWidth="1"/>
    <col min="10" max="10" width="9" style="243" customWidth="1"/>
    <col min="11" max="11" width="11" style="243" customWidth="1"/>
    <col min="12" max="12" width="10" style="243" customWidth="1"/>
    <col min="13" max="13" width="10.6328125" style="243" bestFit="1" customWidth="1"/>
    <col min="14" max="14" width="6.90625" style="243" bestFit="1" customWidth="1"/>
    <col min="15" max="15" width="7.1796875" style="243" bestFit="1" customWidth="1"/>
    <col min="16" max="16" width="8.26953125" style="243" bestFit="1" customWidth="1"/>
    <col min="17" max="17" width="8.26953125" style="243" customWidth="1"/>
    <col min="18" max="19" width="8.26953125" style="243" bestFit="1" customWidth="1"/>
    <col min="20" max="20" width="6.90625" style="243" bestFit="1" customWidth="1"/>
    <col min="21" max="21" width="7.1796875" style="243" bestFit="1" customWidth="1"/>
    <col min="22" max="22" width="6.90625" style="243" bestFit="1" customWidth="1"/>
    <col min="23" max="25" width="8.26953125" style="243" bestFit="1" customWidth="1"/>
    <col min="26" max="28" width="10.6328125" style="243" bestFit="1" customWidth="1"/>
    <col min="29" max="16384" width="9.26953125" style="243"/>
  </cols>
  <sheetData>
    <row r="1" spans="1:28" ht="42" customHeight="1" x14ac:dyDescent="0.3">
      <c r="A1" s="26" t="s">
        <v>779</v>
      </c>
      <c r="B1" s="743" t="s">
        <v>780</v>
      </c>
      <c r="C1" s="743"/>
      <c r="D1" s="743"/>
      <c r="E1" s="743"/>
      <c r="F1" s="743"/>
      <c r="G1" s="743"/>
      <c r="H1" s="743"/>
      <c r="I1" s="743"/>
      <c r="J1" s="743"/>
      <c r="K1" s="743" t="s">
        <v>780</v>
      </c>
      <c r="L1" s="743"/>
      <c r="M1" s="743"/>
      <c r="N1" s="743"/>
      <c r="O1" s="743"/>
      <c r="P1" s="743"/>
      <c r="Q1" s="743"/>
      <c r="R1" s="743"/>
      <c r="S1" s="743"/>
      <c r="T1" s="743" t="s">
        <v>780</v>
      </c>
      <c r="U1" s="743"/>
      <c r="V1" s="743"/>
      <c r="W1" s="743"/>
      <c r="X1" s="743"/>
      <c r="Y1" s="743"/>
      <c r="Z1" s="743"/>
      <c r="AA1" s="743"/>
      <c r="AB1" s="743"/>
    </row>
    <row r="2" spans="1:28" s="244" customFormat="1" ht="18" customHeight="1" x14ac:dyDescent="0.3">
      <c r="A2" s="772" t="s">
        <v>781</v>
      </c>
      <c r="B2" s="772" t="s">
        <v>85</v>
      </c>
      <c r="C2" s="772"/>
      <c r="D2" s="772"/>
      <c r="E2" s="772" t="s">
        <v>86</v>
      </c>
      <c r="F2" s="772"/>
      <c r="G2" s="772"/>
      <c r="H2" s="772" t="s">
        <v>87</v>
      </c>
      <c r="I2" s="772"/>
      <c r="J2" s="772"/>
      <c r="K2" s="772" t="s">
        <v>88</v>
      </c>
      <c r="L2" s="772"/>
      <c r="M2" s="772"/>
      <c r="N2" s="772" t="s">
        <v>89</v>
      </c>
      <c r="O2" s="772"/>
      <c r="P2" s="772"/>
      <c r="Q2" s="772" t="s">
        <v>90</v>
      </c>
      <c r="R2" s="772"/>
      <c r="S2" s="772"/>
      <c r="T2" s="772" t="s">
        <v>91</v>
      </c>
      <c r="U2" s="772"/>
      <c r="V2" s="772"/>
      <c r="W2" s="772" t="s">
        <v>92</v>
      </c>
      <c r="X2" s="772"/>
      <c r="Y2" s="772"/>
      <c r="Z2" s="772" t="s">
        <v>12</v>
      </c>
      <c r="AA2" s="772"/>
      <c r="AB2" s="772"/>
    </row>
    <row r="3" spans="1:28" s="245" customFormat="1" ht="18" customHeight="1" x14ac:dyDescent="0.3">
      <c r="A3" s="772"/>
      <c r="B3" s="83" t="s">
        <v>93</v>
      </c>
      <c r="C3" s="83" t="s">
        <v>94</v>
      </c>
      <c r="D3" s="83" t="s">
        <v>54</v>
      </c>
      <c r="E3" s="83" t="s">
        <v>93</v>
      </c>
      <c r="F3" s="83" t="s">
        <v>94</v>
      </c>
      <c r="G3" s="83" t="s">
        <v>54</v>
      </c>
      <c r="H3" s="83" t="s">
        <v>93</v>
      </c>
      <c r="I3" s="83" t="s">
        <v>94</v>
      </c>
      <c r="J3" s="83" t="s">
        <v>54</v>
      </c>
      <c r="K3" s="83" t="s">
        <v>93</v>
      </c>
      <c r="L3" s="83" t="s">
        <v>94</v>
      </c>
      <c r="M3" s="83" t="s">
        <v>54</v>
      </c>
      <c r="N3" s="83" t="s">
        <v>93</v>
      </c>
      <c r="O3" s="83" t="s">
        <v>94</v>
      </c>
      <c r="P3" s="83" t="s">
        <v>54</v>
      </c>
      <c r="Q3" s="83" t="s">
        <v>93</v>
      </c>
      <c r="R3" s="83" t="s">
        <v>94</v>
      </c>
      <c r="S3" s="83" t="s">
        <v>54</v>
      </c>
      <c r="T3" s="83" t="s">
        <v>93</v>
      </c>
      <c r="U3" s="83" t="s">
        <v>94</v>
      </c>
      <c r="V3" s="83" t="s">
        <v>54</v>
      </c>
      <c r="W3" s="83" t="s">
        <v>93</v>
      </c>
      <c r="X3" s="83" t="s">
        <v>94</v>
      </c>
      <c r="Y3" s="83" t="s">
        <v>54</v>
      </c>
      <c r="Z3" s="83" t="s">
        <v>93</v>
      </c>
      <c r="AA3" s="83" t="s">
        <v>94</v>
      </c>
      <c r="AB3" s="83" t="s">
        <v>54</v>
      </c>
    </row>
    <row r="4" spans="1:28" ht="12.75" customHeight="1" x14ac:dyDescent="0.3">
      <c r="A4" s="246">
        <v>1</v>
      </c>
      <c r="B4" s="246">
        <v>2</v>
      </c>
      <c r="C4" s="246">
        <v>3</v>
      </c>
      <c r="D4" s="246">
        <v>4</v>
      </c>
      <c r="E4" s="246">
        <v>5</v>
      </c>
      <c r="F4" s="246">
        <v>6</v>
      </c>
      <c r="G4" s="246">
        <v>7</v>
      </c>
      <c r="H4" s="246">
        <v>8</v>
      </c>
      <c r="I4" s="246">
        <v>9</v>
      </c>
      <c r="J4" s="246">
        <v>10</v>
      </c>
      <c r="K4" s="246">
        <v>11</v>
      </c>
      <c r="L4" s="246">
        <v>12</v>
      </c>
      <c r="M4" s="246">
        <v>13</v>
      </c>
      <c r="N4" s="246">
        <v>14</v>
      </c>
      <c r="O4" s="246">
        <v>15</v>
      </c>
      <c r="P4" s="246">
        <v>16</v>
      </c>
      <c r="Q4" s="246">
        <v>17</v>
      </c>
      <c r="R4" s="246">
        <v>18</v>
      </c>
      <c r="S4" s="246">
        <v>19</v>
      </c>
      <c r="T4" s="246">
        <v>20</v>
      </c>
      <c r="U4" s="246">
        <v>21</v>
      </c>
      <c r="V4" s="246">
        <v>22</v>
      </c>
      <c r="W4" s="246">
        <v>23</v>
      </c>
      <c r="X4" s="246">
        <v>24</v>
      </c>
      <c r="Y4" s="246">
        <v>25</v>
      </c>
      <c r="Z4" s="246">
        <v>26</v>
      </c>
      <c r="AA4" s="246">
        <v>27</v>
      </c>
      <c r="AB4" s="246">
        <v>28</v>
      </c>
    </row>
    <row r="5" spans="1:28" ht="40.5" customHeight="1" x14ac:dyDescent="0.3">
      <c r="A5" s="33" t="s">
        <v>782</v>
      </c>
      <c r="B5" s="17">
        <v>15973</v>
      </c>
      <c r="C5" s="17">
        <v>12933</v>
      </c>
      <c r="D5" s="17">
        <v>28906</v>
      </c>
      <c r="E5" s="17">
        <v>260</v>
      </c>
      <c r="F5" s="17">
        <v>237</v>
      </c>
      <c r="G5" s="17">
        <v>497</v>
      </c>
      <c r="H5" s="17">
        <v>71432</v>
      </c>
      <c r="I5" s="17">
        <v>69196</v>
      </c>
      <c r="J5" s="17">
        <v>140628</v>
      </c>
      <c r="K5" s="17">
        <v>272488</v>
      </c>
      <c r="L5" s="17">
        <v>250704</v>
      </c>
      <c r="M5" s="634">
        <v>523192</v>
      </c>
      <c r="N5" s="634">
        <v>1863</v>
      </c>
      <c r="O5" s="634">
        <v>2045</v>
      </c>
      <c r="P5" s="634">
        <v>3908</v>
      </c>
      <c r="Q5" s="634">
        <v>8156</v>
      </c>
      <c r="R5" s="634">
        <v>2537</v>
      </c>
      <c r="S5" s="634">
        <v>10693</v>
      </c>
      <c r="T5" s="634">
        <v>3200</v>
      </c>
      <c r="U5" s="634">
        <v>1310</v>
      </c>
      <c r="V5" s="634">
        <v>4510</v>
      </c>
      <c r="W5" s="634">
        <v>7318</v>
      </c>
      <c r="X5" s="634">
        <v>5904</v>
      </c>
      <c r="Y5" s="634">
        <v>13222</v>
      </c>
      <c r="Z5" s="634">
        <v>380690</v>
      </c>
      <c r="AA5" s="634">
        <v>344866</v>
      </c>
      <c r="AB5" s="634">
        <v>725556</v>
      </c>
    </row>
    <row r="6" spans="1:28" ht="40.5" customHeight="1" x14ac:dyDescent="0.3">
      <c r="A6" s="33" t="s">
        <v>783</v>
      </c>
      <c r="B6" s="17">
        <v>77</v>
      </c>
      <c r="C6" s="17">
        <v>105</v>
      </c>
      <c r="D6" s="17">
        <v>182</v>
      </c>
      <c r="E6" s="17">
        <v>0</v>
      </c>
      <c r="F6" s="17"/>
      <c r="G6" s="17"/>
      <c r="H6" s="17">
        <v>196571</v>
      </c>
      <c r="I6" s="17">
        <v>255345</v>
      </c>
      <c r="J6" s="17">
        <v>451916</v>
      </c>
      <c r="K6" s="17">
        <v>456539</v>
      </c>
      <c r="L6" s="17">
        <v>288995</v>
      </c>
      <c r="M6" s="634">
        <v>745534</v>
      </c>
      <c r="N6" s="634">
        <v>16890</v>
      </c>
      <c r="O6" s="634">
        <v>11623</v>
      </c>
      <c r="P6" s="634">
        <v>28513</v>
      </c>
      <c r="Q6" s="634">
        <v>8758</v>
      </c>
      <c r="R6" s="634">
        <v>26601</v>
      </c>
      <c r="S6" s="634">
        <v>35359</v>
      </c>
      <c r="T6" s="634">
        <v>90</v>
      </c>
      <c r="U6" s="634">
        <v>61</v>
      </c>
      <c r="V6" s="634">
        <v>151</v>
      </c>
      <c r="W6" s="634">
        <v>0</v>
      </c>
      <c r="X6" s="634"/>
      <c r="Y6" s="634"/>
      <c r="Z6" s="634">
        <v>678925</v>
      </c>
      <c r="AA6" s="634">
        <v>582730</v>
      </c>
      <c r="AB6" s="634">
        <v>1261655</v>
      </c>
    </row>
    <row r="7" spans="1:28" ht="40.5" customHeight="1" x14ac:dyDescent="0.3">
      <c r="A7" s="247" t="s">
        <v>784</v>
      </c>
      <c r="B7" s="17">
        <v>27745</v>
      </c>
      <c r="C7" s="17">
        <v>14203</v>
      </c>
      <c r="D7" s="17">
        <v>41948</v>
      </c>
      <c r="E7" s="17">
        <v>71</v>
      </c>
      <c r="F7" s="17">
        <v>78</v>
      </c>
      <c r="G7" s="17">
        <v>149</v>
      </c>
      <c r="H7" s="17">
        <v>57976</v>
      </c>
      <c r="I7" s="17">
        <v>24602</v>
      </c>
      <c r="J7" s="17">
        <v>82578</v>
      </c>
      <c r="K7" s="17">
        <v>143864</v>
      </c>
      <c r="L7" s="17">
        <v>50415</v>
      </c>
      <c r="M7" s="634">
        <v>194279</v>
      </c>
      <c r="N7" s="634">
        <v>312</v>
      </c>
      <c r="O7" s="634">
        <v>172</v>
      </c>
      <c r="P7" s="634">
        <v>484</v>
      </c>
      <c r="Q7" s="634">
        <v>5793</v>
      </c>
      <c r="R7" s="634">
        <v>2267</v>
      </c>
      <c r="S7" s="634">
        <v>8060</v>
      </c>
      <c r="T7" s="634">
        <v>14473</v>
      </c>
      <c r="U7" s="634">
        <v>5534</v>
      </c>
      <c r="V7" s="634">
        <v>20007</v>
      </c>
      <c r="W7" s="634">
        <v>16559</v>
      </c>
      <c r="X7" s="634">
        <v>6678</v>
      </c>
      <c r="Y7" s="634">
        <v>23237</v>
      </c>
      <c r="Z7" s="634">
        <v>266793</v>
      </c>
      <c r="AA7" s="634">
        <v>103949</v>
      </c>
      <c r="AB7" s="634">
        <v>370742</v>
      </c>
    </row>
    <row r="8" spans="1:28" ht="40.5" customHeight="1" x14ac:dyDescent="0.3">
      <c r="A8" s="33" t="s">
        <v>785</v>
      </c>
      <c r="B8" s="17">
        <v>25621</v>
      </c>
      <c r="C8" s="17">
        <v>25750</v>
      </c>
      <c r="D8" s="17">
        <v>51371</v>
      </c>
      <c r="E8" s="17">
        <v>354</v>
      </c>
      <c r="F8" s="17">
        <v>358</v>
      </c>
      <c r="G8" s="17">
        <v>712</v>
      </c>
      <c r="H8" s="17">
        <v>483806</v>
      </c>
      <c r="I8" s="17">
        <v>649683</v>
      </c>
      <c r="J8" s="17">
        <v>1133489</v>
      </c>
      <c r="K8" s="17">
        <v>1002923</v>
      </c>
      <c r="L8" s="17">
        <v>835416</v>
      </c>
      <c r="M8" s="634">
        <v>1838339</v>
      </c>
      <c r="N8" s="634">
        <v>27563</v>
      </c>
      <c r="O8" s="634">
        <v>27338</v>
      </c>
      <c r="P8" s="634">
        <v>54901</v>
      </c>
      <c r="Q8" s="634">
        <v>51006</v>
      </c>
      <c r="R8" s="634">
        <v>29548</v>
      </c>
      <c r="S8" s="634">
        <v>80554</v>
      </c>
      <c r="T8" s="634">
        <v>5857</v>
      </c>
      <c r="U8" s="634">
        <v>6724</v>
      </c>
      <c r="V8" s="634">
        <v>12581</v>
      </c>
      <c r="W8" s="634">
        <v>31242</v>
      </c>
      <c r="X8" s="634">
        <v>32709</v>
      </c>
      <c r="Y8" s="634">
        <v>63951</v>
      </c>
      <c r="Z8" s="634">
        <v>1628372</v>
      </c>
      <c r="AA8" s="634">
        <v>1607526</v>
      </c>
      <c r="AB8" s="634">
        <v>3235898</v>
      </c>
    </row>
    <row r="9" spans="1:28" ht="40.5" customHeight="1" x14ac:dyDescent="0.3">
      <c r="A9" s="33" t="s">
        <v>786</v>
      </c>
      <c r="B9" s="17">
        <v>155</v>
      </c>
      <c r="C9" s="17">
        <v>125</v>
      </c>
      <c r="D9" s="17">
        <v>280</v>
      </c>
      <c r="E9" s="17">
        <v>0</v>
      </c>
      <c r="F9" s="17"/>
      <c r="G9" s="17"/>
      <c r="H9" s="17">
        <v>226189</v>
      </c>
      <c r="I9" s="17">
        <v>262910</v>
      </c>
      <c r="J9" s="17">
        <v>489099</v>
      </c>
      <c r="K9" s="17">
        <v>719510</v>
      </c>
      <c r="L9" s="17">
        <v>455555</v>
      </c>
      <c r="M9" s="634">
        <v>1175065</v>
      </c>
      <c r="N9" s="634">
        <v>2055</v>
      </c>
      <c r="O9" s="634">
        <v>1314</v>
      </c>
      <c r="P9" s="634">
        <v>3369</v>
      </c>
      <c r="Q9" s="634">
        <v>33923</v>
      </c>
      <c r="R9" s="634">
        <v>20989</v>
      </c>
      <c r="S9" s="634">
        <v>54912</v>
      </c>
      <c r="T9" s="634">
        <v>9129</v>
      </c>
      <c r="U9" s="634">
        <v>6806</v>
      </c>
      <c r="V9" s="634">
        <v>15935</v>
      </c>
      <c r="W9" s="634">
        <v>0</v>
      </c>
      <c r="X9" s="634"/>
      <c r="Y9" s="634"/>
      <c r="Z9" s="634">
        <v>990961</v>
      </c>
      <c r="AA9" s="634">
        <v>747699</v>
      </c>
      <c r="AB9" s="634">
        <v>1738660</v>
      </c>
    </row>
    <row r="10" spans="1:28" ht="40.5" customHeight="1" x14ac:dyDescent="0.3">
      <c r="A10" s="33" t="s">
        <v>787</v>
      </c>
      <c r="B10" s="17">
        <v>19637</v>
      </c>
      <c r="C10" s="17">
        <v>20805</v>
      </c>
      <c r="D10" s="17">
        <v>40442</v>
      </c>
      <c r="E10" s="17">
        <v>54</v>
      </c>
      <c r="F10" s="17">
        <v>184</v>
      </c>
      <c r="G10" s="17">
        <v>238</v>
      </c>
      <c r="H10" s="17">
        <v>203230</v>
      </c>
      <c r="I10" s="17">
        <v>156365</v>
      </c>
      <c r="J10" s="17">
        <v>359595</v>
      </c>
      <c r="K10" s="17">
        <v>869736</v>
      </c>
      <c r="L10" s="17">
        <v>451013</v>
      </c>
      <c r="M10" s="634">
        <v>1320749</v>
      </c>
      <c r="N10" s="634">
        <v>6711</v>
      </c>
      <c r="O10" s="634">
        <v>3671</v>
      </c>
      <c r="P10" s="634">
        <v>10382</v>
      </c>
      <c r="Q10" s="634">
        <v>92906</v>
      </c>
      <c r="R10" s="634">
        <v>26756</v>
      </c>
      <c r="S10" s="634">
        <v>119662</v>
      </c>
      <c r="T10" s="634">
        <v>1379</v>
      </c>
      <c r="U10" s="634">
        <v>859</v>
      </c>
      <c r="V10" s="634">
        <v>2238</v>
      </c>
      <c r="W10" s="634">
        <v>46318</v>
      </c>
      <c r="X10" s="634">
        <v>35901</v>
      </c>
      <c r="Y10" s="634">
        <v>82219</v>
      </c>
      <c r="Z10" s="634">
        <v>1239971</v>
      </c>
      <c r="AA10" s="634">
        <v>695554</v>
      </c>
      <c r="AB10" s="634">
        <v>1935525</v>
      </c>
    </row>
    <row r="11" spans="1:28" ht="40.5" customHeight="1" x14ac:dyDescent="0.3">
      <c r="A11" s="33" t="s">
        <v>788</v>
      </c>
      <c r="B11" s="17">
        <v>20</v>
      </c>
      <c r="C11" s="420">
        <v>8</v>
      </c>
      <c r="D11" s="17">
        <v>28</v>
      </c>
      <c r="E11" s="17">
        <v>0</v>
      </c>
      <c r="F11" s="17"/>
      <c r="G11" s="17"/>
      <c r="H11" s="17">
        <v>549</v>
      </c>
      <c r="I11" s="17">
        <v>388</v>
      </c>
      <c r="J11" s="17">
        <v>937</v>
      </c>
      <c r="K11" s="17">
        <v>897</v>
      </c>
      <c r="L11" s="17">
        <v>526</v>
      </c>
      <c r="M11" s="634">
        <v>1423</v>
      </c>
      <c r="N11" s="634">
        <v>0</v>
      </c>
      <c r="O11" s="634"/>
      <c r="P11" s="634"/>
      <c r="Q11" s="634">
        <v>0</v>
      </c>
      <c r="R11" s="634"/>
      <c r="S11" s="634"/>
      <c r="T11" s="634">
        <v>0</v>
      </c>
      <c r="U11" s="634"/>
      <c r="V11" s="634"/>
      <c r="W11" s="634">
        <v>0</v>
      </c>
      <c r="X11" s="634"/>
      <c r="Y11" s="634"/>
      <c r="Z11" s="634">
        <v>1466</v>
      </c>
      <c r="AA11" s="634">
        <v>922</v>
      </c>
      <c r="AB11" s="634">
        <v>2388</v>
      </c>
    </row>
    <row r="12" spans="1:28" ht="40.5" customHeight="1" x14ac:dyDescent="0.3">
      <c r="A12" s="33" t="s">
        <v>789</v>
      </c>
      <c r="B12" s="17">
        <v>292</v>
      </c>
      <c r="C12" s="17">
        <v>132</v>
      </c>
      <c r="D12" s="17">
        <v>424</v>
      </c>
      <c r="E12" s="17">
        <v>0</v>
      </c>
      <c r="F12" s="17"/>
      <c r="G12" s="17"/>
      <c r="H12" s="17">
        <v>621</v>
      </c>
      <c r="I12" s="17">
        <v>549</v>
      </c>
      <c r="J12" s="17">
        <v>1170</v>
      </c>
      <c r="K12" s="17">
        <v>1216</v>
      </c>
      <c r="L12" s="17">
        <v>2902</v>
      </c>
      <c r="M12" s="634">
        <v>4118</v>
      </c>
      <c r="N12" s="634">
        <v>8</v>
      </c>
      <c r="O12" s="634">
        <v>2</v>
      </c>
      <c r="P12" s="634">
        <v>10</v>
      </c>
      <c r="Q12" s="634">
        <v>912</v>
      </c>
      <c r="R12" s="634">
        <v>1259</v>
      </c>
      <c r="S12" s="634">
        <v>2171</v>
      </c>
      <c r="T12" s="634">
        <v>72</v>
      </c>
      <c r="U12" s="634">
        <v>66</v>
      </c>
      <c r="V12" s="634">
        <v>138</v>
      </c>
      <c r="W12" s="634">
        <v>0</v>
      </c>
      <c r="X12" s="634"/>
      <c r="Y12" s="634"/>
      <c r="Z12" s="634">
        <v>3121</v>
      </c>
      <c r="AA12" s="634">
        <v>4910</v>
      </c>
      <c r="AB12" s="634">
        <v>8031</v>
      </c>
    </row>
    <row r="13" spans="1:28" ht="40.5" customHeight="1" x14ac:dyDescent="0.3">
      <c r="A13" s="33" t="s">
        <v>790</v>
      </c>
      <c r="B13" s="17">
        <v>3157</v>
      </c>
      <c r="C13" s="17">
        <v>1944</v>
      </c>
      <c r="D13" s="17">
        <v>5101</v>
      </c>
      <c r="E13" s="17">
        <v>12</v>
      </c>
      <c r="F13" s="17">
        <v>30</v>
      </c>
      <c r="G13" s="17">
        <v>42</v>
      </c>
      <c r="H13" s="17">
        <v>6084</v>
      </c>
      <c r="I13" s="17">
        <v>3338</v>
      </c>
      <c r="J13" s="17">
        <v>9422</v>
      </c>
      <c r="K13" s="17">
        <v>9191</v>
      </c>
      <c r="L13" s="17">
        <v>3145</v>
      </c>
      <c r="M13" s="634">
        <v>12336</v>
      </c>
      <c r="N13" s="634">
        <v>461</v>
      </c>
      <c r="O13" s="634">
        <v>174</v>
      </c>
      <c r="P13" s="634">
        <v>635</v>
      </c>
      <c r="Q13" s="634">
        <v>1276</v>
      </c>
      <c r="R13" s="634">
        <v>406</v>
      </c>
      <c r="S13" s="634">
        <v>1682</v>
      </c>
      <c r="T13" s="634">
        <v>342</v>
      </c>
      <c r="U13" s="634">
        <v>159</v>
      </c>
      <c r="V13" s="634">
        <v>501</v>
      </c>
      <c r="W13" s="634">
        <v>917</v>
      </c>
      <c r="X13" s="634">
        <v>332</v>
      </c>
      <c r="Y13" s="634">
        <v>1249</v>
      </c>
      <c r="Z13" s="634">
        <v>21440</v>
      </c>
      <c r="AA13" s="634">
        <v>9528</v>
      </c>
      <c r="AB13" s="634">
        <v>30968</v>
      </c>
    </row>
    <row r="14" spans="1:28" ht="40.5" customHeight="1" x14ac:dyDescent="0.3">
      <c r="A14" s="33" t="s">
        <v>791</v>
      </c>
      <c r="B14" s="17">
        <v>829</v>
      </c>
      <c r="C14" s="17">
        <v>1353</v>
      </c>
      <c r="D14" s="17">
        <v>2182</v>
      </c>
      <c r="E14" s="17">
        <v>0</v>
      </c>
      <c r="F14" s="17">
        <v>3</v>
      </c>
      <c r="G14" s="17">
        <v>3</v>
      </c>
      <c r="H14" s="17">
        <v>6022</v>
      </c>
      <c r="I14" s="17">
        <v>7624</v>
      </c>
      <c r="J14" s="17">
        <v>13646</v>
      </c>
      <c r="K14" s="17">
        <v>16933</v>
      </c>
      <c r="L14" s="17">
        <v>16500</v>
      </c>
      <c r="M14" s="634">
        <v>33433</v>
      </c>
      <c r="N14" s="634">
        <v>493</v>
      </c>
      <c r="O14" s="634">
        <v>292</v>
      </c>
      <c r="P14" s="634">
        <v>785</v>
      </c>
      <c r="Q14" s="634">
        <v>1861</v>
      </c>
      <c r="R14" s="634">
        <v>842</v>
      </c>
      <c r="S14" s="634">
        <v>2703</v>
      </c>
      <c r="T14" s="634">
        <v>286</v>
      </c>
      <c r="U14" s="634">
        <v>281</v>
      </c>
      <c r="V14" s="634">
        <v>567</v>
      </c>
      <c r="W14" s="634">
        <v>632</v>
      </c>
      <c r="X14" s="634">
        <v>916</v>
      </c>
      <c r="Y14" s="634">
        <v>1548</v>
      </c>
      <c r="Z14" s="634">
        <v>27056</v>
      </c>
      <c r="AA14" s="634">
        <v>27811</v>
      </c>
      <c r="AB14" s="634">
        <v>54867</v>
      </c>
    </row>
    <row r="15" spans="1:28" ht="40.5" customHeight="1" x14ac:dyDescent="0.3">
      <c r="A15" s="33" t="s">
        <v>792</v>
      </c>
      <c r="B15" s="17">
        <v>12417</v>
      </c>
      <c r="C15" s="17">
        <v>15937</v>
      </c>
      <c r="D15" s="17">
        <v>28354</v>
      </c>
      <c r="E15" s="17">
        <v>40</v>
      </c>
      <c r="F15" s="17">
        <v>136</v>
      </c>
      <c r="G15" s="17">
        <v>176</v>
      </c>
      <c r="H15" s="17">
        <v>100317</v>
      </c>
      <c r="I15" s="17">
        <v>93456</v>
      </c>
      <c r="J15" s="17">
        <v>193773</v>
      </c>
      <c r="K15" s="17">
        <v>403269</v>
      </c>
      <c r="L15" s="17">
        <v>257950</v>
      </c>
      <c r="M15" s="634">
        <v>661219</v>
      </c>
      <c r="N15" s="634">
        <v>5270</v>
      </c>
      <c r="O15" s="634">
        <v>4134</v>
      </c>
      <c r="P15" s="634">
        <v>9404</v>
      </c>
      <c r="Q15" s="634">
        <v>2807</v>
      </c>
      <c r="R15" s="634">
        <v>2485</v>
      </c>
      <c r="S15" s="634">
        <v>5292</v>
      </c>
      <c r="T15" s="634">
        <v>294</v>
      </c>
      <c r="U15" s="634">
        <v>244</v>
      </c>
      <c r="V15" s="634">
        <v>538</v>
      </c>
      <c r="W15" s="634">
        <v>20566</v>
      </c>
      <c r="X15" s="634">
        <v>16419</v>
      </c>
      <c r="Y15" s="634">
        <v>36985</v>
      </c>
      <c r="Z15" s="634">
        <v>544980</v>
      </c>
      <c r="AA15" s="634">
        <v>390761</v>
      </c>
      <c r="AB15" s="634">
        <v>935741</v>
      </c>
    </row>
    <row r="16" spans="1:28" s="249" customFormat="1" ht="40.5" customHeight="1" x14ac:dyDescent="0.3">
      <c r="A16" s="33" t="s">
        <v>12</v>
      </c>
      <c r="B16" s="17">
        <v>105923</v>
      </c>
      <c r="C16" s="248">
        <v>93295</v>
      </c>
      <c r="D16" s="248">
        <v>199218</v>
      </c>
      <c r="E16" s="17">
        <v>791</v>
      </c>
      <c r="F16" s="248">
        <v>1026</v>
      </c>
      <c r="G16" s="248">
        <v>1817</v>
      </c>
      <c r="H16" s="17">
        <v>1352797</v>
      </c>
      <c r="I16" s="248">
        <v>1523456</v>
      </c>
      <c r="J16" s="248">
        <v>2876253</v>
      </c>
      <c r="K16" s="17">
        <v>3896566</v>
      </c>
      <c r="L16" s="248">
        <v>2613121</v>
      </c>
      <c r="M16" s="636">
        <v>6509687</v>
      </c>
      <c r="N16" s="634">
        <v>61626</v>
      </c>
      <c r="O16" s="636">
        <v>50765</v>
      </c>
      <c r="P16" s="636">
        <v>112391</v>
      </c>
      <c r="Q16" s="634">
        <v>207398</v>
      </c>
      <c r="R16" s="636">
        <v>113690</v>
      </c>
      <c r="S16" s="636">
        <v>321088</v>
      </c>
      <c r="T16" s="634">
        <v>35122</v>
      </c>
      <c r="U16" s="636">
        <v>22044</v>
      </c>
      <c r="V16" s="636">
        <v>57166</v>
      </c>
      <c r="W16" s="634">
        <v>123552</v>
      </c>
      <c r="X16" s="636">
        <v>98859</v>
      </c>
      <c r="Y16" s="636">
        <v>222411</v>
      </c>
      <c r="Z16" s="634">
        <v>5783775</v>
      </c>
      <c r="AA16" s="636">
        <v>4516256</v>
      </c>
      <c r="AB16" s="636">
        <v>10300031</v>
      </c>
    </row>
    <row r="17" spans="1:28" s="249" customFormat="1" ht="54" customHeight="1" x14ac:dyDescent="0.3">
      <c r="A17" s="250" t="s">
        <v>779</v>
      </c>
      <c r="B17" s="872" t="s">
        <v>793</v>
      </c>
      <c r="C17" s="872"/>
      <c r="D17" s="872"/>
      <c r="E17" s="872"/>
      <c r="F17" s="872"/>
      <c r="G17" s="872"/>
      <c r="H17" s="872"/>
      <c r="I17" s="872"/>
      <c r="J17" s="872"/>
      <c r="K17" s="872" t="s">
        <v>793</v>
      </c>
      <c r="L17" s="872"/>
      <c r="M17" s="872"/>
      <c r="N17" s="872"/>
      <c r="O17" s="872"/>
      <c r="P17" s="872"/>
      <c r="Q17" s="872"/>
      <c r="R17" s="872"/>
      <c r="S17" s="872"/>
      <c r="T17" s="872" t="s">
        <v>793</v>
      </c>
      <c r="U17" s="872"/>
      <c r="V17" s="872"/>
      <c r="W17" s="872"/>
      <c r="X17" s="872"/>
      <c r="Y17" s="872"/>
      <c r="Z17" s="872"/>
      <c r="AA17" s="872"/>
      <c r="AB17" s="872"/>
    </row>
    <row r="18" spans="1:28" ht="40.5" customHeight="1" x14ac:dyDescent="0.3">
      <c r="A18" s="80" t="s">
        <v>2</v>
      </c>
      <c r="B18" s="17">
        <v>266</v>
      </c>
      <c r="C18" s="17">
        <v>297</v>
      </c>
      <c r="D18" s="17">
        <v>563</v>
      </c>
      <c r="E18" s="17">
        <v>4</v>
      </c>
      <c r="F18" s="17">
        <v>8</v>
      </c>
      <c r="G18" s="17">
        <v>12</v>
      </c>
      <c r="H18" s="634">
        <v>15194</v>
      </c>
      <c r="I18" s="634">
        <v>25030</v>
      </c>
      <c r="J18" s="634">
        <v>40224</v>
      </c>
      <c r="K18" s="634">
        <v>405012</v>
      </c>
      <c r="L18" s="634">
        <v>453294</v>
      </c>
      <c r="M18" s="634">
        <v>858306</v>
      </c>
      <c r="N18" s="634">
        <v>362</v>
      </c>
      <c r="O18" s="634">
        <v>434</v>
      </c>
      <c r="P18" s="634">
        <v>796</v>
      </c>
      <c r="Q18" s="634">
        <v>8246</v>
      </c>
      <c r="R18" s="634">
        <v>5649</v>
      </c>
      <c r="S18" s="634">
        <v>13895</v>
      </c>
      <c r="T18" s="634">
        <v>1821</v>
      </c>
      <c r="U18" s="634">
        <v>1900</v>
      </c>
      <c r="V18" s="634">
        <v>3721</v>
      </c>
      <c r="W18" s="634">
        <v>1381</v>
      </c>
      <c r="X18" s="634">
        <v>2027</v>
      </c>
      <c r="Y18" s="634">
        <v>3408</v>
      </c>
      <c r="Z18" s="634">
        <v>432286</v>
      </c>
      <c r="AA18" s="634">
        <v>488639</v>
      </c>
      <c r="AB18" s="634">
        <v>920925</v>
      </c>
    </row>
    <row r="19" spans="1:28" ht="40.5" customHeight="1" x14ac:dyDescent="0.3">
      <c r="A19" s="80" t="s">
        <v>5</v>
      </c>
      <c r="B19" s="17">
        <v>14602</v>
      </c>
      <c r="C19" s="17">
        <v>18693</v>
      </c>
      <c r="D19" s="17">
        <v>33295</v>
      </c>
      <c r="E19" s="17">
        <v>475</v>
      </c>
      <c r="F19" s="17">
        <v>930</v>
      </c>
      <c r="G19" s="17">
        <v>1405</v>
      </c>
      <c r="H19" s="634">
        <v>1090185</v>
      </c>
      <c r="I19" s="634">
        <v>1594142</v>
      </c>
      <c r="J19" s="634">
        <v>2684327</v>
      </c>
      <c r="K19" s="634">
        <v>13121253</v>
      </c>
      <c r="L19" s="634">
        <v>13336746</v>
      </c>
      <c r="M19" s="634">
        <v>26457999</v>
      </c>
      <c r="N19" s="634">
        <v>26118</v>
      </c>
      <c r="O19" s="634">
        <v>29441</v>
      </c>
      <c r="P19" s="634">
        <v>55559</v>
      </c>
      <c r="Q19" s="634">
        <v>419639</v>
      </c>
      <c r="R19" s="634">
        <v>293584</v>
      </c>
      <c r="S19" s="634">
        <v>713223</v>
      </c>
      <c r="T19" s="634">
        <v>31606</v>
      </c>
      <c r="U19" s="634">
        <v>43586</v>
      </c>
      <c r="V19" s="634">
        <v>75192</v>
      </c>
      <c r="W19" s="634">
        <v>159708</v>
      </c>
      <c r="X19" s="634">
        <v>151964</v>
      </c>
      <c r="Y19" s="634">
        <v>311672</v>
      </c>
      <c r="Z19" s="634">
        <v>14863586</v>
      </c>
      <c r="AA19" s="634">
        <v>15469086</v>
      </c>
      <c r="AB19" s="634">
        <v>30332672</v>
      </c>
    </row>
    <row r="20" spans="1:28" s="249" customFormat="1" ht="40.5" customHeight="1" x14ac:dyDescent="0.3">
      <c r="A20" s="80" t="s">
        <v>12</v>
      </c>
      <c r="B20" s="17">
        <v>14868</v>
      </c>
      <c r="C20" s="248">
        <v>18990</v>
      </c>
      <c r="D20" s="248">
        <v>33858</v>
      </c>
      <c r="E20" s="17">
        <v>479</v>
      </c>
      <c r="F20" s="248">
        <v>938</v>
      </c>
      <c r="G20" s="248">
        <v>1417</v>
      </c>
      <c r="H20" s="634">
        <v>1105379</v>
      </c>
      <c r="I20" s="636">
        <v>1619172</v>
      </c>
      <c r="J20" s="636">
        <v>2724551</v>
      </c>
      <c r="K20" s="634">
        <v>13526265</v>
      </c>
      <c r="L20" s="636">
        <v>13790040</v>
      </c>
      <c r="M20" s="636">
        <v>27316305</v>
      </c>
      <c r="N20" s="634">
        <v>26480</v>
      </c>
      <c r="O20" s="636">
        <v>29875</v>
      </c>
      <c r="P20" s="636">
        <v>56355</v>
      </c>
      <c r="Q20" s="634">
        <v>427885</v>
      </c>
      <c r="R20" s="636">
        <v>299233</v>
      </c>
      <c r="S20" s="636">
        <v>727118</v>
      </c>
      <c r="T20" s="634">
        <v>33427</v>
      </c>
      <c r="U20" s="636">
        <v>45486</v>
      </c>
      <c r="V20" s="636">
        <v>78913</v>
      </c>
      <c r="W20" s="634">
        <v>161089</v>
      </c>
      <c r="X20" s="636">
        <v>153991</v>
      </c>
      <c r="Y20" s="636">
        <v>315080</v>
      </c>
      <c r="Z20" s="634">
        <v>15295872</v>
      </c>
      <c r="AA20" s="636">
        <v>15957725</v>
      </c>
      <c r="AB20" s="636">
        <v>31253597</v>
      </c>
    </row>
    <row r="21" spans="1:28" s="251" customFormat="1" ht="100" hidden="1" customHeight="1" x14ac:dyDescent="0.3"/>
    <row r="22" spans="1:28" hidden="1" x14ac:dyDescent="0.3">
      <c r="B22" s="243">
        <v>266</v>
      </c>
      <c r="C22" s="243">
        <v>297</v>
      </c>
      <c r="D22" s="243">
        <v>563</v>
      </c>
    </row>
    <row r="23" spans="1:28" hidden="1" x14ac:dyDescent="0.3">
      <c r="B23" s="243">
        <v>14602</v>
      </c>
      <c r="C23" s="243">
        <v>18693</v>
      </c>
      <c r="D23" s="243">
        <v>33295</v>
      </c>
    </row>
    <row r="24" spans="1:28" hidden="1" x14ac:dyDescent="0.3">
      <c r="B24" s="243">
        <v>14868</v>
      </c>
      <c r="C24" s="243">
        <v>18990</v>
      </c>
      <c r="D24" s="243">
        <v>33858</v>
      </c>
    </row>
    <row r="25" spans="1:28" hidden="1" x14ac:dyDescent="0.3"/>
    <row r="26" spans="1:28" hidden="1" x14ac:dyDescent="0.3">
      <c r="B26" s="243">
        <f>B18-B22</f>
        <v>0</v>
      </c>
      <c r="C26" s="243">
        <f t="shared" ref="C26:D28" si="0">C18-C22</f>
        <v>0</v>
      </c>
      <c r="D26" s="243">
        <f t="shared" si="0"/>
        <v>0</v>
      </c>
    </row>
    <row r="27" spans="1:28" hidden="1" x14ac:dyDescent="0.3">
      <c r="B27" s="243">
        <f t="shared" ref="B27:D28" si="1">B19-B23</f>
        <v>0</v>
      </c>
      <c r="C27" s="243">
        <f t="shared" si="1"/>
        <v>0</v>
      </c>
      <c r="D27" s="243">
        <f t="shared" si="1"/>
        <v>0</v>
      </c>
    </row>
    <row r="28" spans="1:28" hidden="1" x14ac:dyDescent="0.3">
      <c r="B28" s="243">
        <f t="shared" si="1"/>
        <v>0</v>
      </c>
      <c r="C28" s="243">
        <f t="shared" si="0"/>
        <v>0</v>
      </c>
      <c r="D28" s="243">
        <f t="shared" si="0"/>
        <v>0</v>
      </c>
    </row>
    <row r="29" spans="1:28" hidden="1" x14ac:dyDescent="0.3"/>
  </sheetData>
  <mergeCells count="16">
    <mergeCell ref="A2:A3"/>
    <mergeCell ref="B2:D2"/>
    <mergeCell ref="E2:G2"/>
    <mergeCell ref="H2:J2"/>
    <mergeCell ref="K2:M2"/>
    <mergeCell ref="B17:J17"/>
    <mergeCell ref="K17:S17"/>
    <mergeCell ref="T17:AB17"/>
    <mergeCell ref="B1:J1"/>
    <mergeCell ref="K1:S1"/>
    <mergeCell ref="T1:AB1"/>
    <mergeCell ref="N2:P2"/>
    <mergeCell ref="Q2:S2"/>
    <mergeCell ref="T2:V2"/>
    <mergeCell ref="W2:Y2"/>
    <mergeCell ref="Z2:AB2"/>
  </mergeCells>
  <pageMargins left="0.59055118110236227" right="0.35433070866141736" top="0.39370078740157483" bottom="0.39370078740157483" header="0.31496062992125984" footer="0.19685039370078741"/>
  <pageSetup paperSize="9" scale="90" firstPageNumber="87" orientation="portrait" r:id="rId1"/>
  <headerFooter>
    <oddFooter>&amp;L&amp;"Arial,Italic"&amp;9AISHE 2022-23&amp;RT-26</oddFooter>
  </headerFooter>
  <colBreaks count="2" manualBreakCount="2">
    <brk id="10" max="19" man="1"/>
    <brk id="19" max="19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78E5-FCDF-4BB6-82AF-D3832A3CD1C8}">
  <sheetPr codeName="Sheet38">
    <tabColor rgb="FF92D050"/>
  </sheetPr>
  <dimension ref="A1:Y21"/>
  <sheetViews>
    <sheetView view="pageBreakPreview" zoomScaleSheetLayoutView="100" workbookViewId="0">
      <pane xSplit="1" ySplit="4" topLeftCell="M5" activePane="bottomRight" state="frozen"/>
      <selection activeCell="S20" sqref="S20"/>
      <selection pane="topRight" activeCell="S20" sqref="S20"/>
      <selection pane="bottomLeft" activeCell="S20" sqref="S20"/>
      <selection pane="bottomRight" activeCell="Q5" sqref="Q5"/>
    </sheetView>
  </sheetViews>
  <sheetFormatPr defaultColWidth="9.26953125" defaultRowHeight="14" x14ac:dyDescent="0.35"/>
  <cols>
    <col min="1" max="1" width="14.453125" style="254" customWidth="1"/>
    <col min="2" max="4" width="11.54296875" style="254" bestFit="1" customWidth="1"/>
    <col min="5" max="7" width="10" style="254" bestFit="1" customWidth="1"/>
    <col min="8" max="8" width="9" style="254" bestFit="1" customWidth="1"/>
    <col min="9" max="12" width="10" style="254" bestFit="1" customWidth="1"/>
    <col min="13" max="13" width="11.54296875" style="254" bestFit="1" customWidth="1"/>
    <col min="14" max="16" width="7.453125" style="254" bestFit="1" customWidth="1"/>
    <col min="17" max="18" width="9" style="254" bestFit="1" customWidth="1"/>
    <col min="19" max="19" width="10" style="254" bestFit="1" customWidth="1"/>
    <col min="20" max="25" width="9" style="254" bestFit="1" customWidth="1"/>
    <col min="26" max="16384" width="9.26953125" style="254"/>
  </cols>
  <sheetData>
    <row r="1" spans="1:25" s="252" customFormat="1" ht="69.75" customHeight="1" x14ac:dyDescent="0.35">
      <c r="A1" s="26" t="s">
        <v>564</v>
      </c>
      <c r="B1" s="743" t="s">
        <v>794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 t="s">
        <v>795</v>
      </c>
      <c r="O1" s="743"/>
      <c r="P1" s="743"/>
      <c r="Q1" s="743"/>
      <c r="R1" s="743"/>
      <c r="S1" s="743"/>
      <c r="T1" s="743"/>
      <c r="U1" s="743"/>
      <c r="V1" s="743"/>
      <c r="W1" s="743"/>
      <c r="X1" s="743"/>
      <c r="Y1" s="743"/>
    </row>
    <row r="2" spans="1:25" ht="31.5" customHeight="1" x14ac:dyDescent="0.35">
      <c r="A2" s="772" t="s">
        <v>781</v>
      </c>
      <c r="B2" s="881" t="s">
        <v>54</v>
      </c>
      <c r="C2" s="881"/>
      <c r="D2" s="881"/>
      <c r="E2" s="881" t="s">
        <v>747</v>
      </c>
      <c r="F2" s="881"/>
      <c r="G2" s="881"/>
      <c r="H2" s="881" t="s">
        <v>748</v>
      </c>
      <c r="I2" s="881"/>
      <c r="J2" s="881"/>
      <c r="K2" s="881" t="s">
        <v>756</v>
      </c>
      <c r="L2" s="881"/>
      <c r="M2" s="881"/>
      <c r="N2" s="881" t="s">
        <v>757</v>
      </c>
      <c r="O2" s="881"/>
      <c r="P2" s="881"/>
      <c r="Q2" s="881" t="s">
        <v>122</v>
      </c>
      <c r="R2" s="881"/>
      <c r="S2" s="881"/>
      <c r="T2" s="881" t="s">
        <v>123</v>
      </c>
      <c r="U2" s="881"/>
      <c r="V2" s="881"/>
      <c r="W2" s="881" t="s">
        <v>124</v>
      </c>
      <c r="X2" s="881"/>
      <c r="Y2" s="881"/>
    </row>
    <row r="3" spans="1:25" ht="23.25" customHeight="1" x14ac:dyDescent="0.35">
      <c r="A3" s="772"/>
      <c r="B3" s="253" t="s">
        <v>93</v>
      </c>
      <c r="C3" s="253" t="s">
        <v>94</v>
      </c>
      <c r="D3" s="253" t="s">
        <v>54</v>
      </c>
      <c r="E3" s="253" t="s">
        <v>93</v>
      </c>
      <c r="F3" s="253" t="s">
        <v>94</v>
      </c>
      <c r="G3" s="253" t="s">
        <v>54</v>
      </c>
      <c r="H3" s="253" t="s">
        <v>93</v>
      </c>
      <c r="I3" s="253" t="s">
        <v>94</v>
      </c>
      <c r="J3" s="253" t="s">
        <v>54</v>
      </c>
      <c r="K3" s="253" t="s">
        <v>93</v>
      </c>
      <c r="L3" s="253" t="s">
        <v>94</v>
      </c>
      <c r="M3" s="253" t="s">
        <v>54</v>
      </c>
      <c r="N3" s="253" t="s">
        <v>93</v>
      </c>
      <c r="O3" s="253" t="s">
        <v>94</v>
      </c>
      <c r="P3" s="253" t="s">
        <v>54</v>
      </c>
      <c r="Q3" s="253" t="s">
        <v>93</v>
      </c>
      <c r="R3" s="253" t="s">
        <v>94</v>
      </c>
      <c r="S3" s="253" t="s">
        <v>54</v>
      </c>
      <c r="T3" s="253" t="s">
        <v>93</v>
      </c>
      <c r="U3" s="253" t="s">
        <v>94</v>
      </c>
      <c r="V3" s="253" t="s">
        <v>54</v>
      </c>
      <c r="W3" s="253" t="s">
        <v>93</v>
      </c>
      <c r="X3" s="253" t="s">
        <v>94</v>
      </c>
      <c r="Y3" s="253" t="s">
        <v>54</v>
      </c>
    </row>
    <row r="4" spans="1:25" x14ac:dyDescent="0.35">
      <c r="A4" s="88">
        <v>1</v>
      </c>
      <c r="B4" s="255">
        <v>2</v>
      </c>
      <c r="C4" s="88">
        <v>3</v>
      </c>
      <c r="D4" s="255">
        <v>4</v>
      </c>
      <c r="E4" s="88">
        <v>5</v>
      </c>
      <c r="F4" s="255">
        <v>6</v>
      </c>
      <c r="G4" s="88">
        <v>7</v>
      </c>
      <c r="H4" s="255">
        <v>8</v>
      </c>
      <c r="I4" s="88">
        <v>9</v>
      </c>
      <c r="J4" s="255">
        <v>10</v>
      </c>
      <c r="K4" s="88">
        <v>11</v>
      </c>
      <c r="L4" s="255">
        <v>12</v>
      </c>
      <c r="M4" s="88">
        <v>13</v>
      </c>
      <c r="N4" s="255">
        <v>2</v>
      </c>
      <c r="O4" s="88">
        <v>3</v>
      </c>
      <c r="P4" s="255">
        <v>4</v>
      </c>
      <c r="Q4" s="88">
        <v>5</v>
      </c>
      <c r="R4" s="255">
        <v>6</v>
      </c>
      <c r="S4" s="88">
        <v>7</v>
      </c>
      <c r="T4" s="255">
        <v>8</v>
      </c>
      <c r="U4" s="88">
        <v>9</v>
      </c>
      <c r="V4" s="255">
        <v>10</v>
      </c>
      <c r="W4" s="88">
        <v>11</v>
      </c>
      <c r="X4" s="255">
        <v>12</v>
      </c>
      <c r="Y4" s="88">
        <v>13</v>
      </c>
    </row>
    <row r="5" spans="1:25" ht="54" customHeight="1" x14ac:dyDescent="0.35">
      <c r="A5" s="256" t="s">
        <v>782</v>
      </c>
      <c r="B5" s="1005">
        <v>380690</v>
      </c>
      <c r="C5" s="644">
        <v>344866</v>
      </c>
      <c r="D5" s="644">
        <v>725556</v>
      </c>
      <c r="E5" s="1005">
        <v>47491</v>
      </c>
      <c r="F5" s="644">
        <v>42357</v>
      </c>
      <c r="G5" s="644">
        <v>89848</v>
      </c>
      <c r="H5" s="1005">
        <v>16119</v>
      </c>
      <c r="I5" s="644">
        <v>16958</v>
      </c>
      <c r="J5" s="644">
        <v>33077</v>
      </c>
      <c r="K5" s="1005">
        <v>75568</v>
      </c>
      <c r="L5" s="644">
        <v>55092</v>
      </c>
      <c r="M5" s="644">
        <v>130660</v>
      </c>
      <c r="N5" s="1005">
        <v>3350</v>
      </c>
      <c r="O5" s="644">
        <v>1375</v>
      </c>
      <c r="P5" s="644">
        <v>4725</v>
      </c>
      <c r="Q5" s="1005">
        <v>39761</v>
      </c>
      <c r="R5" s="644">
        <v>28433</v>
      </c>
      <c r="S5" s="644">
        <v>68194</v>
      </c>
      <c r="T5" s="1005">
        <v>5680</v>
      </c>
      <c r="U5" s="647">
        <v>6893</v>
      </c>
      <c r="V5" s="647">
        <v>12573</v>
      </c>
      <c r="W5" s="1005">
        <v>19752</v>
      </c>
      <c r="X5" s="647">
        <v>12461</v>
      </c>
      <c r="Y5" s="647">
        <v>32213</v>
      </c>
    </row>
    <row r="6" spans="1:25" ht="54" customHeight="1" x14ac:dyDescent="0.35">
      <c r="A6" s="256" t="s">
        <v>783</v>
      </c>
      <c r="B6" s="1005">
        <v>678925</v>
      </c>
      <c r="C6" s="644">
        <v>582730</v>
      </c>
      <c r="D6" s="644">
        <v>1261655</v>
      </c>
      <c r="E6" s="1005">
        <v>87679</v>
      </c>
      <c r="F6" s="644">
        <v>72820</v>
      </c>
      <c r="G6" s="644">
        <v>160499</v>
      </c>
      <c r="H6" s="1005">
        <v>40055</v>
      </c>
      <c r="I6" s="644">
        <v>42372</v>
      </c>
      <c r="J6" s="644">
        <v>82427</v>
      </c>
      <c r="K6" s="1005">
        <v>169580</v>
      </c>
      <c r="L6" s="644">
        <v>138463</v>
      </c>
      <c r="M6" s="644">
        <v>308043</v>
      </c>
      <c r="N6" s="1005">
        <v>1961</v>
      </c>
      <c r="O6" s="644">
        <v>885</v>
      </c>
      <c r="P6" s="644">
        <v>2846</v>
      </c>
      <c r="Q6" s="1005">
        <v>2</v>
      </c>
      <c r="R6" s="644">
        <v>6</v>
      </c>
      <c r="S6" s="644">
        <v>8</v>
      </c>
      <c r="T6" s="1005">
        <v>1</v>
      </c>
      <c r="U6" s="647">
        <v>4</v>
      </c>
      <c r="V6" s="647">
        <v>5</v>
      </c>
      <c r="W6" s="1005">
        <v>13463</v>
      </c>
      <c r="X6" s="647">
        <v>8506</v>
      </c>
      <c r="Y6" s="647">
        <v>21969</v>
      </c>
    </row>
    <row r="7" spans="1:25" ht="54" customHeight="1" x14ac:dyDescent="0.35">
      <c r="A7" s="256" t="s">
        <v>784</v>
      </c>
      <c r="B7" s="1005">
        <v>266793</v>
      </c>
      <c r="C7" s="644">
        <v>103949</v>
      </c>
      <c r="D7" s="644">
        <v>370742</v>
      </c>
      <c r="E7" s="1005">
        <v>36420</v>
      </c>
      <c r="F7" s="644">
        <v>12943</v>
      </c>
      <c r="G7" s="644">
        <v>49363</v>
      </c>
      <c r="H7" s="1005">
        <v>16783</v>
      </c>
      <c r="I7" s="644">
        <v>6205</v>
      </c>
      <c r="J7" s="644">
        <v>22988</v>
      </c>
      <c r="K7" s="1005">
        <v>75749</v>
      </c>
      <c r="L7" s="644">
        <v>26859</v>
      </c>
      <c r="M7" s="644">
        <v>102608</v>
      </c>
      <c r="N7" s="1005">
        <v>3337</v>
      </c>
      <c r="O7" s="644">
        <v>762</v>
      </c>
      <c r="P7" s="644">
        <v>4099</v>
      </c>
      <c r="Q7" s="1005">
        <v>4218</v>
      </c>
      <c r="R7" s="644">
        <v>1401</v>
      </c>
      <c r="S7" s="644">
        <v>5619</v>
      </c>
      <c r="T7" s="1005">
        <v>6121</v>
      </c>
      <c r="U7" s="647">
        <v>3231</v>
      </c>
      <c r="V7" s="647">
        <v>9352</v>
      </c>
      <c r="W7" s="1005">
        <v>24330</v>
      </c>
      <c r="X7" s="647">
        <v>7275</v>
      </c>
      <c r="Y7" s="647">
        <v>31605</v>
      </c>
    </row>
    <row r="8" spans="1:25" ht="54" customHeight="1" x14ac:dyDescent="0.35">
      <c r="A8" s="256" t="s">
        <v>785</v>
      </c>
      <c r="B8" s="1005">
        <v>1628372</v>
      </c>
      <c r="C8" s="644">
        <v>1607526</v>
      </c>
      <c r="D8" s="644">
        <v>3235898</v>
      </c>
      <c r="E8" s="1005">
        <v>254063</v>
      </c>
      <c r="F8" s="644">
        <v>226592</v>
      </c>
      <c r="G8" s="644">
        <v>480655</v>
      </c>
      <c r="H8" s="1005">
        <v>123285</v>
      </c>
      <c r="I8" s="644">
        <v>119342</v>
      </c>
      <c r="J8" s="644">
        <v>242627</v>
      </c>
      <c r="K8" s="1005">
        <v>646087</v>
      </c>
      <c r="L8" s="644">
        <v>634460</v>
      </c>
      <c r="M8" s="644">
        <v>1280547</v>
      </c>
      <c r="N8" s="1005">
        <v>6094</v>
      </c>
      <c r="O8" s="644">
        <v>3377</v>
      </c>
      <c r="P8" s="644">
        <v>9471</v>
      </c>
      <c r="Q8" s="1005">
        <v>60479</v>
      </c>
      <c r="R8" s="644">
        <v>63872</v>
      </c>
      <c r="S8" s="644">
        <v>124351</v>
      </c>
      <c r="T8" s="1005">
        <v>30439</v>
      </c>
      <c r="U8" s="647">
        <v>36719</v>
      </c>
      <c r="V8" s="647">
        <v>67158</v>
      </c>
      <c r="W8" s="1005">
        <v>28987</v>
      </c>
      <c r="X8" s="647">
        <v>23264</v>
      </c>
      <c r="Y8" s="647">
        <v>52251</v>
      </c>
    </row>
    <row r="9" spans="1:25" ht="54" customHeight="1" x14ac:dyDescent="0.35">
      <c r="A9" s="256" t="s">
        <v>786</v>
      </c>
      <c r="B9" s="1005">
        <v>990961</v>
      </c>
      <c r="C9" s="644">
        <v>747699</v>
      </c>
      <c r="D9" s="644">
        <v>1738660</v>
      </c>
      <c r="E9" s="1005">
        <v>170134</v>
      </c>
      <c r="F9" s="644">
        <v>121231</v>
      </c>
      <c r="G9" s="644">
        <v>291365</v>
      </c>
      <c r="H9" s="1005">
        <v>60352</v>
      </c>
      <c r="I9" s="644">
        <v>49799</v>
      </c>
      <c r="J9" s="644">
        <v>110151</v>
      </c>
      <c r="K9" s="1005">
        <v>345138</v>
      </c>
      <c r="L9" s="644">
        <v>249872</v>
      </c>
      <c r="M9" s="644">
        <v>595010</v>
      </c>
      <c r="N9" s="1005">
        <v>5789</v>
      </c>
      <c r="O9" s="644">
        <v>3186</v>
      </c>
      <c r="P9" s="644">
        <v>8975</v>
      </c>
      <c r="Q9" s="1005">
        <v>52226</v>
      </c>
      <c r="R9" s="644">
        <v>43075</v>
      </c>
      <c r="S9" s="644">
        <v>95301</v>
      </c>
      <c r="T9" s="1005">
        <v>2435</v>
      </c>
      <c r="U9" s="647">
        <v>3152</v>
      </c>
      <c r="V9" s="647">
        <v>5587</v>
      </c>
      <c r="W9" s="1005">
        <v>7180</v>
      </c>
      <c r="X9" s="647">
        <v>22411</v>
      </c>
      <c r="Y9" s="647">
        <v>29591</v>
      </c>
    </row>
    <row r="10" spans="1:25" ht="54" customHeight="1" x14ac:dyDescent="0.35">
      <c r="A10" s="256" t="s">
        <v>787</v>
      </c>
      <c r="B10" s="1005">
        <v>1239971</v>
      </c>
      <c r="C10" s="644">
        <v>695554</v>
      </c>
      <c r="D10" s="644">
        <v>1935525</v>
      </c>
      <c r="E10" s="1005">
        <v>93002</v>
      </c>
      <c r="F10" s="644">
        <v>51029</v>
      </c>
      <c r="G10" s="644">
        <v>144031</v>
      </c>
      <c r="H10" s="1005">
        <v>49459</v>
      </c>
      <c r="I10" s="644">
        <v>35616</v>
      </c>
      <c r="J10" s="644">
        <v>85075</v>
      </c>
      <c r="K10" s="1005">
        <v>309979</v>
      </c>
      <c r="L10" s="644">
        <v>151757</v>
      </c>
      <c r="M10" s="644">
        <v>461736</v>
      </c>
      <c r="N10" s="1005">
        <v>765</v>
      </c>
      <c r="O10" s="644">
        <v>334</v>
      </c>
      <c r="P10" s="644">
        <v>1099</v>
      </c>
      <c r="Q10" s="1005">
        <v>50856</v>
      </c>
      <c r="R10" s="644">
        <v>22257</v>
      </c>
      <c r="S10" s="644">
        <v>73113</v>
      </c>
      <c r="T10" s="1005">
        <v>32242</v>
      </c>
      <c r="U10" s="647">
        <v>28125</v>
      </c>
      <c r="V10" s="647">
        <v>60367</v>
      </c>
      <c r="W10" s="1005">
        <v>18093</v>
      </c>
      <c r="X10" s="647">
        <v>10611</v>
      </c>
      <c r="Y10" s="647">
        <v>28704</v>
      </c>
    </row>
    <row r="11" spans="1:25" ht="54" customHeight="1" x14ac:dyDescent="0.35">
      <c r="A11" s="256" t="s">
        <v>788</v>
      </c>
      <c r="B11" s="1005">
        <v>1466</v>
      </c>
      <c r="C11" s="632">
        <v>922</v>
      </c>
      <c r="D11" s="644">
        <v>2388</v>
      </c>
      <c r="E11" s="1005">
        <v>0</v>
      </c>
      <c r="F11" s="644">
        <v>0</v>
      </c>
      <c r="G11" s="644">
        <v>0</v>
      </c>
      <c r="H11" s="1005">
        <v>1001</v>
      </c>
      <c r="I11" s="644">
        <v>627</v>
      </c>
      <c r="J11" s="644">
        <v>1628</v>
      </c>
      <c r="K11" s="1005">
        <v>0</v>
      </c>
      <c r="L11" s="644">
        <v>0</v>
      </c>
      <c r="M11" s="644">
        <v>0</v>
      </c>
      <c r="N11" s="1005">
        <v>0</v>
      </c>
      <c r="O11" s="644">
        <v>0</v>
      </c>
      <c r="P11" s="644">
        <v>0</v>
      </c>
      <c r="Q11" s="1005">
        <v>0</v>
      </c>
      <c r="R11" s="644">
        <v>0</v>
      </c>
      <c r="S11" s="644">
        <v>0</v>
      </c>
      <c r="T11" s="1005">
        <v>0</v>
      </c>
      <c r="U11" s="647">
        <v>0</v>
      </c>
      <c r="V11" s="647">
        <v>0</v>
      </c>
      <c r="W11" s="1005">
        <v>0</v>
      </c>
      <c r="X11" s="647">
        <v>1</v>
      </c>
      <c r="Y11" s="647">
        <v>1</v>
      </c>
    </row>
    <row r="12" spans="1:25" ht="54" customHeight="1" x14ac:dyDescent="0.35">
      <c r="A12" s="256" t="s">
        <v>789</v>
      </c>
      <c r="B12" s="1005">
        <v>3121</v>
      </c>
      <c r="C12" s="644">
        <v>4910</v>
      </c>
      <c r="D12" s="644">
        <v>8031</v>
      </c>
      <c r="E12" s="1005">
        <v>470</v>
      </c>
      <c r="F12" s="644">
        <v>803</v>
      </c>
      <c r="G12" s="644">
        <v>1273</v>
      </c>
      <c r="H12" s="1005">
        <v>339</v>
      </c>
      <c r="I12" s="644">
        <v>393</v>
      </c>
      <c r="J12" s="644">
        <v>732</v>
      </c>
      <c r="K12" s="1005">
        <v>874</v>
      </c>
      <c r="L12" s="644">
        <v>1677</v>
      </c>
      <c r="M12" s="644">
        <v>2551</v>
      </c>
      <c r="N12" s="1005">
        <v>0</v>
      </c>
      <c r="O12" s="644">
        <v>6</v>
      </c>
      <c r="P12" s="644">
        <v>6</v>
      </c>
      <c r="Q12" s="1005">
        <v>21</v>
      </c>
      <c r="R12" s="644">
        <v>114</v>
      </c>
      <c r="S12" s="644">
        <v>135</v>
      </c>
      <c r="T12" s="1005">
        <v>0</v>
      </c>
      <c r="U12" s="647">
        <v>171</v>
      </c>
      <c r="V12" s="647">
        <v>171</v>
      </c>
      <c r="W12" s="1005">
        <v>89</v>
      </c>
      <c r="X12" s="647">
        <v>196</v>
      </c>
      <c r="Y12" s="647">
        <v>285</v>
      </c>
    </row>
    <row r="13" spans="1:25" ht="54" customHeight="1" x14ac:dyDescent="0.35">
      <c r="A13" s="256" t="s">
        <v>790</v>
      </c>
      <c r="B13" s="1005">
        <v>21440</v>
      </c>
      <c r="C13" s="644">
        <v>9528</v>
      </c>
      <c r="D13" s="644">
        <v>30968</v>
      </c>
      <c r="E13" s="1005">
        <v>2480</v>
      </c>
      <c r="F13" s="644">
        <v>1060</v>
      </c>
      <c r="G13" s="644">
        <v>3540</v>
      </c>
      <c r="H13" s="1005">
        <v>2256</v>
      </c>
      <c r="I13" s="644">
        <v>1225</v>
      </c>
      <c r="J13" s="644">
        <v>3481</v>
      </c>
      <c r="K13" s="1005">
        <v>5088</v>
      </c>
      <c r="L13" s="644">
        <v>2214</v>
      </c>
      <c r="M13" s="644">
        <v>7302</v>
      </c>
      <c r="N13" s="1005">
        <v>113</v>
      </c>
      <c r="O13" s="644">
        <v>46</v>
      </c>
      <c r="P13" s="644">
        <v>159</v>
      </c>
      <c r="Q13" s="1005">
        <v>380</v>
      </c>
      <c r="R13" s="644">
        <v>100</v>
      </c>
      <c r="S13" s="644">
        <v>480</v>
      </c>
      <c r="T13" s="1005">
        <v>1072</v>
      </c>
      <c r="U13" s="647">
        <v>591</v>
      </c>
      <c r="V13" s="647">
        <v>1663</v>
      </c>
      <c r="W13" s="1005">
        <v>1586</v>
      </c>
      <c r="X13" s="647">
        <v>585</v>
      </c>
      <c r="Y13" s="647">
        <v>2171</v>
      </c>
    </row>
    <row r="14" spans="1:25" ht="54" customHeight="1" x14ac:dyDescent="0.35">
      <c r="A14" s="256" t="s">
        <v>791</v>
      </c>
      <c r="B14" s="1005">
        <v>27056</v>
      </c>
      <c r="C14" s="644">
        <v>27811</v>
      </c>
      <c r="D14" s="644">
        <v>54867</v>
      </c>
      <c r="E14" s="1005">
        <v>2992</v>
      </c>
      <c r="F14" s="644">
        <v>3039</v>
      </c>
      <c r="G14" s="644">
        <v>6031</v>
      </c>
      <c r="H14" s="1005">
        <v>722</v>
      </c>
      <c r="I14" s="644">
        <v>816</v>
      </c>
      <c r="J14" s="644">
        <v>1538</v>
      </c>
      <c r="K14" s="1005">
        <v>7545</v>
      </c>
      <c r="L14" s="644">
        <v>7795</v>
      </c>
      <c r="M14" s="644">
        <v>15340</v>
      </c>
      <c r="N14" s="1005">
        <v>128</v>
      </c>
      <c r="O14" s="644">
        <v>103</v>
      </c>
      <c r="P14" s="644">
        <v>231</v>
      </c>
      <c r="Q14" s="1005">
        <v>4497</v>
      </c>
      <c r="R14" s="644">
        <v>3765</v>
      </c>
      <c r="S14" s="644">
        <v>8262</v>
      </c>
      <c r="T14" s="1005">
        <v>456</v>
      </c>
      <c r="U14" s="647">
        <v>1098</v>
      </c>
      <c r="V14" s="647">
        <v>1554</v>
      </c>
      <c r="W14" s="1005">
        <v>1306</v>
      </c>
      <c r="X14" s="647">
        <v>893</v>
      </c>
      <c r="Y14" s="647">
        <v>2199</v>
      </c>
    </row>
    <row r="15" spans="1:25" ht="54" customHeight="1" x14ac:dyDescent="0.35">
      <c r="A15" s="256" t="s">
        <v>792</v>
      </c>
      <c r="B15" s="1005">
        <v>544980</v>
      </c>
      <c r="C15" s="644">
        <v>390761</v>
      </c>
      <c r="D15" s="644">
        <v>935741</v>
      </c>
      <c r="E15" s="1005">
        <v>31583</v>
      </c>
      <c r="F15" s="644">
        <v>21324</v>
      </c>
      <c r="G15" s="644">
        <v>52907</v>
      </c>
      <c r="H15" s="1005">
        <v>6828</v>
      </c>
      <c r="I15" s="644">
        <v>5301</v>
      </c>
      <c r="J15" s="644">
        <v>12129</v>
      </c>
      <c r="K15" s="1005">
        <v>189661</v>
      </c>
      <c r="L15" s="644">
        <v>124249</v>
      </c>
      <c r="M15" s="644">
        <v>313910</v>
      </c>
      <c r="N15" s="1005">
        <v>449</v>
      </c>
      <c r="O15" s="644">
        <v>278</v>
      </c>
      <c r="P15" s="644">
        <v>727</v>
      </c>
      <c r="Q15" s="1005">
        <v>20921</v>
      </c>
      <c r="R15" s="644">
        <v>11476</v>
      </c>
      <c r="S15" s="644">
        <v>32397</v>
      </c>
      <c r="T15" s="1005">
        <v>27239</v>
      </c>
      <c r="U15" s="647">
        <v>21214</v>
      </c>
      <c r="V15" s="647">
        <v>48453</v>
      </c>
      <c r="W15" s="1005">
        <v>11712</v>
      </c>
      <c r="X15" s="647">
        <v>8305</v>
      </c>
      <c r="Y15" s="647">
        <v>20017</v>
      </c>
    </row>
    <row r="16" spans="1:25" s="258" customFormat="1" ht="54" customHeight="1" x14ac:dyDescent="0.35">
      <c r="A16" s="257" t="s">
        <v>12</v>
      </c>
      <c r="B16" s="1005">
        <v>5783775</v>
      </c>
      <c r="C16" s="649">
        <v>4516256</v>
      </c>
      <c r="D16" s="649">
        <v>10300031</v>
      </c>
      <c r="E16" s="1005">
        <v>726314</v>
      </c>
      <c r="F16" s="649">
        <v>553198</v>
      </c>
      <c r="G16" s="649">
        <v>1279512</v>
      </c>
      <c r="H16" s="1005">
        <v>317199</v>
      </c>
      <c r="I16" s="649">
        <v>278654</v>
      </c>
      <c r="J16" s="649">
        <v>595853</v>
      </c>
      <c r="K16" s="1005">
        <v>1825269</v>
      </c>
      <c r="L16" s="649">
        <v>1392438</v>
      </c>
      <c r="M16" s="649">
        <v>3217707</v>
      </c>
      <c r="N16" s="1005">
        <v>21986</v>
      </c>
      <c r="O16" s="649">
        <v>10352</v>
      </c>
      <c r="P16" s="649">
        <v>32338</v>
      </c>
      <c r="Q16" s="1005">
        <v>233361</v>
      </c>
      <c r="R16" s="649">
        <v>174499</v>
      </c>
      <c r="S16" s="649">
        <v>407860</v>
      </c>
      <c r="T16" s="1005">
        <v>105685</v>
      </c>
      <c r="U16" s="648">
        <v>101198</v>
      </c>
      <c r="V16" s="648">
        <v>206883</v>
      </c>
      <c r="W16" s="1005">
        <v>126498</v>
      </c>
      <c r="X16" s="648">
        <v>94508</v>
      </c>
      <c r="Y16" s="648">
        <v>221006</v>
      </c>
    </row>
    <row r="17" spans="1:25" s="252" customFormat="1" ht="54" customHeight="1" x14ac:dyDescent="0.35">
      <c r="A17" s="583" t="s">
        <v>564</v>
      </c>
      <c r="B17" s="743" t="s">
        <v>1064</v>
      </c>
      <c r="C17" s="743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882" t="s">
        <v>796</v>
      </c>
      <c r="O17" s="882"/>
      <c r="P17" s="882"/>
      <c r="Q17" s="882"/>
      <c r="R17" s="882"/>
      <c r="S17" s="882"/>
      <c r="T17" s="882"/>
      <c r="U17" s="882"/>
      <c r="V17" s="882"/>
      <c r="W17" s="882"/>
      <c r="X17" s="882"/>
      <c r="Y17" s="882"/>
    </row>
    <row r="18" spans="1:25" ht="54" customHeight="1" x14ac:dyDescent="0.35">
      <c r="A18" s="256" t="s">
        <v>2</v>
      </c>
      <c r="B18" s="644">
        <v>432286</v>
      </c>
      <c r="C18" s="644">
        <v>488639</v>
      </c>
      <c r="D18" s="644">
        <v>920925</v>
      </c>
      <c r="E18" s="644">
        <v>47669</v>
      </c>
      <c r="F18" s="644">
        <v>50062</v>
      </c>
      <c r="G18" s="644">
        <v>97731</v>
      </c>
      <c r="H18" s="644">
        <v>108054</v>
      </c>
      <c r="I18" s="644">
        <v>120602</v>
      </c>
      <c r="J18" s="644">
        <v>228656</v>
      </c>
      <c r="K18" s="644">
        <v>95343</v>
      </c>
      <c r="L18" s="644">
        <v>106129</v>
      </c>
      <c r="M18" s="644">
        <v>201472</v>
      </c>
      <c r="N18" s="644">
        <v>1824</v>
      </c>
      <c r="O18" s="644">
        <v>1630</v>
      </c>
      <c r="P18" s="644">
        <v>3454</v>
      </c>
      <c r="Q18" s="644">
        <v>13186</v>
      </c>
      <c r="R18" s="644">
        <v>15650</v>
      </c>
      <c r="S18" s="647">
        <v>28836</v>
      </c>
      <c r="T18" s="644">
        <v>38072</v>
      </c>
      <c r="U18" s="647">
        <v>42895</v>
      </c>
      <c r="V18" s="647">
        <v>80967</v>
      </c>
      <c r="W18" s="644">
        <v>11036</v>
      </c>
      <c r="X18" s="647">
        <v>10160</v>
      </c>
      <c r="Y18" s="647">
        <v>21196</v>
      </c>
    </row>
    <row r="19" spans="1:25" ht="54" customHeight="1" x14ac:dyDescent="0.35">
      <c r="A19" s="256" t="s">
        <v>5</v>
      </c>
      <c r="B19" s="644">
        <v>14863586</v>
      </c>
      <c r="C19" s="644">
        <v>15469086</v>
      </c>
      <c r="D19" s="644">
        <v>30332672</v>
      </c>
      <c r="E19" s="644">
        <v>2433844</v>
      </c>
      <c r="F19" s="644">
        <v>2535939</v>
      </c>
      <c r="G19" s="644">
        <v>4969783</v>
      </c>
      <c r="H19" s="644">
        <v>880655</v>
      </c>
      <c r="I19" s="644">
        <v>948111</v>
      </c>
      <c r="J19" s="644">
        <v>1828766</v>
      </c>
      <c r="K19" s="644">
        <v>6232056</v>
      </c>
      <c r="L19" s="644">
        <v>6561323</v>
      </c>
      <c r="M19" s="644">
        <v>12793379</v>
      </c>
      <c r="N19" s="644">
        <v>24954</v>
      </c>
      <c r="O19" s="644">
        <v>19390</v>
      </c>
      <c r="P19" s="644">
        <v>44344</v>
      </c>
      <c r="Q19" s="644">
        <v>779696</v>
      </c>
      <c r="R19" s="644">
        <v>873040</v>
      </c>
      <c r="S19" s="647">
        <v>1652736</v>
      </c>
      <c r="T19" s="644">
        <v>303459</v>
      </c>
      <c r="U19" s="647">
        <v>378620</v>
      </c>
      <c r="V19" s="647">
        <v>682079</v>
      </c>
      <c r="W19" s="644">
        <v>263571</v>
      </c>
      <c r="X19" s="647">
        <v>254320</v>
      </c>
      <c r="Y19" s="647">
        <v>517891</v>
      </c>
    </row>
    <row r="20" spans="1:25" s="258" customFormat="1" ht="54" customHeight="1" x14ac:dyDescent="0.35">
      <c r="A20" s="257" t="s">
        <v>12</v>
      </c>
      <c r="B20" s="649">
        <v>15295872</v>
      </c>
      <c r="C20" s="649">
        <v>15957725</v>
      </c>
      <c r="D20" s="649">
        <v>31253597</v>
      </c>
      <c r="E20" s="649">
        <v>2481513</v>
      </c>
      <c r="F20" s="649">
        <v>2586001</v>
      </c>
      <c r="G20" s="649">
        <v>5067514</v>
      </c>
      <c r="H20" s="649">
        <v>988709</v>
      </c>
      <c r="I20" s="649">
        <v>1068713</v>
      </c>
      <c r="J20" s="649">
        <v>2057422</v>
      </c>
      <c r="K20" s="649">
        <v>6327399</v>
      </c>
      <c r="L20" s="649">
        <v>6667452</v>
      </c>
      <c r="M20" s="649">
        <v>12994851</v>
      </c>
      <c r="N20" s="649">
        <v>26778</v>
      </c>
      <c r="O20" s="649">
        <v>21020</v>
      </c>
      <c r="P20" s="649">
        <v>47798</v>
      </c>
      <c r="Q20" s="649">
        <v>792882</v>
      </c>
      <c r="R20" s="649">
        <v>888690</v>
      </c>
      <c r="S20" s="648">
        <v>1681572</v>
      </c>
      <c r="T20" s="649">
        <v>341531</v>
      </c>
      <c r="U20" s="648">
        <v>421515</v>
      </c>
      <c r="V20" s="648">
        <v>763046</v>
      </c>
      <c r="W20" s="649">
        <v>274607</v>
      </c>
      <c r="X20" s="648">
        <v>264480</v>
      </c>
      <c r="Y20" s="648">
        <v>539087</v>
      </c>
    </row>
    <row r="21" spans="1:25" x14ac:dyDescent="0.35">
      <c r="M21" s="624" t="s">
        <v>1065</v>
      </c>
      <c r="Y21" s="624" t="s">
        <v>1066</v>
      </c>
    </row>
  </sheetData>
  <mergeCells count="13">
    <mergeCell ref="A2:A3"/>
    <mergeCell ref="B2:D2"/>
    <mergeCell ref="E2:G2"/>
    <mergeCell ref="H2:J2"/>
    <mergeCell ref="K2:M2"/>
    <mergeCell ref="W2:Y2"/>
    <mergeCell ref="B17:M17"/>
    <mergeCell ref="N17:Y17"/>
    <mergeCell ref="B1:M1"/>
    <mergeCell ref="N2:P2"/>
    <mergeCell ref="Q2:S2"/>
    <mergeCell ref="T2:V2"/>
    <mergeCell ref="N1:Y1"/>
  </mergeCells>
  <pageMargins left="0.59055118110236227" right="0.35433070866141736" top="0.39370078740157483" bottom="0.39370078740157483" header="0.31496062992125984" footer="0.19685039370078741"/>
  <pageSetup paperSize="9" scale="70" firstPageNumber="27" orientation="portrait" r:id="rId1"/>
  <headerFooter>
    <oddFooter>&amp;L&amp;"Arial,Italic"&amp;9AISHE 2022-23</oddFooter>
  </headerFooter>
  <colBreaks count="1" manualBreakCount="1">
    <brk id="13" max="20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86B7-D2B6-4BF0-9730-993EEFD078BE}">
  <sheetPr codeName="Sheet39">
    <tabColor rgb="FF92D050"/>
  </sheetPr>
  <dimension ref="A1:W20"/>
  <sheetViews>
    <sheetView view="pageBreakPreview" zoomScale="85" zoomScaleSheetLayoutView="85" workbookViewId="0">
      <selection activeCell="B5" sqref="B5:V20"/>
    </sheetView>
  </sheetViews>
  <sheetFormatPr defaultColWidth="9.26953125" defaultRowHeight="15.5" x14ac:dyDescent="0.35"/>
  <cols>
    <col min="1" max="1" width="29.81640625" style="71" customWidth="1"/>
    <col min="2" max="2" width="10.1796875" style="71" customWidth="1"/>
    <col min="3" max="3" width="10.6328125" style="71" bestFit="1" customWidth="1"/>
    <col min="4" max="10" width="10.1796875" style="71" customWidth="1"/>
    <col min="11" max="11" width="7.54296875" style="71" customWidth="1"/>
    <col min="12" max="12" width="10.6328125" style="71" bestFit="1" customWidth="1"/>
    <col min="13" max="14" width="7.453125" style="71" customWidth="1"/>
    <col min="15" max="15" width="10.6328125" style="71" bestFit="1" customWidth="1"/>
    <col min="16" max="16" width="8" style="71" customWidth="1"/>
    <col min="17" max="17" width="9" style="71" customWidth="1"/>
    <col min="18" max="18" width="9.54296875" style="71" customWidth="1"/>
    <col min="19" max="19" width="10.26953125" style="71" customWidth="1"/>
    <col min="20" max="20" width="6.7265625" style="71" customWidth="1"/>
    <col min="21" max="21" width="9.54296875" style="71" bestFit="1" customWidth="1"/>
    <col min="22" max="22" width="7.7265625" style="71" customWidth="1"/>
    <col min="23" max="16384" width="9.26953125" style="71"/>
  </cols>
  <sheetData>
    <row r="1" spans="1:22" s="259" customFormat="1" ht="53.25" customHeight="1" x14ac:dyDescent="0.35">
      <c r="A1" s="26" t="s">
        <v>797</v>
      </c>
      <c r="B1" s="743" t="s">
        <v>798</v>
      </c>
      <c r="C1" s="743"/>
      <c r="D1" s="743"/>
      <c r="E1" s="743"/>
      <c r="F1" s="743"/>
      <c r="G1" s="743"/>
      <c r="H1" s="743"/>
      <c r="I1" s="743"/>
      <c r="J1" s="743"/>
      <c r="K1" s="743" t="str">
        <f>B1</f>
        <v>Post-wise Number of Teachers in various types of Universities 
(Based on Actual Response)
(a) Teaching Departments and it's Constituent Units/Off-campus Centres</v>
      </c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</row>
    <row r="2" spans="1:22" s="261" customFormat="1" ht="33.75" customHeight="1" x14ac:dyDescent="0.35">
      <c r="A2" s="772" t="s">
        <v>781</v>
      </c>
      <c r="B2" s="883" t="s">
        <v>759</v>
      </c>
      <c r="C2" s="883"/>
      <c r="D2" s="883"/>
      <c r="E2" s="883" t="s">
        <v>760</v>
      </c>
      <c r="F2" s="884"/>
      <c r="G2" s="884"/>
      <c r="H2" s="883" t="s">
        <v>761</v>
      </c>
      <c r="I2" s="884"/>
      <c r="J2" s="884"/>
      <c r="K2" s="883" t="s">
        <v>762</v>
      </c>
      <c r="L2" s="884"/>
      <c r="M2" s="884"/>
      <c r="N2" s="883" t="s">
        <v>767</v>
      </c>
      <c r="O2" s="884"/>
      <c r="P2" s="884"/>
      <c r="Q2" s="885" t="s">
        <v>12</v>
      </c>
      <c r="R2" s="886"/>
      <c r="S2" s="887"/>
      <c r="T2" s="883" t="s">
        <v>764</v>
      </c>
      <c r="U2" s="884"/>
      <c r="V2" s="884"/>
    </row>
    <row r="3" spans="1:22" s="261" customFormat="1" ht="27" customHeight="1" x14ac:dyDescent="0.35">
      <c r="A3" s="772"/>
      <c r="B3" s="260" t="s">
        <v>93</v>
      </c>
      <c r="C3" s="260" t="s">
        <v>94</v>
      </c>
      <c r="D3" s="260" t="s">
        <v>54</v>
      </c>
      <c r="E3" s="260" t="s">
        <v>93</v>
      </c>
      <c r="F3" s="260" t="s">
        <v>94</v>
      </c>
      <c r="G3" s="260" t="s">
        <v>54</v>
      </c>
      <c r="H3" s="260" t="s">
        <v>93</v>
      </c>
      <c r="I3" s="260" t="s">
        <v>94</v>
      </c>
      <c r="J3" s="260" t="s">
        <v>54</v>
      </c>
      <c r="K3" s="260" t="s">
        <v>93</v>
      </c>
      <c r="L3" s="260" t="s">
        <v>94</v>
      </c>
      <c r="M3" s="260" t="s">
        <v>54</v>
      </c>
      <c r="N3" s="260" t="s">
        <v>93</v>
      </c>
      <c r="O3" s="260" t="s">
        <v>94</v>
      </c>
      <c r="P3" s="260" t="s">
        <v>54</v>
      </c>
      <c r="Q3" s="260" t="s">
        <v>93</v>
      </c>
      <c r="R3" s="260" t="s">
        <v>94</v>
      </c>
      <c r="S3" s="260" t="s">
        <v>54</v>
      </c>
      <c r="T3" s="260" t="s">
        <v>93</v>
      </c>
      <c r="U3" s="260" t="s">
        <v>94</v>
      </c>
      <c r="V3" s="260" t="s">
        <v>54</v>
      </c>
    </row>
    <row r="4" spans="1:22" s="263" customFormat="1" ht="22.5" customHeight="1" x14ac:dyDescent="0.35">
      <c r="A4" s="262">
        <v>1</v>
      </c>
      <c r="B4" s="262">
        <v>2</v>
      </c>
      <c r="C4" s="262">
        <v>3</v>
      </c>
      <c r="D4" s="262">
        <v>4</v>
      </c>
      <c r="E4" s="262">
        <v>5</v>
      </c>
      <c r="F4" s="262">
        <v>6</v>
      </c>
      <c r="G4" s="262">
        <v>7</v>
      </c>
      <c r="H4" s="262">
        <v>8</v>
      </c>
      <c r="I4" s="262">
        <v>9</v>
      </c>
      <c r="J4" s="262">
        <v>10</v>
      </c>
      <c r="K4" s="262">
        <v>11</v>
      </c>
      <c r="L4" s="262">
        <v>12</v>
      </c>
      <c r="M4" s="262">
        <v>13</v>
      </c>
      <c r="N4" s="262">
        <v>14</v>
      </c>
      <c r="O4" s="262">
        <v>15</v>
      </c>
      <c r="P4" s="262">
        <v>16</v>
      </c>
      <c r="Q4" s="262">
        <v>17</v>
      </c>
      <c r="R4" s="262">
        <v>18</v>
      </c>
      <c r="S4" s="262">
        <v>19</v>
      </c>
      <c r="T4" s="262">
        <v>20</v>
      </c>
      <c r="U4" s="262">
        <v>21</v>
      </c>
      <c r="V4" s="262">
        <v>22</v>
      </c>
    </row>
    <row r="5" spans="1:22" ht="51.75" customHeight="1" x14ac:dyDescent="0.35">
      <c r="A5" s="264" t="s">
        <v>782</v>
      </c>
      <c r="B5" s="631">
        <v>3103</v>
      </c>
      <c r="C5" s="631">
        <v>881</v>
      </c>
      <c r="D5" s="631">
        <v>3984</v>
      </c>
      <c r="E5" s="631">
        <v>1593</v>
      </c>
      <c r="F5" s="631">
        <v>525</v>
      </c>
      <c r="G5" s="631">
        <v>2118</v>
      </c>
      <c r="H5" s="631">
        <v>5280</v>
      </c>
      <c r="I5" s="631">
        <v>2418</v>
      </c>
      <c r="J5" s="631">
        <v>7698</v>
      </c>
      <c r="K5" s="631">
        <v>297</v>
      </c>
      <c r="L5" s="631">
        <v>5</v>
      </c>
      <c r="M5" s="631">
        <v>302</v>
      </c>
      <c r="N5" s="631">
        <v>541</v>
      </c>
      <c r="O5" s="631">
        <v>298</v>
      </c>
      <c r="P5" s="631">
        <v>839</v>
      </c>
      <c r="Q5" s="631">
        <v>10860</v>
      </c>
      <c r="R5" s="631">
        <v>4160</v>
      </c>
      <c r="S5" s="631">
        <v>15020</v>
      </c>
      <c r="T5" s="631">
        <v>46</v>
      </c>
      <c r="U5" s="631">
        <v>33</v>
      </c>
      <c r="V5" s="631">
        <v>79</v>
      </c>
    </row>
    <row r="6" spans="1:22" ht="51.75" customHeight="1" x14ac:dyDescent="0.35">
      <c r="A6" s="264" t="s">
        <v>783</v>
      </c>
      <c r="B6" s="631">
        <v>68</v>
      </c>
      <c r="C6" s="631">
        <v>58</v>
      </c>
      <c r="D6" s="631">
        <v>126</v>
      </c>
      <c r="E6" s="631">
        <v>32</v>
      </c>
      <c r="F6" s="631">
        <v>25</v>
      </c>
      <c r="G6" s="631">
        <v>57</v>
      </c>
      <c r="H6" s="631">
        <v>61</v>
      </c>
      <c r="I6" s="631">
        <v>59</v>
      </c>
      <c r="J6" s="631">
        <v>120</v>
      </c>
      <c r="K6" s="631">
        <v>0</v>
      </c>
      <c r="L6" s="631">
        <v>0</v>
      </c>
      <c r="M6" s="631">
        <v>0</v>
      </c>
      <c r="N6" s="631">
        <v>0</v>
      </c>
      <c r="O6" s="631">
        <v>0</v>
      </c>
      <c r="P6" s="631">
        <v>0</v>
      </c>
      <c r="Q6" s="631">
        <v>161</v>
      </c>
      <c r="R6" s="631">
        <v>142</v>
      </c>
      <c r="S6" s="631">
        <v>303</v>
      </c>
      <c r="T6" s="631">
        <v>0</v>
      </c>
      <c r="U6" s="631">
        <v>0</v>
      </c>
      <c r="V6" s="631">
        <v>0</v>
      </c>
    </row>
    <row r="7" spans="1:22" ht="51.75" customHeight="1" x14ac:dyDescent="0.35">
      <c r="A7" s="264" t="s">
        <v>784</v>
      </c>
      <c r="B7" s="631">
        <v>4995</v>
      </c>
      <c r="C7" s="631">
        <v>1044</v>
      </c>
      <c r="D7" s="631">
        <v>6039</v>
      </c>
      <c r="E7" s="631">
        <v>4119</v>
      </c>
      <c r="F7" s="631">
        <v>1049</v>
      </c>
      <c r="G7" s="631">
        <v>5168</v>
      </c>
      <c r="H7" s="631">
        <v>7667</v>
      </c>
      <c r="I7" s="631">
        <v>2401</v>
      </c>
      <c r="J7" s="631">
        <v>10068</v>
      </c>
      <c r="K7" s="631">
        <v>68</v>
      </c>
      <c r="L7" s="631">
        <v>87</v>
      </c>
      <c r="M7" s="631">
        <v>155</v>
      </c>
      <c r="N7" s="631">
        <v>394</v>
      </c>
      <c r="O7" s="631">
        <v>176</v>
      </c>
      <c r="P7" s="631">
        <v>570</v>
      </c>
      <c r="Q7" s="631">
        <v>17398</v>
      </c>
      <c r="R7" s="631">
        <v>4788</v>
      </c>
      <c r="S7" s="631">
        <v>22186</v>
      </c>
      <c r="T7" s="631">
        <v>155</v>
      </c>
      <c r="U7" s="631">
        <v>31</v>
      </c>
      <c r="V7" s="631">
        <v>186</v>
      </c>
    </row>
    <row r="8" spans="1:22" ht="51.75" customHeight="1" x14ac:dyDescent="0.35">
      <c r="A8" s="264" t="s">
        <v>785</v>
      </c>
      <c r="B8" s="631">
        <v>9181</v>
      </c>
      <c r="C8" s="631">
        <v>3346</v>
      </c>
      <c r="D8" s="631">
        <v>12527</v>
      </c>
      <c r="E8" s="631">
        <v>4629</v>
      </c>
      <c r="F8" s="631">
        <v>2185</v>
      </c>
      <c r="G8" s="631">
        <v>6814</v>
      </c>
      <c r="H8" s="631">
        <v>18086</v>
      </c>
      <c r="I8" s="631">
        <v>13317</v>
      </c>
      <c r="J8" s="631">
        <v>31403</v>
      </c>
      <c r="K8" s="631">
        <v>446</v>
      </c>
      <c r="L8" s="631">
        <v>429</v>
      </c>
      <c r="M8" s="631">
        <v>875</v>
      </c>
      <c r="N8" s="631">
        <v>3767</v>
      </c>
      <c r="O8" s="631">
        <v>3408</v>
      </c>
      <c r="P8" s="631">
        <v>7175</v>
      </c>
      <c r="Q8" s="631">
        <v>36931</v>
      </c>
      <c r="R8" s="631">
        <v>23256</v>
      </c>
      <c r="S8" s="631">
        <v>60187</v>
      </c>
      <c r="T8" s="631">
        <v>822</v>
      </c>
      <c r="U8" s="631">
        <v>571</v>
      </c>
      <c r="V8" s="631">
        <v>1393</v>
      </c>
    </row>
    <row r="9" spans="1:22" ht="51.75" customHeight="1" x14ac:dyDescent="0.35">
      <c r="A9" s="264" t="s">
        <v>786</v>
      </c>
      <c r="B9" s="631">
        <v>81</v>
      </c>
      <c r="C9" s="631">
        <v>16</v>
      </c>
      <c r="D9" s="631">
        <v>97</v>
      </c>
      <c r="E9" s="631">
        <v>66</v>
      </c>
      <c r="F9" s="631">
        <v>16</v>
      </c>
      <c r="G9" s="631">
        <v>82</v>
      </c>
      <c r="H9" s="631">
        <v>279</v>
      </c>
      <c r="I9" s="631">
        <v>203</v>
      </c>
      <c r="J9" s="631">
        <v>482</v>
      </c>
      <c r="K9" s="631">
        <v>0</v>
      </c>
      <c r="L9" s="631">
        <v>1</v>
      </c>
      <c r="M9" s="631">
        <v>1</v>
      </c>
      <c r="N9" s="631">
        <v>130</v>
      </c>
      <c r="O9" s="631">
        <v>87</v>
      </c>
      <c r="P9" s="631">
        <v>217</v>
      </c>
      <c r="Q9" s="631">
        <v>568</v>
      </c>
      <c r="R9" s="631">
        <v>325</v>
      </c>
      <c r="S9" s="631">
        <v>893</v>
      </c>
      <c r="T9" s="631">
        <v>12</v>
      </c>
      <c r="U9" s="631">
        <v>2</v>
      </c>
      <c r="V9" s="631">
        <v>14</v>
      </c>
    </row>
    <row r="10" spans="1:22" ht="51.75" customHeight="1" x14ac:dyDescent="0.35">
      <c r="A10" s="264" t="s">
        <v>787</v>
      </c>
      <c r="B10" s="631">
        <v>8845</v>
      </c>
      <c r="C10" s="631">
        <v>3442</v>
      </c>
      <c r="D10" s="631">
        <v>12287</v>
      </c>
      <c r="E10" s="631">
        <v>8176</v>
      </c>
      <c r="F10" s="631">
        <v>4796</v>
      </c>
      <c r="G10" s="631">
        <v>12972</v>
      </c>
      <c r="H10" s="631">
        <v>38904</v>
      </c>
      <c r="I10" s="631">
        <v>31367</v>
      </c>
      <c r="J10" s="631">
        <v>70271</v>
      </c>
      <c r="K10" s="631">
        <v>2324</v>
      </c>
      <c r="L10" s="631">
        <v>3047</v>
      </c>
      <c r="M10" s="631">
        <v>5371</v>
      </c>
      <c r="N10" s="631">
        <v>515</v>
      </c>
      <c r="O10" s="631">
        <v>631</v>
      </c>
      <c r="P10" s="631">
        <v>1146</v>
      </c>
      <c r="Q10" s="631">
        <v>59779</v>
      </c>
      <c r="R10" s="631">
        <v>44236</v>
      </c>
      <c r="S10" s="631">
        <v>104015</v>
      </c>
      <c r="T10" s="631">
        <v>1015</v>
      </c>
      <c r="U10" s="631">
        <v>953</v>
      </c>
      <c r="V10" s="631">
        <v>1968</v>
      </c>
    </row>
    <row r="11" spans="1:22" ht="51.75" customHeight="1" x14ac:dyDescent="0.35">
      <c r="A11" s="264" t="s">
        <v>788</v>
      </c>
      <c r="B11" s="631">
        <v>5</v>
      </c>
      <c r="C11" s="632">
        <v>0</v>
      </c>
      <c r="D11" s="631">
        <v>5</v>
      </c>
      <c r="E11" s="631">
        <v>2</v>
      </c>
      <c r="F11" s="631">
        <v>3</v>
      </c>
      <c r="G11" s="631">
        <v>5</v>
      </c>
      <c r="H11" s="631">
        <v>15</v>
      </c>
      <c r="I11" s="631">
        <v>16</v>
      </c>
      <c r="J11" s="631">
        <v>31</v>
      </c>
      <c r="K11" s="631">
        <v>0</v>
      </c>
      <c r="L11" s="631">
        <v>0</v>
      </c>
      <c r="M11" s="631">
        <v>0</v>
      </c>
      <c r="N11" s="631">
        <v>0</v>
      </c>
      <c r="O11" s="631">
        <v>0</v>
      </c>
      <c r="P11" s="631">
        <v>0</v>
      </c>
      <c r="Q11" s="631">
        <v>22</v>
      </c>
      <c r="R11" s="631">
        <v>19</v>
      </c>
      <c r="S11" s="631">
        <v>41</v>
      </c>
      <c r="T11" s="631">
        <v>0</v>
      </c>
      <c r="U11" s="631">
        <v>0</v>
      </c>
      <c r="V11" s="631">
        <v>0</v>
      </c>
    </row>
    <row r="12" spans="1:22" ht="51.75" customHeight="1" x14ac:dyDescent="0.35">
      <c r="A12" s="264" t="s">
        <v>789</v>
      </c>
      <c r="B12" s="631">
        <v>288</v>
      </c>
      <c r="C12" s="631">
        <v>93</v>
      </c>
      <c r="D12" s="631">
        <v>381</v>
      </c>
      <c r="E12" s="631">
        <v>124</v>
      </c>
      <c r="F12" s="631">
        <v>65</v>
      </c>
      <c r="G12" s="631">
        <v>189</v>
      </c>
      <c r="H12" s="631">
        <v>365</v>
      </c>
      <c r="I12" s="631">
        <v>192</v>
      </c>
      <c r="J12" s="631">
        <v>557</v>
      </c>
      <c r="K12" s="631">
        <v>192</v>
      </c>
      <c r="L12" s="631">
        <v>148</v>
      </c>
      <c r="M12" s="631">
        <v>340</v>
      </c>
      <c r="N12" s="631">
        <v>3</v>
      </c>
      <c r="O12" s="631">
        <v>4</v>
      </c>
      <c r="P12" s="631">
        <v>7</v>
      </c>
      <c r="Q12" s="631">
        <v>974</v>
      </c>
      <c r="R12" s="631">
        <v>502</v>
      </c>
      <c r="S12" s="631">
        <v>1476</v>
      </c>
      <c r="T12" s="631">
        <v>2</v>
      </c>
      <c r="U12" s="631">
        <v>0</v>
      </c>
      <c r="V12" s="631">
        <v>2</v>
      </c>
    </row>
    <row r="13" spans="1:22" ht="51.75" customHeight="1" x14ac:dyDescent="0.35">
      <c r="A13" s="264" t="s">
        <v>790</v>
      </c>
      <c r="B13" s="631">
        <v>1127</v>
      </c>
      <c r="C13" s="631">
        <v>228</v>
      </c>
      <c r="D13" s="631">
        <v>1355</v>
      </c>
      <c r="E13" s="631">
        <v>914</v>
      </c>
      <c r="F13" s="631">
        <v>220</v>
      </c>
      <c r="G13" s="631">
        <v>1134</v>
      </c>
      <c r="H13" s="631">
        <v>1324</v>
      </c>
      <c r="I13" s="631">
        <v>512</v>
      </c>
      <c r="J13" s="631">
        <v>1836</v>
      </c>
      <c r="K13" s="631">
        <v>33</v>
      </c>
      <c r="L13" s="631">
        <v>10</v>
      </c>
      <c r="M13" s="631">
        <v>43</v>
      </c>
      <c r="N13" s="631">
        <v>43</v>
      </c>
      <c r="O13" s="631">
        <v>13</v>
      </c>
      <c r="P13" s="631">
        <v>56</v>
      </c>
      <c r="Q13" s="631">
        <v>3461</v>
      </c>
      <c r="R13" s="631">
        <v>992</v>
      </c>
      <c r="S13" s="631">
        <v>4453</v>
      </c>
      <c r="T13" s="631">
        <v>20</v>
      </c>
      <c r="U13" s="631">
        <v>9</v>
      </c>
      <c r="V13" s="631">
        <v>29</v>
      </c>
    </row>
    <row r="14" spans="1:22" ht="51.75" customHeight="1" x14ac:dyDescent="0.35">
      <c r="A14" s="264" t="s">
        <v>791</v>
      </c>
      <c r="B14" s="631">
        <v>268</v>
      </c>
      <c r="C14" s="631">
        <v>189</v>
      </c>
      <c r="D14" s="631">
        <v>457</v>
      </c>
      <c r="E14" s="631">
        <v>113</v>
      </c>
      <c r="F14" s="631">
        <v>99</v>
      </c>
      <c r="G14" s="631">
        <v>212</v>
      </c>
      <c r="H14" s="631">
        <v>603</v>
      </c>
      <c r="I14" s="631">
        <v>719</v>
      </c>
      <c r="J14" s="631">
        <v>1322</v>
      </c>
      <c r="K14" s="631">
        <v>48</v>
      </c>
      <c r="L14" s="631">
        <v>52</v>
      </c>
      <c r="M14" s="631">
        <v>100</v>
      </c>
      <c r="N14" s="631">
        <v>114</v>
      </c>
      <c r="O14" s="631">
        <v>170</v>
      </c>
      <c r="P14" s="631">
        <v>284</v>
      </c>
      <c r="Q14" s="631">
        <v>1147</v>
      </c>
      <c r="R14" s="631">
        <v>1229</v>
      </c>
      <c r="S14" s="631">
        <v>2376</v>
      </c>
      <c r="T14" s="631">
        <v>1</v>
      </c>
      <c r="U14" s="631">
        <v>0</v>
      </c>
      <c r="V14" s="631">
        <v>1</v>
      </c>
    </row>
    <row r="15" spans="1:22" ht="51.75" customHeight="1" x14ac:dyDescent="0.35">
      <c r="A15" s="264" t="s">
        <v>792</v>
      </c>
      <c r="B15" s="631">
        <v>6606</v>
      </c>
      <c r="C15" s="631">
        <v>3174</v>
      </c>
      <c r="D15" s="631">
        <v>9780</v>
      </c>
      <c r="E15" s="631">
        <v>6369</v>
      </c>
      <c r="F15" s="631">
        <v>4167</v>
      </c>
      <c r="G15" s="631">
        <v>10536</v>
      </c>
      <c r="H15" s="631">
        <v>17946</v>
      </c>
      <c r="I15" s="631">
        <v>16612</v>
      </c>
      <c r="J15" s="631">
        <v>34558</v>
      </c>
      <c r="K15" s="631">
        <v>970</v>
      </c>
      <c r="L15" s="631">
        <v>1541</v>
      </c>
      <c r="M15" s="631">
        <v>2511</v>
      </c>
      <c r="N15" s="631">
        <v>368</v>
      </c>
      <c r="O15" s="631">
        <v>305</v>
      </c>
      <c r="P15" s="631">
        <v>673</v>
      </c>
      <c r="Q15" s="631">
        <v>32579</v>
      </c>
      <c r="R15" s="631">
        <v>25997</v>
      </c>
      <c r="S15" s="631">
        <v>58576</v>
      </c>
      <c r="T15" s="631">
        <v>320</v>
      </c>
      <c r="U15" s="631">
        <v>198</v>
      </c>
      <c r="V15" s="631">
        <v>518</v>
      </c>
    </row>
    <row r="16" spans="1:22" s="75" customFormat="1" ht="58.5" customHeight="1" x14ac:dyDescent="0.35">
      <c r="A16" s="265" t="s">
        <v>12</v>
      </c>
      <c r="B16" s="633">
        <v>34567</v>
      </c>
      <c r="C16" s="633">
        <v>12471</v>
      </c>
      <c r="D16" s="633">
        <v>47038</v>
      </c>
      <c r="E16" s="633">
        <v>26137</v>
      </c>
      <c r="F16" s="633">
        <v>13150</v>
      </c>
      <c r="G16" s="633">
        <v>39287</v>
      </c>
      <c r="H16" s="633">
        <v>90530</v>
      </c>
      <c r="I16" s="633">
        <v>67816</v>
      </c>
      <c r="J16" s="633">
        <v>158346</v>
      </c>
      <c r="K16" s="633">
        <v>4378</v>
      </c>
      <c r="L16" s="633">
        <v>5320</v>
      </c>
      <c r="M16" s="633">
        <v>9698</v>
      </c>
      <c r="N16" s="633">
        <v>5875</v>
      </c>
      <c r="O16" s="633">
        <v>5092</v>
      </c>
      <c r="P16" s="633">
        <v>10967</v>
      </c>
      <c r="Q16" s="633">
        <v>163880</v>
      </c>
      <c r="R16" s="633">
        <v>105646</v>
      </c>
      <c r="S16" s="633">
        <v>269526</v>
      </c>
      <c r="T16" s="633">
        <v>2393</v>
      </c>
      <c r="U16" s="633">
        <v>1797</v>
      </c>
      <c r="V16" s="633">
        <v>4190</v>
      </c>
    </row>
    <row r="17" spans="1:23" s="259" customFormat="1" ht="58.5" customHeight="1" x14ac:dyDescent="0.35">
      <c r="A17" s="266" t="s">
        <v>797</v>
      </c>
      <c r="B17" s="1006" t="s">
        <v>799</v>
      </c>
      <c r="C17" s="1006"/>
      <c r="D17" s="1006"/>
      <c r="E17" s="1006"/>
      <c r="F17" s="1006"/>
      <c r="G17" s="1006"/>
      <c r="H17" s="1006"/>
      <c r="I17" s="1006"/>
      <c r="J17" s="1007"/>
      <c r="K17" s="1008" t="str">
        <f>B17</f>
        <v>Post-wise Number of Teachers in various types of Universities 
(Based on Actual Response)
(b) Affiliated and Constituent Colleges</v>
      </c>
      <c r="L17" s="1006"/>
      <c r="M17" s="1006"/>
      <c r="N17" s="1006"/>
      <c r="O17" s="1006"/>
      <c r="P17" s="1006"/>
      <c r="Q17" s="1006"/>
      <c r="R17" s="1006"/>
      <c r="S17" s="1006"/>
      <c r="T17" s="1006"/>
      <c r="U17" s="1006"/>
      <c r="V17" s="1007"/>
    </row>
    <row r="18" spans="1:23" ht="50.25" customHeight="1" x14ac:dyDescent="0.35">
      <c r="A18" s="267" t="s">
        <v>2</v>
      </c>
      <c r="B18" s="631">
        <v>1473</v>
      </c>
      <c r="C18" s="631">
        <v>1089</v>
      </c>
      <c r="D18" s="631">
        <v>2562</v>
      </c>
      <c r="E18" s="631">
        <v>2562</v>
      </c>
      <c r="F18" s="631">
        <v>2981</v>
      </c>
      <c r="G18" s="631">
        <v>5543</v>
      </c>
      <c r="H18" s="631">
        <v>10324</v>
      </c>
      <c r="I18" s="631">
        <v>12044</v>
      </c>
      <c r="J18" s="631">
        <v>22368</v>
      </c>
      <c r="K18" s="631">
        <v>483</v>
      </c>
      <c r="L18" s="631">
        <v>871</v>
      </c>
      <c r="M18" s="631">
        <v>1354</v>
      </c>
      <c r="N18" s="631">
        <v>1108</v>
      </c>
      <c r="O18" s="631">
        <v>1424</v>
      </c>
      <c r="P18" s="631">
        <v>2532</v>
      </c>
      <c r="Q18" s="631">
        <v>16081</v>
      </c>
      <c r="R18" s="631">
        <v>18522</v>
      </c>
      <c r="S18" s="631">
        <v>34603</v>
      </c>
      <c r="T18" s="631">
        <v>131</v>
      </c>
      <c r="U18" s="631">
        <v>113</v>
      </c>
      <c r="V18" s="631">
        <v>244</v>
      </c>
    </row>
    <row r="19" spans="1:23" ht="50.25" customHeight="1" x14ac:dyDescent="0.35">
      <c r="A19" s="264" t="s">
        <v>5</v>
      </c>
      <c r="B19" s="631">
        <v>67139</v>
      </c>
      <c r="C19" s="631">
        <v>29951</v>
      </c>
      <c r="D19" s="631">
        <v>97090</v>
      </c>
      <c r="E19" s="631">
        <v>70250</v>
      </c>
      <c r="F19" s="631">
        <v>45341</v>
      </c>
      <c r="G19" s="631">
        <v>115591</v>
      </c>
      <c r="H19" s="631">
        <v>455664</v>
      </c>
      <c r="I19" s="631">
        <v>380312</v>
      </c>
      <c r="J19" s="631">
        <v>835976</v>
      </c>
      <c r="K19" s="631">
        <v>19607</v>
      </c>
      <c r="L19" s="631">
        <v>38215</v>
      </c>
      <c r="M19" s="631">
        <v>57822</v>
      </c>
      <c r="N19" s="631">
        <v>41272</v>
      </c>
      <c r="O19" s="631">
        <v>38557</v>
      </c>
      <c r="P19" s="631">
        <v>79829</v>
      </c>
      <c r="Q19" s="631">
        <v>658534</v>
      </c>
      <c r="R19" s="631">
        <v>536553</v>
      </c>
      <c r="S19" s="631">
        <v>1195087</v>
      </c>
      <c r="T19" s="631">
        <v>4602</v>
      </c>
      <c r="U19" s="631">
        <v>4177</v>
      </c>
      <c r="V19" s="631">
        <v>8779</v>
      </c>
    </row>
    <row r="20" spans="1:23" s="75" customFormat="1" ht="58.5" customHeight="1" x14ac:dyDescent="0.35">
      <c r="A20" s="268" t="s">
        <v>12</v>
      </c>
      <c r="B20" s="1004">
        <v>68612</v>
      </c>
      <c r="C20" s="1004">
        <v>31040</v>
      </c>
      <c r="D20" s="1004">
        <v>99652</v>
      </c>
      <c r="E20" s="1004">
        <v>72812</v>
      </c>
      <c r="F20" s="1004">
        <v>48322</v>
      </c>
      <c r="G20" s="1004">
        <v>121134</v>
      </c>
      <c r="H20" s="1004">
        <v>465988</v>
      </c>
      <c r="I20" s="1004">
        <v>392356</v>
      </c>
      <c r="J20" s="1004">
        <v>858344</v>
      </c>
      <c r="K20" s="1004">
        <v>20090</v>
      </c>
      <c r="L20" s="1004">
        <v>39086</v>
      </c>
      <c r="M20" s="1004">
        <v>59176</v>
      </c>
      <c r="N20" s="1004">
        <v>42380</v>
      </c>
      <c r="O20" s="1004">
        <v>39981</v>
      </c>
      <c r="P20" s="1004">
        <v>82361</v>
      </c>
      <c r="Q20" s="633">
        <v>674615</v>
      </c>
      <c r="R20" s="633">
        <v>555075</v>
      </c>
      <c r="S20" s="633">
        <v>1229690</v>
      </c>
      <c r="T20" s="1004">
        <v>4733</v>
      </c>
      <c r="U20" s="1004">
        <v>4290</v>
      </c>
      <c r="V20" s="1004">
        <v>9023</v>
      </c>
      <c r="W20" s="71"/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ageMargins left="0.47244094488188981" right="0.11811023622047245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2022-23&amp;RT-29</oddFooter>
  </headerFooter>
  <colBreaks count="1" manualBreakCount="1">
    <brk id="10" max="18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AAA9-A424-4B98-948A-F584889FC67C}">
  <sheetPr codeName="Sheet40">
    <tabColor rgb="FF92D050"/>
  </sheetPr>
  <dimension ref="A1:V20"/>
  <sheetViews>
    <sheetView view="pageBreakPreview" topLeftCell="A9" zoomScale="85" zoomScaleSheetLayoutView="85" workbookViewId="0">
      <selection activeCell="S20" sqref="S20"/>
    </sheetView>
  </sheetViews>
  <sheetFormatPr defaultColWidth="9.26953125" defaultRowHeight="15.5" x14ac:dyDescent="0.35"/>
  <cols>
    <col min="1" max="1" width="22.26953125" style="71" bestFit="1" customWidth="1"/>
    <col min="2" max="10" width="10.1796875" style="71" customWidth="1"/>
    <col min="11" max="13" width="8.26953125" style="71" bestFit="1" customWidth="1"/>
    <col min="14" max="14" width="6.1796875" style="71" bestFit="1" customWidth="1"/>
    <col min="15" max="15" width="8.26953125" style="71" bestFit="1" customWidth="1"/>
    <col min="16" max="16" width="6.26953125" style="71" bestFit="1" customWidth="1"/>
    <col min="17" max="17" width="7" style="71" bestFit="1" customWidth="1"/>
    <col min="18" max="18" width="8.26953125" style="71" bestFit="1" customWidth="1"/>
    <col min="19" max="20" width="7" style="71" bestFit="1" customWidth="1"/>
    <col min="21" max="22" width="8.26953125" style="71" bestFit="1" customWidth="1"/>
    <col min="23" max="16384" width="9.26953125" style="71"/>
  </cols>
  <sheetData>
    <row r="1" spans="1:22" s="259" customFormat="1" ht="69.75" customHeight="1" x14ac:dyDescent="0.35">
      <c r="A1" s="26" t="s">
        <v>800</v>
      </c>
      <c r="B1" s="743" t="s">
        <v>801</v>
      </c>
      <c r="C1" s="743"/>
      <c r="D1" s="743"/>
      <c r="E1" s="743"/>
      <c r="F1" s="743"/>
      <c r="G1" s="743"/>
      <c r="H1" s="743"/>
      <c r="I1" s="743"/>
      <c r="J1" s="743"/>
      <c r="K1" s="743" t="str">
        <f>B1</f>
        <v>Social Group-wise Number of Teachers in various types of Universities
(Based on Actual Response)
(a) Teaching Departments and it's Constituent Units/Off-campus Centres</v>
      </c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</row>
    <row r="2" spans="1:22" s="261" customFormat="1" ht="36" customHeight="1" x14ac:dyDescent="0.35">
      <c r="A2" s="772" t="s">
        <v>781</v>
      </c>
      <c r="B2" s="746" t="s">
        <v>574</v>
      </c>
      <c r="C2" s="746"/>
      <c r="D2" s="746"/>
      <c r="E2" s="746" t="s">
        <v>747</v>
      </c>
      <c r="F2" s="746"/>
      <c r="G2" s="746"/>
      <c r="H2" s="746" t="s">
        <v>748</v>
      </c>
      <c r="I2" s="746"/>
      <c r="J2" s="746"/>
      <c r="K2" s="746" t="s">
        <v>756</v>
      </c>
      <c r="L2" s="746"/>
      <c r="M2" s="746"/>
      <c r="N2" s="746" t="s">
        <v>757</v>
      </c>
      <c r="O2" s="746"/>
      <c r="P2" s="746"/>
      <c r="Q2" s="746" t="s">
        <v>122</v>
      </c>
      <c r="R2" s="746"/>
      <c r="S2" s="746"/>
      <c r="T2" s="746" t="s">
        <v>123</v>
      </c>
      <c r="U2" s="746"/>
      <c r="V2" s="746"/>
    </row>
    <row r="3" spans="1:22" s="261" customFormat="1" ht="29.25" customHeight="1" x14ac:dyDescent="0.35">
      <c r="A3" s="772"/>
      <c r="B3" s="67" t="s">
        <v>93</v>
      </c>
      <c r="C3" s="67" t="s">
        <v>94</v>
      </c>
      <c r="D3" s="67" t="s">
        <v>54</v>
      </c>
      <c r="E3" s="67" t="s">
        <v>93</v>
      </c>
      <c r="F3" s="67" t="s">
        <v>94</v>
      </c>
      <c r="G3" s="67" t="s">
        <v>54</v>
      </c>
      <c r="H3" s="67" t="s">
        <v>93</v>
      </c>
      <c r="I3" s="67" t="s">
        <v>94</v>
      </c>
      <c r="J3" s="67" t="s">
        <v>54</v>
      </c>
      <c r="K3" s="67" t="s">
        <v>93</v>
      </c>
      <c r="L3" s="67" t="s">
        <v>94</v>
      </c>
      <c r="M3" s="67" t="s">
        <v>54</v>
      </c>
      <c r="N3" s="67" t="s">
        <v>93</v>
      </c>
      <c r="O3" s="67" t="s">
        <v>94</v>
      </c>
      <c r="P3" s="67" t="s">
        <v>54</v>
      </c>
      <c r="Q3" s="67" t="s">
        <v>93</v>
      </c>
      <c r="R3" s="67" t="s">
        <v>94</v>
      </c>
      <c r="S3" s="67" t="s">
        <v>54</v>
      </c>
      <c r="T3" s="67" t="s">
        <v>93</v>
      </c>
      <c r="U3" s="67" t="s">
        <v>94</v>
      </c>
      <c r="V3" s="67" t="s">
        <v>54</v>
      </c>
    </row>
    <row r="4" spans="1:22" s="261" customFormat="1" ht="18" customHeight="1" x14ac:dyDescent="0.35">
      <c r="A4" s="270">
        <v>1</v>
      </c>
      <c r="B4" s="270">
        <v>2</v>
      </c>
      <c r="C4" s="270">
        <v>3</v>
      </c>
      <c r="D4" s="270">
        <v>4</v>
      </c>
      <c r="E4" s="270">
        <v>5</v>
      </c>
      <c r="F4" s="270">
        <v>6</v>
      </c>
      <c r="G4" s="270">
        <v>7</v>
      </c>
      <c r="H4" s="270">
        <v>8</v>
      </c>
      <c r="I4" s="270">
        <v>9</v>
      </c>
      <c r="J4" s="270">
        <v>10</v>
      </c>
      <c r="K4" s="270">
        <v>2</v>
      </c>
      <c r="L4" s="270">
        <v>3</v>
      </c>
      <c r="M4" s="270">
        <v>4</v>
      </c>
      <c r="N4" s="270">
        <v>5</v>
      </c>
      <c r="O4" s="270">
        <v>6</v>
      </c>
      <c r="P4" s="270">
        <v>7</v>
      </c>
      <c r="Q4" s="270">
        <v>8</v>
      </c>
      <c r="R4" s="270">
        <v>9</v>
      </c>
      <c r="S4" s="270">
        <v>10</v>
      </c>
      <c r="T4" s="270">
        <v>11</v>
      </c>
      <c r="U4" s="270">
        <v>12</v>
      </c>
      <c r="V4" s="270">
        <v>13</v>
      </c>
    </row>
    <row r="5" spans="1:22" ht="53.25" customHeight="1" x14ac:dyDescent="0.35">
      <c r="A5" s="584" t="s">
        <v>782</v>
      </c>
      <c r="B5" s="32">
        <v>10860</v>
      </c>
      <c r="C5" s="32">
        <v>4160</v>
      </c>
      <c r="D5" s="32">
        <v>15020</v>
      </c>
      <c r="E5" s="32">
        <v>1260</v>
      </c>
      <c r="F5" s="32">
        <v>366</v>
      </c>
      <c r="G5" s="32">
        <v>1626</v>
      </c>
      <c r="H5" s="32">
        <v>626</v>
      </c>
      <c r="I5" s="32">
        <v>403</v>
      </c>
      <c r="J5" s="32">
        <v>1029</v>
      </c>
      <c r="K5" s="32">
        <v>1901</v>
      </c>
      <c r="L5" s="32">
        <v>632</v>
      </c>
      <c r="M5" s="32">
        <v>2533</v>
      </c>
      <c r="N5" s="32">
        <v>35</v>
      </c>
      <c r="O5" s="32">
        <v>198</v>
      </c>
      <c r="P5" s="32">
        <v>233</v>
      </c>
      <c r="Q5" s="32">
        <v>2016</v>
      </c>
      <c r="R5" s="32">
        <v>658</v>
      </c>
      <c r="S5" s="32">
        <v>2674</v>
      </c>
      <c r="T5" s="32">
        <v>612</v>
      </c>
      <c r="U5" s="32">
        <v>495</v>
      </c>
      <c r="V5" s="32">
        <v>1107</v>
      </c>
    </row>
    <row r="6" spans="1:22" ht="53.25" customHeight="1" x14ac:dyDescent="0.35">
      <c r="A6" s="584" t="s">
        <v>783</v>
      </c>
      <c r="B6" s="32">
        <v>161</v>
      </c>
      <c r="C6" s="32">
        <v>142</v>
      </c>
      <c r="D6" s="32">
        <v>303</v>
      </c>
      <c r="E6" s="32">
        <v>22</v>
      </c>
      <c r="F6" s="32">
        <v>17</v>
      </c>
      <c r="G6" s="32">
        <v>39</v>
      </c>
      <c r="H6" s="32">
        <v>12</v>
      </c>
      <c r="I6" s="32">
        <v>6</v>
      </c>
      <c r="J6" s="32">
        <v>18</v>
      </c>
      <c r="K6" s="32">
        <v>29</v>
      </c>
      <c r="L6" s="32">
        <v>6</v>
      </c>
      <c r="M6" s="32">
        <v>35</v>
      </c>
      <c r="N6" s="588">
        <v>2</v>
      </c>
      <c r="O6" s="588">
        <v>4</v>
      </c>
      <c r="P6" s="588">
        <v>6</v>
      </c>
      <c r="Q6" s="32">
        <v>8</v>
      </c>
      <c r="R6" s="32">
        <v>2</v>
      </c>
      <c r="S6" s="32">
        <v>10</v>
      </c>
      <c r="T6" s="32">
        <v>8</v>
      </c>
      <c r="U6" s="32">
        <v>16</v>
      </c>
      <c r="V6" s="32">
        <v>24</v>
      </c>
    </row>
    <row r="7" spans="1:22" ht="53.25" customHeight="1" x14ac:dyDescent="0.35">
      <c r="A7" s="584" t="s">
        <v>784</v>
      </c>
      <c r="B7" s="32">
        <v>17398</v>
      </c>
      <c r="C7" s="32">
        <v>4788</v>
      </c>
      <c r="D7" s="32">
        <v>22186</v>
      </c>
      <c r="E7" s="32">
        <v>1397</v>
      </c>
      <c r="F7" s="32">
        <v>362</v>
      </c>
      <c r="G7" s="32">
        <v>1759</v>
      </c>
      <c r="H7" s="32">
        <v>332</v>
      </c>
      <c r="I7" s="32">
        <v>124</v>
      </c>
      <c r="J7" s="32">
        <v>456</v>
      </c>
      <c r="K7" s="32">
        <v>2700</v>
      </c>
      <c r="L7" s="32">
        <v>627</v>
      </c>
      <c r="M7" s="32">
        <v>3327</v>
      </c>
      <c r="N7" s="588">
        <v>27</v>
      </c>
      <c r="O7" s="588">
        <v>131</v>
      </c>
      <c r="P7" s="588">
        <v>158</v>
      </c>
      <c r="Q7" s="32">
        <v>521</v>
      </c>
      <c r="R7" s="32">
        <v>115</v>
      </c>
      <c r="S7" s="32">
        <v>636</v>
      </c>
      <c r="T7" s="32">
        <v>813</v>
      </c>
      <c r="U7" s="32">
        <v>327</v>
      </c>
      <c r="V7" s="32">
        <v>1140</v>
      </c>
    </row>
    <row r="8" spans="1:22" ht="53.25" customHeight="1" x14ac:dyDescent="0.35">
      <c r="A8" s="584" t="s">
        <v>785</v>
      </c>
      <c r="B8" s="32">
        <v>36931</v>
      </c>
      <c r="C8" s="32">
        <v>23256</v>
      </c>
      <c r="D8" s="32">
        <v>60187</v>
      </c>
      <c r="E8" s="32">
        <v>5050</v>
      </c>
      <c r="F8" s="32">
        <v>2323</v>
      </c>
      <c r="G8" s="32">
        <v>7373</v>
      </c>
      <c r="H8" s="32">
        <v>1297</v>
      </c>
      <c r="I8" s="32">
        <v>682</v>
      </c>
      <c r="J8" s="32">
        <v>1979</v>
      </c>
      <c r="K8" s="32">
        <v>9408</v>
      </c>
      <c r="L8" s="32">
        <v>5421</v>
      </c>
      <c r="M8" s="32">
        <v>14829</v>
      </c>
      <c r="N8" s="32">
        <v>111</v>
      </c>
      <c r="O8" s="32">
        <v>281</v>
      </c>
      <c r="P8" s="32">
        <v>392</v>
      </c>
      <c r="Q8" s="32">
        <v>2481</v>
      </c>
      <c r="R8" s="32">
        <v>1233</v>
      </c>
      <c r="S8" s="32">
        <v>3714</v>
      </c>
      <c r="T8" s="32">
        <v>2277</v>
      </c>
      <c r="U8" s="32">
        <v>2318</v>
      </c>
      <c r="V8" s="32">
        <v>4595</v>
      </c>
    </row>
    <row r="9" spans="1:22" ht="53.25" customHeight="1" x14ac:dyDescent="0.35">
      <c r="A9" s="584" t="s">
        <v>786</v>
      </c>
      <c r="B9" s="32">
        <v>568</v>
      </c>
      <c r="C9" s="32">
        <v>325</v>
      </c>
      <c r="D9" s="32">
        <v>893</v>
      </c>
      <c r="E9" s="32">
        <v>96</v>
      </c>
      <c r="F9" s="32">
        <v>40</v>
      </c>
      <c r="G9" s="32">
        <v>136</v>
      </c>
      <c r="H9" s="32">
        <v>17</v>
      </c>
      <c r="I9" s="32">
        <v>8</v>
      </c>
      <c r="J9" s="32">
        <v>25</v>
      </c>
      <c r="K9" s="32">
        <v>151</v>
      </c>
      <c r="L9" s="32">
        <v>98</v>
      </c>
      <c r="M9" s="32">
        <v>249</v>
      </c>
      <c r="N9" s="32">
        <v>1</v>
      </c>
      <c r="O9" s="32">
        <v>4</v>
      </c>
      <c r="P9" s="32">
        <v>5</v>
      </c>
      <c r="Q9" s="32">
        <v>38</v>
      </c>
      <c r="R9" s="32">
        <v>7</v>
      </c>
      <c r="S9" s="32">
        <v>45</v>
      </c>
      <c r="T9" s="32">
        <v>28</v>
      </c>
      <c r="U9" s="32">
        <v>17</v>
      </c>
      <c r="V9" s="32">
        <v>45</v>
      </c>
    </row>
    <row r="10" spans="1:22" ht="53.25" customHeight="1" x14ac:dyDescent="0.35">
      <c r="A10" s="584" t="s">
        <v>787</v>
      </c>
      <c r="B10" s="32">
        <v>59779</v>
      </c>
      <c r="C10" s="32">
        <v>44236</v>
      </c>
      <c r="D10" s="32">
        <v>104015</v>
      </c>
      <c r="E10" s="32">
        <v>2464</v>
      </c>
      <c r="F10" s="32">
        <v>1540</v>
      </c>
      <c r="G10" s="32">
        <v>4004</v>
      </c>
      <c r="H10" s="32">
        <v>817</v>
      </c>
      <c r="I10" s="32">
        <v>972</v>
      </c>
      <c r="J10" s="32">
        <v>1789</v>
      </c>
      <c r="K10" s="32">
        <v>10397</v>
      </c>
      <c r="L10" s="32">
        <v>6321</v>
      </c>
      <c r="M10" s="32">
        <v>16718</v>
      </c>
      <c r="N10" s="32">
        <v>238</v>
      </c>
      <c r="O10" s="32">
        <v>354</v>
      </c>
      <c r="P10" s="32">
        <v>592</v>
      </c>
      <c r="Q10" s="32">
        <v>3468</v>
      </c>
      <c r="R10" s="32">
        <v>1742</v>
      </c>
      <c r="S10" s="32">
        <v>5210</v>
      </c>
      <c r="T10" s="32">
        <v>3568</v>
      </c>
      <c r="U10" s="32">
        <v>4293</v>
      </c>
      <c r="V10" s="32">
        <v>7861</v>
      </c>
    </row>
    <row r="11" spans="1:22" ht="53.25" customHeight="1" x14ac:dyDescent="0.35">
      <c r="A11" s="584" t="s">
        <v>789</v>
      </c>
      <c r="B11" s="32">
        <v>22</v>
      </c>
      <c r="C11" s="418">
        <v>19</v>
      </c>
      <c r="D11" s="32">
        <v>41</v>
      </c>
      <c r="E11" s="32">
        <v>2</v>
      </c>
      <c r="F11" s="32">
        <v>0</v>
      </c>
      <c r="G11" s="32">
        <v>2</v>
      </c>
      <c r="H11" s="32">
        <v>2</v>
      </c>
      <c r="I11" s="32">
        <v>3</v>
      </c>
      <c r="J11" s="32">
        <v>5</v>
      </c>
      <c r="K11" s="32">
        <v>0</v>
      </c>
      <c r="L11" s="32">
        <v>0</v>
      </c>
      <c r="M11" s="32">
        <v>0</v>
      </c>
      <c r="N11" s="32">
        <v>0</v>
      </c>
      <c r="O11" s="32">
        <v>1</v>
      </c>
      <c r="P11" s="32">
        <v>1</v>
      </c>
      <c r="Q11" s="32">
        <v>0</v>
      </c>
      <c r="R11" s="32">
        <v>0</v>
      </c>
      <c r="S11" s="32">
        <v>0</v>
      </c>
      <c r="T11" s="32">
        <v>1</v>
      </c>
      <c r="U11" s="32">
        <v>2</v>
      </c>
      <c r="V11" s="32">
        <v>3</v>
      </c>
    </row>
    <row r="12" spans="1:22" ht="53.25" customHeight="1" x14ac:dyDescent="0.35">
      <c r="A12" s="584" t="s">
        <v>788</v>
      </c>
      <c r="B12" s="32">
        <v>974</v>
      </c>
      <c r="C12" s="32">
        <v>502</v>
      </c>
      <c r="D12" s="32">
        <v>1476</v>
      </c>
      <c r="E12" s="32">
        <v>77</v>
      </c>
      <c r="F12" s="32">
        <v>47</v>
      </c>
      <c r="G12" s="32">
        <v>124</v>
      </c>
      <c r="H12" s="32">
        <v>10</v>
      </c>
      <c r="I12" s="32">
        <v>4</v>
      </c>
      <c r="J12" s="32">
        <v>14</v>
      </c>
      <c r="K12" s="32">
        <v>195</v>
      </c>
      <c r="L12" s="32">
        <v>111</v>
      </c>
      <c r="M12" s="32">
        <v>306</v>
      </c>
      <c r="N12" s="32">
        <v>1</v>
      </c>
      <c r="O12" s="32">
        <v>1</v>
      </c>
      <c r="P12" s="32">
        <v>2</v>
      </c>
      <c r="Q12" s="32">
        <v>167</v>
      </c>
      <c r="R12" s="32">
        <v>64</v>
      </c>
      <c r="S12" s="32">
        <v>231</v>
      </c>
      <c r="T12" s="32">
        <v>17</v>
      </c>
      <c r="U12" s="32">
        <v>33</v>
      </c>
      <c r="V12" s="32">
        <v>50</v>
      </c>
    </row>
    <row r="13" spans="1:22" ht="53.25" customHeight="1" x14ac:dyDescent="0.35">
      <c r="A13" s="584" t="s">
        <v>790</v>
      </c>
      <c r="B13" s="32">
        <v>3461</v>
      </c>
      <c r="C13" s="32">
        <v>992</v>
      </c>
      <c r="D13" s="32">
        <v>4453</v>
      </c>
      <c r="E13" s="32">
        <v>234</v>
      </c>
      <c r="F13" s="32">
        <v>40</v>
      </c>
      <c r="G13" s="32">
        <v>274</v>
      </c>
      <c r="H13" s="32">
        <v>102</v>
      </c>
      <c r="I13" s="32">
        <v>28</v>
      </c>
      <c r="J13" s="32">
        <v>130</v>
      </c>
      <c r="K13" s="32">
        <v>390</v>
      </c>
      <c r="L13" s="32">
        <v>113</v>
      </c>
      <c r="M13" s="32">
        <v>503</v>
      </c>
      <c r="N13" s="32">
        <v>11</v>
      </c>
      <c r="O13" s="32">
        <v>23</v>
      </c>
      <c r="P13" s="32">
        <v>34</v>
      </c>
      <c r="Q13" s="32">
        <v>62</v>
      </c>
      <c r="R13" s="32">
        <v>16</v>
      </c>
      <c r="S13" s="32">
        <v>78</v>
      </c>
      <c r="T13" s="32">
        <v>395</v>
      </c>
      <c r="U13" s="32">
        <v>87</v>
      </c>
      <c r="V13" s="32">
        <v>482</v>
      </c>
    </row>
    <row r="14" spans="1:22" ht="53.25" customHeight="1" x14ac:dyDescent="0.35">
      <c r="A14" s="584" t="s">
        <v>791</v>
      </c>
      <c r="B14" s="32">
        <v>1147</v>
      </c>
      <c r="C14" s="32">
        <v>1229</v>
      </c>
      <c r="D14" s="32">
        <v>2376</v>
      </c>
      <c r="E14" s="32">
        <v>107</v>
      </c>
      <c r="F14" s="32">
        <v>73</v>
      </c>
      <c r="G14" s="32">
        <v>180</v>
      </c>
      <c r="H14" s="32">
        <v>30</v>
      </c>
      <c r="I14" s="32">
        <v>21</v>
      </c>
      <c r="J14" s="32">
        <v>51</v>
      </c>
      <c r="K14" s="32">
        <v>187</v>
      </c>
      <c r="L14" s="32">
        <v>407</v>
      </c>
      <c r="M14" s="32">
        <v>594</v>
      </c>
      <c r="N14" s="32">
        <v>6</v>
      </c>
      <c r="O14" s="32">
        <v>6</v>
      </c>
      <c r="P14" s="32">
        <v>12</v>
      </c>
      <c r="Q14" s="32">
        <v>212</v>
      </c>
      <c r="R14" s="32">
        <v>145</v>
      </c>
      <c r="S14" s="32">
        <v>357</v>
      </c>
      <c r="T14" s="32">
        <v>174</v>
      </c>
      <c r="U14" s="32">
        <v>148</v>
      </c>
      <c r="V14" s="32">
        <v>322</v>
      </c>
    </row>
    <row r="15" spans="1:22" ht="53.25" customHeight="1" x14ac:dyDescent="0.35">
      <c r="A15" s="584" t="s">
        <v>792</v>
      </c>
      <c r="B15" s="32">
        <v>32579</v>
      </c>
      <c r="C15" s="32">
        <v>25997</v>
      </c>
      <c r="D15" s="32">
        <v>58576</v>
      </c>
      <c r="E15" s="32">
        <v>1478</v>
      </c>
      <c r="F15" s="32">
        <v>1133</v>
      </c>
      <c r="G15" s="32">
        <v>2611</v>
      </c>
      <c r="H15" s="32">
        <v>168</v>
      </c>
      <c r="I15" s="32">
        <v>134</v>
      </c>
      <c r="J15" s="32">
        <v>302</v>
      </c>
      <c r="K15" s="32">
        <v>10700</v>
      </c>
      <c r="L15" s="32">
        <v>9018</v>
      </c>
      <c r="M15" s="32">
        <v>19718</v>
      </c>
      <c r="N15" s="32">
        <v>94</v>
      </c>
      <c r="O15" s="32">
        <v>115</v>
      </c>
      <c r="P15" s="32">
        <v>209</v>
      </c>
      <c r="Q15" s="32">
        <v>1114</v>
      </c>
      <c r="R15" s="32">
        <v>676</v>
      </c>
      <c r="S15" s="32">
        <v>1790</v>
      </c>
      <c r="T15" s="32">
        <v>2462</v>
      </c>
      <c r="U15" s="32">
        <v>2942</v>
      </c>
      <c r="V15" s="32">
        <v>5404</v>
      </c>
    </row>
    <row r="16" spans="1:22" s="75" customFormat="1" ht="53.25" customHeight="1" x14ac:dyDescent="0.35">
      <c r="A16" s="585" t="s">
        <v>12</v>
      </c>
      <c r="B16" s="35">
        <v>163880</v>
      </c>
      <c r="C16" s="35">
        <v>105646</v>
      </c>
      <c r="D16" s="35">
        <v>269526</v>
      </c>
      <c r="E16" s="269">
        <v>12187</v>
      </c>
      <c r="F16" s="269">
        <v>5941</v>
      </c>
      <c r="G16" s="269">
        <v>18128</v>
      </c>
      <c r="H16" s="269">
        <v>3413</v>
      </c>
      <c r="I16" s="269">
        <v>2385</v>
      </c>
      <c r="J16" s="269">
        <v>5798</v>
      </c>
      <c r="K16" s="269">
        <v>36058</v>
      </c>
      <c r="L16" s="269">
        <v>22754</v>
      </c>
      <c r="M16" s="269">
        <v>58812</v>
      </c>
      <c r="N16" s="269">
        <v>526</v>
      </c>
      <c r="O16" s="269">
        <v>1118</v>
      </c>
      <c r="P16" s="269">
        <v>1644</v>
      </c>
      <c r="Q16" s="269">
        <v>10087</v>
      </c>
      <c r="R16" s="269">
        <v>4658</v>
      </c>
      <c r="S16" s="269">
        <v>14745</v>
      </c>
      <c r="T16" s="269">
        <v>10355</v>
      </c>
      <c r="U16" s="269">
        <v>10678</v>
      </c>
      <c r="V16" s="269">
        <v>21033</v>
      </c>
    </row>
    <row r="17" spans="1:22" s="259" customFormat="1" ht="53.25" customHeight="1" x14ac:dyDescent="0.35">
      <c r="A17" s="250" t="s">
        <v>800</v>
      </c>
      <c r="B17" s="872" t="s">
        <v>802</v>
      </c>
      <c r="C17" s="872"/>
      <c r="D17" s="872"/>
      <c r="E17" s="872"/>
      <c r="F17" s="872"/>
      <c r="G17" s="872"/>
      <c r="H17" s="872"/>
      <c r="I17" s="872"/>
      <c r="J17" s="872"/>
      <c r="K17" s="872" t="str">
        <f>B17</f>
        <v>Social Group-wise Number of Teachers in various types of Universities (Based on Actual Response)
(b) Affiliated and Constituent Colleges</v>
      </c>
      <c r="L17" s="872"/>
      <c r="M17" s="872"/>
      <c r="N17" s="872"/>
      <c r="O17" s="872"/>
      <c r="P17" s="872"/>
      <c r="Q17" s="872"/>
      <c r="R17" s="872"/>
      <c r="S17" s="872"/>
      <c r="T17" s="872"/>
      <c r="U17" s="872"/>
      <c r="V17" s="872"/>
    </row>
    <row r="18" spans="1:22" ht="53.25" customHeight="1" x14ac:dyDescent="0.35">
      <c r="A18" s="586" t="s">
        <v>2</v>
      </c>
      <c r="B18" s="32">
        <v>16081</v>
      </c>
      <c r="C18" s="32">
        <v>18522</v>
      </c>
      <c r="D18" s="32">
        <v>34603</v>
      </c>
      <c r="E18" s="32">
        <v>1582</v>
      </c>
      <c r="F18" s="32">
        <v>1222</v>
      </c>
      <c r="G18" s="32">
        <v>2804</v>
      </c>
      <c r="H18" s="32">
        <v>3522</v>
      </c>
      <c r="I18" s="32">
        <v>4922</v>
      </c>
      <c r="J18" s="32">
        <v>8444</v>
      </c>
      <c r="K18" s="32">
        <v>3615</v>
      </c>
      <c r="L18" s="32">
        <v>3366</v>
      </c>
      <c r="M18" s="32">
        <v>6981</v>
      </c>
      <c r="N18" s="32">
        <v>113</v>
      </c>
      <c r="O18" s="32">
        <v>240</v>
      </c>
      <c r="P18" s="32">
        <v>353</v>
      </c>
      <c r="Q18" s="32">
        <v>829</v>
      </c>
      <c r="R18" s="32">
        <v>469</v>
      </c>
      <c r="S18" s="32">
        <v>1298</v>
      </c>
      <c r="T18" s="32">
        <v>3636</v>
      </c>
      <c r="U18" s="32">
        <v>5424</v>
      </c>
      <c r="V18" s="32">
        <v>9060</v>
      </c>
    </row>
    <row r="19" spans="1:22" ht="53.25" customHeight="1" x14ac:dyDescent="0.35">
      <c r="A19" s="584" t="s">
        <v>5</v>
      </c>
      <c r="B19" s="32">
        <v>658534</v>
      </c>
      <c r="C19" s="32">
        <v>536553</v>
      </c>
      <c r="D19" s="32">
        <v>1195087</v>
      </c>
      <c r="E19" s="32">
        <v>72736</v>
      </c>
      <c r="F19" s="32">
        <v>45497</v>
      </c>
      <c r="G19" s="32">
        <v>118233</v>
      </c>
      <c r="H19" s="32">
        <v>15515</v>
      </c>
      <c r="I19" s="32">
        <v>10465</v>
      </c>
      <c r="J19" s="32">
        <v>25980</v>
      </c>
      <c r="K19" s="32">
        <v>233175</v>
      </c>
      <c r="L19" s="32">
        <v>182878</v>
      </c>
      <c r="M19" s="32">
        <v>416053</v>
      </c>
      <c r="N19" s="32">
        <v>3373</v>
      </c>
      <c r="O19" s="32">
        <v>5757</v>
      </c>
      <c r="P19" s="32">
        <v>9130</v>
      </c>
      <c r="Q19" s="32">
        <v>41137</v>
      </c>
      <c r="R19" s="32">
        <v>28236</v>
      </c>
      <c r="S19" s="32">
        <v>69373</v>
      </c>
      <c r="T19" s="32">
        <v>35213</v>
      </c>
      <c r="U19" s="32">
        <v>61500</v>
      </c>
      <c r="V19" s="32">
        <v>96713</v>
      </c>
    </row>
    <row r="20" spans="1:22" s="75" customFormat="1" ht="53.25" customHeight="1" x14ac:dyDescent="0.35">
      <c r="A20" s="587" t="s">
        <v>12</v>
      </c>
      <c r="B20" s="269">
        <v>674615</v>
      </c>
      <c r="C20" s="269">
        <v>555075</v>
      </c>
      <c r="D20" s="269">
        <v>1229690</v>
      </c>
      <c r="E20" s="269">
        <v>74318</v>
      </c>
      <c r="F20" s="269">
        <v>46719</v>
      </c>
      <c r="G20" s="269">
        <v>121037</v>
      </c>
      <c r="H20" s="269">
        <v>19037</v>
      </c>
      <c r="I20" s="269">
        <v>15387</v>
      </c>
      <c r="J20" s="269">
        <v>34424</v>
      </c>
      <c r="K20" s="269">
        <v>236790</v>
      </c>
      <c r="L20" s="269">
        <v>186244</v>
      </c>
      <c r="M20" s="269">
        <v>423034</v>
      </c>
      <c r="N20" s="269">
        <v>3486</v>
      </c>
      <c r="O20" s="269">
        <v>5997</v>
      </c>
      <c r="P20" s="269">
        <v>9483</v>
      </c>
      <c r="Q20" s="269">
        <v>41966</v>
      </c>
      <c r="R20" s="269">
        <v>28705</v>
      </c>
      <c r="S20" s="269">
        <v>70671</v>
      </c>
      <c r="T20" s="269">
        <v>38849</v>
      </c>
      <c r="U20" s="269">
        <v>66924</v>
      </c>
      <c r="V20" s="269">
        <v>105773</v>
      </c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ageMargins left="0.59055118110236227" right="0.35433070866141736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2022-23&amp;RT-30</oddFooter>
  </headerFooter>
  <colBreaks count="1" manualBreakCount="1">
    <brk id="10" max="18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2833-8212-49E9-8FEC-B5870764C539}">
  <sheetPr codeName="Sheet41">
    <tabColor rgb="FF92D050"/>
    <pageSetUpPr fitToPage="1"/>
  </sheetPr>
  <dimension ref="A1:N41"/>
  <sheetViews>
    <sheetView view="pageBreakPreview" topLeftCell="A36" zoomScaleSheetLayoutView="100" workbookViewId="0">
      <selection activeCell="M39" sqref="M39"/>
    </sheetView>
  </sheetViews>
  <sheetFormatPr defaultColWidth="9.26953125" defaultRowHeight="15.5" x14ac:dyDescent="0.35"/>
  <cols>
    <col min="1" max="1" width="7.26953125" style="271" bestFit="1" customWidth="1"/>
    <col min="2" max="2" width="27.7265625" style="278" customWidth="1"/>
    <col min="3" max="3" width="8.453125" style="271" bestFit="1" customWidth="1"/>
    <col min="4" max="5" width="10.6328125" style="271" bestFit="1" customWidth="1"/>
    <col min="6" max="6" width="8.453125" style="271" bestFit="1" customWidth="1"/>
    <col min="7" max="8" width="10.6328125" style="271" bestFit="1" customWidth="1"/>
    <col min="9" max="9" width="8.453125" style="271" bestFit="1" customWidth="1"/>
    <col min="10" max="10" width="9.54296875" style="271" customWidth="1"/>
    <col min="11" max="11" width="8.90625" style="271" bestFit="1" customWidth="1"/>
    <col min="12" max="12" width="8.453125" style="271" bestFit="1" customWidth="1"/>
    <col min="13" max="14" width="10.6328125" style="271" bestFit="1" customWidth="1"/>
    <col min="15" max="16384" width="9.26953125" style="271"/>
  </cols>
  <sheetData>
    <row r="1" spans="1:14" ht="38.25" customHeight="1" x14ac:dyDescent="0.35">
      <c r="B1" s="841" t="s">
        <v>1020</v>
      </c>
      <c r="C1" s="841"/>
      <c r="D1" s="841"/>
      <c r="E1" s="841"/>
      <c r="F1" s="841"/>
      <c r="G1" s="841"/>
      <c r="H1" s="841"/>
      <c r="I1" s="841"/>
      <c r="J1" s="841"/>
      <c r="K1" s="841"/>
      <c r="L1" s="841"/>
      <c r="M1" s="841"/>
      <c r="N1" s="841"/>
    </row>
    <row r="2" spans="1:14" ht="17.25" customHeight="1" x14ac:dyDescent="0.35">
      <c r="A2" s="890" t="s">
        <v>49</v>
      </c>
      <c r="B2" s="890" t="s">
        <v>1005</v>
      </c>
      <c r="C2" s="891" t="s">
        <v>803</v>
      </c>
      <c r="D2" s="891"/>
      <c r="E2" s="891"/>
      <c r="F2" s="891" t="s">
        <v>804</v>
      </c>
      <c r="G2" s="891"/>
      <c r="H2" s="891"/>
      <c r="I2" s="891" t="s">
        <v>805</v>
      </c>
      <c r="J2" s="891"/>
      <c r="K2" s="891"/>
      <c r="L2" s="891" t="s">
        <v>806</v>
      </c>
      <c r="M2" s="891"/>
      <c r="N2" s="891"/>
    </row>
    <row r="3" spans="1:14" x14ac:dyDescent="0.35">
      <c r="A3" s="890"/>
      <c r="B3" s="890"/>
      <c r="C3" s="272" t="s">
        <v>81</v>
      </c>
      <c r="D3" s="272" t="s">
        <v>807</v>
      </c>
      <c r="E3" s="272" t="s">
        <v>808</v>
      </c>
      <c r="F3" s="272" t="s">
        <v>81</v>
      </c>
      <c r="G3" s="272" t="s">
        <v>807</v>
      </c>
      <c r="H3" s="272" t="s">
        <v>808</v>
      </c>
      <c r="I3" s="272" t="s">
        <v>81</v>
      </c>
      <c r="J3" s="272" t="s">
        <v>807</v>
      </c>
      <c r="K3" s="272" t="s">
        <v>808</v>
      </c>
      <c r="L3" s="272" t="s">
        <v>81</v>
      </c>
      <c r="M3" s="272" t="s">
        <v>807</v>
      </c>
      <c r="N3" s="272" t="s">
        <v>808</v>
      </c>
    </row>
    <row r="4" spans="1:14" x14ac:dyDescent="0.35">
      <c r="A4" s="273">
        <v>1</v>
      </c>
      <c r="B4" s="274">
        <v>2</v>
      </c>
      <c r="C4" s="273">
        <v>3</v>
      </c>
      <c r="D4" s="274">
        <v>4</v>
      </c>
      <c r="E4" s="273">
        <v>5</v>
      </c>
      <c r="F4" s="274">
        <v>6</v>
      </c>
      <c r="G4" s="273">
        <v>7</v>
      </c>
      <c r="H4" s="274">
        <v>8</v>
      </c>
      <c r="I4" s="273">
        <v>9</v>
      </c>
      <c r="J4" s="274">
        <v>10</v>
      </c>
      <c r="K4" s="273">
        <v>11</v>
      </c>
      <c r="L4" s="274">
        <v>12</v>
      </c>
      <c r="M4" s="273">
        <v>13</v>
      </c>
      <c r="N4" s="274">
        <v>14</v>
      </c>
    </row>
    <row r="5" spans="1:14" s="277" customFormat="1" ht="30" customHeight="1" x14ac:dyDescent="0.35">
      <c r="A5" s="275">
        <v>1</v>
      </c>
      <c r="B5" s="276" t="s">
        <v>58</v>
      </c>
      <c r="C5" s="631">
        <v>3</v>
      </c>
      <c r="D5" s="631">
        <v>308</v>
      </c>
      <c r="E5" s="631">
        <v>197</v>
      </c>
      <c r="F5" s="631">
        <v>2</v>
      </c>
      <c r="G5" s="631">
        <v>190</v>
      </c>
      <c r="H5" s="631">
        <v>78</v>
      </c>
      <c r="I5" s="631">
        <v>0</v>
      </c>
      <c r="J5" s="631">
        <v>0</v>
      </c>
      <c r="K5" s="631">
        <v>0</v>
      </c>
      <c r="L5" s="631">
        <v>5</v>
      </c>
      <c r="M5" s="631">
        <v>498</v>
      </c>
      <c r="N5" s="631">
        <v>275</v>
      </c>
    </row>
    <row r="6" spans="1:14" ht="28.5" customHeight="1" x14ac:dyDescent="0.35">
      <c r="A6" s="275">
        <v>2</v>
      </c>
      <c r="B6" s="276" t="s">
        <v>13</v>
      </c>
      <c r="C6" s="631">
        <v>930</v>
      </c>
      <c r="D6" s="631">
        <v>236956</v>
      </c>
      <c r="E6" s="631">
        <v>156871</v>
      </c>
      <c r="F6" s="631">
        <v>1410</v>
      </c>
      <c r="G6" s="631">
        <v>334647</v>
      </c>
      <c r="H6" s="631">
        <v>222754</v>
      </c>
      <c r="I6" s="631">
        <v>31</v>
      </c>
      <c r="J6" s="631">
        <v>6052</v>
      </c>
      <c r="K6" s="631">
        <v>3263</v>
      </c>
      <c r="L6" s="631">
        <v>2371</v>
      </c>
      <c r="M6" s="631">
        <v>577655</v>
      </c>
      <c r="N6" s="631">
        <v>382888</v>
      </c>
    </row>
    <row r="7" spans="1:14" ht="28.5" customHeight="1" x14ac:dyDescent="0.35">
      <c r="A7" s="275">
        <v>3</v>
      </c>
      <c r="B7" s="276" t="s">
        <v>14</v>
      </c>
      <c r="C7" s="631">
        <v>59</v>
      </c>
      <c r="D7" s="631">
        <v>5772</v>
      </c>
      <c r="E7" s="631">
        <v>4940</v>
      </c>
      <c r="F7" s="631">
        <v>71</v>
      </c>
      <c r="G7" s="631">
        <v>5696</v>
      </c>
      <c r="H7" s="631">
        <v>4633</v>
      </c>
      <c r="I7" s="631">
        <v>1</v>
      </c>
      <c r="J7" s="631">
        <v>58</v>
      </c>
      <c r="K7" s="631">
        <v>58</v>
      </c>
      <c r="L7" s="631">
        <v>131</v>
      </c>
      <c r="M7" s="631">
        <v>11526</v>
      </c>
      <c r="N7" s="631">
        <v>9631</v>
      </c>
    </row>
    <row r="8" spans="1:14" ht="28.5" customHeight="1" x14ac:dyDescent="0.35">
      <c r="A8" s="275">
        <v>4</v>
      </c>
      <c r="B8" s="276" t="s">
        <v>15</v>
      </c>
      <c r="C8" s="631">
        <v>412</v>
      </c>
      <c r="D8" s="631">
        <v>41856</v>
      </c>
      <c r="E8" s="631">
        <v>32827</v>
      </c>
      <c r="F8" s="631">
        <v>690</v>
      </c>
      <c r="G8" s="631">
        <v>59271</v>
      </c>
      <c r="H8" s="631">
        <v>44326</v>
      </c>
      <c r="I8" s="631">
        <v>13</v>
      </c>
      <c r="J8" s="631">
        <v>1034</v>
      </c>
      <c r="K8" s="631">
        <v>948</v>
      </c>
      <c r="L8" s="631">
        <v>1115</v>
      </c>
      <c r="M8" s="631">
        <v>102161</v>
      </c>
      <c r="N8" s="631">
        <v>78101</v>
      </c>
    </row>
    <row r="9" spans="1:14" s="277" customFormat="1" ht="28.5" customHeight="1" x14ac:dyDescent="0.35">
      <c r="A9" s="275">
        <v>5</v>
      </c>
      <c r="B9" s="276" t="s">
        <v>16</v>
      </c>
      <c r="C9" s="631">
        <v>633</v>
      </c>
      <c r="D9" s="631">
        <v>86124</v>
      </c>
      <c r="E9" s="631">
        <v>52566</v>
      </c>
      <c r="F9" s="631">
        <v>773</v>
      </c>
      <c r="G9" s="631">
        <v>80636</v>
      </c>
      <c r="H9" s="631">
        <v>43615</v>
      </c>
      <c r="I9" s="631">
        <v>22</v>
      </c>
      <c r="J9" s="631">
        <v>2236</v>
      </c>
      <c r="K9" s="631">
        <v>1196</v>
      </c>
      <c r="L9" s="631">
        <v>1428</v>
      </c>
      <c r="M9" s="631">
        <v>168996</v>
      </c>
      <c r="N9" s="631">
        <v>97377</v>
      </c>
    </row>
    <row r="10" spans="1:14" ht="28.5" customHeight="1" x14ac:dyDescent="0.35">
      <c r="A10" s="275">
        <v>6</v>
      </c>
      <c r="B10" s="276" t="s">
        <v>17</v>
      </c>
      <c r="C10" s="631">
        <v>32</v>
      </c>
      <c r="D10" s="631">
        <v>7421</v>
      </c>
      <c r="E10" s="631">
        <v>6400</v>
      </c>
      <c r="F10" s="631">
        <v>58</v>
      </c>
      <c r="G10" s="631">
        <v>10971</v>
      </c>
      <c r="H10" s="631">
        <v>9578</v>
      </c>
      <c r="I10" s="631">
        <v>8</v>
      </c>
      <c r="J10" s="631">
        <v>652</v>
      </c>
      <c r="K10" s="631">
        <v>489</v>
      </c>
      <c r="L10" s="631">
        <v>98</v>
      </c>
      <c r="M10" s="631">
        <v>19044</v>
      </c>
      <c r="N10" s="631">
        <v>16467</v>
      </c>
    </row>
    <row r="11" spans="1:14" ht="28.5" customHeight="1" x14ac:dyDescent="0.35">
      <c r="A11" s="275">
        <v>7</v>
      </c>
      <c r="B11" s="276" t="s">
        <v>18</v>
      </c>
      <c r="C11" s="632">
        <v>362</v>
      </c>
      <c r="D11" s="631">
        <v>39727</v>
      </c>
      <c r="E11" s="631">
        <v>22626</v>
      </c>
      <c r="F11" s="631">
        <v>527</v>
      </c>
      <c r="G11" s="631">
        <v>60129</v>
      </c>
      <c r="H11" s="631">
        <v>34770</v>
      </c>
      <c r="I11" s="631">
        <v>9</v>
      </c>
      <c r="J11" s="631">
        <v>736</v>
      </c>
      <c r="K11" s="631">
        <v>679</v>
      </c>
      <c r="L11" s="631">
        <v>898</v>
      </c>
      <c r="M11" s="631">
        <v>100592</v>
      </c>
      <c r="N11" s="631">
        <v>58075</v>
      </c>
    </row>
    <row r="12" spans="1:14" ht="28.5" customHeight="1" x14ac:dyDescent="0.35">
      <c r="A12" s="275">
        <v>8</v>
      </c>
      <c r="B12" s="276" t="s">
        <v>19</v>
      </c>
      <c r="C12" s="631">
        <v>144</v>
      </c>
      <c r="D12" s="631">
        <v>25299</v>
      </c>
      <c r="E12" s="631">
        <v>21252</v>
      </c>
      <c r="F12" s="631">
        <v>170</v>
      </c>
      <c r="G12" s="631">
        <v>29081</v>
      </c>
      <c r="H12" s="631">
        <v>21000</v>
      </c>
      <c r="I12" s="631">
        <v>24</v>
      </c>
      <c r="J12" s="631">
        <v>4304</v>
      </c>
      <c r="K12" s="631">
        <v>3015</v>
      </c>
      <c r="L12" s="631">
        <v>338</v>
      </c>
      <c r="M12" s="631">
        <v>58684</v>
      </c>
      <c r="N12" s="631">
        <v>45267</v>
      </c>
    </row>
    <row r="13" spans="1:14" ht="28.5" customHeight="1" x14ac:dyDescent="0.35">
      <c r="A13" s="275">
        <v>9</v>
      </c>
      <c r="B13" s="276" t="s">
        <v>20</v>
      </c>
      <c r="C13" s="631">
        <v>53</v>
      </c>
      <c r="D13" s="631">
        <v>8291</v>
      </c>
      <c r="E13" s="631">
        <v>6028</v>
      </c>
      <c r="F13" s="631">
        <v>32</v>
      </c>
      <c r="G13" s="631">
        <v>2660</v>
      </c>
      <c r="H13" s="631">
        <v>2009</v>
      </c>
      <c r="I13" s="631">
        <v>6</v>
      </c>
      <c r="J13" s="631">
        <v>332</v>
      </c>
      <c r="K13" s="631">
        <v>307</v>
      </c>
      <c r="L13" s="631">
        <v>91</v>
      </c>
      <c r="M13" s="631">
        <v>11283</v>
      </c>
      <c r="N13" s="631">
        <v>8344</v>
      </c>
    </row>
    <row r="14" spans="1:14" ht="28.5" customHeight="1" x14ac:dyDescent="0.35">
      <c r="A14" s="275">
        <v>10</v>
      </c>
      <c r="B14" s="276" t="s">
        <v>21</v>
      </c>
      <c r="C14" s="631">
        <v>1663</v>
      </c>
      <c r="D14" s="631">
        <v>275625</v>
      </c>
      <c r="E14" s="631">
        <v>117125</v>
      </c>
      <c r="F14" s="631">
        <v>1905</v>
      </c>
      <c r="G14" s="631">
        <v>338289</v>
      </c>
      <c r="H14" s="631">
        <v>125286</v>
      </c>
      <c r="I14" s="631">
        <v>107</v>
      </c>
      <c r="J14" s="631">
        <v>18626</v>
      </c>
      <c r="K14" s="631">
        <v>8911</v>
      </c>
      <c r="L14" s="631">
        <v>3675</v>
      </c>
      <c r="M14" s="631">
        <v>632540</v>
      </c>
      <c r="N14" s="631">
        <v>251322</v>
      </c>
    </row>
    <row r="15" spans="1:14" ht="28.5" customHeight="1" x14ac:dyDescent="0.35">
      <c r="A15" s="275">
        <v>11</v>
      </c>
      <c r="B15" s="276" t="s">
        <v>22</v>
      </c>
      <c r="C15" s="631">
        <v>517</v>
      </c>
      <c r="D15" s="631">
        <v>99328</v>
      </c>
      <c r="E15" s="631">
        <v>50016</v>
      </c>
      <c r="F15" s="631">
        <v>623</v>
      </c>
      <c r="G15" s="631">
        <v>110076</v>
      </c>
      <c r="H15" s="631">
        <v>52757</v>
      </c>
      <c r="I15" s="631">
        <v>26</v>
      </c>
      <c r="J15" s="631">
        <v>2514</v>
      </c>
      <c r="K15" s="631">
        <v>1379</v>
      </c>
      <c r="L15" s="631">
        <v>1166</v>
      </c>
      <c r="M15" s="631">
        <v>211918</v>
      </c>
      <c r="N15" s="631">
        <v>104152</v>
      </c>
    </row>
    <row r="16" spans="1:14" ht="28.5" customHeight="1" x14ac:dyDescent="0.35">
      <c r="A16" s="275">
        <v>12</v>
      </c>
      <c r="B16" s="276" t="s">
        <v>23</v>
      </c>
      <c r="C16" s="631">
        <v>197</v>
      </c>
      <c r="D16" s="631">
        <v>28821</v>
      </c>
      <c r="E16" s="631">
        <v>17020</v>
      </c>
      <c r="F16" s="631">
        <v>326</v>
      </c>
      <c r="G16" s="631">
        <v>37468</v>
      </c>
      <c r="H16" s="631">
        <v>21882</v>
      </c>
      <c r="I16" s="631">
        <v>10</v>
      </c>
      <c r="J16" s="631">
        <v>2765</v>
      </c>
      <c r="K16" s="631">
        <v>1188</v>
      </c>
      <c r="L16" s="631">
        <v>533</v>
      </c>
      <c r="M16" s="631">
        <v>69054</v>
      </c>
      <c r="N16" s="631">
        <v>40090</v>
      </c>
    </row>
    <row r="17" spans="1:14" ht="28.5" customHeight="1" x14ac:dyDescent="0.35">
      <c r="A17" s="275">
        <v>13</v>
      </c>
      <c r="B17" s="276" t="s">
        <v>24</v>
      </c>
      <c r="C17" s="631">
        <v>207</v>
      </c>
      <c r="D17" s="631">
        <v>24311</v>
      </c>
      <c r="E17" s="631">
        <v>14774</v>
      </c>
      <c r="F17" s="631">
        <v>257</v>
      </c>
      <c r="G17" s="631">
        <v>26096</v>
      </c>
      <c r="H17" s="631">
        <v>13161</v>
      </c>
      <c r="I17" s="631">
        <v>20</v>
      </c>
      <c r="J17" s="631">
        <v>1479</v>
      </c>
      <c r="K17" s="631">
        <v>615</v>
      </c>
      <c r="L17" s="631">
        <v>484</v>
      </c>
      <c r="M17" s="631">
        <v>51886</v>
      </c>
      <c r="N17" s="631">
        <v>28550</v>
      </c>
    </row>
    <row r="18" spans="1:14" ht="28.5" customHeight="1" x14ac:dyDescent="0.35">
      <c r="A18" s="275">
        <v>14</v>
      </c>
      <c r="B18" s="276" t="s">
        <v>25</v>
      </c>
      <c r="C18" s="631">
        <v>537</v>
      </c>
      <c r="D18" s="631">
        <v>92725</v>
      </c>
      <c r="E18" s="631">
        <v>50289</v>
      </c>
      <c r="F18" s="631">
        <v>523</v>
      </c>
      <c r="G18" s="631">
        <v>85428</v>
      </c>
      <c r="H18" s="631">
        <v>39299</v>
      </c>
      <c r="I18" s="631">
        <v>11</v>
      </c>
      <c r="J18" s="631">
        <v>453</v>
      </c>
      <c r="K18" s="631">
        <v>311</v>
      </c>
      <c r="L18" s="631">
        <v>1071</v>
      </c>
      <c r="M18" s="631">
        <v>178606</v>
      </c>
      <c r="N18" s="631">
        <v>89899</v>
      </c>
    </row>
    <row r="19" spans="1:14" ht="28.5" customHeight="1" x14ac:dyDescent="0.35">
      <c r="A19" s="275">
        <v>15</v>
      </c>
      <c r="B19" s="276" t="s">
        <v>26</v>
      </c>
      <c r="C19" s="631">
        <v>3112</v>
      </c>
      <c r="D19" s="631">
        <v>506455</v>
      </c>
      <c r="E19" s="631">
        <v>239545</v>
      </c>
      <c r="F19" s="631">
        <v>3547</v>
      </c>
      <c r="G19" s="631">
        <v>635029</v>
      </c>
      <c r="H19" s="631">
        <v>308556</v>
      </c>
      <c r="I19" s="631">
        <v>101</v>
      </c>
      <c r="J19" s="631">
        <v>15748</v>
      </c>
      <c r="K19" s="631">
        <v>9109</v>
      </c>
      <c r="L19" s="631">
        <v>6760</v>
      </c>
      <c r="M19" s="631">
        <v>1157232</v>
      </c>
      <c r="N19" s="631">
        <v>557210</v>
      </c>
    </row>
    <row r="20" spans="1:14" ht="28.5" customHeight="1" x14ac:dyDescent="0.35">
      <c r="A20" s="275">
        <v>16</v>
      </c>
      <c r="B20" s="276" t="s">
        <v>27</v>
      </c>
      <c r="C20" s="631">
        <v>894</v>
      </c>
      <c r="D20" s="631">
        <v>100737</v>
      </c>
      <c r="E20" s="631">
        <v>60636</v>
      </c>
      <c r="F20" s="631">
        <v>1516</v>
      </c>
      <c r="G20" s="631">
        <v>213896</v>
      </c>
      <c r="H20" s="631">
        <v>137310</v>
      </c>
      <c r="I20" s="631">
        <v>49</v>
      </c>
      <c r="J20" s="631">
        <v>4167</v>
      </c>
      <c r="K20" s="631">
        <v>2389</v>
      </c>
      <c r="L20" s="631">
        <v>2459</v>
      </c>
      <c r="M20" s="631">
        <v>318800</v>
      </c>
      <c r="N20" s="631">
        <v>200335</v>
      </c>
    </row>
    <row r="21" spans="1:14" s="277" customFormat="1" ht="28.5" customHeight="1" x14ac:dyDescent="0.35">
      <c r="A21" s="275">
        <v>17</v>
      </c>
      <c r="B21" s="276" t="s">
        <v>28</v>
      </c>
      <c r="C21" s="631">
        <v>7</v>
      </c>
      <c r="D21" s="631">
        <v>370</v>
      </c>
      <c r="E21" s="631">
        <v>317</v>
      </c>
      <c r="F21" s="631">
        <v>10</v>
      </c>
      <c r="G21" s="631">
        <v>432</v>
      </c>
      <c r="H21" s="631">
        <v>325</v>
      </c>
      <c r="I21" s="631">
        <v>1</v>
      </c>
      <c r="J21" s="631">
        <v>50</v>
      </c>
      <c r="K21" s="631">
        <v>0</v>
      </c>
      <c r="L21" s="631">
        <v>18</v>
      </c>
      <c r="M21" s="631">
        <v>852</v>
      </c>
      <c r="N21" s="631">
        <v>642</v>
      </c>
    </row>
    <row r="22" spans="1:14" ht="28.5" customHeight="1" x14ac:dyDescent="0.35">
      <c r="A22" s="275">
        <v>18</v>
      </c>
      <c r="B22" s="276" t="s">
        <v>72</v>
      </c>
      <c r="C22" s="631">
        <v>4</v>
      </c>
      <c r="D22" s="631">
        <v>280</v>
      </c>
      <c r="E22" s="631">
        <v>148</v>
      </c>
      <c r="F22" s="631">
        <v>2</v>
      </c>
      <c r="G22" s="631">
        <v>292</v>
      </c>
      <c r="H22" s="631">
        <v>195</v>
      </c>
      <c r="I22" s="631">
        <v>0</v>
      </c>
      <c r="J22" s="631">
        <v>0</v>
      </c>
      <c r="K22" s="631">
        <v>0</v>
      </c>
      <c r="L22" s="631">
        <v>6</v>
      </c>
      <c r="M22" s="631">
        <v>572</v>
      </c>
      <c r="N22" s="631">
        <v>343</v>
      </c>
    </row>
    <row r="23" spans="1:14" ht="28.5" customHeight="1" x14ac:dyDescent="0.35">
      <c r="A23" s="275">
        <v>19</v>
      </c>
      <c r="B23" s="276" t="s">
        <v>29</v>
      </c>
      <c r="C23" s="631">
        <v>821</v>
      </c>
      <c r="D23" s="631">
        <v>107364</v>
      </c>
      <c r="E23" s="631">
        <v>62144</v>
      </c>
      <c r="F23" s="631">
        <v>830</v>
      </c>
      <c r="G23" s="631">
        <v>98024</v>
      </c>
      <c r="H23" s="631">
        <v>52249</v>
      </c>
      <c r="I23" s="631">
        <v>52</v>
      </c>
      <c r="J23" s="631">
        <v>7418</v>
      </c>
      <c r="K23" s="631">
        <v>3927</v>
      </c>
      <c r="L23" s="631">
        <v>1703</v>
      </c>
      <c r="M23" s="631">
        <v>212806</v>
      </c>
      <c r="N23" s="631">
        <v>118320</v>
      </c>
    </row>
    <row r="24" spans="1:14" ht="28.5" customHeight="1" x14ac:dyDescent="0.35">
      <c r="A24" s="275">
        <v>20</v>
      </c>
      <c r="B24" s="276" t="s">
        <v>30</v>
      </c>
      <c r="C24" s="631">
        <v>2708</v>
      </c>
      <c r="D24" s="631">
        <v>356841</v>
      </c>
      <c r="E24" s="631">
        <v>183629</v>
      </c>
      <c r="F24" s="631">
        <v>3657</v>
      </c>
      <c r="G24" s="631">
        <v>419678</v>
      </c>
      <c r="H24" s="631">
        <v>212396</v>
      </c>
      <c r="I24" s="631">
        <v>173</v>
      </c>
      <c r="J24" s="631">
        <v>19370</v>
      </c>
      <c r="K24" s="631">
        <v>11644</v>
      </c>
      <c r="L24" s="631">
        <v>6538</v>
      </c>
      <c r="M24" s="631">
        <v>795889</v>
      </c>
      <c r="N24" s="631">
        <v>407669</v>
      </c>
    </row>
    <row r="25" spans="1:14" ht="28.5" customHeight="1" x14ac:dyDescent="0.35">
      <c r="A25" s="275">
        <v>21</v>
      </c>
      <c r="B25" s="276" t="s">
        <v>31</v>
      </c>
      <c r="C25" s="631">
        <v>133</v>
      </c>
      <c r="D25" s="631">
        <v>8724</v>
      </c>
      <c r="E25" s="631">
        <v>6734</v>
      </c>
      <c r="F25" s="631">
        <v>169</v>
      </c>
      <c r="G25" s="631">
        <v>12243</v>
      </c>
      <c r="H25" s="631">
        <v>9311</v>
      </c>
      <c r="I25" s="631">
        <v>10</v>
      </c>
      <c r="J25" s="631">
        <v>786</v>
      </c>
      <c r="K25" s="631">
        <v>333</v>
      </c>
      <c r="L25" s="631">
        <v>312</v>
      </c>
      <c r="M25" s="631">
        <v>21753</v>
      </c>
      <c r="N25" s="631">
        <v>16378</v>
      </c>
    </row>
    <row r="26" spans="1:14" ht="28.5" customHeight="1" x14ac:dyDescent="0.35">
      <c r="A26" s="275">
        <v>22</v>
      </c>
      <c r="B26" s="276" t="s">
        <v>32</v>
      </c>
      <c r="C26" s="631">
        <v>78</v>
      </c>
      <c r="D26" s="631">
        <v>6360</v>
      </c>
      <c r="E26" s="631">
        <v>4901</v>
      </c>
      <c r="F26" s="631">
        <v>99</v>
      </c>
      <c r="G26" s="631">
        <v>7189</v>
      </c>
      <c r="H26" s="631">
        <v>5480</v>
      </c>
      <c r="I26" s="631">
        <v>12</v>
      </c>
      <c r="J26" s="631">
        <v>1010</v>
      </c>
      <c r="K26" s="631">
        <v>576</v>
      </c>
      <c r="L26" s="631">
        <v>189</v>
      </c>
      <c r="M26" s="631">
        <v>14559</v>
      </c>
      <c r="N26" s="631">
        <v>10957</v>
      </c>
    </row>
    <row r="27" spans="1:14" ht="28.5" customHeight="1" x14ac:dyDescent="0.35">
      <c r="A27" s="275">
        <v>23</v>
      </c>
      <c r="B27" s="276" t="s">
        <v>33</v>
      </c>
      <c r="C27" s="631">
        <v>45</v>
      </c>
      <c r="D27" s="631">
        <v>2732</v>
      </c>
      <c r="E27" s="631">
        <v>2405</v>
      </c>
      <c r="F27" s="631">
        <v>60</v>
      </c>
      <c r="G27" s="631">
        <v>3481</v>
      </c>
      <c r="H27" s="631">
        <v>2871</v>
      </c>
      <c r="I27" s="631">
        <v>3</v>
      </c>
      <c r="J27" s="631">
        <v>200</v>
      </c>
      <c r="K27" s="631">
        <v>196</v>
      </c>
      <c r="L27" s="631">
        <v>108</v>
      </c>
      <c r="M27" s="631">
        <v>6413</v>
      </c>
      <c r="N27" s="631">
        <v>5472</v>
      </c>
    </row>
    <row r="28" spans="1:14" ht="28.5" customHeight="1" x14ac:dyDescent="0.35">
      <c r="A28" s="275">
        <v>24</v>
      </c>
      <c r="B28" s="276" t="s">
        <v>34</v>
      </c>
      <c r="C28" s="631">
        <v>100</v>
      </c>
      <c r="D28" s="631">
        <v>5648</v>
      </c>
      <c r="E28" s="631">
        <v>4096</v>
      </c>
      <c r="F28" s="631">
        <v>101</v>
      </c>
      <c r="G28" s="631">
        <v>6335</v>
      </c>
      <c r="H28" s="631">
        <v>4789</v>
      </c>
      <c r="I28" s="631">
        <v>4</v>
      </c>
      <c r="J28" s="631">
        <v>191</v>
      </c>
      <c r="K28" s="631">
        <v>75</v>
      </c>
      <c r="L28" s="631">
        <v>205</v>
      </c>
      <c r="M28" s="631">
        <v>12174</v>
      </c>
      <c r="N28" s="631">
        <v>8960</v>
      </c>
    </row>
    <row r="29" spans="1:14" ht="28.5" customHeight="1" x14ac:dyDescent="0.35">
      <c r="A29" s="275">
        <v>25</v>
      </c>
      <c r="B29" s="276" t="s">
        <v>35</v>
      </c>
      <c r="C29" s="631">
        <v>1495</v>
      </c>
      <c r="D29" s="631">
        <v>208326</v>
      </c>
      <c r="E29" s="631">
        <v>154411</v>
      </c>
      <c r="F29" s="631">
        <v>1682</v>
      </c>
      <c r="G29" s="631">
        <v>195381</v>
      </c>
      <c r="H29" s="631">
        <v>136037</v>
      </c>
      <c r="I29" s="631">
        <v>48</v>
      </c>
      <c r="J29" s="631">
        <v>6829</v>
      </c>
      <c r="K29" s="631">
        <v>4775</v>
      </c>
      <c r="L29" s="631">
        <v>3225</v>
      </c>
      <c r="M29" s="631">
        <v>410536</v>
      </c>
      <c r="N29" s="631">
        <v>295223</v>
      </c>
    </row>
    <row r="30" spans="1:14" s="277" customFormat="1" ht="28.5" customHeight="1" x14ac:dyDescent="0.35">
      <c r="A30" s="275">
        <v>26</v>
      </c>
      <c r="B30" s="276" t="s">
        <v>36</v>
      </c>
      <c r="C30" s="631">
        <v>97</v>
      </c>
      <c r="D30" s="631">
        <v>16474</v>
      </c>
      <c r="E30" s="631">
        <v>11075</v>
      </c>
      <c r="F30" s="631">
        <v>90</v>
      </c>
      <c r="G30" s="631">
        <v>15614</v>
      </c>
      <c r="H30" s="631">
        <v>11145</v>
      </c>
      <c r="I30" s="631">
        <v>2</v>
      </c>
      <c r="J30" s="631">
        <v>260</v>
      </c>
      <c r="K30" s="631">
        <v>228</v>
      </c>
      <c r="L30" s="631">
        <v>189</v>
      </c>
      <c r="M30" s="631">
        <v>32348</v>
      </c>
      <c r="N30" s="631">
        <v>22448</v>
      </c>
    </row>
    <row r="31" spans="1:14" ht="28.5" customHeight="1" x14ac:dyDescent="0.35">
      <c r="A31" s="275">
        <v>27</v>
      </c>
      <c r="B31" s="276" t="s">
        <v>37</v>
      </c>
      <c r="C31" s="631">
        <v>728</v>
      </c>
      <c r="D31" s="631">
        <v>162758</v>
      </c>
      <c r="E31" s="631">
        <v>87157</v>
      </c>
      <c r="F31" s="631">
        <v>956</v>
      </c>
      <c r="G31" s="631">
        <v>166375</v>
      </c>
      <c r="H31" s="631">
        <v>74214</v>
      </c>
      <c r="I31" s="631">
        <v>43</v>
      </c>
      <c r="J31" s="631">
        <v>9131</v>
      </c>
      <c r="K31" s="631">
        <v>5415</v>
      </c>
      <c r="L31" s="631">
        <v>1727</v>
      </c>
      <c r="M31" s="631">
        <v>338264</v>
      </c>
      <c r="N31" s="631">
        <v>166786</v>
      </c>
    </row>
    <row r="32" spans="1:14" ht="28.5" customHeight="1" x14ac:dyDescent="0.35">
      <c r="A32" s="275">
        <v>28</v>
      </c>
      <c r="B32" s="276" t="s">
        <v>38</v>
      </c>
      <c r="C32" s="631">
        <v>1051</v>
      </c>
      <c r="D32" s="631">
        <v>135082</v>
      </c>
      <c r="E32" s="631">
        <v>72860</v>
      </c>
      <c r="F32" s="631">
        <v>1184</v>
      </c>
      <c r="G32" s="631">
        <v>137686</v>
      </c>
      <c r="H32" s="631">
        <v>70000</v>
      </c>
      <c r="I32" s="631">
        <v>65</v>
      </c>
      <c r="J32" s="631">
        <v>6372</v>
      </c>
      <c r="K32" s="631">
        <v>3517</v>
      </c>
      <c r="L32" s="631">
        <v>2300</v>
      </c>
      <c r="M32" s="631">
        <v>279140</v>
      </c>
      <c r="N32" s="631">
        <v>146377</v>
      </c>
    </row>
    <row r="33" spans="1:14" ht="28.5" customHeight="1" x14ac:dyDescent="0.35">
      <c r="A33" s="275">
        <v>29</v>
      </c>
      <c r="B33" s="276" t="s">
        <v>39</v>
      </c>
      <c r="C33" s="631">
        <v>29</v>
      </c>
      <c r="D33" s="631">
        <v>4815</v>
      </c>
      <c r="E33" s="631">
        <v>2993</v>
      </c>
      <c r="F33" s="631">
        <v>34</v>
      </c>
      <c r="G33" s="631">
        <v>3464</v>
      </c>
      <c r="H33" s="631">
        <v>2127</v>
      </c>
      <c r="I33" s="631">
        <v>2</v>
      </c>
      <c r="J33" s="631">
        <v>60</v>
      </c>
      <c r="K33" s="631">
        <v>50</v>
      </c>
      <c r="L33" s="631">
        <v>65</v>
      </c>
      <c r="M33" s="631">
        <v>8339</v>
      </c>
      <c r="N33" s="631">
        <v>5170</v>
      </c>
    </row>
    <row r="34" spans="1:14" ht="28.5" customHeight="1" x14ac:dyDescent="0.35">
      <c r="A34" s="275">
        <v>30</v>
      </c>
      <c r="B34" s="276" t="s">
        <v>40</v>
      </c>
      <c r="C34" s="631">
        <v>2541</v>
      </c>
      <c r="D34" s="631">
        <v>653290</v>
      </c>
      <c r="E34" s="631">
        <v>355257</v>
      </c>
      <c r="F34" s="631">
        <v>2866</v>
      </c>
      <c r="G34" s="631">
        <v>625646</v>
      </c>
      <c r="H34" s="631">
        <v>305729</v>
      </c>
      <c r="I34" s="631">
        <v>59</v>
      </c>
      <c r="J34" s="631">
        <v>8624</v>
      </c>
      <c r="K34" s="631">
        <v>3458</v>
      </c>
      <c r="L34" s="631">
        <v>5466</v>
      </c>
      <c r="M34" s="631">
        <v>1287560</v>
      </c>
      <c r="N34" s="631">
        <v>664444</v>
      </c>
    </row>
    <row r="35" spans="1:14" ht="28.5" customHeight="1" x14ac:dyDescent="0.35">
      <c r="A35" s="275">
        <v>31</v>
      </c>
      <c r="B35" s="276" t="s">
        <v>41</v>
      </c>
      <c r="C35" s="631">
        <v>556</v>
      </c>
      <c r="D35" s="631">
        <v>122300</v>
      </c>
      <c r="E35" s="631">
        <v>85439</v>
      </c>
      <c r="F35" s="631">
        <v>781</v>
      </c>
      <c r="G35" s="631">
        <v>197202</v>
      </c>
      <c r="H35" s="631">
        <v>137016</v>
      </c>
      <c r="I35" s="631">
        <v>24</v>
      </c>
      <c r="J35" s="631">
        <v>4417</v>
      </c>
      <c r="K35" s="631">
        <v>2884</v>
      </c>
      <c r="L35" s="631">
        <v>1361</v>
      </c>
      <c r="M35" s="631">
        <v>323919</v>
      </c>
      <c r="N35" s="631">
        <v>225339</v>
      </c>
    </row>
    <row r="36" spans="1:14" ht="36.75" customHeight="1" x14ac:dyDescent="0.35">
      <c r="A36" s="275">
        <v>32</v>
      </c>
      <c r="B36" s="276" t="s">
        <v>60</v>
      </c>
      <c r="C36" s="631">
        <v>13</v>
      </c>
      <c r="D36" s="631">
        <v>2071</v>
      </c>
      <c r="E36" s="631">
        <v>977</v>
      </c>
      <c r="F36" s="631">
        <v>14</v>
      </c>
      <c r="G36" s="631">
        <v>2574</v>
      </c>
      <c r="H36" s="631">
        <v>1577</v>
      </c>
      <c r="I36" s="631">
        <v>1</v>
      </c>
      <c r="J36" s="631">
        <v>220</v>
      </c>
      <c r="K36" s="631">
        <v>336</v>
      </c>
      <c r="L36" s="631">
        <v>28</v>
      </c>
      <c r="M36" s="631">
        <v>4865</v>
      </c>
      <c r="N36" s="631">
        <v>2890</v>
      </c>
    </row>
    <row r="37" spans="1:14" ht="28.5" customHeight="1" x14ac:dyDescent="0.35">
      <c r="A37" s="275">
        <v>33</v>
      </c>
      <c r="B37" s="276" t="s">
        <v>42</v>
      </c>
      <c r="C37" s="631">
        <v>43</v>
      </c>
      <c r="D37" s="631">
        <v>6635</v>
      </c>
      <c r="E37" s="631">
        <v>4331</v>
      </c>
      <c r="F37" s="631">
        <v>41</v>
      </c>
      <c r="G37" s="631">
        <v>4607</v>
      </c>
      <c r="H37" s="631">
        <v>3367</v>
      </c>
      <c r="I37" s="631">
        <v>4</v>
      </c>
      <c r="J37" s="631">
        <v>340</v>
      </c>
      <c r="K37" s="631">
        <v>293</v>
      </c>
      <c r="L37" s="631">
        <v>88</v>
      </c>
      <c r="M37" s="631">
        <v>11582</v>
      </c>
      <c r="N37" s="631">
        <v>7991</v>
      </c>
    </row>
    <row r="38" spans="1:14" ht="28.5" customHeight="1" x14ac:dyDescent="0.35">
      <c r="A38" s="275">
        <v>34</v>
      </c>
      <c r="B38" s="276" t="s">
        <v>43</v>
      </c>
      <c r="C38" s="631">
        <v>2164</v>
      </c>
      <c r="D38" s="631">
        <v>316281</v>
      </c>
      <c r="E38" s="631">
        <v>187613</v>
      </c>
      <c r="F38" s="631">
        <v>1903</v>
      </c>
      <c r="G38" s="631">
        <v>236593</v>
      </c>
      <c r="H38" s="631">
        <v>127510</v>
      </c>
      <c r="I38" s="631">
        <v>111</v>
      </c>
      <c r="J38" s="631">
        <v>17506</v>
      </c>
      <c r="K38" s="631">
        <v>11002</v>
      </c>
      <c r="L38" s="631">
        <v>4178</v>
      </c>
      <c r="M38" s="631">
        <v>570380</v>
      </c>
      <c r="N38" s="631">
        <v>326125</v>
      </c>
    </row>
    <row r="39" spans="1:14" ht="28.5" customHeight="1" x14ac:dyDescent="0.35">
      <c r="A39" s="275">
        <v>35</v>
      </c>
      <c r="B39" s="276" t="s">
        <v>44</v>
      </c>
      <c r="C39" s="631">
        <v>367</v>
      </c>
      <c r="D39" s="631">
        <v>56293</v>
      </c>
      <c r="E39" s="631">
        <v>34671</v>
      </c>
      <c r="F39" s="631">
        <v>312</v>
      </c>
      <c r="G39" s="631">
        <v>43693</v>
      </c>
      <c r="H39" s="631">
        <v>25936</v>
      </c>
      <c r="I39" s="631">
        <v>16</v>
      </c>
      <c r="J39" s="631">
        <v>1659</v>
      </c>
      <c r="K39" s="631">
        <v>1383</v>
      </c>
      <c r="L39" s="631">
        <v>695</v>
      </c>
      <c r="M39" s="631">
        <v>101645</v>
      </c>
      <c r="N39" s="631">
        <v>61990</v>
      </c>
    </row>
    <row r="40" spans="1:14" ht="28.5" customHeight="1" x14ac:dyDescent="0.35">
      <c r="A40" s="275">
        <v>36</v>
      </c>
      <c r="B40" s="276" t="s">
        <v>45</v>
      </c>
      <c r="C40" s="631">
        <v>1348</v>
      </c>
      <c r="D40" s="631">
        <v>141911</v>
      </c>
      <c r="E40" s="631">
        <v>84281</v>
      </c>
      <c r="F40" s="631">
        <v>1478</v>
      </c>
      <c r="G40" s="631">
        <v>142374</v>
      </c>
      <c r="H40" s="631">
        <v>80256</v>
      </c>
      <c r="I40" s="631">
        <v>73</v>
      </c>
      <c r="J40" s="631">
        <v>5442</v>
      </c>
      <c r="K40" s="631">
        <v>3485</v>
      </c>
      <c r="L40" s="631">
        <v>2899</v>
      </c>
      <c r="M40" s="631">
        <v>289727</v>
      </c>
      <c r="N40" s="631">
        <v>168022</v>
      </c>
    </row>
    <row r="41" spans="1:14" ht="21.75" customHeight="1" x14ac:dyDescent="0.35">
      <c r="A41" s="888" t="s">
        <v>46</v>
      </c>
      <c r="B41" s="889"/>
      <c r="C41" s="1004">
        <v>24083</v>
      </c>
      <c r="D41" s="1004">
        <v>3894311</v>
      </c>
      <c r="E41" s="1004">
        <v>2198551</v>
      </c>
      <c r="F41" s="1004">
        <v>28699</v>
      </c>
      <c r="G41" s="1004">
        <v>4348446</v>
      </c>
      <c r="H41" s="1004">
        <v>2343544</v>
      </c>
      <c r="I41" s="1004">
        <v>1141</v>
      </c>
      <c r="J41" s="1004">
        <v>151041</v>
      </c>
      <c r="K41" s="1004">
        <v>87434</v>
      </c>
      <c r="L41" s="633">
        <v>53923</v>
      </c>
      <c r="M41" s="633">
        <v>8393798</v>
      </c>
      <c r="N41" s="633">
        <v>4629529</v>
      </c>
    </row>
  </sheetData>
  <mergeCells count="8">
    <mergeCell ref="A41:B41"/>
    <mergeCell ref="B1:N1"/>
    <mergeCell ref="A2:A3"/>
    <mergeCell ref="B2:B3"/>
    <mergeCell ref="C2:E2"/>
    <mergeCell ref="F2:H2"/>
    <mergeCell ref="I2:K2"/>
    <mergeCell ref="L2:N2"/>
  </mergeCells>
  <pageMargins left="0.59055118110236227" right="0.35433070866141736" top="0.39370078740157483" bottom="0.39370078740157483" header="0.31496062992125984" footer="0.19685039370078741"/>
  <pageSetup paperSize="9" scale="61" firstPageNumber="31" orientation="portrait" r:id="rId1"/>
  <headerFooter>
    <oddFooter>&amp;L&amp;"Arial,Italic"&amp;9AISHE 2022-23&amp;RT-31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0992-2663-4EA1-9B6D-C522C7436C71}">
  <sheetPr codeName="Sheet42">
    <tabColor rgb="FF92D050"/>
    <pageSetUpPr fitToPage="1"/>
  </sheetPr>
  <dimension ref="A1:M20"/>
  <sheetViews>
    <sheetView view="pageBreakPreview" topLeftCell="A13" zoomScaleSheetLayoutView="100" workbookViewId="0">
      <selection activeCell="M16" sqref="B5:M16"/>
    </sheetView>
  </sheetViews>
  <sheetFormatPr defaultColWidth="9.26953125" defaultRowHeight="15.5" x14ac:dyDescent="0.35"/>
  <cols>
    <col min="1" max="1" width="19.7265625" style="279" customWidth="1"/>
    <col min="2" max="2" width="10.6328125" style="279" bestFit="1" customWidth="1"/>
    <col min="3" max="4" width="13.453125" style="279" bestFit="1" customWidth="1"/>
    <col min="5" max="5" width="10.6328125" style="279" bestFit="1" customWidth="1"/>
    <col min="6" max="7" width="13.453125" style="279" bestFit="1" customWidth="1"/>
    <col min="8" max="8" width="9.36328125" style="279" bestFit="1" customWidth="1"/>
    <col min="9" max="9" width="8.26953125" style="279" customWidth="1"/>
    <col min="10" max="11" width="10.6328125" style="279" bestFit="1" customWidth="1"/>
    <col min="12" max="13" width="13.453125" style="279" bestFit="1" customWidth="1"/>
    <col min="14" max="16384" width="9.26953125" style="279"/>
  </cols>
  <sheetData>
    <row r="1" spans="1:13" ht="39.75" customHeight="1" x14ac:dyDescent="0.35">
      <c r="A1" s="26" t="s">
        <v>809</v>
      </c>
      <c r="B1" s="743" t="s">
        <v>810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</row>
    <row r="2" spans="1:13" ht="27" customHeight="1" x14ac:dyDescent="0.35">
      <c r="A2" s="772" t="s">
        <v>781</v>
      </c>
      <c r="B2" s="892" t="s">
        <v>803</v>
      </c>
      <c r="C2" s="893"/>
      <c r="D2" s="894"/>
      <c r="E2" s="892" t="s">
        <v>804</v>
      </c>
      <c r="F2" s="893"/>
      <c r="G2" s="894"/>
      <c r="H2" s="892" t="s">
        <v>805</v>
      </c>
      <c r="I2" s="893"/>
      <c r="J2" s="894"/>
      <c r="K2" s="892" t="s">
        <v>806</v>
      </c>
      <c r="L2" s="893"/>
      <c r="M2" s="894"/>
    </row>
    <row r="3" spans="1:13" ht="27" customHeight="1" x14ac:dyDescent="0.35">
      <c r="A3" s="772"/>
      <c r="B3" s="280" t="s">
        <v>81</v>
      </c>
      <c r="C3" s="280" t="s">
        <v>807</v>
      </c>
      <c r="D3" s="280" t="s">
        <v>808</v>
      </c>
      <c r="E3" s="280" t="s">
        <v>81</v>
      </c>
      <c r="F3" s="280" t="s">
        <v>807</v>
      </c>
      <c r="G3" s="280" t="s">
        <v>808</v>
      </c>
      <c r="H3" s="280" t="s">
        <v>81</v>
      </c>
      <c r="I3" s="280" t="s">
        <v>807</v>
      </c>
      <c r="J3" s="280" t="s">
        <v>808</v>
      </c>
      <c r="K3" s="280" t="s">
        <v>81</v>
      </c>
      <c r="L3" s="280" t="s">
        <v>807</v>
      </c>
      <c r="M3" s="280" t="s">
        <v>808</v>
      </c>
    </row>
    <row r="4" spans="1:13" x14ac:dyDescent="0.35">
      <c r="A4" s="281">
        <v>1</v>
      </c>
      <c r="B4" s="282">
        <v>2</v>
      </c>
      <c r="C4" s="281">
        <v>3</v>
      </c>
      <c r="D4" s="282">
        <v>4</v>
      </c>
      <c r="E4" s="281">
        <v>5</v>
      </c>
      <c r="F4" s="282">
        <v>6</v>
      </c>
      <c r="G4" s="281">
        <v>7</v>
      </c>
      <c r="H4" s="282">
        <v>8</v>
      </c>
      <c r="I4" s="281">
        <v>9</v>
      </c>
      <c r="J4" s="282">
        <v>10</v>
      </c>
      <c r="K4" s="281">
        <v>11</v>
      </c>
      <c r="L4" s="282">
        <v>12</v>
      </c>
      <c r="M4" s="281">
        <v>13</v>
      </c>
    </row>
    <row r="5" spans="1:13" ht="49.5" customHeight="1" x14ac:dyDescent="0.35">
      <c r="A5" s="283" t="s">
        <v>2</v>
      </c>
      <c r="B5" s="631">
        <v>323</v>
      </c>
      <c r="C5" s="631">
        <v>63238</v>
      </c>
      <c r="D5" s="631">
        <v>54840</v>
      </c>
      <c r="E5" s="631">
        <v>277</v>
      </c>
      <c r="F5" s="631">
        <v>46621</v>
      </c>
      <c r="G5" s="631">
        <v>43370</v>
      </c>
      <c r="H5" s="631">
        <v>19</v>
      </c>
      <c r="I5" s="631">
        <v>4158</v>
      </c>
      <c r="J5" s="631">
        <v>3353</v>
      </c>
      <c r="K5" s="631">
        <v>619</v>
      </c>
      <c r="L5" s="631">
        <v>114017</v>
      </c>
      <c r="M5" s="631">
        <v>101563</v>
      </c>
    </row>
    <row r="6" spans="1:13" ht="49.5" customHeight="1" x14ac:dyDescent="0.35">
      <c r="A6" s="283" t="s">
        <v>3</v>
      </c>
      <c r="B6" s="631">
        <v>0</v>
      </c>
      <c r="C6" s="631">
        <v>0</v>
      </c>
      <c r="D6" s="631">
        <v>0</v>
      </c>
      <c r="E6" s="631">
        <v>0</v>
      </c>
      <c r="F6" s="631">
        <v>0</v>
      </c>
      <c r="G6" s="631">
        <v>0</v>
      </c>
      <c r="H6" s="631">
        <v>0</v>
      </c>
      <c r="I6" s="631">
        <v>0</v>
      </c>
      <c r="J6" s="631">
        <v>0</v>
      </c>
      <c r="K6" s="631">
        <v>0</v>
      </c>
      <c r="L6" s="631">
        <v>0</v>
      </c>
      <c r="M6" s="631">
        <v>0</v>
      </c>
    </row>
    <row r="7" spans="1:13" ht="49.5" customHeight="1" x14ac:dyDescent="0.35">
      <c r="A7" s="283" t="s">
        <v>4</v>
      </c>
      <c r="B7" s="631">
        <v>771</v>
      </c>
      <c r="C7" s="631">
        <v>218637</v>
      </c>
      <c r="D7" s="631">
        <v>196716</v>
      </c>
      <c r="E7" s="631">
        <v>392</v>
      </c>
      <c r="F7" s="631">
        <v>86063</v>
      </c>
      <c r="G7" s="631">
        <v>72354</v>
      </c>
      <c r="H7" s="631">
        <v>109</v>
      </c>
      <c r="I7" s="631">
        <v>16609</v>
      </c>
      <c r="J7" s="631">
        <v>12675</v>
      </c>
      <c r="K7" s="631">
        <v>1272</v>
      </c>
      <c r="L7" s="631">
        <v>321309</v>
      </c>
      <c r="M7" s="631">
        <v>281745</v>
      </c>
    </row>
    <row r="8" spans="1:13" ht="49.5" customHeight="1" x14ac:dyDescent="0.35">
      <c r="A8" s="283" t="s">
        <v>5</v>
      </c>
      <c r="B8" s="631">
        <v>1540</v>
      </c>
      <c r="C8" s="631">
        <v>250296</v>
      </c>
      <c r="D8" s="631">
        <v>195936</v>
      </c>
      <c r="E8" s="631">
        <v>1306</v>
      </c>
      <c r="F8" s="631">
        <v>224501</v>
      </c>
      <c r="G8" s="631">
        <v>194410</v>
      </c>
      <c r="H8" s="631">
        <v>55</v>
      </c>
      <c r="I8" s="631">
        <v>4865</v>
      </c>
      <c r="J8" s="631">
        <v>3485</v>
      </c>
      <c r="K8" s="631">
        <v>2901</v>
      </c>
      <c r="L8" s="631">
        <v>479662</v>
      </c>
      <c r="M8" s="631">
        <v>393831</v>
      </c>
    </row>
    <row r="9" spans="1:13" ht="49.5" customHeight="1" x14ac:dyDescent="0.35">
      <c r="A9" s="283" t="s">
        <v>786</v>
      </c>
      <c r="B9" s="631">
        <v>3</v>
      </c>
      <c r="C9" s="631">
        <v>340</v>
      </c>
      <c r="D9" s="631">
        <v>220</v>
      </c>
      <c r="E9" s="631">
        <v>3</v>
      </c>
      <c r="F9" s="631">
        <v>290</v>
      </c>
      <c r="G9" s="631">
        <v>170</v>
      </c>
      <c r="H9" s="631">
        <v>0</v>
      </c>
      <c r="I9" s="631">
        <v>0</v>
      </c>
      <c r="J9" s="631">
        <v>0</v>
      </c>
      <c r="K9" s="631">
        <v>6</v>
      </c>
      <c r="L9" s="631">
        <v>630</v>
      </c>
      <c r="M9" s="631">
        <v>390</v>
      </c>
    </row>
    <row r="10" spans="1:13" ht="49.5" customHeight="1" x14ac:dyDescent="0.35">
      <c r="A10" s="283" t="s">
        <v>8</v>
      </c>
      <c r="B10" s="631">
        <v>1207</v>
      </c>
      <c r="C10" s="631">
        <v>348982</v>
      </c>
      <c r="D10" s="631">
        <v>220159</v>
      </c>
      <c r="E10" s="631">
        <v>1068</v>
      </c>
      <c r="F10" s="631">
        <v>266242</v>
      </c>
      <c r="G10" s="631">
        <v>159258</v>
      </c>
      <c r="H10" s="631">
        <v>62</v>
      </c>
      <c r="I10" s="631">
        <v>14507</v>
      </c>
      <c r="J10" s="631">
        <v>10410</v>
      </c>
      <c r="K10" s="631">
        <v>2337</v>
      </c>
      <c r="L10" s="631">
        <v>629731</v>
      </c>
      <c r="M10" s="631">
        <v>389827</v>
      </c>
    </row>
    <row r="11" spans="1:13" ht="49.5" customHeight="1" x14ac:dyDescent="0.35">
      <c r="A11" s="283" t="s">
        <v>9</v>
      </c>
      <c r="B11" s="631">
        <v>0</v>
      </c>
      <c r="C11" s="632">
        <v>0</v>
      </c>
      <c r="D11" s="631">
        <v>0</v>
      </c>
      <c r="E11" s="631">
        <v>1</v>
      </c>
      <c r="F11" s="631">
        <v>40</v>
      </c>
      <c r="G11" s="631">
        <v>25</v>
      </c>
      <c r="H11" s="631">
        <v>0</v>
      </c>
      <c r="I11" s="631">
        <v>0</v>
      </c>
      <c r="J11" s="631">
        <v>0</v>
      </c>
      <c r="K11" s="631">
        <v>1</v>
      </c>
      <c r="L11" s="631">
        <v>40</v>
      </c>
      <c r="M11" s="631">
        <v>25</v>
      </c>
    </row>
    <row r="12" spans="1:13" ht="49.5" customHeight="1" x14ac:dyDescent="0.35">
      <c r="A12" s="283" t="s">
        <v>6</v>
      </c>
      <c r="B12" s="631">
        <v>21</v>
      </c>
      <c r="C12" s="631">
        <v>1448</v>
      </c>
      <c r="D12" s="631">
        <v>1020</v>
      </c>
      <c r="E12" s="631">
        <v>28</v>
      </c>
      <c r="F12" s="631">
        <v>2927</v>
      </c>
      <c r="G12" s="631">
        <v>2302</v>
      </c>
      <c r="H12" s="631">
        <v>14</v>
      </c>
      <c r="I12" s="631">
        <v>1044</v>
      </c>
      <c r="J12" s="631">
        <v>703</v>
      </c>
      <c r="K12" s="631">
        <v>63</v>
      </c>
      <c r="L12" s="631">
        <v>5419</v>
      </c>
      <c r="M12" s="631">
        <v>4025</v>
      </c>
    </row>
    <row r="13" spans="1:13" ht="49.5" customHeight="1" x14ac:dyDescent="0.35">
      <c r="A13" s="283" t="s">
        <v>10</v>
      </c>
      <c r="B13" s="631">
        <v>117</v>
      </c>
      <c r="C13" s="631">
        <v>17663</v>
      </c>
      <c r="D13" s="631">
        <v>15801</v>
      </c>
      <c r="E13" s="631">
        <v>65</v>
      </c>
      <c r="F13" s="631">
        <v>8592</v>
      </c>
      <c r="G13" s="631">
        <v>6677</v>
      </c>
      <c r="H13" s="631">
        <v>71</v>
      </c>
      <c r="I13" s="631">
        <v>6461</v>
      </c>
      <c r="J13" s="631">
        <v>4288</v>
      </c>
      <c r="K13" s="631">
        <v>253</v>
      </c>
      <c r="L13" s="631">
        <v>32716</v>
      </c>
      <c r="M13" s="631">
        <v>26766</v>
      </c>
    </row>
    <row r="14" spans="1:13" ht="49.5" customHeight="1" x14ac:dyDescent="0.35">
      <c r="A14" s="283" t="s">
        <v>811</v>
      </c>
      <c r="B14" s="631">
        <v>37</v>
      </c>
      <c r="C14" s="631">
        <v>5749</v>
      </c>
      <c r="D14" s="631">
        <v>5144</v>
      </c>
      <c r="E14" s="631">
        <v>44</v>
      </c>
      <c r="F14" s="631">
        <v>9448</v>
      </c>
      <c r="G14" s="631">
        <v>7584</v>
      </c>
      <c r="H14" s="631">
        <v>4</v>
      </c>
      <c r="I14" s="631">
        <v>80</v>
      </c>
      <c r="J14" s="631">
        <v>46</v>
      </c>
      <c r="K14" s="631">
        <v>85</v>
      </c>
      <c r="L14" s="631">
        <v>15277</v>
      </c>
      <c r="M14" s="631">
        <v>12774</v>
      </c>
    </row>
    <row r="15" spans="1:13" ht="49.5" customHeight="1" x14ac:dyDescent="0.35">
      <c r="A15" s="283" t="s">
        <v>11</v>
      </c>
      <c r="B15" s="631">
        <v>727</v>
      </c>
      <c r="C15" s="631">
        <v>265486</v>
      </c>
      <c r="D15" s="631">
        <v>199239</v>
      </c>
      <c r="E15" s="631">
        <v>727</v>
      </c>
      <c r="F15" s="631">
        <v>221578</v>
      </c>
      <c r="G15" s="631">
        <v>150784</v>
      </c>
      <c r="H15" s="631">
        <v>36</v>
      </c>
      <c r="I15" s="631">
        <v>5441</v>
      </c>
      <c r="J15" s="631">
        <v>4252</v>
      </c>
      <c r="K15" s="631">
        <v>1490</v>
      </c>
      <c r="L15" s="631">
        <v>492505</v>
      </c>
      <c r="M15" s="631">
        <v>354275</v>
      </c>
    </row>
    <row r="16" spans="1:13" ht="49.5" customHeight="1" x14ac:dyDescent="0.35">
      <c r="A16" s="284" t="s">
        <v>12</v>
      </c>
      <c r="B16" s="1003">
        <v>4746</v>
      </c>
      <c r="C16" s="1003">
        <v>1171839</v>
      </c>
      <c r="D16" s="1003">
        <v>889075</v>
      </c>
      <c r="E16" s="1003">
        <v>3911</v>
      </c>
      <c r="F16" s="1003">
        <v>866302</v>
      </c>
      <c r="G16" s="1003">
        <v>636934</v>
      </c>
      <c r="H16" s="1003">
        <v>370</v>
      </c>
      <c r="I16" s="1003">
        <v>53165</v>
      </c>
      <c r="J16" s="1003">
        <v>39212</v>
      </c>
      <c r="K16" s="633">
        <v>9027</v>
      </c>
      <c r="L16" s="633">
        <v>2091306</v>
      </c>
      <c r="M16" s="633">
        <v>1565221</v>
      </c>
    </row>
    <row r="17" spans="1:13" ht="49.5" customHeight="1" x14ac:dyDescent="0.35">
      <c r="A17" s="26" t="s">
        <v>809</v>
      </c>
      <c r="B17" s="743"/>
      <c r="C17" s="743"/>
      <c r="D17" s="743"/>
      <c r="E17" s="743"/>
      <c r="F17" s="743"/>
      <c r="G17" s="743"/>
      <c r="H17" s="743"/>
      <c r="I17" s="743"/>
      <c r="J17" s="743"/>
      <c r="K17" s="743"/>
      <c r="L17" s="743"/>
      <c r="M17" s="743"/>
    </row>
    <row r="18" spans="1:13" ht="49.5" customHeight="1" x14ac:dyDescent="0.35">
      <c r="A18" s="283" t="s">
        <v>2</v>
      </c>
      <c r="B18" s="631">
        <v>423</v>
      </c>
      <c r="C18" s="631">
        <v>44091</v>
      </c>
      <c r="D18" s="631">
        <v>26258</v>
      </c>
      <c r="E18" s="631">
        <v>522</v>
      </c>
      <c r="F18" s="631">
        <v>46713</v>
      </c>
      <c r="G18" s="631">
        <v>29690</v>
      </c>
      <c r="H18" s="631">
        <v>35</v>
      </c>
      <c r="I18" s="631">
        <v>2683</v>
      </c>
      <c r="J18" s="631">
        <v>2020</v>
      </c>
      <c r="K18" s="631">
        <v>980</v>
      </c>
      <c r="L18" s="631">
        <v>93487</v>
      </c>
      <c r="M18" s="631">
        <v>57968</v>
      </c>
    </row>
    <row r="19" spans="1:13" ht="49.5" customHeight="1" x14ac:dyDescent="0.35">
      <c r="A19" s="283" t="s">
        <v>5</v>
      </c>
      <c r="B19" s="631">
        <v>14831</v>
      </c>
      <c r="C19" s="631">
        <v>2227809</v>
      </c>
      <c r="D19" s="631">
        <v>1089923</v>
      </c>
      <c r="E19" s="631">
        <v>17977</v>
      </c>
      <c r="F19" s="631">
        <v>2742372</v>
      </c>
      <c r="G19" s="631">
        <v>1356657</v>
      </c>
      <c r="H19" s="631">
        <v>600</v>
      </c>
      <c r="I19" s="631">
        <v>80894</v>
      </c>
      <c r="J19" s="631">
        <v>40679</v>
      </c>
      <c r="K19" s="631">
        <v>33408</v>
      </c>
      <c r="L19" s="631">
        <v>5051075</v>
      </c>
      <c r="M19" s="631">
        <v>2487259</v>
      </c>
    </row>
    <row r="20" spans="1:13" ht="49.5" customHeight="1" x14ac:dyDescent="0.35">
      <c r="A20" s="284" t="s">
        <v>12</v>
      </c>
      <c r="B20" s="1003">
        <v>15254</v>
      </c>
      <c r="C20" s="1003">
        <v>2271900</v>
      </c>
      <c r="D20" s="1003">
        <v>1116181</v>
      </c>
      <c r="E20" s="1003">
        <v>18499</v>
      </c>
      <c r="F20" s="1003">
        <v>2789085</v>
      </c>
      <c r="G20" s="1003">
        <v>1386347</v>
      </c>
      <c r="H20" s="1003">
        <v>635</v>
      </c>
      <c r="I20" s="1003">
        <v>83577</v>
      </c>
      <c r="J20" s="1003">
        <v>42699</v>
      </c>
      <c r="K20" s="1003">
        <v>34388</v>
      </c>
      <c r="L20" s="1003">
        <v>5144562</v>
      </c>
      <c r="M20" s="1003">
        <v>2545227</v>
      </c>
    </row>
  </sheetData>
  <mergeCells count="7">
    <mergeCell ref="B17:M17"/>
    <mergeCell ref="B1:M1"/>
    <mergeCell ref="A2:A3"/>
    <mergeCell ref="B2:D2"/>
    <mergeCell ref="E2:G2"/>
    <mergeCell ref="H2:J2"/>
    <mergeCell ref="K2:M2"/>
  </mergeCells>
  <pageMargins left="0.59055118110236227" right="0.35433070866141736" top="0.39370078740157483" bottom="0.39370078740157483" header="0.31496062992125984" footer="0.19685039370078741"/>
  <pageSetup paperSize="9" scale="58" orientation="portrait" r:id="rId1"/>
  <headerFooter>
    <oddFooter>&amp;L&amp;"Arial,Italic"&amp;9AISHE 2022-23&amp;RT-32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387F-7B5A-4A75-8320-C460A6F87689}">
  <sheetPr codeName="Sheet43">
    <tabColor rgb="FF92D050"/>
  </sheetPr>
  <dimension ref="A1:AC41"/>
  <sheetViews>
    <sheetView showZeros="0" view="pageBreakPreview" zoomScaleNormal="100" zoomScaleSheetLayoutView="100" workbookViewId="0">
      <pane xSplit="2" ySplit="3" topLeftCell="AC26" activePane="bottomRight" state="frozen"/>
      <selection activeCell="S20" sqref="S20"/>
      <selection pane="topRight" activeCell="S20" sqref="S20"/>
      <selection pane="bottomLeft" activeCell="S20" sqref="S20"/>
      <selection pane="bottomRight" activeCell="C5" sqref="C5:AC41"/>
    </sheetView>
  </sheetViews>
  <sheetFormatPr defaultColWidth="9.1796875" defaultRowHeight="13" x14ac:dyDescent="0.3"/>
  <cols>
    <col min="1" max="1" width="7.81640625" style="591" bestFit="1" customWidth="1"/>
    <col min="2" max="2" width="16.26953125" style="591" customWidth="1"/>
    <col min="3" max="5" width="9" style="591" bestFit="1" customWidth="1"/>
    <col min="6" max="6" width="6.7265625" style="591" bestFit="1" customWidth="1"/>
    <col min="7" max="7" width="8.36328125" style="591" bestFit="1" customWidth="1"/>
    <col min="8" max="8" width="8.08984375" style="591" bestFit="1" customWidth="1"/>
    <col min="9" max="9" width="10.36328125" style="591" bestFit="1" customWidth="1"/>
    <col min="10" max="14" width="11.26953125" style="591" bestFit="1" customWidth="1"/>
    <col min="15" max="16" width="9" style="591" bestFit="1" customWidth="1"/>
    <col min="17" max="20" width="10.36328125" style="591" bestFit="1" customWidth="1"/>
    <col min="21" max="26" width="9" style="591" bestFit="1" customWidth="1"/>
    <col min="27" max="28" width="11.26953125" style="591" bestFit="1" customWidth="1"/>
    <col min="29" max="29" width="12.6328125" style="591" bestFit="1" customWidth="1"/>
    <col min="30" max="16384" width="9.1796875" style="591"/>
  </cols>
  <sheetData>
    <row r="1" spans="1:29" x14ac:dyDescent="0.3">
      <c r="A1" s="543"/>
      <c r="B1" s="544" t="s">
        <v>812</v>
      </c>
      <c r="C1" s="897" t="s">
        <v>1021</v>
      </c>
      <c r="D1" s="897"/>
      <c r="E1" s="897"/>
      <c r="F1" s="897"/>
      <c r="G1" s="897"/>
      <c r="H1" s="897"/>
      <c r="I1" s="897"/>
      <c r="J1" s="897"/>
      <c r="K1" s="897"/>
      <c r="L1" s="897" t="str">
        <f>C1</f>
        <v>State/UTs-wise Out-turn/Pass-Out at various levels
(Based on Actual Response)</v>
      </c>
      <c r="M1" s="897"/>
      <c r="N1" s="897"/>
      <c r="O1" s="897"/>
      <c r="P1" s="897"/>
      <c r="Q1" s="897"/>
      <c r="R1" s="897"/>
      <c r="S1" s="897"/>
      <c r="T1" s="897"/>
      <c r="U1" s="897" t="str">
        <f>C1</f>
        <v>State/UTs-wise Out-turn/Pass-Out at various levels
(Based on Actual Response)</v>
      </c>
      <c r="V1" s="897"/>
      <c r="W1" s="897"/>
      <c r="X1" s="897"/>
      <c r="Y1" s="897"/>
      <c r="Z1" s="897"/>
      <c r="AA1" s="897"/>
      <c r="AB1" s="897"/>
      <c r="AC1" s="897"/>
    </row>
    <row r="2" spans="1:29" x14ac:dyDescent="0.3">
      <c r="A2" s="752" t="s">
        <v>49</v>
      </c>
      <c r="B2" s="717" t="s">
        <v>50</v>
      </c>
      <c r="C2" s="718" t="s">
        <v>85</v>
      </c>
      <c r="D2" s="719"/>
      <c r="E2" s="720"/>
      <c r="F2" s="718" t="s">
        <v>86</v>
      </c>
      <c r="G2" s="719"/>
      <c r="H2" s="720"/>
      <c r="I2" s="718" t="s">
        <v>87</v>
      </c>
      <c r="J2" s="719"/>
      <c r="K2" s="720"/>
      <c r="L2" s="718" t="s">
        <v>88</v>
      </c>
      <c r="M2" s="719"/>
      <c r="N2" s="720"/>
      <c r="O2" s="718" t="s">
        <v>89</v>
      </c>
      <c r="P2" s="719"/>
      <c r="Q2" s="720"/>
      <c r="R2" s="718" t="s">
        <v>90</v>
      </c>
      <c r="S2" s="719"/>
      <c r="T2" s="720"/>
      <c r="U2" s="718" t="s">
        <v>91</v>
      </c>
      <c r="V2" s="719"/>
      <c r="W2" s="720"/>
      <c r="X2" s="718" t="s">
        <v>92</v>
      </c>
      <c r="Y2" s="719"/>
      <c r="Z2" s="720"/>
      <c r="AA2" s="718" t="s">
        <v>12</v>
      </c>
      <c r="AB2" s="719"/>
      <c r="AC2" s="720"/>
    </row>
    <row r="3" spans="1:29" x14ac:dyDescent="0.3">
      <c r="A3" s="753"/>
      <c r="B3" s="717"/>
      <c r="C3" s="86" t="s">
        <v>93</v>
      </c>
      <c r="D3" s="86" t="s">
        <v>94</v>
      </c>
      <c r="E3" s="86" t="s">
        <v>54</v>
      </c>
      <c r="F3" s="86" t="s">
        <v>93</v>
      </c>
      <c r="G3" s="86" t="s">
        <v>94</v>
      </c>
      <c r="H3" s="86" t="s">
        <v>54</v>
      </c>
      <c r="I3" s="86" t="s">
        <v>93</v>
      </c>
      <c r="J3" s="86" t="s">
        <v>94</v>
      </c>
      <c r="K3" s="86" t="s">
        <v>54</v>
      </c>
      <c r="L3" s="86" t="s">
        <v>93</v>
      </c>
      <c r="M3" s="86" t="s">
        <v>94</v>
      </c>
      <c r="N3" s="86" t="s">
        <v>54</v>
      </c>
      <c r="O3" s="86" t="s">
        <v>93</v>
      </c>
      <c r="P3" s="86" t="s">
        <v>94</v>
      </c>
      <c r="Q3" s="86" t="s">
        <v>54</v>
      </c>
      <c r="R3" s="86" t="s">
        <v>93</v>
      </c>
      <c r="S3" s="86" t="s">
        <v>94</v>
      </c>
      <c r="T3" s="86" t="s">
        <v>54</v>
      </c>
      <c r="U3" s="86" t="s">
        <v>93</v>
      </c>
      <c r="V3" s="86" t="s">
        <v>94</v>
      </c>
      <c r="W3" s="86" t="s">
        <v>54</v>
      </c>
      <c r="X3" s="86" t="s">
        <v>93</v>
      </c>
      <c r="Y3" s="86" t="s">
        <v>94</v>
      </c>
      <c r="Z3" s="86" t="s">
        <v>54</v>
      </c>
      <c r="AA3" s="86" t="s">
        <v>93</v>
      </c>
      <c r="AB3" s="86" t="s">
        <v>94</v>
      </c>
      <c r="AC3" s="86" t="s">
        <v>54</v>
      </c>
    </row>
    <row r="4" spans="1:29" x14ac:dyDescent="0.3">
      <c r="A4" s="546">
        <v>1</v>
      </c>
      <c r="B4" s="546">
        <v>2</v>
      </c>
      <c r="C4" s="546">
        <v>3</v>
      </c>
      <c r="D4" s="546">
        <v>4</v>
      </c>
      <c r="E4" s="546">
        <v>5</v>
      </c>
      <c r="F4" s="546">
        <v>6</v>
      </c>
      <c r="G4" s="546">
        <v>7</v>
      </c>
      <c r="H4" s="546">
        <v>8</v>
      </c>
      <c r="I4" s="546">
        <v>9</v>
      </c>
      <c r="J4" s="546">
        <v>10</v>
      </c>
      <c r="K4" s="546">
        <v>11</v>
      </c>
      <c r="L4" s="546">
        <v>12</v>
      </c>
      <c r="M4" s="546">
        <v>13</v>
      </c>
      <c r="N4" s="546">
        <v>14</v>
      </c>
      <c r="O4" s="546">
        <v>15</v>
      </c>
      <c r="P4" s="546">
        <v>16</v>
      </c>
      <c r="Q4" s="546">
        <v>17</v>
      </c>
      <c r="R4" s="546">
        <v>18</v>
      </c>
      <c r="S4" s="546">
        <v>19</v>
      </c>
      <c r="T4" s="546">
        <v>20</v>
      </c>
      <c r="U4" s="546">
        <v>21</v>
      </c>
      <c r="V4" s="546">
        <v>22</v>
      </c>
      <c r="W4" s="546">
        <v>23</v>
      </c>
      <c r="X4" s="546">
        <v>24</v>
      </c>
      <c r="Y4" s="546">
        <v>25</v>
      </c>
      <c r="Z4" s="546">
        <v>26</v>
      </c>
      <c r="AA4" s="546">
        <v>27</v>
      </c>
      <c r="AB4" s="546">
        <v>28</v>
      </c>
      <c r="AC4" s="546">
        <v>29</v>
      </c>
    </row>
    <row r="5" spans="1:29" ht="18.75" customHeight="1" x14ac:dyDescent="0.3">
      <c r="A5" s="562">
        <v>1</v>
      </c>
      <c r="B5" s="590" t="s">
        <v>58</v>
      </c>
      <c r="C5" s="634">
        <v>0</v>
      </c>
      <c r="D5" s="634"/>
      <c r="E5" s="634"/>
      <c r="F5" s="634">
        <v>0</v>
      </c>
      <c r="G5" s="634"/>
      <c r="H5" s="634"/>
      <c r="I5" s="634">
        <v>0</v>
      </c>
      <c r="J5" s="634"/>
      <c r="K5" s="634"/>
      <c r="L5" s="634">
        <v>128</v>
      </c>
      <c r="M5" s="634">
        <v>137</v>
      </c>
      <c r="N5" s="634">
        <v>265</v>
      </c>
      <c r="O5" s="634">
        <v>0</v>
      </c>
      <c r="P5" s="634"/>
      <c r="Q5" s="634"/>
      <c r="R5" s="634">
        <v>14</v>
      </c>
      <c r="S5" s="634">
        <v>46</v>
      </c>
      <c r="T5" s="634">
        <v>60</v>
      </c>
      <c r="U5" s="634">
        <v>0</v>
      </c>
      <c r="V5" s="634"/>
      <c r="W5" s="634"/>
      <c r="X5" s="634">
        <v>12</v>
      </c>
      <c r="Y5" s="634">
        <v>12</v>
      </c>
      <c r="Z5" s="634">
        <v>24</v>
      </c>
      <c r="AA5" s="634">
        <v>154</v>
      </c>
      <c r="AB5" s="634">
        <v>195</v>
      </c>
      <c r="AC5" s="634">
        <v>349</v>
      </c>
    </row>
    <row r="6" spans="1:29" ht="18.75" customHeight="1" x14ac:dyDescent="0.3">
      <c r="A6" s="562">
        <v>2</v>
      </c>
      <c r="B6" s="590" t="s">
        <v>13</v>
      </c>
      <c r="C6" s="634">
        <v>482</v>
      </c>
      <c r="D6" s="634">
        <v>508</v>
      </c>
      <c r="E6" s="634">
        <v>990</v>
      </c>
      <c r="F6" s="634">
        <v>0</v>
      </c>
      <c r="G6" s="634"/>
      <c r="H6" s="634"/>
      <c r="I6" s="634">
        <v>28959</v>
      </c>
      <c r="J6" s="634">
        <v>30252</v>
      </c>
      <c r="K6" s="634">
        <v>59211</v>
      </c>
      <c r="L6" s="634">
        <v>160158</v>
      </c>
      <c r="M6" s="634">
        <v>165419</v>
      </c>
      <c r="N6" s="634">
        <v>325577</v>
      </c>
      <c r="O6" s="634">
        <v>249</v>
      </c>
      <c r="P6" s="634">
        <v>109</v>
      </c>
      <c r="Q6" s="634">
        <v>358</v>
      </c>
      <c r="R6" s="634">
        <v>16087</v>
      </c>
      <c r="S6" s="634">
        <v>14265</v>
      </c>
      <c r="T6" s="634">
        <v>30352</v>
      </c>
      <c r="U6" s="634">
        <v>46</v>
      </c>
      <c r="V6" s="634">
        <v>22</v>
      </c>
      <c r="W6" s="634">
        <v>68</v>
      </c>
      <c r="X6" s="634">
        <v>1466</v>
      </c>
      <c r="Y6" s="634">
        <v>1146</v>
      </c>
      <c r="Z6" s="634">
        <v>2612</v>
      </c>
      <c r="AA6" s="634">
        <v>207447</v>
      </c>
      <c r="AB6" s="634">
        <v>211721</v>
      </c>
      <c r="AC6" s="634">
        <v>419168</v>
      </c>
    </row>
    <row r="7" spans="1:29" ht="18.75" customHeight="1" x14ac:dyDescent="0.3">
      <c r="A7" s="562">
        <v>3</v>
      </c>
      <c r="B7" s="590" t="s">
        <v>14</v>
      </c>
      <c r="C7" s="634">
        <v>76</v>
      </c>
      <c r="D7" s="634">
        <v>51</v>
      </c>
      <c r="E7" s="634">
        <v>127</v>
      </c>
      <c r="F7" s="634">
        <v>0</v>
      </c>
      <c r="G7" s="634"/>
      <c r="H7" s="634"/>
      <c r="I7" s="634">
        <v>1563</v>
      </c>
      <c r="J7" s="634">
        <v>1080</v>
      </c>
      <c r="K7" s="634">
        <v>2643</v>
      </c>
      <c r="L7" s="634">
        <v>4984</v>
      </c>
      <c r="M7" s="634">
        <v>4302</v>
      </c>
      <c r="N7" s="634">
        <v>9286</v>
      </c>
      <c r="O7" s="634">
        <v>45</v>
      </c>
      <c r="P7" s="634">
        <v>4</v>
      </c>
      <c r="Q7" s="634">
        <v>49</v>
      </c>
      <c r="R7" s="634">
        <v>475</v>
      </c>
      <c r="S7" s="634">
        <v>517</v>
      </c>
      <c r="T7" s="634">
        <v>992</v>
      </c>
      <c r="U7" s="634">
        <v>134</v>
      </c>
      <c r="V7" s="634">
        <v>66</v>
      </c>
      <c r="W7" s="634">
        <v>200</v>
      </c>
      <c r="X7" s="634">
        <v>212</v>
      </c>
      <c r="Y7" s="634">
        <v>112</v>
      </c>
      <c r="Z7" s="634">
        <v>324</v>
      </c>
      <c r="AA7" s="634">
        <v>7489</v>
      </c>
      <c r="AB7" s="634">
        <v>6132</v>
      </c>
      <c r="AC7" s="634">
        <v>13621</v>
      </c>
    </row>
    <row r="8" spans="1:29" ht="18.75" customHeight="1" x14ac:dyDescent="0.3">
      <c r="A8" s="562">
        <v>4</v>
      </c>
      <c r="B8" s="590" t="s">
        <v>15</v>
      </c>
      <c r="C8" s="634">
        <v>281</v>
      </c>
      <c r="D8" s="634">
        <v>292</v>
      </c>
      <c r="E8" s="634">
        <v>573</v>
      </c>
      <c r="F8" s="634">
        <v>10</v>
      </c>
      <c r="G8" s="634">
        <v>26</v>
      </c>
      <c r="H8" s="634">
        <v>36</v>
      </c>
      <c r="I8" s="634">
        <v>6864</v>
      </c>
      <c r="J8" s="634">
        <v>10919</v>
      </c>
      <c r="K8" s="634">
        <v>17783</v>
      </c>
      <c r="L8" s="634">
        <v>46857</v>
      </c>
      <c r="M8" s="634">
        <v>56412</v>
      </c>
      <c r="N8" s="634">
        <v>103269</v>
      </c>
      <c r="O8" s="634">
        <v>266</v>
      </c>
      <c r="P8" s="634">
        <v>329</v>
      </c>
      <c r="Q8" s="634">
        <v>595</v>
      </c>
      <c r="R8" s="634">
        <v>4645</v>
      </c>
      <c r="S8" s="634">
        <v>5387</v>
      </c>
      <c r="T8" s="634">
        <v>10032</v>
      </c>
      <c r="U8" s="634">
        <v>3570</v>
      </c>
      <c r="V8" s="634">
        <v>3968</v>
      </c>
      <c r="W8" s="634">
        <v>7538</v>
      </c>
      <c r="X8" s="634">
        <v>458</v>
      </c>
      <c r="Y8" s="634">
        <v>523</v>
      </c>
      <c r="Z8" s="634">
        <v>981</v>
      </c>
      <c r="AA8" s="634">
        <v>62951</v>
      </c>
      <c r="AB8" s="634">
        <v>77856</v>
      </c>
      <c r="AC8" s="634">
        <v>140807</v>
      </c>
    </row>
    <row r="9" spans="1:29" ht="18.75" customHeight="1" x14ac:dyDescent="0.3">
      <c r="A9" s="562">
        <v>5</v>
      </c>
      <c r="B9" s="590" t="s">
        <v>16</v>
      </c>
      <c r="C9" s="634">
        <v>648</v>
      </c>
      <c r="D9" s="634">
        <v>305</v>
      </c>
      <c r="E9" s="634">
        <v>953</v>
      </c>
      <c r="F9" s="634">
        <v>0</v>
      </c>
      <c r="G9" s="634"/>
      <c r="H9" s="634"/>
      <c r="I9" s="634">
        <v>21886</v>
      </c>
      <c r="J9" s="634">
        <v>19680</v>
      </c>
      <c r="K9" s="634">
        <v>41566</v>
      </c>
      <c r="L9" s="634">
        <v>258724</v>
      </c>
      <c r="M9" s="634">
        <v>239283</v>
      </c>
      <c r="N9" s="634">
        <v>498007</v>
      </c>
      <c r="O9" s="634">
        <v>457</v>
      </c>
      <c r="P9" s="634">
        <v>272</v>
      </c>
      <c r="Q9" s="634">
        <v>729</v>
      </c>
      <c r="R9" s="634">
        <v>20379</v>
      </c>
      <c r="S9" s="634">
        <v>20120</v>
      </c>
      <c r="T9" s="634">
        <v>40499</v>
      </c>
      <c r="U9" s="634">
        <v>1047</v>
      </c>
      <c r="V9" s="634">
        <v>919</v>
      </c>
      <c r="W9" s="634">
        <v>1966</v>
      </c>
      <c r="X9" s="634">
        <v>674</v>
      </c>
      <c r="Y9" s="634">
        <v>406</v>
      </c>
      <c r="Z9" s="634">
        <v>1080</v>
      </c>
      <c r="AA9" s="634">
        <v>303815</v>
      </c>
      <c r="AB9" s="634">
        <v>280985</v>
      </c>
      <c r="AC9" s="634">
        <v>584800</v>
      </c>
    </row>
    <row r="10" spans="1:29" ht="18.75" customHeight="1" x14ac:dyDescent="0.3">
      <c r="A10" s="562">
        <v>6</v>
      </c>
      <c r="B10" s="590" t="s">
        <v>17</v>
      </c>
      <c r="C10" s="634">
        <v>220</v>
      </c>
      <c r="D10" s="634">
        <v>298</v>
      </c>
      <c r="E10" s="634">
        <v>518</v>
      </c>
      <c r="F10" s="634">
        <v>0</v>
      </c>
      <c r="G10" s="634"/>
      <c r="H10" s="634"/>
      <c r="I10" s="634">
        <v>2328</v>
      </c>
      <c r="J10" s="634">
        <v>4481</v>
      </c>
      <c r="K10" s="634">
        <v>6809</v>
      </c>
      <c r="L10" s="634">
        <v>7406</v>
      </c>
      <c r="M10" s="634">
        <v>8482</v>
      </c>
      <c r="N10" s="634">
        <v>15888</v>
      </c>
      <c r="O10" s="634">
        <v>224</v>
      </c>
      <c r="P10" s="634">
        <v>366</v>
      </c>
      <c r="Q10" s="634">
        <v>590</v>
      </c>
      <c r="R10" s="634">
        <v>599</v>
      </c>
      <c r="S10" s="634">
        <v>456</v>
      </c>
      <c r="T10" s="634">
        <v>1055</v>
      </c>
      <c r="U10" s="634">
        <v>113</v>
      </c>
      <c r="V10" s="634">
        <v>126</v>
      </c>
      <c r="W10" s="634">
        <v>239</v>
      </c>
      <c r="X10" s="634">
        <v>197</v>
      </c>
      <c r="Y10" s="634">
        <v>206</v>
      </c>
      <c r="Z10" s="634">
        <v>403</v>
      </c>
      <c r="AA10" s="634">
        <v>11087</v>
      </c>
      <c r="AB10" s="634">
        <v>14415</v>
      </c>
      <c r="AC10" s="634">
        <v>25502</v>
      </c>
    </row>
    <row r="11" spans="1:29" ht="18.75" customHeight="1" x14ac:dyDescent="0.3">
      <c r="A11" s="562">
        <v>7</v>
      </c>
      <c r="B11" s="590" t="s">
        <v>18</v>
      </c>
      <c r="C11" s="635">
        <v>112</v>
      </c>
      <c r="D11" s="634">
        <v>150</v>
      </c>
      <c r="E11" s="634">
        <v>262</v>
      </c>
      <c r="F11" s="634">
        <v>3</v>
      </c>
      <c r="G11" s="634">
        <v>7</v>
      </c>
      <c r="H11" s="634">
        <v>10</v>
      </c>
      <c r="I11" s="634">
        <v>29750</v>
      </c>
      <c r="J11" s="634">
        <v>43282</v>
      </c>
      <c r="K11" s="634">
        <v>73032</v>
      </c>
      <c r="L11" s="634">
        <v>94793</v>
      </c>
      <c r="M11" s="634">
        <v>110356</v>
      </c>
      <c r="N11" s="634">
        <v>205149</v>
      </c>
      <c r="O11" s="634">
        <v>5341</v>
      </c>
      <c r="P11" s="634">
        <v>6487</v>
      </c>
      <c r="Q11" s="634">
        <v>11828</v>
      </c>
      <c r="R11" s="634">
        <v>9520</v>
      </c>
      <c r="S11" s="634">
        <v>8161</v>
      </c>
      <c r="T11" s="634">
        <v>17681</v>
      </c>
      <c r="U11" s="634">
        <v>150</v>
      </c>
      <c r="V11" s="634">
        <v>257</v>
      </c>
      <c r="W11" s="634">
        <v>407</v>
      </c>
      <c r="X11" s="634">
        <v>360</v>
      </c>
      <c r="Y11" s="634">
        <v>344</v>
      </c>
      <c r="Z11" s="634">
        <v>704</v>
      </c>
      <c r="AA11" s="634">
        <v>140029</v>
      </c>
      <c r="AB11" s="634">
        <v>169044</v>
      </c>
      <c r="AC11" s="634">
        <v>309073</v>
      </c>
    </row>
    <row r="12" spans="1:29" ht="18.75" customHeight="1" x14ac:dyDescent="0.3">
      <c r="A12" s="562">
        <v>8</v>
      </c>
      <c r="B12" s="590" t="s">
        <v>19</v>
      </c>
      <c r="C12" s="634">
        <v>1462</v>
      </c>
      <c r="D12" s="634">
        <v>1226</v>
      </c>
      <c r="E12" s="634">
        <v>2688</v>
      </c>
      <c r="F12" s="634">
        <v>183</v>
      </c>
      <c r="G12" s="634">
        <v>203</v>
      </c>
      <c r="H12" s="634">
        <v>386</v>
      </c>
      <c r="I12" s="634">
        <v>51323</v>
      </c>
      <c r="J12" s="634">
        <v>75259</v>
      </c>
      <c r="K12" s="634">
        <v>126582</v>
      </c>
      <c r="L12" s="634">
        <v>143982</v>
      </c>
      <c r="M12" s="634">
        <v>128417</v>
      </c>
      <c r="N12" s="634">
        <v>272399</v>
      </c>
      <c r="O12" s="634">
        <v>15607</v>
      </c>
      <c r="P12" s="634">
        <v>22242</v>
      </c>
      <c r="Q12" s="634">
        <v>37849</v>
      </c>
      <c r="R12" s="634">
        <v>6261</v>
      </c>
      <c r="S12" s="634">
        <v>14800</v>
      </c>
      <c r="T12" s="634">
        <v>21061</v>
      </c>
      <c r="U12" s="634">
        <v>290</v>
      </c>
      <c r="V12" s="634">
        <v>420</v>
      </c>
      <c r="W12" s="634">
        <v>710</v>
      </c>
      <c r="X12" s="634">
        <v>801</v>
      </c>
      <c r="Y12" s="634">
        <v>612</v>
      </c>
      <c r="Z12" s="634">
        <v>1413</v>
      </c>
      <c r="AA12" s="634">
        <v>219909</v>
      </c>
      <c r="AB12" s="634">
        <v>243179</v>
      </c>
      <c r="AC12" s="634">
        <v>463088</v>
      </c>
    </row>
    <row r="13" spans="1:29" ht="18.75" customHeight="1" x14ac:dyDescent="0.3">
      <c r="A13" s="562">
        <v>9</v>
      </c>
      <c r="B13" s="590" t="s">
        <v>20</v>
      </c>
      <c r="C13" s="634">
        <v>56</v>
      </c>
      <c r="D13" s="634">
        <v>39</v>
      </c>
      <c r="E13" s="634">
        <v>95</v>
      </c>
      <c r="F13" s="634">
        <v>5</v>
      </c>
      <c r="G13" s="634">
        <v>0</v>
      </c>
      <c r="H13" s="634">
        <v>5</v>
      </c>
      <c r="I13" s="634">
        <v>1067</v>
      </c>
      <c r="J13" s="634">
        <v>1676</v>
      </c>
      <c r="K13" s="634">
        <v>2743</v>
      </c>
      <c r="L13" s="634">
        <v>4872</v>
      </c>
      <c r="M13" s="634">
        <v>5521</v>
      </c>
      <c r="N13" s="634">
        <v>10393</v>
      </c>
      <c r="O13" s="634">
        <v>97</v>
      </c>
      <c r="P13" s="634">
        <v>50</v>
      </c>
      <c r="Q13" s="634">
        <v>147</v>
      </c>
      <c r="R13" s="634">
        <v>1671</v>
      </c>
      <c r="S13" s="634">
        <v>495</v>
      </c>
      <c r="T13" s="634">
        <v>2166</v>
      </c>
      <c r="U13" s="634">
        <v>55</v>
      </c>
      <c r="V13" s="634">
        <v>13</v>
      </c>
      <c r="W13" s="634">
        <v>68</v>
      </c>
      <c r="X13" s="634">
        <v>338</v>
      </c>
      <c r="Y13" s="634">
        <v>212</v>
      </c>
      <c r="Z13" s="634">
        <v>550</v>
      </c>
      <c r="AA13" s="634">
        <v>8161</v>
      </c>
      <c r="AB13" s="634">
        <v>8006</v>
      </c>
      <c r="AC13" s="634">
        <v>16167</v>
      </c>
    </row>
    <row r="14" spans="1:29" ht="18.75" customHeight="1" x14ac:dyDescent="0.3">
      <c r="A14" s="562">
        <v>10</v>
      </c>
      <c r="B14" s="590" t="s">
        <v>21</v>
      </c>
      <c r="C14" s="634">
        <v>766</v>
      </c>
      <c r="D14" s="634">
        <v>573</v>
      </c>
      <c r="E14" s="634">
        <v>1339</v>
      </c>
      <c r="F14" s="634">
        <v>19</v>
      </c>
      <c r="G14" s="634">
        <v>15</v>
      </c>
      <c r="H14" s="634">
        <v>34</v>
      </c>
      <c r="I14" s="634">
        <v>36118</v>
      </c>
      <c r="J14" s="634">
        <v>45624</v>
      </c>
      <c r="K14" s="634">
        <v>81742</v>
      </c>
      <c r="L14" s="634">
        <v>163294</v>
      </c>
      <c r="M14" s="634">
        <v>141932</v>
      </c>
      <c r="N14" s="634">
        <v>305226</v>
      </c>
      <c r="O14" s="634">
        <v>1948</v>
      </c>
      <c r="P14" s="634">
        <v>2305</v>
      </c>
      <c r="Q14" s="634">
        <v>4253</v>
      </c>
      <c r="R14" s="634">
        <v>23226</v>
      </c>
      <c r="S14" s="634">
        <v>16263</v>
      </c>
      <c r="T14" s="634">
        <v>39489</v>
      </c>
      <c r="U14" s="634">
        <v>1884</v>
      </c>
      <c r="V14" s="634">
        <v>1668</v>
      </c>
      <c r="W14" s="634">
        <v>3552</v>
      </c>
      <c r="X14" s="634">
        <v>1563</v>
      </c>
      <c r="Y14" s="634">
        <v>1478</v>
      </c>
      <c r="Z14" s="634">
        <v>3041</v>
      </c>
      <c r="AA14" s="634">
        <v>228818</v>
      </c>
      <c r="AB14" s="634">
        <v>209858</v>
      </c>
      <c r="AC14" s="634">
        <v>438676</v>
      </c>
    </row>
    <row r="15" spans="1:29" ht="18.75" customHeight="1" x14ac:dyDescent="0.3">
      <c r="A15" s="562">
        <v>11</v>
      </c>
      <c r="B15" s="590" t="s">
        <v>22</v>
      </c>
      <c r="C15" s="634">
        <v>316</v>
      </c>
      <c r="D15" s="634">
        <v>446</v>
      </c>
      <c r="E15" s="634">
        <v>762</v>
      </c>
      <c r="F15" s="634">
        <v>0</v>
      </c>
      <c r="G15" s="634">
        <v>18</v>
      </c>
      <c r="H15" s="634">
        <v>18</v>
      </c>
      <c r="I15" s="634">
        <v>13434</v>
      </c>
      <c r="J15" s="634">
        <v>27739</v>
      </c>
      <c r="K15" s="634">
        <v>41173</v>
      </c>
      <c r="L15" s="634">
        <v>60878</v>
      </c>
      <c r="M15" s="634">
        <v>98815</v>
      </c>
      <c r="N15" s="634">
        <v>159693</v>
      </c>
      <c r="O15" s="634">
        <v>625</v>
      </c>
      <c r="P15" s="634">
        <v>792</v>
      </c>
      <c r="Q15" s="634">
        <v>1417</v>
      </c>
      <c r="R15" s="634">
        <v>14260</v>
      </c>
      <c r="S15" s="634">
        <v>8516</v>
      </c>
      <c r="T15" s="634">
        <v>22776</v>
      </c>
      <c r="U15" s="634">
        <v>279</v>
      </c>
      <c r="V15" s="634">
        <v>627</v>
      </c>
      <c r="W15" s="634">
        <v>906</v>
      </c>
      <c r="X15" s="634">
        <v>1574</v>
      </c>
      <c r="Y15" s="634">
        <v>1529</v>
      </c>
      <c r="Z15" s="634">
        <v>3103</v>
      </c>
      <c r="AA15" s="634">
        <v>91366</v>
      </c>
      <c r="AB15" s="634">
        <v>138482</v>
      </c>
      <c r="AC15" s="634">
        <v>229848</v>
      </c>
    </row>
    <row r="16" spans="1:29" ht="18.75" customHeight="1" x14ac:dyDescent="0.3">
      <c r="A16" s="562">
        <v>12</v>
      </c>
      <c r="B16" s="590" t="s">
        <v>23</v>
      </c>
      <c r="C16" s="634">
        <v>126</v>
      </c>
      <c r="D16" s="634">
        <v>166</v>
      </c>
      <c r="E16" s="634">
        <v>292</v>
      </c>
      <c r="F16" s="634">
        <v>0</v>
      </c>
      <c r="G16" s="634"/>
      <c r="H16" s="634"/>
      <c r="I16" s="634">
        <v>4502</v>
      </c>
      <c r="J16" s="634">
        <v>6647</v>
      </c>
      <c r="K16" s="634">
        <v>11149</v>
      </c>
      <c r="L16" s="634">
        <v>22244</v>
      </c>
      <c r="M16" s="634">
        <v>33253</v>
      </c>
      <c r="N16" s="634">
        <v>55497</v>
      </c>
      <c r="O16" s="634">
        <v>301</v>
      </c>
      <c r="P16" s="634">
        <v>485</v>
      </c>
      <c r="Q16" s="634">
        <v>786</v>
      </c>
      <c r="R16" s="634">
        <v>2553</v>
      </c>
      <c r="S16" s="634">
        <v>2512</v>
      </c>
      <c r="T16" s="634">
        <v>5065</v>
      </c>
      <c r="U16" s="634">
        <v>56</v>
      </c>
      <c r="V16" s="634">
        <v>32</v>
      </c>
      <c r="W16" s="634">
        <v>88</v>
      </c>
      <c r="X16" s="634">
        <v>274</v>
      </c>
      <c r="Y16" s="634">
        <v>179</v>
      </c>
      <c r="Z16" s="634">
        <v>453</v>
      </c>
      <c r="AA16" s="634">
        <v>30056</v>
      </c>
      <c r="AB16" s="634">
        <v>43274</v>
      </c>
      <c r="AC16" s="634">
        <v>73330</v>
      </c>
    </row>
    <row r="17" spans="1:29" ht="25.5" customHeight="1" x14ac:dyDescent="0.3">
      <c r="A17" s="562">
        <v>13</v>
      </c>
      <c r="B17" s="590" t="s">
        <v>24</v>
      </c>
      <c r="C17" s="634">
        <v>342</v>
      </c>
      <c r="D17" s="634">
        <v>365</v>
      </c>
      <c r="E17" s="634">
        <v>707</v>
      </c>
      <c r="F17" s="634">
        <v>0</v>
      </c>
      <c r="G17" s="634"/>
      <c r="H17" s="634"/>
      <c r="I17" s="634">
        <v>4197</v>
      </c>
      <c r="J17" s="634">
        <v>7679</v>
      </c>
      <c r="K17" s="634">
        <v>11876</v>
      </c>
      <c r="L17" s="634">
        <v>16737</v>
      </c>
      <c r="M17" s="634">
        <v>24977</v>
      </c>
      <c r="N17" s="634">
        <v>41714</v>
      </c>
      <c r="O17" s="634">
        <v>73</v>
      </c>
      <c r="P17" s="634">
        <v>71</v>
      </c>
      <c r="Q17" s="634">
        <v>144</v>
      </c>
      <c r="R17" s="634">
        <v>2497</v>
      </c>
      <c r="S17" s="634">
        <v>3332</v>
      </c>
      <c r="T17" s="634">
        <v>5829</v>
      </c>
      <c r="U17" s="634">
        <v>130</v>
      </c>
      <c r="V17" s="634">
        <v>229</v>
      </c>
      <c r="W17" s="634">
        <v>359</v>
      </c>
      <c r="X17" s="634">
        <v>572</v>
      </c>
      <c r="Y17" s="634">
        <v>590</v>
      </c>
      <c r="Z17" s="634">
        <v>1162</v>
      </c>
      <c r="AA17" s="634">
        <v>24548</v>
      </c>
      <c r="AB17" s="634">
        <v>37243</v>
      </c>
      <c r="AC17" s="634">
        <v>61791</v>
      </c>
    </row>
    <row r="18" spans="1:29" ht="18.75" customHeight="1" x14ac:dyDescent="0.3">
      <c r="A18" s="562">
        <v>14</v>
      </c>
      <c r="B18" s="590" t="s">
        <v>25</v>
      </c>
      <c r="C18" s="634">
        <v>317</v>
      </c>
      <c r="D18" s="634">
        <v>213</v>
      </c>
      <c r="E18" s="634">
        <v>530</v>
      </c>
      <c r="F18" s="634">
        <v>5</v>
      </c>
      <c r="G18" s="634">
        <v>32</v>
      </c>
      <c r="H18" s="634">
        <v>37</v>
      </c>
      <c r="I18" s="634">
        <v>14524</v>
      </c>
      <c r="J18" s="634">
        <v>21144</v>
      </c>
      <c r="K18" s="634">
        <v>35668</v>
      </c>
      <c r="L18" s="634">
        <v>75003</v>
      </c>
      <c r="M18" s="634">
        <v>79321</v>
      </c>
      <c r="N18" s="634">
        <v>154324</v>
      </c>
      <c r="O18" s="634">
        <v>532</v>
      </c>
      <c r="P18" s="634">
        <v>251</v>
      </c>
      <c r="Q18" s="634">
        <v>783</v>
      </c>
      <c r="R18" s="634">
        <v>11853</v>
      </c>
      <c r="S18" s="634">
        <v>8340</v>
      </c>
      <c r="T18" s="634">
        <v>20193</v>
      </c>
      <c r="U18" s="634">
        <v>430</v>
      </c>
      <c r="V18" s="634">
        <v>278</v>
      </c>
      <c r="W18" s="634">
        <v>708</v>
      </c>
      <c r="X18" s="634">
        <v>442</v>
      </c>
      <c r="Y18" s="634">
        <v>258</v>
      </c>
      <c r="Z18" s="634">
        <v>700</v>
      </c>
      <c r="AA18" s="634">
        <v>103106</v>
      </c>
      <c r="AB18" s="634">
        <v>109837</v>
      </c>
      <c r="AC18" s="634">
        <v>212943</v>
      </c>
    </row>
    <row r="19" spans="1:29" ht="18.75" customHeight="1" x14ac:dyDescent="0.3">
      <c r="A19" s="562">
        <v>15</v>
      </c>
      <c r="B19" s="590" t="s">
        <v>26</v>
      </c>
      <c r="C19" s="634">
        <v>821</v>
      </c>
      <c r="D19" s="634">
        <v>600</v>
      </c>
      <c r="E19" s="634">
        <v>1421</v>
      </c>
      <c r="F19" s="634">
        <v>24</v>
      </c>
      <c r="G19" s="634">
        <v>92</v>
      </c>
      <c r="H19" s="634">
        <v>116</v>
      </c>
      <c r="I19" s="634">
        <v>41535</v>
      </c>
      <c r="J19" s="634">
        <v>57139</v>
      </c>
      <c r="K19" s="634">
        <v>98674</v>
      </c>
      <c r="L19" s="634">
        <v>206469</v>
      </c>
      <c r="M19" s="634">
        <v>228633</v>
      </c>
      <c r="N19" s="634">
        <v>435102</v>
      </c>
      <c r="O19" s="634">
        <v>2111</v>
      </c>
      <c r="P19" s="634">
        <v>1635</v>
      </c>
      <c r="Q19" s="634">
        <v>3746</v>
      </c>
      <c r="R19" s="634">
        <v>28994</v>
      </c>
      <c r="S19" s="634">
        <v>25377</v>
      </c>
      <c r="T19" s="634">
        <v>54371</v>
      </c>
      <c r="U19" s="634">
        <v>543</v>
      </c>
      <c r="V19" s="634">
        <v>400</v>
      </c>
      <c r="W19" s="634">
        <v>943</v>
      </c>
      <c r="X19" s="634">
        <v>834</v>
      </c>
      <c r="Y19" s="634">
        <v>789</v>
      </c>
      <c r="Z19" s="634">
        <v>1623</v>
      </c>
      <c r="AA19" s="634">
        <v>281331</v>
      </c>
      <c r="AB19" s="634">
        <v>314665</v>
      </c>
      <c r="AC19" s="634">
        <v>595996</v>
      </c>
    </row>
    <row r="20" spans="1:29" ht="18.75" customHeight="1" x14ac:dyDescent="0.3">
      <c r="A20" s="562">
        <v>16</v>
      </c>
      <c r="B20" s="590" t="s">
        <v>27</v>
      </c>
      <c r="C20" s="634">
        <v>355</v>
      </c>
      <c r="D20" s="634">
        <v>633</v>
      </c>
      <c r="E20" s="634">
        <v>988</v>
      </c>
      <c r="F20" s="634">
        <v>3</v>
      </c>
      <c r="G20" s="634">
        <v>9</v>
      </c>
      <c r="H20" s="634">
        <v>12</v>
      </c>
      <c r="I20" s="634">
        <v>16162</v>
      </c>
      <c r="J20" s="634">
        <v>33676</v>
      </c>
      <c r="K20" s="634">
        <v>49838</v>
      </c>
      <c r="L20" s="634">
        <v>64708</v>
      </c>
      <c r="M20" s="634">
        <v>114222</v>
      </c>
      <c r="N20" s="634">
        <v>178930</v>
      </c>
      <c r="O20" s="634">
        <v>335</v>
      </c>
      <c r="P20" s="634">
        <v>747</v>
      </c>
      <c r="Q20" s="634">
        <v>1082</v>
      </c>
      <c r="R20" s="634">
        <v>8703</v>
      </c>
      <c r="S20" s="634">
        <v>12518</v>
      </c>
      <c r="T20" s="634">
        <v>21221</v>
      </c>
      <c r="U20" s="634">
        <v>1041</v>
      </c>
      <c r="V20" s="634">
        <v>516</v>
      </c>
      <c r="W20" s="634">
        <v>1557</v>
      </c>
      <c r="X20" s="634">
        <v>594</v>
      </c>
      <c r="Y20" s="634">
        <v>967</v>
      </c>
      <c r="Z20" s="634">
        <v>1561</v>
      </c>
      <c r="AA20" s="634">
        <v>91901</v>
      </c>
      <c r="AB20" s="634">
        <v>163288</v>
      </c>
      <c r="AC20" s="634">
        <v>255189</v>
      </c>
    </row>
    <row r="21" spans="1:29" ht="18.75" customHeight="1" x14ac:dyDescent="0.3">
      <c r="A21" s="562">
        <v>17</v>
      </c>
      <c r="B21" s="590" t="s">
        <v>28</v>
      </c>
      <c r="C21" s="634">
        <v>6</v>
      </c>
      <c r="D21" s="634">
        <v>0</v>
      </c>
      <c r="E21" s="634">
        <v>6</v>
      </c>
      <c r="F21" s="634">
        <v>0</v>
      </c>
      <c r="G21" s="634"/>
      <c r="H21" s="634"/>
      <c r="I21" s="634">
        <v>49</v>
      </c>
      <c r="J21" s="634">
        <v>140</v>
      </c>
      <c r="K21" s="634">
        <v>189</v>
      </c>
      <c r="L21" s="634">
        <v>126</v>
      </c>
      <c r="M21" s="634">
        <v>237</v>
      </c>
      <c r="N21" s="634">
        <v>363</v>
      </c>
      <c r="O21" s="634">
        <v>0</v>
      </c>
      <c r="P21" s="634"/>
      <c r="Q21" s="634"/>
      <c r="R21" s="634">
        <v>78</v>
      </c>
      <c r="S21" s="634">
        <v>118</v>
      </c>
      <c r="T21" s="634">
        <v>196</v>
      </c>
      <c r="U21" s="634">
        <v>0</v>
      </c>
      <c r="V21" s="634"/>
      <c r="W21" s="634"/>
      <c r="X21" s="634">
        <v>0</v>
      </c>
      <c r="Y21" s="634"/>
      <c r="Z21" s="634"/>
      <c r="AA21" s="634">
        <v>259</v>
      </c>
      <c r="AB21" s="634">
        <v>495</v>
      </c>
      <c r="AC21" s="634">
        <v>754</v>
      </c>
    </row>
    <row r="22" spans="1:29" ht="18.75" customHeight="1" x14ac:dyDescent="0.3">
      <c r="A22" s="562">
        <v>18</v>
      </c>
      <c r="B22" s="590" t="s">
        <v>72</v>
      </c>
      <c r="C22" s="634">
        <v>0</v>
      </c>
      <c r="D22" s="634"/>
      <c r="E22" s="634"/>
      <c r="F22" s="634">
        <v>0</v>
      </c>
      <c r="G22" s="634"/>
      <c r="H22" s="634"/>
      <c r="I22" s="634">
        <v>0</v>
      </c>
      <c r="J22" s="634"/>
      <c r="K22" s="634"/>
      <c r="L22" s="634">
        <v>27</v>
      </c>
      <c r="M22" s="634">
        <v>121</v>
      </c>
      <c r="N22" s="634">
        <v>148</v>
      </c>
      <c r="O22" s="634">
        <v>0</v>
      </c>
      <c r="P22" s="634"/>
      <c r="Q22" s="634"/>
      <c r="R22" s="634">
        <v>3</v>
      </c>
      <c r="S22" s="634">
        <v>17</v>
      </c>
      <c r="T22" s="634">
        <v>20</v>
      </c>
      <c r="U22" s="634">
        <v>0</v>
      </c>
      <c r="V22" s="634"/>
      <c r="W22" s="634"/>
      <c r="X22" s="634">
        <v>0</v>
      </c>
      <c r="Y22" s="634"/>
      <c r="Z22" s="634"/>
      <c r="AA22" s="634">
        <v>30</v>
      </c>
      <c r="AB22" s="634">
        <v>138</v>
      </c>
      <c r="AC22" s="634">
        <v>168</v>
      </c>
    </row>
    <row r="23" spans="1:29" ht="18.75" customHeight="1" x14ac:dyDescent="0.3">
      <c r="A23" s="562">
        <v>19</v>
      </c>
      <c r="B23" s="590" t="s">
        <v>29</v>
      </c>
      <c r="C23" s="634">
        <v>763</v>
      </c>
      <c r="D23" s="634">
        <v>783</v>
      </c>
      <c r="E23" s="634">
        <v>1546</v>
      </c>
      <c r="F23" s="634">
        <v>0</v>
      </c>
      <c r="G23" s="634">
        <v>8</v>
      </c>
      <c r="H23" s="634">
        <v>8</v>
      </c>
      <c r="I23" s="634">
        <v>72700</v>
      </c>
      <c r="J23" s="634">
        <v>91741</v>
      </c>
      <c r="K23" s="634">
        <v>164441</v>
      </c>
      <c r="L23" s="634">
        <v>254313</v>
      </c>
      <c r="M23" s="634">
        <v>244221</v>
      </c>
      <c r="N23" s="634">
        <v>498534</v>
      </c>
      <c r="O23" s="634">
        <v>17568</v>
      </c>
      <c r="P23" s="634">
        <v>17984</v>
      </c>
      <c r="Q23" s="634">
        <v>35552</v>
      </c>
      <c r="R23" s="634">
        <v>43000</v>
      </c>
      <c r="S23" s="634">
        <v>28612</v>
      </c>
      <c r="T23" s="634">
        <v>71612</v>
      </c>
      <c r="U23" s="634">
        <v>1354</v>
      </c>
      <c r="V23" s="634">
        <v>672</v>
      </c>
      <c r="W23" s="634">
        <v>2026</v>
      </c>
      <c r="X23" s="634">
        <v>2981</v>
      </c>
      <c r="Y23" s="634">
        <v>2942</v>
      </c>
      <c r="Z23" s="634">
        <v>5923</v>
      </c>
      <c r="AA23" s="634">
        <v>392679</v>
      </c>
      <c r="AB23" s="634">
        <v>386963</v>
      </c>
      <c r="AC23" s="634">
        <v>779642</v>
      </c>
    </row>
    <row r="24" spans="1:29" ht="18.75" customHeight="1" x14ac:dyDescent="0.3">
      <c r="A24" s="562">
        <v>20</v>
      </c>
      <c r="B24" s="590" t="s">
        <v>30</v>
      </c>
      <c r="C24" s="634">
        <v>1381</v>
      </c>
      <c r="D24" s="634">
        <v>1016</v>
      </c>
      <c r="E24" s="634">
        <v>2397</v>
      </c>
      <c r="F24" s="634">
        <v>19</v>
      </c>
      <c r="G24" s="634">
        <v>17</v>
      </c>
      <c r="H24" s="634">
        <v>36</v>
      </c>
      <c r="I24" s="634">
        <v>102292</v>
      </c>
      <c r="J24" s="634">
        <v>105015</v>
      </c>
      <c r="K24" s="634">
        <v>207307</v>
      </c>
      <c r="L24" s="634">
        <v>462153</v>
      </c>
      <c r="M24" s="634">
        <v>382979</v>
      </c>
      <c r="N24" s="634">
        <v>845132</v>
      </c>
      <c r="O24" s="634">
        <v>9458</v>
      </c>
      <c r="P24" s="634">
        <v>7484</v>
      </c>
      <c r="Q24" s="634">
        <v>16942</v>
      </c>
      <c r="R24" s="634">
        <v>69132</v>
      </c>
      <c r="S24" s="634">
        <v>57270</v>
      </c>
      <c r="T24" s="634">
        <v>126402</v>
      </c>
      <c r="U24" s="634">
        <v>5747</v>
      </c>
      <c r="V24" s="634">
        <v>3856</v>
      </c>
      <c r="W24" s="634">
        <v>9603</v>
      </c>
      <c r="X24" s="634">
        <v>2174</v>
      </c>
      <c r="Y24" s="634">
        <v>1700</v>
      </c>
      <c r="Z24" s="634">
        <v>3874</v>
      </c>
      <c r="AA24" s="634">
        <v>652356</v>
      </c>
      <c r="AB24" s="634">
        <v>559337</v>
      </c>
      <c r="AC24" s="634">
        <v>1211693</v>
      </c>
    </row>
    <row r="25" spans="1:29" ht="18.75" customHeight="1" x14ac:dyDescent="0.3">
      <c r="A25" s="562">
        <v>21</v>
      </c>
      <c r="B25" s="590" t="s">
        <v>31</v>
      </c>
      <c r="C25" s="634">
        <v>111</v>
      </c>
      <c r="D25" s="634">
        <v>70</v>
      </c>
      <c r="E25" s="634">
        <v>181</v>
      </c>
      <c r="F25" s="634">
        <v>0</v>
      </c>
      <c r="G25" s="634">
        <v>6</v>
      </c>
      <c r="H25" s="634">
        <v>6</v>
      </c>
      <c r="I25" s="634">
        <v>1339</v>
      </c>
      <c r="J25" s="634">
        <v>1885</v>
      </c>
      <c r="K25" s="634">
        <v>3224</v>
      </c>
      <c r="L25" s="634">
        <v>11578</v>
      </c>
      <c r="M25" s="634">
        <v>12115</v>
      </c>
      <c r="N25" s="634">
        <v>23693</v>
      </c>
      <c r="O25" s="634">
        <v>324</v>
      </c>
      <c r="P25" s="634">
        <v>363</v>
      </c>
      <c r="Q25" s="634">
        <v>687</v>
      </c>
      <c r="R25" s="634">
        <v>452</v>
      </c>
      <c r="S25" s="634">
        <v>914</v>
      </c>
      <c r="T25" s="634">
        <v>1366</v>
      </c>
      <c r="U25" s="634">
        <v>115</v>
      </c>
      <c r="V25" s="634">
        <v>65</v>
      </c>
      <c r="W25" s="634">
        <v>180</v>
      </c>
      <c r="X25" s="634">
        <v>0</v>
      </c>
      <c r="Y25" s="634"/>
      <c r="Z25" s="634"/>
      <c r="AA25" s="634">
        <v>13919</v>
      </c>
      <c r="AB25" s="634">
        <v>15418</v>
      </c>
      <c r="AC25" s="634">
        <v>29337</v>
      </c>
    </row>
    <row r="26" spans="1:29" ht="18.75" customHeight="1" x14ac:dyDescent="0.3">
      <c r="A26" s="562">
        <v>22</v>
      </c>
      <c r="B26" s="590" t="s">
        <v>32</v>
      </c>
      <c r="C26" s="634">
        <v>37</v>
      </c>
      <c r="D26" s="634">
        <v>22</v>
      </c>
      <c r="E26" s="634">
        <v>59</v>
      </c>
      <c r="F26" s="634">
        <v>0</v>
      </c>
      <c r="G26" s="634"/>
      <c r="H26" s="634"/>
      <c r="I26" s="634">
        <v>1638</v>
      </c>
      <c r="J26" s="634">
        <v>2310</v>
      </c>
      <c r="K26" s="634">
        <v>3948</v>
      </c>
      <c r="L26" s="634">
        <v>6759</v>
      </c>
      <c r="M26" s="634">
        <v>9417</v>
      </c>
      <c r="N26" s="634">
        <v>16176</v>
      </c>
      <c r="O26" s="634">
        <v>24</v>
      </c>
      <c r="P26" s="634">
        <v>51</v>
      </c>
      <c r="Q26" s="634">
        <v>75</v>
      </c>
      <c r="R26" s="634">
        <v>288</v>
      </c>
      <c r="S26" s="634">
        <v>598</v>
      </c>
      <c r="T26" s="634">
        <v>886</v>
      </c>
      <c r="U26" s="634">
        <v>23</v>
      </c>
      <c r="V26" s="634">
        <v>46</v>
      </c>
      <c r="W26" s="634">
        <v>69</v>
      </c>
      <c r="X26" s="634">
        <v>3</v>
      </c>
      <c r="Y26" s="634">
        <v>11</v>
      </c>
      <c r="Z26" s="634">
        <v>14</v>
      </c>
      <c r="AA26" s="634">
        <v>8772</v>
      </c>
      <c r="AB26" s="634">
        <v>12455</v>
      </c>
      <c r="AC26" s="634">
        <v>21227</v>
      </c>
    </row>
    <row r="27" spans="1:29" ht="18.75" customHeight="1" x14ac:dyDescent="0.3">
      <c r="A27" s="562">
        <v>23</v>
      </c>
      <c r="B27" s="590" t="s">
        <v>33</v>
      </c>
      <c r="C27" s="634">
        <v>65</v>
      </c>
      <c r="D27" s="634">
        <v>35</v>
      </c>
      <c r="E27" s="634">
        <v>100</v>
      </c>
      <c r="F27" s="634">
        <v>0</v>
      </c>
      <c r="G27" s="634"/>
      <c r="H27" s="634"/>
      <c r="I27" s="634">
        <v>470</v>
      </c>
      <c r="J27" s="634">
        <v>672</v>
      </c>
      <c r="K27" s="634">
        <v>1142</v>
      </c>
      <c r="L27" s="634">
        <v>2622</v>
      </c>
      <c r="M27" s="634">
        <v>2561</v>
      </c>
      <c r="N27" s="634">
        <v>5183</v>
      </c>
      <c r="O27" s="634">
        <v>0</v>
      </c>
      <c r="P27" s="634"/>
      <c r="Q27" s="634"/>
      <c r="R27" s="634">
        <v>2149</v>
      </c>
      <c r="S27" s="634">
        <v>2664</v>
      </c>
      <c r="T27" s="634">
        <v>4813</v>
      </c>
      <c r="U27" s="634">
        <v>1</v>
      </c>
      <c r="V27" s="634">
        <v>1</v>
      </c>
      <c r="W27" s="634">
        <v>2</v>
      </c>
      <c r="X27" s="634">
        <v>10</v>
      </c>
      <c r="Y27" s="634">
        <v>5</v>
      </c>
      <c r="Z27" s="634">
        <v>15</v>
      </c>
      <c r="AA27" s="634">
        <v>5317</v>
      </c>
      <c r="AB27" s="634">
        <v>5938</v>
      </c>
      <c r="AC27" s="634">
        <v>11255</v>
      </c>
    </row>
    <row r="28" spans="1:29" ht="18.75" customHeight="1" x14ac:dyDescent="0.3">
      <c r="A28" s="562">
        <v>24</v>
      </c>
      <c r="B28" s="590" t="s">
        <v>34</v>
      </c>
      <c r="C28" s="634">
        <v>68</v>
      </c>
      <c r="D28" s="634">
        <v>62</v>
      </c>
      <c r="E28" s="634">
        <v>130</v>
      </c>
      <c r="F28" s="634">
        <v>0</v>
      </c>
      <c r="G28" s="634"/>
      <c r="H28" s="634"/>
      <c r="I28" s="634">
        <v>923</v>
      </c>
      <c r="J28" s="634">
        <v>1372</v>
      </c>
      <c r="K28" s="634">
        <v>2295</v>
      </c>
      <c r="L28" s="634">
        <v>4458</v>
      </c>
      <c r="M28" s="634">
        <v>5535</v>
      </c>
      <c r="N28" s="634">
        <v>9993</v>
      </c>
      <c r="O28" s="634">
        <v>0</v>
      </c>
      <c r="P28" s="634"/>
      <c r="Q28" s="634"/>
      <c r="R28" s="634">
        <v>265</v>
      </c>
      <c r="S28" s="634">
        <v>497</v>
      </c>
      <c r="T28" s="634">
        <v>762</v>
      </c>
      <c r="U28" s="634">
        <v>739</v>
      </c>
      <c r="V28" s="634">
        <v>772</v>
      </c>
      <c r="W28" s="634">
        <v>1511</v>
      </c>
      <c r="X28" s="634">
        <v>0</v>
      </c>
      <c r="Y28" s="634"/>
      <c r="Z28" s="634"/>
      <c r="AA28" s="634">
        <v>6453</v>
      </c>
      <c r="AB28" s="634">
        <v>8238</v>
      </c>
      <c r="AC28" s="634">
        <v>14691</v>
      </c>
    </row>
    <row r="29" spans="1:29" ht="18.75" customHeight="1" x14ac:dyDescent="0.3">
      <c r="A29" s="562">
        <v>25</v>
      </c>
      <c r="B29" s="590" t="s">
        <v>35</v>
      </c>
      <c r="C29" s="634">
        <v>306</v>
      </c>
      <c r="D29" s="634">
        <v>153</v>
      </c>
      <c r="E29" s="634">
        <v>459</v>
      </c>
      <c r="F29" s="634">
        <v>2</v>
      </c>
      <c r="G29" s="634">
        <v>17</v>
      </c>
      <c r="H29" s="634">
        <v>19</v>
      </c>
      <c r="I29" s="634">
        <v>20471</v>
      </c>
      <c r="J29" s="634">
        <v>23308</v>
      </c>
      <c r="K29" s="634">
        <v>43779</v>
      </c>
      <c r="L29" s="634">
        <v>86957</v>
      </c>
      <c r="M29" s="634">
        <v>89579</v>
      </c>
      <c r="N29" s="634">
        <v>176536</v>
      </c>
      <c r="O29" s="634">
        <v>671</v>
      </c>
      <c r="P29" s="634">
        <v>398</v>
      </c>
      <c r="Q29" s="634">
        <v>1069</v>
      </c>
      <c r="R29" s="634">
        <v>23135</v>
      </c>
      <c r="S29" s="634">
        <v>12262</v>
      </c>
      <c r="T29" s="634">
        <v>35397</v>
      </c>
      <c r="U29" s="634">
        <v>201</v>
      </c>
      <c r="V29" s="634">
        <v>371</v>
      </c>
      <c r="W29" s="634">
        <v>572</v>
      </c>
      <c r="X29" s="634">
        <v>1121</v>
      </c>
      <c r="Y29" s="634">
        <v>1049</v>
      </c>
      <c r="Z29" s="634">
        <v>2170</v>
      </c>
      <c r="AA29" s="634">
        <v>132864</v>
      </c>
      <c r="AB29" s="634">
        <v>127137</v>
      </c>
      <c r="AC29" s="634">
        <v>260001</v>
      </c>
    </row>
    <row r="30" spans="1:29" ht="18.75" customHeight="1" x14ac:dyDescent="0.3">
      <c r="A30" s="562">
        <v>26</v>
      </c>
      <c r="B30" s="590" t="s">
        <v>36</v>
      </c>
      <c r="C30" s="634">
        <v>13</v>
      </c>
      <c r="D30" s="634">
        <v>10</v>
      </c>
      <c r="E30" s="634">
        <v>23</v>
      </c>
      <c r="F30" s="634">
        <v>0</v>
      </c>
      <c r="G30" s="634"/>
      <c r="H30" s="634"/>
      <c r="I30" s="634">
        <v>2925</v>
      </c>
      <c r="J30" s="634">
        <v>3831</v>
      </c>
      <c r="K30" s="634">
        <v>6756</v>
      </c>
      <c r="L30" s="634">
        <v>5924</v>
      </c>
      <c r="M30" s="634">
        <v>7743</v>
      </c>
      <c r="N30" s="634">
        <v>13667</v>
      </c>
      <c r="O30" s="634">
        <v>12</v>
      </c>
      <c r="P30" s="634">
        <v>6</v>
      </c>
      <c r="Q30" s="634">
        <v>18</v>
      </c>
      <c r="R30" s="634">
        <v>666</v>
      </c>
      <c r="S30" s="634">
        <v>354</v>
      </c>
      <c r="T30" s="634">
        <v>1020</v>
      </c>
      <c r="U30" s="634">
        <v>3</v>
      </c>
      <c r="V30" s="634">
        <v>1</v>
      </c>
      <c r="W30" s="634">
        <v>4</v>
      </c>
      <c r="X30" s="634">
        <v>16</v>
      </c>
      <c r="Y30" s="634">
        <v>128</v>
      </c>
      <c r="Z30" s="634">
        <v>144</v>
      </c>
      <c r="AA30" s="634">
        <v>9559</v>
      </c>
      <c r="AB30" s="634">
        <v>12073</v>
      </c>
      <c r="AC30" s="634">
        <v>21632</v>
      </c>
    </row>
    <row r="31" spans="1:29" ht="18.75" customHeight="1" x14ac:dyDescent="0.3">
      <c r="A31" s="562">
        <v>27</v>
      </c>
      <c r="B31" s="590" t="s">
        <v>37</v>
      </c>
      <c r="C31" s="634">
        <v>575</v>
      </c>
      <c r="D31" s="634">
        <v>609</v>
      </c>
      <c r="E31" s="634">
        <v>1184</v>
      </c>
      <c r="F31" s="634">
        <v>2</v>
      </c>
      <c r="G31" s="634">
        <v>9</v>
      </c>
      <c r="H31" s="634">
        <v>11</v>
      </c>
      <c r="I31" s="634">
        <v>15310</v>
      </c>
      <c r="J31" s="634">
        <v>24082</v>
      </c>
      <c r="K31" s="634">
        <v>39392</v>
      </c>
      <c r="L31" s="634">
        <v>67843</v>
      </c>
      <c r="M31" s="634">
        <v>79530</v>
      </c>
      <c r="N31" s="634">
        <v>147373</v>
      </c>
      <c r="O31" s="634">
        <v>1622</v>
      </c>
      <c r="P31" s="634">
        <v>2159</v>
      </c>
      <c r="Q31" s="634">
        <v>3781</v>
      </c>
      <c r="R31" s="634">
        <v>11506</v>
      </c>
      <c r="S31" s="634">
        <v>13019</v>
      </c>
      <c r="T31" s="634">
        <v>24525</v>
      </c>
      <c r="U31" s="634">
        <v>324</v>
      </c>
      <c r="V31" s="634">
        <v>516</v>
      </c>
      <c r="W31" s="634">
        <v>840</v>
      </c>
      <c r="X31" s="634">
        <v>1350</v>
      </c>
      <c r="Y31" s="634">
        <v>1858</v>
      </c>
      <c r="Z31" s="634">
        <v>3208</v>
      </c>
      <c r="AA31" s="634">
        <v>98532</v>
      </c>
      <c r="AB31" s="634">
        <v>121782</v>
      </c>
      <c r="AC31" s="634">
        <v>220314</v>
      </c>
    </row>
    <row r="32" spans="1:29" ht="18.75" customHeight="1" x14ac:dyDescent="0.3">
      <c r="A32" s="562">
        <v>28</v>
      </c>
      <c r="B32" s="590" t="s">
        <v>38</v>
      </c>
      <c r="C32" s="634">
        <v>1100</v>
      </c>
      <c r="D32" s="634">
        <v>1027</v>
      </c>
      <c r="E32" s="634">
        <v>2127</v>
      </c>
      <c r="F32" s="634">
        <v>0</v>
      </c>
      <c r="G32" s="634">
        <v>10</v>
      </c>
      <c r="H32" s="634">
        <v>10</v>
      </c>
      <c r="I32" s="634">
        <v>41606</v>
      </c>
      <c r="J32" s="634">
        <v>62011</v>
      </c>
      <c r="K32" s="634">
        <v>103617</v>
      </c>
      <c r="L32" s="634">
        <v>275005</v>
      </c>
      <c r="M32" s="634">
        <v>286051</v>
      </c>
      <c r="N32" s="634">
        <v>561056</v>
      </c>
      <c r="O32" s="634">
        <v>3283</v>
      </c>
      <c r="P32" s="634">
        <v>2188</v>
      </c>
      <c r="Q32" s="634">
        <v>5471</v>
      </c>
      <c r="R32" s="634">
        <v>21823</v>
      </c>
      <c r="S32" s="634">
        <v>13255</v>
      </c>
      <c r="T32" s="634">
        <v>35078</v>
      </c>
      <c r="U32" s="634">
        <v>545</v>
      </c>
      <c r="V32" s="634">
        <v>852</v>
      </c>
      <c r="W32" s="634">
        <v>1397</v>
      </c>
      <c r="X32" s="634">
        <v>14353</v>
      </c>
      <c r="Y32" s="634">
        <v>15098</v>
      </c>
      <c r="Z32" s="634">
        <v>29451</v>
      </c>
      <c r="AA32" s="634">
        <v>357715</v>
      </c>
      <c r="AB32" s="634">
        <v>380492</v>
      </c>
      <c r="AC32" s="634">
        <v>738207</v>
      </c>
    </row>
    <row r="33" spans="1:29" ht="18.75" customHeight="1" x14ac:dyDescent="0.3">
      <c r="A33" s="562">
        <v>29</v>
      </c>
      <c r="B33" s="590" t="s">
        <v>39</v>
      </c>
      <c r="C33" s="634">
        <v>29</v>
      </c>
      <c r="D33" s="634">
        <v>27</v>
      </c>
      <c r="E33" s="634">
        <v>56</v>
      </c>
      <c r="F33" s="634">
        <v>3</v>
      </c>
      <c r="G33" s="634">
        <v>2</v>
      </c>
      <c r="H33" s="634">
        <v>5</v>
      </c>
      <c r="I33" s="634">
        <v>829</v>
      </c>
      <c r="J33" s="634">
        <v>909</v>
      </c>
      <c r="K33" s="634">
        <v>1738</v>
      </c>
      <c r="L33" s="634">
        <v>2752</v>
      </c>
      <c r="M33" s="634">
        <v>2843</v>
      </c>
      <c r="N33" s="634">
        <v>5595</v>
      </c>
      <c r="O33" s="634">
        <v>0</v>
      </c>
      <c r="P33" s="634"/>
      <c r="Q33" s="634"/>
      <c r="R33" s="634">
        <v>261</v>
      </c>
      <c r="S33" s="634">
        <v>266</v>
      </c>
      <c r="T33" s="634">
        <v>527</v>
      </c>
      <c r="U33" s="634">
        <v>0</v>
      </c>
      <c r="V33" s="634">
        <v>0</v>
      </c>
      <c r="W33" s="634">
        <v>0</v>
      </c>
      <c r="X33" s="634">
        <v>16</v>
      </c>
      <c r="Y33" s="634">
        <v>39</v>
      </c>
      <c r="Z33" s="634">
        <v>55</v>
      </c>
      <c r="AA33" s="634">
        <v>3890</v>
      </c>
      <c r="AB33" s="634">
        <v>4086</v>
      </c>
      <c r="AC33" s="634">
        <v>7976</v>
      </c>
    </row>
    <row r="34" spans="1:29" ht="18.75" customHeight="1" x14ac:dyDescent="0.3">
      <c r="A34" s="562">
        <v>30</v>
      </c>
      <c r="B34" s="590" t="s">
        <v>40</v>
      </c>
      <c r="C34" s="634">
        <v>1657</v>
      </c>
      <c r="D34" s="634">
        <v>1889</v>
      </c>
      <c r="E34" s="634">
        <v>3546</v>
      </c>
      <c r="F34" s="634">
        <v>481</v>
      </c>
      <c r="G34" s="634">
        <v>2053</v>
      </c>
      <c r="H34" s="634">
        <v>2534</v>
      </c>
      <c r="I34" s="634">
        <v>63587</v>
      </c>
      <c r="J34" s="634">
        <v>102591</v>
      </c>
      <c r="K34" s="634">
        <v>166178</v>
      </c>
      <c r="L34" s="634">
        <v>271690</v>
      </c>
      <c r="M34" s="634">
        <v>346845</v>
      </c>
      <c r="N34" s="634">
        <v>618535</v>
      </c>
      <c r="O34" s="634">
        <v>1236</v>
      </c>
      <c r="P34" s="634">
        <v>1238</v>
      </c>
      <c r="Q34" s="634">
        <v>2474</v>
      </c>
      <c r="R34" s="634">
        <v>40715</v>
      </c>
      <c r="S34" s="634">
        <v>13292</v>
      </c>
      <c r="T34" s="634">
        <v>54007</v>
      </c>
      <c r="U34" s="634">
        <v>1082</v>
      </c>
      <c r="V34" s="634">
        <v>2970</v>
      </c>
      <c r="W34" s="634">
        <v>4052</v>
      </c>
      <c r="X34" s="634">
        <v>1543</v>
      </c>
      <c r="Y34" s="634">
        <v>2034</v>
      </c>
      <c r="Z34" s="634">
        <v>3577</v>
      </c>
      <c r="AA34" s="634">
        <v>381991</v>
      </c>
      <c r="AB34" s="634">
        <v>472912</v>
      </c>
      <c r="AC34" s="634">
        <v>854903</v>
      </c>
    </row>
    <row r="35" spans="1:29" ht="18.75" customHeight="1" x14ac:dyDescent="0.3">
      <c r="A35" s="562">
        <v>31</v>
      </c>
      <c r="B35" s="590" t="s">
        <v>41</v>
      </c>
      <c r="C35" s="634">
        <v>250</v>
      </c>
      <c r="D35" s="634">
        <v>175</v>
      </c>
      <c r="E35" s="634">
        <v>425</v>
      </c>
      <c r="F35" s="634">
        <v>8</v>
      </c>
      <c r="G35" s="634">
        <v>18</v>
      </c>
      <c r="H35" s="634">
        <v>26</v>
      </c>
      <c r="I35" s="634">
        <v>27590</v>
      </c>
      <c r="J35" s="634">
        <v>37163</v>
      </c>
      <c r="K35" s="634">
        <v>64753</v>
      </c>
      <c r="L35" s="634">
        <v>111119</v>
      </c>
      <c r="M35" s="634">
        <v>134634</v>
      </c>
      <c r="N35" s="634">
        <v>245753</v>
      </c>
      <c r="O35" s="634">
        <v>861</v>
      </c>
      <c r="P35" s="634">
        <v>904</v>
      </c>
      <c r="Q35" s="634">
        <v>1765</v>
      </c>
      <c r="R35" s="634">
        <v>11080</v>
      </c>
      <c r="S35" s="634">
        <v>9815</v>
      </c>
      <c r="T35" s="634">
        <v>20895</v>
      </c>
      <c r="U35" s="634">
        <v>1450</v>
      </c>
      <c r="V35" s="634">
        <v>296</v>
      </c>
      <c r="W35" s="634">
        <v>1746</v>
      </c>
      <c r="X35" s="634">
        <v>676</v>
      </c>
      <c r="Y35" s="634">
        <v>531</v>
      </c>
      <c r="Z35" s="634">
        <v>1207</v>
      </c>
      <c r="AA35" s="634">
        <v>153034</v>
      </c>
      <c r="AB35" s="634">
        <v>183536</v>
      </c>
      <c r="AC35" s="634">
        <v>336570</v>
      </c>
    </row>
    <row r="36" spans="1:29" ht="25.5" customHeight="1" x14ac:dyDescent="0.3">
      <c r="A36" s="562">
        <v>32</v>
      </c>
      <c r="B36" s="590" t="s">
        <v>60</v>
      </c>
      <c r="C36" s="634">
        <v>0</v>
      </c>
      <c r="D36" s="634"/>
      <c r="E36" s="634"/>
      <c r="F36" s="634">
        <v>0</v>
      </c>
      <c r="G36" s="634"/>
      <c r="H36" s="634"/>
      <c r="I36" s="634">
        <v>112</v>
      </c>
      <c r="J36" s="634">
        <v>181</v>
      </c>
      <c r="K36" s="634">
        <v>293</v>
      </c>
      <c r="L36" s="634">
        <v>883</v>
      </c>
      <c r="M36" s="634">
        <v>1200</v>
      </c>
      <c r="N36" s="634">
        <v>2083</v>
      </c>
      <c r="O36" s="634">
        <v>1</v>
      </c>
      <c r="P36" s="634">
        <v>1</v>
      </c>
      <c r="Q36" s="634">
        <v>2</v>
      </c>
      <c r="R36" s="634">
        <v>239</v>
      </c>
      <c r="S36" s="634">
        <v>53</v>
      </c>
      <c r="T36" s="634">
        <v>292</v>
      </c>
      <c r="U36" s="634">
        <v>0</v>
      </c>
      <c r="V36" s="634"/>
      <c r="W36" s="634"/>
      <c r="X36" s="634">
        <v>3</v>
      </c>
      <c r="Y36" s="634">
        <v>1</v>
      </c>
      <c r="Z36" s="634">
        <v>4</v>
      </c>
      <c r="AA36" s="634">
        <v>1238</v>
      </c>
      <c r="AB36" s="634">
        <v>1436</v>
      </c>
      <c r="AC36" s="634">
        <v>2674</v>
      </c>
    </row>
    <row r="37" spans="1:29" ht="18.75" customHeight="1" x14ac:dyDescent="0.3">
      <c r="A37" s="562">
        <v>33</v>
      </c>
      <c r="B37" s="590" t="s">
        <v>42</v>
      </c>
      <c r="C37" s="634">
        <v>59</v>
      </c>
      <c r="D37" s="634">
        <v>32</v>
      </c>
      <c r="E37" s="634">
        <v>91</v>
      </c>
      <c r="F37" s="634">
        <v>1</v>
      </c>
      <c r="G37" s="634">
        <v>4</v>
      </c>
      <c r="H37" s="634">
        <v>5</v>
      </c>
      <c r="I37" s="634">
        <v>956</v>
      </c>
      <c r="J37" s="634">
        <v>1105</v>
      </c>
      <c r="K37" s="634">
        <v>2061</v>
      </c>
      <c r="L37" s="634">
        <v>9658</v>
      </c>
      <c r="M37" s="634">
        <v>9955</v>
      </c>
      <c r="N37" s="634">
        <v>19613</v>
      </c>
      <c r="O37" s="634">
        <v>1</v>
      </c>
      <c r="P37" s="634">
        <v>7</v>
      </c>
      <c r="Q37" s="634">
        <v>8</v>
      </c>
      <c r="R37" s="634">
        <v>774</v>
      </c>
      <c r="S37" s="634">
        <v>781</v>
      </c>
      <c r="T37" s="634">
        <v>1555</v>
      </c>
      <c r="U37" s="634">
        <v>16</v>
      </c>
      <c r="V37" s="634">
        <v>17</v>
      </c>
      <c r="W37" s="634">
        <v>33</v>
      </c>
      <c r="X37" s="634">
        <v>172</v>
      </c>
      <c r="Y37" s="634">
        <v>124</v>
      </c>
      <c r="Z37" s="634">
        <v>296</v>
      </c>
      <c r="AA37" s="634">
        <v>11637</v>
      </c>
      <c r="AB37" s="634">
        <v>12025</v>
      </c>
      <c r="AC37" s="634">
        <v>23662</v>
      </c>
    </row>
    <row r="38" spans="1:29" ht="18.75" customHeight="1" x14ac:dyDescent="0.3">
      <c r="A38" s="562">
        <v>34</v>
      </c>
      <c r="B38" s="590" t="s">
        <v>43</v>
      </c>
      <c r="C38" s="634">
        <v>2259</v>
      </c>
      <c r="D38" s="634">
        <v>1662</v>
      </c>
      <c r="E38" s="634">
        <v>3921</v>
      </c>
      <c r="F38" s="634">
        <v>10</v>
      </c>
      <c r="G38" s="634">
        <v>53</v>
      </c>
      <c r="H38" s="634">
        <v>63</v>
      </c>
      <c r="I38" s="634">
        <v>133990</v>
      </c>
      <c r="J38" s="634">
        <v>164132</v>
      </c>
      <c r="K38" s="634">
        <v>298122</v>
      </c>
      <c r="L38" s="634">
        <v>714052</v>
      </c>
      <c r="M38" s="634">
        <v>726729</v>
      </c>
      <c r="N38" s="634">
        <v>1440781</v>
      </c>
      <c r="O38" s="634">
        <v>6772</v>
      </c>
      <c r="P38" s="634">
        <v>5162</v>
      </c>
      <c r="Q38" s="634">
        <v>11934</v>
      </c>
      <c r="R38" s="634">
        <v>65740</v>
      </c>
      <c r="S38" s="634">
        <v>34501</v>
      </c>
      <c r="T38" s="634">
        <v>100241</v>
      </c>
      <c r="U38" s="634">
        <v>3195</v>
      </c>
      <c r="V38" s="634">
        <v>3053</v>
      </c>
      <c r="W38" s="634">
        <v>6248</v>
      </c>
      <c r="X38" s="634">
        <v>5735</v>
      </c>
      <c r="Y38" s="634">
        <v>3785</v>
      </c>
      <c r="Z38" s="634">
        <v>9520</v>
      </c>
      <c r="AA38" s="634">
        <v>931753</v>
      </c>
      <c r="AB38" s="634">
        <v>939077</v>
      </c>
      <c r="AC38" s="634">
        <v>1870830</v>
      </c>
    </row>
    <row r="39" spans="1:29" ht="18.75" customHeight="1" x14ac:dyDescent="0.3">
      <c r="A39" s="562">
        <v>35</v>
      </c>
      <c r="B39" s="590" t="s">
        <v>44</v>
      </c>
      <c r="C39" s="634">
        <v>522</v>
      </c>
      <c r="D39" s="634">
        <v>320</v>
      </c>
      <c r="E39" s="634">
        <v>842</v>
      </c>
      <c r="F39" s="634">
        <v>0</v>
      </c>
      <c r="G39" s="634"/>
      <c r="H39" s="634"/>
      <c r="I39" s="634">
        <v>14191</v>
      </c>
      <c r="J39" s="634">
        <v>19339</v>
      </c>
      <c r="K39" s="634">
        <v>33530</v>
      </c>
      <c r="L39" s="634">
        <v>41842</v>
      </c>
      <c r="M39" s="634">
        <v>47271</v>
      </c>
      <c r="N39" s="634">
        <v>89113</v>
      </c>
      <c r="O39" s="634">
        <v>176</v>
      </c>
      <c r="P39" s="634">
        <v>181</v>
      </c>
      <c r="Q39" s="634">
        <v>357</v>
      </c>
      <c r="R39" s="634">
        <v>6449</v>
      </c>
      <c r="S39" s="634">
        <v>2419</v>
      </c>
      <c r="T39" s="634">
        <v>8868</v>
      </c>
      <c r="U39" s="634">
        <v>153</v>
      </c>
      <c r="V39" s="634">
        <v>57</v>
      </c>
      <c r="W39" s="634">
        <v>210</v>
      </c>
      <c r="X39" s="634">
        <v>434</v>
      </c>
      <c r="Y39" s="634">
        <v>225</v>
      </c>
      <c r="Z39" s="634">
        <v>659</v>
      </c>
      <c r="AA39" s="634">
        <v>63767</v>
      </c>
      <c r="AB39" s="634">
        <v>69812</v>
      </c>
      <c r="AC39" s="634">
        <v>133579</v>
      </c>
    </row>
    <row r="40" spans="1:29" ht="18.75" customHeight="1" x14ac:dyDescent="0.3">
      <c r="A40" s="562">
        <v>36</v>
      </c>
      <c r="B40" s="590" t="s">
        <v>45</v>
      </c>
      <c r="C40" s="634">
        <v>1232</v>
      </c>
      <c r="D40" s="634">
        <v>813</v>
      </c>
      <c r="E40" s="634">
        <v>2045</v>
      </c>
      <c r="F40" s="634">
        <v>45</v>
      </c>
      <c r="G40" s="634">
        <v>27</v>
      </c>
      <c r="H40" s="634">
        <v>72</v>
      </c>
      <c r="I40" s="634">
        <v>28050</v>
      </c>
      <c r="J40" s="634">
        <v>44603</v>
      </c>
      <c r="K40" s="634">
        <v>72653</v>
      </c>
      <c r="L40" s="634">
        <v>202997</v>
      </c>
      <c r="M40" s="634">
        <v>221348</v>
      </c>
      <c r="N40" s="634">
        <v>424345</v>
      </c>
      <c r="O40" s="634">
        <v>749</v>
      </c>
      <c r="P40" s="634">
        <v>336</v>
      </c>
      <c r="Q40" s="634">
        <v>1085</v>
      </c>
      <c r="R40" s="634">
        <v>34520</v>
      </c>
      <c r="S40" s="634">
        <v>22987</v>
      </c>
      <c r="T40" s="634">
        <v>57507</v>
      </c>
      <c r="U40" s="634">
        <v>3075</v>
      </c>
      <c r="V40" s="634">
        <v>2032</v>
      </c>
      <c r="W40" s="634">
        <v>5107</v>
      </c>
      <c r="X40" s="634">
        <v>2088</v>
      </c>
      <c r="Y40" s="634">
        <v>1206</v>
      </c>
      <c r="Z40" s="634">
        <v>3294</v>
      </c>
      <c r="AA40" s="634">
        <v>272756</v>
      </c>
      <c r="AB40" s="634">
        <v>293352</v>
      </c>
      <c r="AC40" s="634">
        <v>566108</v>
      </c>
    </row>
    <row r="41" spans="1:29" ht="18.75" customHeight="1" x14ac:dyDescent="0.3">
      <c r="A41" s="895" t="s">
        <v>46</v>
      </c>
      <c r="B41" s="896"/>
      <c r="C41" s="636">
        <v>16813</v>
      </c>
      <c r="D41" s="640">
        <v>14570</v>
      </c>
      <c r="E41" s="640">
        <v>31383</v>
      </c>
      <c r="F41" s="636">
        <v>823</v>
      </c>
      <c r="G41" s="636">
        <v>2626</v>
      </c>
      <c r="H41" s="640">
        <v>3449</v>
      </c>
      <c r="I41" s="636">
        <v>803240</v>
      </c>
      <c r="J41" s="640">
        <v>1072667</v>
      </c>
      <c r="K41" s="636">
        <v>1875907</v>
      </c>
      <c r="L41" s="636">
        <v>3863995</v>
      </c>
      <c r="M41" s="640">
        <v>4050396</v>
      </c>
      <c r="N41" s="640">
        <v>7914391</v>
      </c>
      <c r="O41" s="636">
        <v>70969</v>
      </c>
      <c r="P41" s="636">
        <v>74607</v>
      </c>
      <c r="Q41" s="640">
        <v>145576</v>
      </c>
      <c r="R41" s="636">
        <v>484012</v>
      </c>
      <c r="S41" s="640">
        <v>354799</v>
      </c>
      <c r="T41" s="636">
        <v>838811</v>
      </c>
      <c r="U41" s="636">
        <v>27791</v>
      </c>
      <c r="V41" s="640">
        <v>25118</v>
      </c>
      <c r="W41" s="640">
        <v>52909</v>
      </c>
      <c r="X41" s="636">
        <v>43046</v>
      </c>
      <c r="Y41" s="636">
        <v>40099</v>
      </c>
      <c r="Z41" s="640">
        <v>83145</v>
      </c>
      <c r="AA41" s="636">
        <v>5310689</v>
      </c>
      <c r="AB41" s="640">
        <v>5634882</v>
      </c>
      <c r="AC41" s="636">
        <v>10945571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9055118110236227" right="0.35433070866141736" top="0.39370078740157483" bottom="0.39370078740157483" header="0.31496062992125984" footer="0.19685039370078741"/>
  <pageSetup paperSize="9" orientation="portrait" r:id="rId1"/>
  <headerFooter>
    <oddFooter>&amp;L&amp;"Arial,Italic"&amp;9AISHE 2022-23&amp;RT-33</oddFooter>
  </headerFooter>
  <colBreaks count="2" manualBreakCount="2">
    <brk id="11" max="40" man="1"/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23C1-7FCB-4BBB-81E5-585D59E5405D}">
  <sheetPr codeName="Sheet44">
    <tabColor rgb="FF92D050"/>
  </sheetPr>
  <dimension ref="A1:Z42"/>
  <sheetViews>
    <sheetView showZeros="0" view="pageBreakPreview" topLeftCell="A35" zoomScaleNormal="100" zoomScaleSheetLayoutView="100" workbookViewId="0">
      <selection activeCell="E38" sqref="E38"/>
    </sheetView>
  </sheetViews>
  <sheetFormatPr defaultRowHeight="14.5" x14ac:dyDescent="0.35"/>
  <cols>
    <col min="1" max="1" width="5" customWidth="1"/>
    <col min="2" max="2" width="19.453125" customWidth="1"/>
    <col min="3" max="4" width="12.54296875" bestFit="1" customWidth="1"/>
    <col min="5" max="5" width="14.1796875" bestFit="1" customWidth="1"/>
    <col min="6" max="7" width="11.54296875" bestFit="1" customWidth="1"/>
    <col min="8" max="8" width="12.54296875" bestFit="1" customWidth="1"/>
    <col min="9" max="11" width="11.54296875" bestFit="1" customWidth="1"/>
    <col min="12" max="14" width="12.54296875" bestFit="1" customWidth="1"/>
    <col min="15" max="26" width="8.453125" customWidth="1"/>
  </cols>
  <sheetData>
    <row r="1" spans="1:26" ht="15.5" x14ac:dyDescent="0.35">
      <c r="A1" s="25"/>
      <c r="B1" s="26" t="s">
        <v>0</v>
      </c>
      <c r="C1" s="730" t="s">
        <v>1022</v>
      </c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 t="s">
        <v>1023</v>
      </c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</row>
    <row r="2" spans="1:26" ht="32.25" customHeight="1" x14ac:dyDescent="0.35">
      <c r="A2" s="904" t="s">
        <v>84</v>
      </c>
      <c r="B2" s="906" t="s">
        <v>1005</v>
      </c>
      <c r="C2" s="898" t="s">
        <v>565</v>
      </c>
      <c r="D2" s="899"/>
      <c r="E2" s="900"/>
      <c r="F2" s="898" t="s">
        <v>566</v>
      </c>
      <c r="G2" s="899"/>
      <c r="H2" s="900"/>
      <c r="I2" s="898" t="s">
        <v>567</v>
      </c>
      <c r="J2" s="899"/>
      <c r="K2" s="900"/>
      <c r="L2" s="898" t="s">
        <v>568</v>
      </c>
      <c r="M2" s="899"/>
      <c r="N2" s="900"/>
      <c r="O2" s="898" t="s">
        <v>121</v>
      </c>
      <c r="P2" s="899"/>
      <c r="Q2" s="900"/>
      <c r="R2" s="901" t="s">
        <v>122</v>
      </c>
      <c r="S2" s="902"/>
      <c r="T2" s="903"/>
      <c r="U2" s="898" t="s">
        <v>123</v>
      </c>
      <c r="V2" s="899"/>
      <c r="W2" s="900"/>
      <c r="X2" s="901" t="s">
        <v>124</v>
      </c>
      <c r="Y2" s="902"/>
      <c r="Z2" s="903"/>
    </row>
    <row r="3" spans="1:26" x14ac:dyDescent="0.35">
      <c r="A3" s="905"/>
      <c r="B3" s="906"/>
      <c r="C3" s="135" t="s">
        <v>93</v>
      </c>
      <c r="D3" s="135" t="s">
        <v>94</v>
      </c>
      <c r="E3" s="135" t="s">
        <v>54</v>
      </c>
      <c r="F3" s="135" t="s">
        <v>93</v>
      </c>
      <c r="G3" s="135" t="s">
        <v>94</v>
      </c>
      <c r="H3" s="135" t="s">
        <v>54</v>
      </c>
      <c r="I3" s="135" t="s">
        <v>93</v>
      </c>
      <c r="J3" s="135" t="s">
        <v>94</v>
      </c>
      <c r="K3" s="135" t="s">
        <v>54</v>
      </c>
      <c r="L3" s="135" t="s">
        <v>93</v>
      </c>
      <c r="M3" s="135" t="s">
        <v>94</v>
      </c>
      <c r="N3" s="135" t="s">
        <v>54</v>
      </c>
      <c r="O3" s="135" t="s">
        <v>93</v>
      </c>
      <c r="P3" s="135" t="s">
        <v>94</v>
      </c>
      <c r="Q3" s="135" t="s">
        <v>54</v>
      </c>
      <c r="R3" s="135" t="s">
        <v>93</v>
      </c>
      <c r="S3" s="135" t="s">
        <v>94</v>
      </c>
      <c r="T3" s="135" t="s">
        <v>54</v>
      </c>
      <c r="U3" s="135" t="s">
        <v>93</v>
      </c>
      <c r="V3" s="135" t="s">
        <v>94</v>
      </c>
      <c r="W3" s="135" t="s">
        <v>54</v>
      </c>
      <c r="X3" s="135" t="s">
        <v>93</v>
      </c>
      <c r="Y3" s="135" t="s">
        <v>94</v>
      </c>
      <c r="Z3" s="135" t="s">
        <v>54</v>
      </c>
    </row>
    <row r="4" spans="1:26" x14ac:dyDescent="0.35">
      <c r="A4" s="136">
        <v>1</v>
      </c>
      <c r="B4" s="292">
        <v>2</v>
      </c>
      <c r="C4" s="292">
        <v>3</v>
      </c>
      <c r="D4" s="292">
        <v>4</v>
      </c>
      <c r="E4" s="292">
        <v>5</v>
      </c>
      <c r="F4" s="292">
        <v>6</v>
      </c>
      <c r="G4" s="292">
        <v>7</v>
      </c>
      <c r="H4" s="292">
        <v>8</v>
      </c>
      <c r="I4" s="292">
        <v>9</v>
      </c>
      <c r="J4" s="292">
        <v>10</v>
      </c>
      <c r="K4" s="292">
        <v>11</v>
      </c>
      <c r="L4" s="292">
        <v>12</v>
      </c>
      <c r="M4" s="292">
        <v>13</v>
      </c>
      <c r="N4" s="292">
        <v>14</v>
      </c>
      <c r="O4" s="292">
        <v>3</v>
      </c>
      <c r="P4" s="292">
        <v>4</v>
      </c>
      <c r="Q4" s="292">
        <v>5</v>
      </c>
      <c r="R4" s="292">
        <v>6</v>
      </c>
      <c r="S4" s="292">
        <v>7</v>
      </c>
      <c r="T4" s="292">
        <v>8</v>
      </c>
      <c r="U4" s="292">
        <v>9</v>
      </c>
      <c r="V4" s="292">
        <v>10</v>
      </c>
      <c r="W4" s="292">
        <v>11</v>
      </c>
      <c r="X4" s="292">
        <v>12</v>
      </c>
      <c r="Y4" s="292">
        <v>13</v>
      </c>
      <c r="Z4" s="292">
        <v>14</v>
      </c>
    </row>
    <row r="5" spans="1:26" ht="25.5" customHeight="1" x14ac:dyDescent="0.35">
      <c r="A5" s="137">
        <v>1</v>
      </c>
      <c r="B5" s="138" t="s">
        <v>58</v>
      </c>
      <c r="C5" s="644">
        <f>E5-D5</f>
        <v>154</v>
      </c>
      <c r="D5" s="644">
        <v>195</v>
      </c>
      <c r="E5" s="644">
        <v>349</v>
      </c>
      <c r="F5" s="644">
        <f>H5-G5</f>
        <v>0</v>
      </c>
      <c r="G5" s="644">
        <v>0</v>
      </c>
      <c r="H5" s="644">
        <v>0</v>
      </c>
      <c r="I5" s="644">
        <f>K5-J5</f>
        <v>5</v>
      </c>
      <c r="J5" s="644">
        <v>5</v>
      </c>
      <c r="K5" s="644">
        <v>10</v>
      </c>
      <c r="L5" s="644">
        <f>N5-M5</f>
        <v>40</v>
      </c>
      <c r="M5" s="644">
        <v>60</v>
      </c>
      <c r="N5" s="644">
        <v>100</v>
      </c>
      <c r="O5" s="644">
        <f>Q5-P5</f>
        <v>2</v>
      </c>
      <c r="P5" s="644">
        <v>0</v>
      </c>
      <c r="Q5" s="644">
        <v>2</v>
      </c>
      <c r="R5" s="644">
        <f>T5-S5</f>
        <v>17</v>
      </c>
      <c r="S5" s="644">
        <v>14</v>
      </c>
      <c r="T5" s="644">
        <v>31</v>
      </c>
      <c r="U5" s="644">
        <f>W5-V5</f>
        <v>12</v>
      </c>
      <c r="V5" s="644">
        <v>14</v>
      </c>
      <c r="W5" s="644">
        <v>26</v>
      </c>
      <c r="X5" s="644">
        <f>Z5-Y5</f>
        <v>12</v>
      </c>
      <c r="Y5" s="644">
        <v>16</v>
      </c>
      <c r="Z5" s="644">
        <v>28</v>
      </c>
    </row>
    <row r="6" spans="1:26" ht="25.5" customHeight="1" x14ac:dyDescent="0.35">
      <c r="A6" s="137">
        <v>2</v>
      </c>
      <c r="B6" s="138" t="s">
        <v>13</v>
      </c>
      <c r="C6" s="644">
        <f t="shared" ref="C6:C41" si="0">E6-D6</f>
        <v>207447</v>
      </c>
      <c r="D6" s="644">
        <v>211721</v>
      </c>
      <c r="E6" s="644">
        <v>419168</v>
      </c>
      <c r="F6" s="644">
        <f t="shared" ref="F6:F41" si="1">H6-G6</f>
        <v>32620</v>
      </c>
      <c r="G6" s="644">
        <v>35825</v>
      </c>
      <c r="H6" s="644">
        <v>68445</v>
      </c>
      <c r="I6" s="644">
        <f t="shared" ref="I6:I41" si="2">K6-J6</f>
        <v>10139</v>
      </c>
      <c r="J6" s="644">
        <v>11419</v>
      </c>
      <c r="K6" s="644">
        <v>21558</v>
      </c>
      <c r="L6" s="644">
        <f t="shared" ref="L6:L41" si="3">N6-M6</f>
        <v>95294</v>
      </c>
      <c r="M6" s="644">
        <v>89900</v>
      </c>
      <c r="N6" s="644">
        <v>185194</v>
      </c>
      <c r="O6" s="644">
        <f t="shared" ref="O6:O41" si="4">Q6-P6</f>
        <v>215</v>
      </c>
      <c r="P6" s="644">
        <v>119</v>
      </c>
      <c r="Q6" s="644">
        <v>334</v>
      </c>
      <c r="R6" s="644">
        <f t="shared" ref="R6:R41" si="5">T6-S6</f>
        <v>4899</v>
      </c>
      <c r="S6" s="644">
        <v>4052</v>
      </c>
      <c r="T6" s="644">
        <v>8951</v>
      </c>
      <c r="U6" s="644">
        <f t="shared" ref="U6:U41" si="6">W6-V6</f>
        <v>1101</v>
      </c>
      <c r="V6" s="644">
        <v>1004</v>
      </c>
      <c r="W6" s="644">
        <v>2105</v>
      </c>
      <c r="X6" s="644">
        <f t="shared" ref="X6:X41" si="7">Z6-Y6</f>
        <v>2634</v>
      </c>
      <c r="Y6" s="644">
        <v>2910</v>
      </c>
      <c r="Z6" s="644">
        <v>5544</v>
      </c>
    </row>
    <row r="7" spans="1:26" ht="25.5" customHeight="1" x14ac:dyDescent="0.35">
      <c r="A7" s="137">
        <v>3</v>
      </c>
      <c r="B7" s="138" t="s">
        <v>14</v>
      </c>
      <c r="C7" s="644">
        <f t="shared" si="0"/>
        <v>7489</v>
      </c>
      <c r="D7" s="644">
        <v>6132</v>
      </c>
      <c r="E7" s="644">
        <v>13621</v>
      </c>
      <c r="F7" s="644">
        <f t="shared" si="1"/>
        <v>169</v>
      </c>
      <c r="G7" s="644">
        <v>86</v>
      </c>
      <c r="H7" s="644">
        <v>255</v>
      </c>
      <c r="I7" s="644">
        <f t="shared" si="2"/>
        <v>4305</v>
      </c>
      <c r="J7" s="644">
        <v>4299</v>
      </c>
      <c r="K7" s="644">
        <v>8604</v>
      </c>
      <c r="L7" s="644">
        <f t="shared" si="3"/>
        <v>294</v>
      </c>
      <c r="M7" s="644">
        <v>174</v>
      </c>
      <c r="N7" s="644">
        <v>468</v>
      </c>
      <c r="O7" s="644">
        <f t="shared" si="4"/>
        <v>0</v>
      </c>
      <c r="P7" s="644">
        <v>0</v>
      </c>
      <c r="Q7" s="644">
        <v>0</v>
      </c>
      <c r="R7" s="644">
        <f t="shared" si="5"/>
        <v>9</v>
      </c>
      <c r="S7" s="644">
        <v>7</v>
      </c>
      <c r="T7" s="644">
        <v>16</v>
      </c>
      <c r="U7" s="644">
        <f t="shared" si="6"/>
        <v>354</v>
      </c>
      <c r="V7" s="644">
        <v>273</v>
      </c>
      <c r="W7" s="644">
        <v>627</v>
      </c>
      <c r="X7" s="644">
        <f t="shared" si="7"/>
        <v>45</v>
      </c>
      <c r="Y7" s="644">
        <v>21</v>
      </c>
      <c r="Z7" s="644">
        <v>66</v>
      </c>
    </row>
    <row r="8" spans="1:26" ht="25.5" customHeight="1" x14ac:dyDescent="0.35">
      <c r="A8" s="137">
        <v>4</v>
      </c>
      <c r="B8" s="138" t="s">
        <v>15</v>
      </c>
      <c r="C8" s="644">
        <f t="shared" si="0"/>
        <v>62951</v>
      </c>
      <c r="D8" s="644">
        <v>77856</v>
      </c>
      <c r="E8" s="644">
        <v>140807</v>
      </c>
      <c r="F8" s="644">
        <f t="shared" si="1"/>
        <v>5393</v>
      </c>
      <c r="G8" s="644">
        <v>6073</v>
      </c>
      <c r="H8" s="644">
        <v>11466</v>
      </c>
      <c r="I8" s="644">
        <f t="shared" si="2"/>
        <v>9586</v>
      </c>
      <c r="J8" s="644">
        <v>12585</v>
      </c>
      <c r="K8" s="644">
        <v>22171</v>
      </c>
      <c r="L8" s="644">
        <f t="shared" si="3"/>
        <v>15351</v>
      </c>
      <c r="M8" s="644">
        <v>21080</v>
      </c>
      <c r="N8" s="644">
        <v>36431</v>
      </c>
      <c r="O8" s="644">
        <f t="shared" si="4"/>
        <v>44</v>
      </c>
      <c r="P8" s="644">
        <v>18</v>
      </c>
      <c r="Q8" s="644">
        <v>62</v>
      </c>
      <c r="R8" s="644">
        <f t="shared" si="5"/>
        <v>9062</v>
      </c>
      <c r="S8" s="644">
        <v>9100</v>
      </c>
      <c r="T8" s="644">
        <v>18162</v>
      </c>
      <c r="U8" s="644">
        <f t="shared" si="6"/>
        <v>952</v>
      </c>
      <c r="V8" s="644">
        <v>1506</v>
      </c>
      <c r="W8" s="644">
        <v>2458</v>
      </c>
      <c r="X8" s="644">
        <f t="shared" si="7"/>
        <v>1115</v>
      </c>
      <c r="Y8" s="644">
        <v>1179</v>
      </c>
      <c r="Z8" s="644">
        <v>2294</v>
      </c>
    </row>
    <row r="9" spans="1:26" ht="25.5" customHeight="1" x14ac:dyDescent="0.35">
      <c r="A9" s="137">
        <v>5</v>
      </c>
      <c r="B9" s="138" t="s">
        <v>16</v>
      </c>
      <c r="C9" s="644">
        <f t="shared" si="0"/>
        <v>303815</v>
      </c>
      <c r="D9" s="644">
        <v>280985</v>
      </c>
      <c r="E9" s="644">
        <v>584800</v>
      </c>
      <c r="F9" s="644">
        <f t="shared" si="1"/>
        <v>35009</v>
      </c>
      <c r="G9" s="644">
        <v>28694</v>
      </c>
      <c r="H9" s="644">
        <v>63703</v>
      </c>
      <c r="I9" s="644">
        <f t="shared" si="2"/>
        <v>5425</v>
      </c>
      <c r="J9" s="644">
        <v>5706</v>
      </c>
      <c r="K9" s="644">
        <v>11131</v>
      </c>
      <c r="L9" s="644">
        <f t="shared" si="3"/>
        <v>140205</v>
      </c>
      <c r="M9" s="644">
        <v>128088</v>
      </c>
      <c r="N9" s="644">
        <v>268293</v>
      </c>
      <c r="O9" s="644">
        <f t="shared" si="4"/>
        <v>244</v>
      </c>
      <c r="P9" s="644">
        <v>160</v>
      </c>
      <c r="Q9" s="644">
        <v>404</v>
      </c>
      <c r="R9" s="644">
        <f t="shared" si="5"/>
        <v>15301</v>
      </c>
      <c r="S9" s="644">
        <v>14994</v>
      </c>
      <c r="T9" s="644">
        <v>30295</v>
      </c>
      <c r="U9" s="644">
        <f t="shared" si="6"/>
        <v>1158</v>
      </c>
      <c r="V9" s="644">
        <v>1004</v>
      </c>
      <c r="W9" s="644">
        <v>2162</v>
      </c>
      <c r="X9" s="644">
        <f t="shared" si="7"/>
        <v>5130</v>
      </c>
      <c r="Y9" s="644">
        <v>4082</v>
      </c>
      <c r="Z9" s="644">
        <v>9212</v>
      </c>
    </row>
    <row r="10" spans="1:26" ht="25.5" customHeight="1" x14ac:dyDescent="0.35">
      <c r="A10" s="137">
        <v>6</v>
      </c>
      <c r="B10" s="138" t="s">
        <v>17</v>
      </c>
      <c r="C10" s="644">
        <f t="shared" si="0"/>
        <v>11087</v>
      </c>
      <c r="D10" s="644">
        <v>14415</v>
      </c>
      <c r="E10" s="644">
        <v>25502</v>
      </c>
      <c r="F10" s="644">
        <f t="shared" si="1"/>
        <v>1456</v>
      </c>
      <c r="G10" s="644">
        <v>1535</v>
      </c>
      <c r="H10" s="644">
        <v>2991</v>
      </c>
      <c r="I10" s="644">
        <f t="shared" si="2"/>
        <v>283</v>
      </c>
      <c r="J10" s="644">
        <v>293</v>
      </c>
      <c r="K10" s="644">
        <v>576</v>
      </c>
      <c r="L10" s="644">
        <f t="shared" si="3"/>
        <v>849</v>
      </c>
      <c r="M10" s="644">
        <v>717</v>
      </c>
      <c r="N10" s="644">
        <v>1566</v>
      </c>
      <c r="O10" s="644">
        <f t="shared" si="4"/>
        <v>47</v>
      </c>
      <c r="P10" s="644">
        <v>32</v>
      </c>
      <c r="Q10" s="644">
        <v>79</v>
      </c>
      <c r="R10" s="644">
        <f t="shared" si="5"/>
        <v>85</v>
      </c>
      <c r="S10" s="644">
        <v>78</v>
      </c>
      <c r="T10" s="644">
        <v>163</v>
      </c>
      <c r="U10" s="644">
        <f t="shared" si="6"/>
        <v>447</v>
      </c>
      <c r="V10" s="644">
        <v>682</v>
      </c>
      <c r="W10" s="644">
        <v>1129</v>
      </c>
      <c r="X10" s="644">
        <f t="shared" si="7"/>
        <v>185</v>
      </c>
      <c r="Y10" s="644">
        <v>187</v>
      </c>
      <c r="Z10" s="644">
        <v>372</v>
      </c>
    </row>
    <row r="11" spans="1:26" ht="25.5" customHeight="1" x14ac:dyDescent="0.35">
      <c r="A11" s="137">
        <v>7</v>
      </c>
      <c r="B11" s="138" t="s">
        <v>18</v>
      </c>
      <c r="C11" s="632">
        <f t="shared" si="0"/>
        <v>140029</v>
      </c>
      <c r="D11" s="644">
        <v>169044</v>
      </c>
      <c r="E11" s="644">
        <v>309073</v>
      </c>
      <c r="F11" s="644">
        <f t="shared" si="1"/>
        <v>19054</v>
      </c>
      <c r="G11" s="644">
        <v>21780</v>
      </c>
      <c r="H11" s="644">
        <v>40834</v>
      </c>
      <c r="I11" s="644">
        <f t="shared" si="2"/>
        <v>27563</v>
      </c>
      <c r="J11" s="644">
        <v>39523</v>
      </c>
      <c r="K11" s="644">
        <v>67086</v>
      </c>
      <c r="L11" s="644">
        <f t="shared" si="3"/>
        <v>66653</v>
      </c>
      <c r="M11" s="644">
        <v>74783</v>
      </c>
      <c r="N11" s="644">
        <v>141436</v>
      </c>
      <c r="O11" s="644">
        <f t="shared" si="4"/>
        <v>51</v>
      </c>
      <c r="P11" s="644">
        <v>18</v>
      </c>
      <c r="Q11" s="644">
        <v>69</v>
      </c>
      <c r="R11" s="644">
        <f t="shared" si="5"/>
        <v>532</v>
      </c>
      <c r="S11" s="644">
        <v>490</v>
      </c>
      <c r="T11" s="644">
        <v>1022</v>
      </c>
      <c r="U11" s="644">
        <f t="shared" si="6"/>
        <v>645</v>
      </c>
      <c r="V11" s="644">
        <v>1102</v>
      </c>
      <c r="W11" s="644">
        <v>1747</v>
      </c>
      <c r="X11" s="644">
        <f t="shared" si="7"/>
        <v>169</v>
      </c>
      <c r="Y11" s="644">
        <v>214</v>
      </c>
      <c r="Z11" s="644">
        <v>383</v>
      </c>
    </row>
    <row r="12" spans="1:26" ht="25.5" customHeight="1" x14ac:dyDescent="0.35">
      <c r="A12" s="137">
        <v>8</v>
      </c>
      <c r="B12" s="138" t="s">
        <v>19</v>
      </c>
      <c r="C12" s="644">
        <f t="shared" si="0"/>
        <v>219909</v>
      </c>
      <c r="D12" s="644">
        <v>243179</v>
      </c>
      <c r="E12" s="644">
        <v>463088</v>
      </c>
      <c r="F12" s="644">
        <f t="shared" si="1"/>
        <v>25567</v>
      </c>
      <c r="G12" s="644">
        <v>24918</v>
      </c>
      <c r="H12" s="644">
        <v>50485</v>
      </c>
      <c r="I12" s="644">
        <f t="shared" si="2"/>
        <v>7899</v>
      </c>
      <c r="J12" s="644">
        <v>9708</v>
      </c>
      <c r="K12" s="644">
        <v>17607</v>
      </c>
      <c r="L12" s="644">
        <f t="shared" si="3"/>
        <v>48129</v>
      </c>
      <c r="M12" s="644">
        <v>42669</v>
      </c>
      <c r="N12" s="644">
        <v>90798</v>
      </c>
      <c r="O12" s="644">
        <f t="shared" si="4"/>
        <v>331</v>
      </c>
      <c r="P12" s="644">
        <v>215</v>
      </c>
      <c r="Q12" s="644">
        <v>546</v>
      </c>
      <c r="R12" s="644">
        <f t="shared" si="5"/>
        <v>4359</v>
      </c>
      <c r="S12" s="644">
        <v>3122</v>
      </c>
      <c r="T12" s="644">
        <v>7481</v>
      </c>
      <c r="U12" s="644">
        <f t="shared" si="6"/>
        <v>1136</v>
      </c>
      <c r="V12" s="644">
        <v>1652</v>
      </c>
      <c r="W12" s="644">
        <v>2788</v>
      </c>
      <c r="X12" s="644">
        <f t="shared" si="7"/>
        <v>3334</v>
      </c>
      <c r="Y12" s="644">
        <v>2479</v>
      </c>
      <c r="Z12" s="644">
        <v>5813</v>
      </c>
    </row>
    <row r="13" spans="1:26" ht="25.5" customHeight="1" x14ac:dyDescent="0.35">
      <c r="A13" s="137">
        <v>9</v>
      </c>
      <c r="B13" s="138" t="s">
        <v>20</v>
      </c>
      <c r="C13" s="644">
        <f t="shared" si="0"/>
        <v>8161</v>
      </c>
      <c r="D13" s="644">
        <v>8006</v>
      </c>
      <c r="E13" s="644">
        <v>16167</v>
      </c>
      <c r="F13" s="644">
        <f t="shared" si="1"/>
        <v>160</v>
      </c>
      <c r="G13" s="644">
        <v>115</v>
      </c>
      <c r="H13" s="644">
        <v>275</v>
      </c>
      <c r="I13" s="644">
        <f t="shared" si="2"/>
        <v>448</v>
      </c>
      <c r="J13" s="644">
        <v>745</v>
      </c>
      <c r="K13" s="644">
        <v>1193</v>
      </c>
      <c r="L13" s="644">
        <f t="shared" si="3"/>
        <v>951</v>
      </c>
      <c r="M13" s="644">
        <v>1470</v>
      </c>
      <c r="N13" s="644">
        <v>2421</v>
      </c>
      <c r="O13" s="644">
        <f t="shared" si="4"/>
        <v>11</v>
      </c>
      <c r="P13" s="644">
        <v>3</v>
      </c>
      <c r="Q13" s="644">
        <v>14</v>
      </c>
      <c r="R13" s="644">
        <f t="shared" si="5"/>
        <v>260</v>
      </c>
      <c r="S13" s="644">
        <v>377</v>
      </c>
      <c r="T13" s="644">
        <v>637</v>
      </c>
      <c r="U13" s="644">
        <f t="shared" si="6"/>
        <v>833</v>
      </c>
      <c r="V13" s="644">
        <v>1498</v>
      </c>
      <c r="W13" s="644">
        <v>2331</v>
      </c>
      <c r="X13" s="644">
        <f t="shared" si="7"/>
        <v>107</v>
      </c>
      <c r="Y13" s="644">
        <v>121</v>
      </c>
      <c r="Z13" s="644">
        <v>228</v>
      </c>
    </row>
    <row r="14" spans="1:26" ht="25.5" customHeight="1" x14ac:dyDescent="0.35">
      <c r="A14" s="137">
        <v>10</v>
      </c>
      <c r="B14" s="138" t="s">
        <v>21</v>
      </c>
      <c r="C14" s="644">
        <f t="shared" si="0"/>
        <v>228818</v>
      </c>
      <c r="D14" s="644">
        <v>209858</v>
      </c>
      <c r="E14" s="644">
        <v>438676</v>
      </c>
      <c r="F14" s="644">
        <f t="shared" si="1"/>
        <v>20290</v>
      </c>
      <c r="G14" s="644">
        <v>19457</v>
      </c>
      <c r="H14" s="644">
        <v>39747</v>
      </c>
      <c r="I14" s="644">
        <f t="shared" si="2"/>
        <v>22331</v>
      </c>
      <c r="J14" s="644">
        <v>26576</v>
      </c>
      <c r="K14" s="644">
        <v>48907</v>
      </c>
      <c r="L14" s="644">
        <f t="shared" si="3"/>
        <v>69091</v>
      </c>
      <c r="M14" s="644">
        <v>60756</v>
      </c>
      <c r="N14" s="644">
        <v>129847</v>
      </c>
      <c r="O14" s="644">
        <f t="shared" si="4"/>
        <v>399</v>
      </c>
      <c r="P14" s="644">
        <v>245</v>
      </c>
      <c r="Q14" s="644">
        <v>644</v>
      </c>
      <c r="R14" s="644">
        <f t="shared" si="5"/>
        <v>3259</v>
      </c>
      <c r="S14" s="644">
        <v>3626</v>
      </c>
      <c r="T14" s="644">
        <v>6885</v>
      </c>
      <c r="U14" s="644">
        <f t="shared" si="6"/>
        <v>1056</v>
      </c>
      <c r="V14" s="644">
        <v>1112</v>
      </c>
      <c r="W14" s="644">
        <v>2168</v>
      </c>
      <c r="X14" s="644">
        <f t="shared" si="7"/>
        <v>6336</v>
      </c>
      <c r="Y14" s="644">
        <v>5152</v>
      </c>
      <c r="Z14" s="644">
        <v>11488</v>
      </c>
    </row>
    <row r="15" spans="1:26" ht="25.5" customHeight="1" x14ac:dyDescent="0.35">
      <c r="A15" s="137">
        <v>11</v>
      </c>
      <c r="B15" s="138" t="s">
        <v>22</v>
      </c>
      <c r="C15" s="644">
        <f t="shared" si="0"/>
        <v>91366</v>
      </c>
      <c r="D15" s="644">
        <v>138482</v>
      </c>
      <c r="E15" s="644">
        <v>229848</v>
      </c>
      <c r="F15" s="644">
        <f t="shared" si="1"/>
        <v>10293</v>
      </c>
      <c r="G15" s="644">
        <v>15714</v>
      </c>
      <c r="H15" s="644">
        <v>26007</v>
      </c>
      <c r="I15" s="644">
        <f t="shared" si="2"/>
        <v>380</v>
      </c>
      <c r="J15" s="644">
        <v>289</v>
      </c>
      <c r="K15" s="644">
        <v>669</v>
      </c>
      <c r="L15" s="644">
        <f t="shared" si="3"/>
        <v>18085</v>
      </c>
      <c r="M15" s="644">
        <v>27108</v>
      </c>
      <c r="N15" s="644">
        <v>45193</v>
      </c>
      <c r="O15" s="644">
        <f t="shared" si="4"/>
        <v>77</v>
      </c>
      <c r="P15" s="644">
        <v>66</v>
      </c>
      <c r="Q15" s="644">
        <v>143</v>
      </c>
      <c r="R15" s="644">
        <f t="shared" si="5"/>
        <v>1149</v>
      </c>
      <c r="S15" s="644">
        <v>628</v>
      </c>
      <c r="T15" s="644">
        <v>1777</v>
      </c>
      <c r="U15" s="644">
        <f t="shared" si="6"/>
        <v>797</v>
      </c>
      <c r="V15" s="644">
        <v>1142</v>
      </c>
      <c r="W15" s="644">
        <v>1939</v>
      </c>
      <c r="X15" s="644">
        <f t="shared" si="7"/>
        <v>825</v>
      </c>
      <c r="Y15" s="644">
        <v>850</v>
      </c>
      <c r="Z15" s="644">
        <v>1675</v>
      </c>
    </row>
    <row r="16" spans="1:26" ht="25.5" customHeight="1" x14ac:dyDescent="0.35">
      <c r="A16" s="137">
        <v>12</v>
      </c>
      <c r="B16" s="138" t="s">
        <v>23</v>
      </c>
      <c r="C16" s="644">
        <f t="shared" si="0"/>
        <v>30056</v>
      </c>
      <c r="D16" s="644">
        <v>43274</v>
      </c>
      <c r="E16" s="644">
        <v>73330</v>
      </c>
      <c r="F16" s="644">
        <f t="shared" si="1"/>
        <v>4761</v>
      </c>
      <c r="G16" s="644">
        <v>7207</v>
      </c>
      <c r="H16" s="644">
        <v>11968</v>
      </c>
      <c r="I16" s="644">
        <f t="shared" si="2"/>
        <v>1446</v>
      </c>
      <c r="J16" s="644">
        <v>2202</v>
      </c>
      <c r="K16" s="644">
        <v>3648</v>
      </c>
      <c r="L16" s="644">
        <f t="shared" si="3"/>
        <v>3592</v>
      </c>
      <c r="M16" s="644">
        <v>6277</v>
      </c>
      <c r="N16" s="644">
        <v>9869</v>
      </c>
      <c r="O16" s="644">
        <f t="shared" si="4"/>
        <v>22</v>
      </c>
      <c r="P16" s="644">
        <v>16</v>
      </c>
      <c r="Q16" s="644">
        <v>38</v>
      </c>
      <c r="R16" s="644">
        <f t="shared" si="5"/>
        <v>116</v>
      </c>
      <c r="S16" s="644">
        <v>91</v>
      </c>
      <c r="T16" s="644">
        <v>207</v>
      </c>
      <c r="U16" s="644">
        <f t="shared" si="6"/>
        <v>190</v>
      </c>
      <c r="V16" s="644">
        <v>240</v>
      </c>
      <c r="W16" s="644">
        <v>430</v>
      </c>
      <c r="X16" s="644">
        <f t="shared" si="7"/>
        <v>442</v>
      </c>
      <c r="Y16" s="644">
        <v>460</v>
      </c>
      <c r="Z16" s="644">
        <v>902</v>
      </c>
    </row>
    <row r="17" spans="1:26" ht="30" customHeight="1" x14ac:dyDescent="0.35">
      <c r="A17" s="137">
        <v>13</v>
      </c>
      <c r="B17" s="138" t="s">
        <v>24</v>
      </c>
      <c r="C17" s="644">
        <f t="shared" si="0"/>
        <v>24548</v>
      </c>
      <c r="D17" s="644">
        <v>37243</v>
      </c>
      <c r="E17" s="644">
        <v>61791</v>
      </c>
      <c r="F17" s="644">
        <f t="shared" si="1"/>
        <v>868</v>
      </c>
      <c r="G17" s="644">
        <v>1514</v>
      </c>
      <c r="H17" s="644">
        <v>2382</v>
      </c>
      <c r="I17" s="644">
        <f t="shared" si="2"/>
        <v>1183</v>
      </c>
      <c r="J17" s="644">
        <v>1385</v>
      </c>
      <c r="K17" s="644">
        <v>2568</v>
      </c>
      <c r="L17" s="644">
        <f t="shared" si="3"/>
        <v>1816</v>
      </c>
      <c r="M17" s="644">
        <v>2108</v>
      </c>
      <c r="N17" s="644">
        <v>3924</v>
      </c>
      <c r="O17" s="644">
        <f t="shared" si="4"/>
        <v>10</v>
      </c>
      <c r="P17" s="644">
        <v>8</v>
      </c>
      <c r="Q17" s="644">
        <v>18</v>
      </c>
      <c r="R17" s="644">
        <f t="shared" si="5"/>
        <v>11773</v>
      </c>
      <c r="S17" s="644">
        <v>14822</v>
      </c>
      <c r="T17" s="644">
        <v>26595</v>
      </c>
      <c r="U17" s="644">
        <f t="shared" si="6"/>
        <v>333</v>
      </c>
      <c r="V17" s="644">
        <v>411</v>
      </c>
      <c r="W17" s="644">
        <v>744</v>
      </c>
      <c r="X17" s="644">
        <f t="shared" si="7"/>
        <v>225</v>
      </c>
      <c r="Y17" s="644">
        <v>253</v>
      </c>
      <c r="Z17" s="644">
        <v>478</v>
      </c>
    </row>
    <row r="18" spans="1:26" ht="25.5" customHeight="1" x14ac:dyDescent="0.35">
      <c r="A18" s="137">
        <v>14</v>
      </c>
      <c r="B18" s="138" t="s">
        <v>25</v>
      </c>
      <c r="C18" s="644">
        <f t="shared" si="0"/>
        <v>103106</v>
      </c>
      <c r="D18" s="644">
        <v>109837</v>
      </c>
      <c r="E18" s="644">
        <v>212943</v>
      </c>
      <c r="F18" s="644">
        <f t="shared" si="1"/>
        <v>9195</v>
      </c>
      <c r="G18" s="644">
        <v>8346</v>
      </c>
      <c r="H18" s="644">
        <v>17541</v>
      </c>
      <c r="I18" s="644">
        <f t="shared" si="2"/>
        <v>16647</v>
      </c>
      <c r="J18" s="644">
        <v>23659</v>
      </c>
      <c r="K18" s="644">
        <v>40306</v>
      </c>
      <c r="L18" s="644">
        <f t="shared" si="3"/>
        <v>42362</v>
      </c>
      <c r="M18" s="644">
        <v>40726</v>
      </c>
      <c r="N18" s="644">
        <v>83088</v>
      </c>
      <c r="O18" s="644">
        <f t="shared" si="4"/>
        <v>94</v>
      </c>
      <c r="P18" s="644">
        <v>43</v>
      </c>
      <c r="Q18" s="644">
        <v>137</v>
      </c>
      <c r="R18" s="644">
        <f t="shared" si="5"/>
        <v>4310</v>
      </c>
      <c r="S18" s="644">
        <v>4278</v>
      </c>
      <c r="T18" s="644">
        <v>8588</v>
      </c>
      <c r="U18" s="644">
        <f t="shared" si="6"/>
        <v>1218</v>
      </c>
      <c r="V18" s="644">
        <v>2241</v>
      </c>
      <c r="W18" s="644">
        <v>3459</v>
      </c>
      <c r="X18" s="644">
        <f t="shared" si="7"/>
        <v>738</v>
      </c>
      <c r="Y18" s="644">
        <v>431</v>
      </c>
      <c r="Z18" s="644">
        <v>1169</v>
      </c>
    </row>
    <row r="19" spans="1:26" ht="25.5" customHeight="1" x14ac:dyDescent="0.35">
      <c r="A19" s="137">
        <v>15</v>
      </c>
      <c r="B19" s="138" t="s">
        <v>26</v>
      </c>
      <c r="C19" s="644">
        <f t="shared" si="0"/>
        <v>281331</v>
      </c>
      <c r="D19" s="644">
        <v>314665</v>
      </c>
      <c r="E19" s="644">
        <v>595996</v>
      </c>
      <c r="F19" s="644">
        <f t="shared" si="1"/>
        <v>37029</v>
      </c>
      <c r="G19" s="644">
        <v>39207</v>
      </c>
      <c r="H19" s="644">
        <v>76236</v>
      </c>
      <c r="I19" s="644">
        <f t="shared" si="2"/>
        <v>15193</v>
      </c>
      <c r="J19" s="644">
        <v>15575</v>
      </c>
      <c r="K19" s="644">
        <v>30768</v>
      </c>
      <c r="L19" s="644">
        <f t="shared" si="3"/>
        <v>136107</v>
      </c>
      <c r="M19" s="644">
        <v>159321</v>
      </c>
      <c r="N19" s="644">
        <v>295428</v>
      </c>
      <c r="O19" s="644">
        <f t="shared" si="4"/>
        <v>383</v>
      </c>
      <c r="P19" s="644">
        <v>253</v>
      </c>
      <c r="Q19" s="644">
        <v>636</v>
      </c>
      <c r="R19" s="644">
        <f t="shared" si="5"/>
        <v>13533</v>
      </c>
      <c r="S19" s="644">
        <v>14883</v>
      </c>
      <c r="T19" s="644">
        <v>28416</v>
      </c>
      <c r="U19" s="644">
        <f t="shared" si="6"/>
        <v>7708</v>
      </c>
      <c r="V19" s="644">
        <v>11579</v>
      </c>
      <c r="W19" s="644">
        <v>19287</v>
      </c>
      <c r="X19" s="644">
        <f t="shared" si="7"/>
        <v>3087</v>
      </c>
      <c r="Y19" s="644">
        <v>7516</v>
      </c>
      <c r="Z19" s="644">
        <v>10603</v>
      </c>
    </row>
    <row r="20" spans="1:26" ht="25.5" customHeight="1" x14ac:dyDescent="0.35">
      <c r="A20" s="137">
        <v>16</v>
      </c>
      <c r="B20" s="138" t="s">
        <v>27</v>
      </c>
      <c r="C20" s="644">
        <f t="shared" si="0"/>
        <v>91901</v>
      </c>
      <c r="D20" s="644">
        <v>163288</v>
      </c>
      <c r="E20" s="644">
        <v>255189</v>
      </c>
      <c r="F20" s="644">
        <f t="shared" si="1"/>
        <v>5190</v>
      </c>
      <c r="G20" s="644">
        <v>10829</v>
      </c>
      <c r="H20" s="644">
        <v>16019</v>
      </c>
      <c r="I20" s="644">
        <f t="shared" si="2"/>
        <v>577</v>
      </c>
      <c r="J20" s="644">
        <v>1222</v>
      </c>
      <c r="K20" s="644">
        <v>1799</v>
      </c>
      <c r="L20" s="644">
        <f t="shared" si="3"/>
        <v>44844</v>
      </c>
      <c r="M20" s="644">
        <v>79817</v>
      </c>
      <c r="N20" s="644">
        <v>124661</v>
      </c>
      <c r="O20" s="644">
        <f t="shared" si="4"/>
        <v>236</v>
      </c>
      <c r="P20" s="644">
        <v>287</v>
      </c>
      <c r="Q20" s="644">
        <v>523</v>
      </c>
      <c r="R20" s="644">
        <f t="shared" si="5"/>
        <v>10476</v>
      </c>
      <c r="S20" s="644">
        <v>22668</v>
      </c>
      <c r="T20" s="644">
        <v>33144</v>
      </c>
      <c r="U20" s="644">
        <f t="shared" si="6"/>
        <v>8618</v>
      </c>
      <c r="V20" s="644">
        <v>15744</v>
      </c>
      <c r="W20" s="644">
        <v>24362</v>
      </c>
      <c r="X20" s="644">
        <f t="shared" si="7"/>
        <v>1979</v>
      </c>
      <c r="Y20" s="644">
        <v>4045</v>
      </c>
      <c r="Z20" s="644">
        <v>6024</v>
      </c>
    </row>
    <row r="21" spans="1:26" ht="25.5" customHeight="1" x14ac:dyDescent="0.35">
      <c r="A21" s="137">
        <v>17</v>
      </c>
      <c r="B21" s="89" t="s">
        <v>28</v>
      </c>
      <c r="C21" s="644">
        <f t="shared" si="0"/>
        <v>259</v>
      </c>
      <c r="D21" s="644">
        <v>495</v>
      </c>
      <c r="E21" s="644">
        <v>754</v>
      </c>
      <c r="F21" s="644">
        <f t="shared" si="1"/>
        <v>0</v>
      </c>
      <c r="G21" s="644">
        <v>1</v>
      </c>
      <c r="H21" s="644">
        <v>1</v>
      </c>
      <c r="I21" s="644">
        <f t="shared" si="2"/>
        <v>246</v>
      </c>
      <c r="J21" s="644">
        <v>470</v>
      </c>
      <c r="K21" s="644">
        <v>716</v>
      </c>
      <c r="L21" s="644">
        <f t="shared" si="3"/>
        <v>0</v>
      </c>
      <c r="M21" s="644">
        <v>0</v>
      </c>
      <c r="N21" s="644">
        <v>0</v>
      </c>
      <c r="O21" s="644">
        <f t="shared" si="4"/>
        <v>0</v>
      </c>
      <c r="P21" s="644">
        <v>0</v>
      </c>
      <c r="Q21" s="644">
        <v>0</v>
      </c>
      <c r="R21" s="644">
        <f t="shared" si="5"/>
        <v>96</v>
      </c>
      <c r="S21" s="644">
        <v>250</v>
      </c>
      <c r="T21" s="644">
        <v>346</v>
      </c>
      <c r="U21" s="644">
        <f t="shared" si="6"/>
        <v>107</v>
      </c>
      <c r="V21" s="644">
        <v>179</v>
      </c>
      <c r="W21" s="644">
        <v>286</v>
      </c>
      <c r="X21" s="644">
        <f t="shared" si="7"/>
        <v>0</v>
      </c>
      <c r="Y21" s="644">
        <v>0</v>
      </c>
      <c r="Z21" s="644">
        <v>0</v>
      </c>
    </row>
    <row r="22" spans="1:26" ht="25.5" customHeight="1" x14ac:dyDescent="0.35">
      <c r="A22" s="137">
        <v>18</v>
      </c>
      <c r="B22" s="138" t="s">
        <v>72</v>
      </c>
      <c r="C22" s="644">
        <f t="shared" si="0"/>
        <v>30</v>
      </c>
      <c r="D22" s="644">
        <v>138</v>
      </c>
      <c r="E22" s="644">
        <v>168</v>
      </c>
      <c r="F22" s="644">
        <f t="shared" si="1"/>
        <v>0</v>
      </c>
      <c r="G22" s="644">
        <v>0</v>
      </c>
      <c r="H22" s="644">
        <v>0</v>
      </c>
      <c r="I22" s="644">
        <f t="shared" si="2"/>
        <v>30</v>
      </c>
      <c r="J22" s="644">
        <v>138</v>
      </c>
      <c r="K22" s="644">
        <v>168</v>
      </c>
      <c r="L22" s="644">
        <f t="shared" si="3"/>
        <v>0</v>
      </c>
      <c r="M22" s="644">
        <v>0</v>
      </c>
      <c r="N22" s="644">
        <v>0</v>
      </c>
      <c r="O22" s="644">
        <f t="shared" si="4"/>
        <v>0</v>
      </c>
      <c r="P22" s="644">
        <v>0</v>
      </c>
      <c r="Q22" s="644">
        <v>0</v>
      </c>
      <c r="R22" s="644">
        <f t="shared" si="5"/>
        <v>0</v>
      </c>
      <c r="S22" s="644">
        <v>7</v>
      </c>
      <c r="T22" s="644">
        <v>7</v>
      </c>
      <c r="U22" s="644">
        <f t="shared" si="6"/>
        <v>0</v>
      </c>
      <c r="V22" s="644">
        <v>0</v>
      </c>
      <c r="W22" s="644">
        <v>0</v>
      </c>
      <c r="X22" s="644">
        <f t="shared" si="7"/>
        <v>0</v>
      </c>
      <c r="Y22" s="644">
        <v>0</v>
      </c>
      <c r="Z22" s="644">
        <v>0</v>
      </c>
    </row>
    <row r="23" spans="1:26" ht="25.5" customHeight="1" x14ac:dyDescent="0.35">
      <c r="A23" s="137">
        <v>19</v>
      </c>
      <c r="B23" s="138" t="s">
        <v>29</v>
      </c>
      <c r="C23" s="644">
        <f t="shared" si="0"/>
        <v>392679</v>
      </c>
      <c r="D23" s="644">
        <v>386963</v>
      </c>
      <c r="E23" s="644">
        <v>779642</v>
      </c>
      <c r="F23" s="644">
        <f t="shared" si="1"/>
        <v>58111</v>
      </c>
      <c r="G23" s="644">
        <v>55147</v>
      </c>
      <c r="H23" s="644">
        <v>113258</v>
      </c>
      <c r="I23" s="644">
        <f t="shared" si="2"/>
        <v>40085</v>
      </c>
      <c r="J23" s="644">
        <v>45580</v>
      </c>
      <c r="K23" s="644">
        <v>85665</v>
      </c>
      <c r="L23" s="644">
        <f t="shared" si="3"/>
        <v>146219</v>
      </c>
      <c r="M23" s="644">
        <v>151279</v>
      </c>
      <c r="N23" s="644">
        <v>297498</v>
      </c>
      <c r="O23" s="644">
        <f t="shared" si="4"/>
        <v>470</v>
      </c>
      <c r="P23" s="644">
        <v>310</v>
      </c>
      <c r="Q23" s="644">
        <v>780</v>
      </c>
      <c r="R23" s="644">
        <f t="shared" si="5"/>
        <v>4548</v>
      </c>
      <c r="S23" s="644">
        <v>3867</v>
      </c>
      <c r="T23" s="644">
        <v>8415</v>
      </c>
      <c r="U23" s="644">
        <f t="shared" si="6"/>
        <v>2169</v>
      </c>
      <c r="V23" s="644">
        <v>2213</v>
      </c>
      <c r="W23" s="644">
        <v>4382</v>
      </c>
      <c r="X23" s="644">
        <f t="shared" si="7"/>
        <v>3371</v>
      </c>
      <c r="Y23" s="644">
        <v>3144</v>
      </c>
      <c r="Z23" s="644">
        <v>6515</v>
      </c>
    </row>
    <row r="24" spans="1:26" ht="25.5" customHeight="1" x14ac:dyDescent="0.35">
      <c r="A24" s="137">
        <v>20</v>
      </c>
      <c r="B24" s="138" t="s">
        <v>30</v>
      </c>
      <c r="C24" s="644">
        <f t="shared" si="0"/>
        <v>652356</v>
      </c>
      <c r="D24" s="644">
        <v>559337</v>
      </c>
      <c r="E24" s="644">
        <v>1211693</v>
      </c>
      <c r="F24" s="644">
        <f t="shared" si="1"/>
        <v>68096</v>
      </c>
      <c r="G24" s="644">
        <v>66509</v>
      </c>
      <c r="H24" s="644">
        <v>134605</v>
      </c>
      <c r="I24" s="644">
        <f t="shared" si="2"/>
        <v>24313</v>
      </c>
      <c r="J24" s="644">
        <v>22153</v>
      </c>
      <c r="K24" s="644">
        <v>46466</v>
      </c>
      <c r="L24" s="644">
        <f t="shared" si="3"/>
        <v>184487</v>
      </c>
      <c r="M24" s="644">
        <v>157690</v>
      </c>
      <c r="N24" s="644">
        <v>342177</v>
      </c>
      <c r="O24" s="644">
        <f t="shared" si="4"/>
        <v>1234</v>
      </c>
      <c r="P24" s="644">
        <v>648</v>
      </c>
      <c r="Q24" s="644">
        <v>1882</v>
      </c>
      <c r="R24" s="644">
        <f t="shared" si="5"/>
        <v>13769</v>
      </c>
      <c r="S24" s="644">
        <v>14232</v>
      </c>
      <c r="T24" s="644">
        <v>28001</v>
      </c>
      <c r="U24" s="644">
        <f t="shared" si="6"/>
        <v>8721</v>
      </c>
      <c r="V24" s="644">
        <v>9355</v>
      </c>
      <c r="W24" s="644">
        <v>18076</v>
      </c>
      <c r="X24" s="644">
        <f t="shared" si="7"/>
        <v>8044</v>
      </c>
      <c r="Y24" s="644">
        <v>6805</v>
      </c>
      <c r="Z24" s="644">
        <v>14849</v>
      </c>
    </row>
    <row r="25" spans="1:26" ht="25.5" customHeight="1" x14ac:dyDescent="0.35">
      <c r="A25" s="137">
        <v>21</v>
      </c>
      <c r="B25" s="138" t="s">
        <v>31</v>
      </c>
      <c r="C25" s="644">
        <f t="shared" si="0"/>
        <v>13919</v>
      </c>
      <c r="D25" s="644">
        <v>15418</v>
      </c>
      <c r="E25" s="644">
        <v>29337</v>
      </c>
      <c r="F25" s="644">
        <f t="shared" si="1"/>
        <v>843</v>
      </c>
      <c r="G25" s="644">
        <v>906</v>
      </c>
      <c r="H25" s="644">
        <v>1749</v>
      </c>
      <c r="I25" s="644">
        <f t="shared" si="2"/>
        <v>4428</v>
      </c>
      <c r="J25" s="644">
        <v>5267</v>
      </c>
      <c r="K25" s="644">
        <v>9695</v>
      </c>
      <c r="L25" s="644">
        <f t="shared" si="3"/>
        <v>4539</v>
      </c>
      <c r="M25" s="644">
        <v>5310</v>
      </c>
      <c r="N25" s="644">
        <v>9849</v>
      </c>
      <c r="O25" s="644">
        <f t="shared" si="4"/>
        <v>18</v>
      </c>
      <c r="P25" s="644">
        <v>17</v>
      </c>
      <c r="Q25" s="644">
        <v>35</v>
      </c>
      <c r="R25" s="644">
        <f t="shared" si="5"/>
        <v>221</v>
      </c>
      <c r="S25" s="644">
        <v>259</v>
      </c>
      <c r="T25" s="644">
        <v>480</v>
      </c>
      <c r="U25" s="644">
        <f t="shared" si="6"/>
        <v>424</v>
      </c>
      <c r="V25" s="644">
        <v>351</v>
      </c>
      <c r="W25" s="644">
        <v>775</v>
      </c>
      <c r="X25" s="644">
        <f t="shared" si="7"/>
        <v>39</v>
      </c>
      <c r="Y25" s="644">
        <v>57</v>
      </c>
      <c r="Z25" s="644">
        <v>96</v>
      </c>
    </row>
    <row r="26" spans="1:26" ht="25.5" customHeight="1" x14ac:dyDescent="0.35">
      <c r="A26" s="137">
        <v>22</v>
      </c>
      <c r="B26" s="138" t="s">
        <v>32</v>
      </c>
      <c r="C26" s="644">
        <f t="shared" si="0"/>
        <v>8772</v>
      </c>
      <c r="D26" s="644">
        <v>12455</v>
      </c>
      <c r="E26" s="644">
        <v>21227</v>
      </c>
      <c r="F26" s="644">
        <f t="shared" si="1"/>
        <v>143</v>
      </c>
      <c r="G26" s="644">
        <v>165</v>
      </c>
      <c r="H26" s="644">
        <v>308</v>
      </c>
      <c r="I26" s="644">
        <f t="shared" si="2"/>
        <v>6950</v>
      </c>
      <c r="J26" s="644">
        <v>10712</v>
      </c>
      <c r="K26" s="644">
        <v>17662</v>
      </c>
      <c r="L26" s="644">
        <f t="shared" si="3"/>
        <v>275</v>
      </c>
      <c r="M26" s="644">
        <v>297</v>
      </c>
      <c r="N26" s="644">
        <v>572</v>
      </c>
      <c r="O26" s="644">
        <f t="shared" si="4"/>
        <v>1</v>
      </c>
      <c r="P26" s="644">
        <v>0</v>
      </c>
      <c r="Q26" s="644">
        <v>1</v>
      </c>
      <c r="R26" s="644">
        <f t="shared" si="5"/>
        <v>131</v>
      </c>
      <c r="S26" s="644">
        <v>121</v>
      </c>
      <c r="T26" s="644">
        <v>252</v>
      </c>
      <c r="U26" s="644">
        <f t="shared" si="6"/>
        <v>1456</v>
      </c>
      <c r="V26" s="644">
        <v>2707</v>
      </c>
      <c r="W26" s="644">
        <v>4163</v>
      </c>
      <c r="X26" s="644">
        <f t="shared" si="7"/>
        <v>26</v>
      </c>
      <c r="Y26" s="644">
        <v>41</v>
      </c>
      <c r="Z26" s="644">
        <v>67</v>
      </c>
    </row>
    <row r="27" spans="1:26" ht="25.5" customHeight="1" x14ac:dyDescent="0.35">
      <c r="A27" s="137">
        <v>23</v>
      </c>
      <c r="B27" s="138" t="s">
        <v>33</v>
      </c>
      <c r="C27" s="644">
        <f t="shared" si="0"/>
        <v>5317</v>
      </c>
      <c r="D27" s="644">
        <v>5938</v>
      </c>
      <c r="E27" s="644">
        <v>11255</v>
      </c>
      <c r="F27" s="644">
        <f t="shared" si="1"/>
        <v>35</v>
      </c>
      <c r="G27" s="644">
        <v>32</v>
      </c>
      <c r="H27" s="644">
        <v>67</v>
      </c>
      <c r="I27" s="644">
        <f t="shared" si="2"/>
        <v>5049</v>
      </c>
      <c r="J27" s="644">
        <v>5760</v>
      </c>
      <c r="K27" s="644">
        <v>10809</v>
      </c>
      <c r="L27" s="644">
        <f t="shared" si="3"/>
        <v>97</v>
      </c>
      <c r="M27" s="644">
        <v>67</v>
      </c>
      <c r="N27" s="644">
        <v>164</v>
      </c>
      <c r="O27" s="644">
        <f t="shared" si="4"/>
        <v>1</v>
      </c>
      <c r="P27" s="644">
        <v>5</v>
      </c>
      <c r="Q27" s="644">
        <v>6</v>
      </c>
      <c r="R27" s="644">
        <f t="shared" si="5"/>
        <v>25</v>
      </c>
      <c r="S27" s="644">
        <v>4</v>
      </c>
      <c r="T27" s="644">
        <v>29</v>
      </c>
      <c r="U27" s="644">
        <f t="shared" si="6"/>
        <v>2472</v>
      </c>
      <c r="V27" s="644">
        <v>2764</v>
      </c>
      <c r="W27" s="644">
        <v>5236</v>
      </c>
      <c r="X27" s="644">
        <f t="shared" si="7"/>
        <v>2</v>
      </c>
      <c r="Y27" s="644">
        <v>1</v>
      </c>
      <c r="Z27" s="644">
        <v>3</v>
      </c>
    </row>
    <row r="28" spans="1:26" ht="25.5" customHeight="1" x14ac:dyDescent="0.35">
      <c r="A28" s="137">
        <v>24</v>
      </c>
      <c r="B28" s="138" t="s">
        <v>34</v>
      </c>
      <c r="C28" s="644">
        <f t="shared" si="0"/>
        <v>6453</v>
      </c>
      <c r="D28" s="644">
        <v>8238</v>
      </c>
      <c r="E28" s="644">
        <v>14691</v>
      </c>
      <c r="F28" s="644">
        <f t="shared" si="1"/>
        <v>48</v>
      </c>
      <c r="G28" s="644">
        <v>43</v>
      </c>
      <c r="H28" s="644">
        <v>91</v>
      </c>
      <c r="I28" s="644">
        <f t="shared" si="2"/>
        <v>5745</v>
      </c>
      <c r="J28" s="644">
        <v>7559</v>
      </c>
      <c r="K28" s="644">
        <v>13304</v>
      </c>
      <c r="L28" s="644">
        <f t="shared" si="3"/>
        <v>126</v>
      </c>
      <c r="M28" s="644">
        <v>132</v>
      </c>
      <c r="N28" s="644">
        <v>258</v>
      </c>
      <c r="O28" s="644">
        <f t="shared" si="4"/>
        <v>1</v>
      </c>
      <c r="P28" s="644">
        <v>0</v>
      </c>
      <c r="Q28" s="644">
        <v>1</v>
      </c>
      <c r="R28" s="644">
        <f t="shared" si="5"/>
        <v>19</v>
      </c>
      <c r="S28" s="644">
        <v>38</v>
      </c>
      <c r="T28" s="644">
        <v>57</v>
      </c>
      <c r="U28" s="644">
        <f t="shared" si="6"/>
        <v>1780</v>
      </c>
      <c r="V28" s="644">
        <v>2527</v>
      </c>
      <c r="W28" s="644">
        <v>4307</v>
      </c>
      <c r="X28" s="644">
        <f t="shared" si="7"/>
        <v>1</v>
      </c>
      <c r="Y28" s="644">
        <v>53</v>
      </c>
      <c r="Z28" s="644">
        <v>54</v>
      </c>
    </row>
    <row r="29" spans="1:26" ht="25.5" customHeight="1" x14ac:dyDescent="0.35">
      <c r="A29" s="137">
        <v>25</v>
      </c>
      <c r="B29" s="138" t="s">
        <v>35</v>
      </c>
      <c r="C29" s="644">
        <f t="shared" si="0"/>
        <v>132864</v>
      </c>
      <c r="D29" s="644">
        <v>127137</v>
      </c>
      <c r="E29" s="644">
        <v>260001</v>
      </c>
      <c r="F29" s="644">
        <f t="shared" si="1"/>
        <v>21029</v>
      </c>
      <c r="G29" s="644">
        <v>19031</v>
      </c>
      <c r="H29" s="644">
        <v>40060</v>
      </c>
      <c r="I29" s="644">
        <f t="shared" si="2"/>
        <v>15879</v>
      </c>
      <c r="J29" s="644">
        <v>16441</v>
      </c>
      <c r="K29" s="644">
        <v>32320</v>
      </c>
      <c r="L29" s="644">
        <f t="shared" si="3"/>
        <v>28321</v>
      </c>
      <c r="M29" s="644">
        <v>28450</v>
      </c>
      <c r="N29" s="644">
        <v>56771</v>
      </c>
      <c r="O29" s="644">
        <f t="shared" si="4"/>
        <v>146</v>
      </c>
      <c r="P29" s="644">
        <v>64</v>
      </c>
      <c r="Q29" s="644">
        <v>210</v>
      </c>
      <c r="R29" s="644">
        <f t="shared" si="5"/>
        <v>947</v>
      </c>
      <c r="S29" s="644">
        <v>813</v>
      </c>
      <c r="T29" s="644">
        <v>1760</v>
      </c>
      <c r="U29" s="644">
        <f t="shared" si="6"/>
        <v>199</v>
      </c>
      <c r="V29" s="644">
        <v>381</v>
      </c>
      <c r="W29" s="644">
        <v>580</v>
      </c>
      <c r="X29" s="644">
        <f t="shared" si="7"/>
        <v>1235</v>
      </c>
      <c r="Y29" s="644">
        <v>987</v>
      </c>
      <c r="Z29" s="644">
        <v>2222</v>
      </c>
    </row>
    <row r="30" spans="1:26" ht="25.5" customHeight="1" x14ac:dyDescent="0.35">
      <c r="A30" s="137">
        <v>26</v>
      </c>
      <c r="B30" s="138" t="s">
        <v>36</v>
      </c>
      <c r="C30" s="644">
        <f t="shared" si="0"/>
        <v>9559</v>
      </c>
      <c r="D30" s="644">
        <v>12073</v>
      </c>
      <c r="E30" s="644">
        <v>21632</v>
      </c>
      <c r="F30" s="644">
        <f t="shared" si="1"/>
        <v>971</v>
      </c>
      <c r="G30" s="644">
        <v>1043</v>
      </c>
      <c r="H30" s="644">
        <v>2014</v>
      </c>
      <c r="I30" s="644">
        <f t="shared" si="2"/>
        <v>99</v>
      </c>
      <c r="J30" s="644">
        <v>82</v>
      </c>
      <c r="K30" s="644">
        <v>181</v>
      </c>
      <c r="L30" s="644">
        <f t="shared" si="3"/>
        <v>5619</v>
      </c>
      <c r="M30" s="644">
        <v>6281</v>
      </c>
      <c r="N30" s="644">
        <v>11900</v>
      </c>
      <c r="O30" s="644">
        <f t="shared" si="4"/>
        <v>18</v>
      </c>
      <c r="P30" s="644">
        <v>4</v>
      </c>
      <c r="Q30" s="644">
        <v>22</v>
      </c>
      <c r="R30" s="644">
        <f t="shared" si="5"/>
        <v>182</v>
      </c>
      <c r="S30" s="644">
        <v>181</v>
      </c>
      <c r="T30" s="644">
        <v>363</v>
      </c>
      <c r="U30" s="644">
        <f t="shared" si="6"/>
        <v>150</v>
      </c>
      <c r="V30" s="644">
        <v>282</v>
      </c>
      <c r="W30" s="644">
        <v>432</v>
      </c>
      <c r="X30" s="644">
        <f t="shared" si="7"/>
        <v>35</v>
      </c>
      <c r="Y30" s="644">
        <v>53</v>
      </c>
      <c r="Z30" s="644">
        <v>88</v>
      </c>
    </row>
    <row r="31" spans="1:26" ht="25.5" customHeight="1" x14ac:dyDescent="0.35">
      <c r="A31" s="137">
        <v>27</v>
      </c>
      <c r="B31" s="138" t="s">
        <v>37</v>
      </c>
      <c r="C31" s="644">
        <f t="shared" si="0"/>
        <v>98532</v>
      </c>
      <c r="D31" s="644">
        <v>121782</v>
      </c>
      <c r="E31" s="644">
        <v>220314</v>
      </c>
      <c r="F31" s="644">
        <f t="shared" si="1"/>
        <v>18320</v>
      </c>
      <c r="G31" s="644">
        <v>27789</v>
      </c>
      <c r="H31" s="644">
        <v>46109</v>
      </c>
      <c r="I31" s="644">
        <f t="shared" si="2"/>
        <v>453</v>
      </c>
      <c r="J31" s="644">
        <v>343</v>
      </c>
      <c r="K31" s="644">
        <v>796</v>
      </c>
      <c r="L31" s="644">
        <f t="shared" si="3"/>
        <v>12990</v>
      </c>
      <c r="M31" s="644">
        <v>15852</v>
      </c>
      <c r="N31" s="644">
        <v>28842</v>
      </c>
      <c r="O31" s="644">
        <f t="shared" si="4"/>
        <v>97</v>
      </c>
      <c r="P31" s="644">
        <v>46</v>
      </c>
      <c r="Q31" s="644">
        <v>143</v>
      </c>
      <c r="R31" s="644">
        <f t="shared" si="5"/>
        <v>2558</v>
      </c>
      <c r="S31" s="644">
        <v>1234</v>
      </c>
      <c r="T31" s="644">
        <v>3792</v>
      </c>
      <c r="U31" s="644">
        <f t="shared" si="6"/>
        <v>9223</v>
      </c>
      <c r="V31" s="644">
        <v>14370</v>
      </c>
      <c r="W31" s="644">
        <v>23593</v>
      </c>
      <c r="X31" s="644">
        <f t="shared" si="7"/>
        <v>1695</v>
      </c>
      <c r="Y31" s="644">
        <v>1193</v>
      </c>
      <c r="Z31" s="644">
        <v>2888</v>
      </c>
    </row>
    <row r="32" spans="1:26" ht="25.5" customHeight="1" x14ac:dyDescent="0.35">
      <c r="A32" s="137">
        <v>28</v>
      </c>
      <c r="B32" s="138" t="s">
        <v>38</v>
      </c>
      <c r="C32" s="644">
        <f t="shared" si="0"/>
        <v>357715</v>
      </c>
      <c r="D32" s="644">
        <v>380492</v>
      </c>
      <c r="E32" s="644">
        <v>738207</v>
      </c>
      <c r="F32" s="644">
        <f t="shared" si="1"/>
        <v>61037</v>
      </c>
      <c r="G32" s="644">
        <v>61788</v>
      </c>
      <c r="H32" s="644">
        <v>122825</v>
      </c>
      <c r="I32" s="644">
        <f t="shared" si="2"/>
        <v>44869</v>
      </c>
      <c r="J32" s="644">
        <v>48485</v>
      </c>
      <c r="K32" s="644">
        <v>93354</v>
      </c>
      <c r="L32" s="644">
        <f t="shared" si="3"/>
        <v>156370</v>
      </c>
      <c r="M32" s="644">
        <v>170958</v>
      </c>
      <c r="N32" s="644">
        <v>327328</v>
      </c>
      <c r="O32" s="644">
        <f t="shared" si="4"/>
        <v>337</v>
      </c>
      <c r="P32" s="644">
        <v>164</v>
      </c>
      <c r="Q32" s="644">
        <v>501</v>
      </c>
      <c r="R32" s="644">
        <f t="shared" si="5"/>
        <v>3982</v>
      </c>
      <c r="S32" s="644">
        <v>4420</v>
      </c>
      <c r="T32" s="644">
        <v>8402</v>
      </c>
      <c r="U32" s="644">
        <f t="shared" si="6"/>
        <v>1717</v>
      </c>
      <c r="V32" s="644">
        <v>2539</v>
      </c>
      <c r="W32" s="644">
        <v>4256</v>
      </c>
      <c r="X32" s="644">
        <f t="shared" si="7"/>
        <v>6675</v>
      </c>
      <c r="Y32" s="644">
        <v>8710</v>
      </c>
      <c r="Z32" s="644">
        <v>15385</v>
      </c>
    </row>
    <row r="33" spans="1:26" ht="25.5" customHeight="1" x14ac:dyDescent="0.35">
      <c r="A33" s="137">
        <v>29</v>
      </c>
      <c r="B33" s="138" t="s">
        <v>39</v>
      </c>
      <c r="C33" s="644">
        <f t="shared" si="0"/>
        <v>3890</v>
      </c>
      <c r="D33" s="644">
        <v>4086</v>
      </c>
      <c r="E33" s="644">
        <v>7976</v>
      </c>
      <c r="F33" s="644">
        <f t="shared" si="1"/>
        <v>201</v>
      </c>
      <c r="G33" s="644">
        <v>176</v>
      </c>
      <c r="H33" s="644">
        <v>377</v>
      </c>
      <c r="I33" s="644">
        <f t="shared" si="2"/>
        <v>771</v>
      </c>
      <c r="J33" s="644">
        <v>1170</v>
      </c>
      <c r="K33" s="644">
        <v>1941</v>
      </c>
      <c r="L33" s="644">
        <f t="shared" si="3"/>
        <v>908</v>
      </c>
      <c r="M33" s="644">
        <v>1061</v>
      </c>
      <c r="N33" s="644">
        <v>1969</v>
      </c>
      <c r="O33" s="644">
        <f t="shared" si="4"/>
        <v>2</v>
      </c>
      <c r="P33" s="644">
        <v>0</v>
      </c>
      <c r="Q33" s="644">
        <v>2</v>
      </c>
      <c r="R33" s="644">
        <f t="shared" si="5"/>
        <v>1</v>
      </c>
      <c r="S33" s="644">
        <v>8</v>
      </c>
      <c r="T33" s="644">
        <v>9</v>
      </c>
      <c r="U33" s="644">
        <f t="shared" si="6"/>
        <v>103</v>
      </c>
      <c r="V33" s="644">
        <v>145</v>
      </c>
      <c r="W33" s="644">
        <v>248</v>
      </c>
      <c r="X33" s="644">
        <f t="shared" si="7"/>
        <v>0</v>
      </c>
      <c r="Y33" s="644">
        <v>0</v>
      </c>
      <c r="Z33" s="644">
        <v>0</v>
      </c>
    </row>
    <row r="34" spans="1:26" ht="25.5" customHeight="1" x14ac:dyDescent="0.35">
      <c r="A34" s="137">
        <v>30</v>
      </c>
      <c r="B34" s="138" t="s">
        <v>40</v>
      </c>
      <c r="C34" s="644">
        <f t="shared" si="0"/>
        <v>381991</v>
      </c>
      <c r="D34" s="644">
        <v>472912</v>
      </c>
      <c r="E34" s="644">
        <v>854903</v>
      </c>
      <c r="F34" s="644">
        <f t="shared" si="1"/>
        <v>59506</v>
      </c>
      <c r="G34" s="644">
        <v>85290</v>
      </c>
      <c r="H34" s="644">
        <v>144796</v>
      </c>
      <c r="I34" s="644">
        <f t="shared" si="2"/>
        <v>3189</v>
      </c>
      <c r="J34" s="644">
        <v>3220</v>
      </c>
      <c r="K34" s="644">
        <v>6409</v>
      </c>
      <c r="L34" s="644">
        <f t="shared" si="3"/>
        <v>246623</v>
      </c>
      <c r="M34" s="644">
        <v>314851</v>
      </c>
      <c r="N34" s="644">
        <v>561474</v>
      </c>
      <c r="O34" s="644">
        <f t="shared" si="4"/>
        <v>761</v>
      </c>
      <c r="P34" s="644">
        <v>1360</v>
      </c>
      <c r="Q34" s="644">
        <v>2121</v>
      </c>
      <c r="R34" s="644">
        <f t="shared" si="5"/>
        <v>15195</v>
      </c>
      <c r="S34" s="644">
        <v>13309</v>
      </c>
      <c r="T34" s="644">
        <v>28504</v>
      </c>
      <c r="U34" s="644">
        <f t="shared" si="6"/>
        <v>16311</v>
      </c>
      <c r="V34" s="644">
        <v>22400</v>
      </c>
      <c r="W34" s="644">
        <v>38711</v>
      </c>
      <c r="X34" s="644">
        <f t="shared" si="7"/>
        <v>3436</v>
      </c>
      <c r="Y34" s="644">
        <v>3066</v>
      </c>
      <c r="Z34" s="644">
        <v>6502</v>
      </c>
    </row>
    <row r="35" spans="1:26" ht="25.5" customHeight="1" x14ac:dyDescent="0.35">
      <c r="A35" s="137">
        <v>31</v>
      </c>
      <c r="B35" s="138" t="s">
        <v>41</v>
      </c>
      <c r="C35" s="644">
        <f t="shared" si="0"/>
        <v>153034</v>
      </c>
      <c r="D35" s="644">
        <v>183536</v>
      </c>
      <c r="E35" s="644">
        <v>336570</v>
      </c>
      <c r="F35" s="644">
        <f t="shared" si="1"/>
        <v>19749</v>
      </c>
      <c r="G35" s="644">
        <v>27972</v>
      </c>
      <c r="H35" s="644">
        <v>47721</v>
      </c>
      <c r="I35" s="644">
        <f t="shared" si="2"/>
        <v>12041</v>
      </c>
      <c r="J35" s="644">
        <v>12837</v>
      </c>
      <c r="K35" s="644">
        <v>24878</v>
      </c>
      <c r="L35" s="644">
        <f t="shared" si="3"/>
        <v>67053</v>
      </c>
      <c r="M35" s="644">
        <v>79050</v>
      </c>
      <c r="N35" s="644">
        <v>146103</v>
      </c>
      <c r="O35" s="644">
        <f t="shared" si="4"/>
        <v>593</v>
      </c>
      <c r="P35" s="644">
        <v>591</v>
      </c>
      <c r="Q35" s="644">
        <v>1184</v>
      </c>
      <c r="R35" s="644">
        <f t="shared" si="5"/>
        <v>12941</v>
      </c>
      <c r="S35" s="644">
        <v>12507</v>
      </c>
      <c r="T35" s="644">
        <v>25448</v>
      </c>
      <c r="U35" s="644">
        <f t="shared" si="6"/>
        <v>726</v>
      </c>
      <c r="V35" s="644">
        <v>1596</v>
      </c>
      <c r="W35" s="644">
        <v>2322</v>
      </c>
      <c r="X35" s="644">
        <f t="shared" si="7"/>
        <v>1584</v>
      </c>
      <c r="Y35" s="644">
        <v>1766</v>
      </c>
      <c r="Z35" s="644">
        <v>3350</v>
      </c>
    </row>
    <row r="36" spans="1:26" ht="30.75" customHeight="1" x14ac:dyDescent="0.35">
      <c r="A36" s="137">
        <v>32</v>
      </c>
      <c r="B36" s="138" t="s">
        <v>60</v>
      </c>
      <c r="C36" s="644">
        <f t="shared" si="0"/>
        <v>1238</v>
      </c>
      <c r="D36" s="644">
        <v>1436</v>
      </c>
      <c r="E36" s="644">
        <v>2674</v>
      </c>
      <c r="F36" s="644">
        <f t="shared" si="1"/>
        <v>40</v>
      </c>
      <c r="G36" s="644">
        <v>59</v>
      </c>
      <c r="H36" s="644">
        <v>99</v>
      </c>
      <c r="I36" s="644">
        <f t="shared" si="2"/>
        <v>150</v>
      </c>
      <c r="J36" s="644">
        <v>250</v>
      </c>
      <c r="K36" s="644">
        <v>400</v>
      </c>
      <c r="L36" s="644">
        <f t="shared" si="3"/>
        <v>220</v>
      </c>
      <c r="M36" s="644">
        <v>287</v>
      </c>
      <c r="N36" s="644">
        <v>507</v>
      </c>
      <c r="O36" s="644">
        <f t="shared" si="4"/>
        <v>0</v>
      </c>
      <c r="P36" s="644">
        <v>1</v>
      </c>
      <c r="Q36" s="644">
        <v>1</v>
      </c>
      <c r="R36" s="644">
        <f t="shared" si="5"/>
        <v>5</v>
      </c>
      <c r="S36" s="644">
        <v>11</v>
      </c>
      <c r="T36" s="644">
        <v>16</v>
      </c>
      <c r="U36" s="644">
        <f t="shared" si="6"/>
        <v>3</v>
      </c>
      <c r="V36" s="644">
        <v>2</v>
      </c>
      <c r="W36" s="644">
        <v>5</v>
      </c>
      <c r="X36" s="644">
        <f t="shared" si="7"/>
        <v>5</v>
      </c>
      <c r="Y36" s="644">
        <v>4</v>
      </c>
      <c r="Z36" s="644">
        <v>9</v>
      </c>
    </row>
    <row r="37" spans="1:26" ht="25.5" customHeight="1" x14ac:dyDescent="0.35">
      <c r="A37" s="137">
        <v>33</v>
      </c>
      <c r="B37" s="138" t="s">
        <v>42</v>
      </c>
      <c r="C37" s="644">
        <f t="shared" si="0"/>
        <v>11637</v>
      </c>
      <c r="D37" s="644">
        <v>12025</v>
      </c>
      <c r="E37" s="644">
        <v>23662</v>
      </c>
      <c r="F37" s="644">
        <f t="shared" si="1"/>
        <v>2054</v>
      </c>
      <c r="G37" s="644">
        <v>2025</v>
      </c>
      <c r="H37" s="644">
        <v>4079</v>
      </c>
      <c r="I37" s="644">
        <f t="shared" si="2"/>
        <v>2340</v>
      </c>
      <c r="J37" s="644">
        <v>2588</v>
      </c>
      <c r="K37" s="644">
        <v>4928</v>
      </c>
      <c r="L37" s="644">
        <f t="shared" si="3"/>
        <v>1972</v>
      </c>
      <c r="M37" s="644">
        <v>2154</v>
      </c>
      <c r="N37" s="644">
        <v>4126</v>
      </c>
      <c r="O37" s="644">
        <f t="shared" si="4"/>
        <v>14</v>
      </c>
      <c r="P37" s="644">
        <v>6</v>
      </c>
      <c r="Q37" s="644">
        <v>20</v>
      </c>
      <c r="R37" s="644">
        <f t="shared" si="5"/>
        <v>283</v>
      </c>
      <c r="S37" s="644">
        <v>306</v>
      </c>
      <c r="T37" s="644">
        <v>589</v>
      </c>
      <c r="U37" s="644">
        <f t="shared" si="6"/>
        <v>56</v>
      </c>
      <c r="V37" s="644">
        <v>41</v>
      </c>
      <c r="W37" s="644">
        <v>97</v>
      </c>
      <c r="X37" s="644">
        <f t="shared" si="7"/>
        <v>178</v>
      </c>
      <c r="Y37" s="644">
        <v>96</v>
      </c>
      <c r="Z37" s="644">
        <v>274</v>
      </c>
    </row>
    <row r="38" spans="1:26" ht="25.5" customHeight="1" x14ac:dyDescent="0.35">
      <c r="A38" s="137">
        <v>34</v>
      </c>
      <c r="B38" s="138" t="s">
        <v>43</v>
      </c>
      <c r="C38" s="644">
        <f t="shared" si="0"/>
        <v>931753</v>
      </c>
      <c r="D38" s="644">
        <v>939077</v>
      </c>
      <c r="E38" s="644">
        <v>1870830</v>
      </c>
      <c r="F38" s="644">
        <f t="shared" si="1"/>
        <v>165765</v>
      </c>
      <c r="G38" s="644">
        <v>169084</v>
      </c>
      <c r="H38" s="644">
        <v>334849</v>
      </c>
      <c r="I38" s="644">
        <f t="shared" si="2"/>
        <v>6464</v>
      </c>
      <c r="J38" s="644">
        <v>6864</v>
      </c>
      <c r="K38" s="644">
        <v>13328</v>
      </c>
      <c r="L38" s="644">
        <f t="shared" si="3"/>
        <v>384298</v>
      </c>
      <c r="M38" s="644">
        <v>402492</v>
      </c>
      <c r="N38" s="644">
        <v>786790</v>
      </c>
      <c r="O38" s="644">
        <f t="shared" si="4"/>
        <v>807</v>
      </c>
      <c r="P38" s="644">
        <v>556</v>
      </c>
      <c r="Q38" s="644">
        <v>1363</v>
      </c>
      <c r="R38" s="644">
        <f t="shared" si="5"/>
        <v>31628</v>
      </c>
      <c r="S38" s="644">
        <v>37048</v>
      </c>
      <c r="T38" s="644">
        <v>68676</v>
      </c>
      <c r="U38" s="644">
        <f t="shared" si="6"/>
        <v>1992</v>
      </c>
      <c r="V38" s="644">
        <v>2844</v>
      </c>
      <c r="W38" s="644">
        <v>4836</v>
      </c>
      <c r="X38" s="644">
        <f t="shared" si="7"/>
        <v>7715</v>
      </c>
      <c r="Y38" s="644">
        <v>6083</v>
      </c>
      <c r="Z38" s="644">
        <v>13798</v>
      </c>
    </row>
    <row r="39" spans="1:26" ht="25.5" customHeight="1" x14ac:dyDescent="0.35">
      <c r="A39" s="137">
        <v>35</v>
      </c>
      <c r="B39" s="138" t="s">
        <v>44</v>
      </c>
      <c r="C39" s="644">
        <f t="shared" si="0"/>
        <v>63767</v>
      </c>
      <c r="D39" s="644">
        <v>69812</v>
      </c>
      <c r="E39" s="644">
        <v>133579</v>
      </c>
      <c r="F39" s="644">
        <f t="shared" si="1"/>
        <v>7717</v>
      </c>
      <c r="G39" s="644">
        <v>9163</v>
      </c>
      <c r="H39" s="644">
        <v>16880</v>
      </c>
      <c r="I39" s="644">
        <f t="shared" si="2"/>
        <v>2020</v>
      </c>
      <c r="J39" s="644">
        <v>2052</v>
      </c>
      <c r="K39" s="644">
        <v>4072</v>
      </c>
      <c r="L39" s="644">
        <f t="shared" si="3"/>
        <v>11377</v>
      </c>
      <c r="M39" s="644">
        <v>11628</v>
      </c>
      <c r="N39" s="644">
        <v>23005</v>
      </c>
      <c r="O39" s="644">
        <f t="shared" si="4"/>
        <v>120</v>
      </c>
      <c r="P39" s="644">
        <v>85</v>
      </c>
      <c r="Q39" s="644">
        <v>205</v>
      </c>
      <c r="R39" s="644">
        <f t="shared" si="5"/>
        <v>1704</v>
      </c>
      <c r="S39" s="644">
        <v>1728</v>
      </c>
      <c r="T39" s="644">
        <v>3432</v>
      </c>
      <c r="U39" s="644">
        <f t="shared" si="6"/>
        <v>483</v>
      </c>
      <c r="V39" s="644">
        <v>563</v>
      </c>
      <c r="W39" s="644">
        <v>1046</v>
      </c>
      <c r="X39" s="644">
        <f t="shared" si="7"/>
        <v>941</v>
      </c>
      <c r="Y39" s="644">
        <v>748</v>
      </c>
      <c r="Z39" s="644">
        <v>1689</v>
      </c>
    </row>
    <row r="40" spans="1:26" ht="25.5" customHeight="1" x14ac:dyDescent="0.35">
      <c r="A40" s="137">
        <v>36</v>
      </c>
      <c r="B40" s="138" t="s">
        <v>45</v>
      </c>
      <c r="C40" s="644">
        <f t="shared" si="0"/>
        <v>272756</v>
      </c>
      <c r="D40" s="644">
        <v>293352</v>
      </c>
      <c r="E40" s="644">
        <v>566108</v>
      </c>
      <c r="F40" s="644">
        <f t="shared" si="1"/>
        <v>49257</v>
      </c>
      <c r="G40" s="644">
        <v>51446</v>
      </c>
      <c r="H40" s="644">
        <v>100703</v>
      </c>
      <c r="I40" s="644">
        <f t="shared" si="2"/>
        <v>8629</v>
      </c>
      <c r="J40" s="644">
        <v>9981</v>
      </c>
      <c r="K40" s="644">
        <v>18610</v>
      </c>
      <c r="L40" s="644">
        <f t="shared" si="3"/>
        <v>50541</v>
      </c>
      <c r="M40" s="644">
        <v>51276</v>
      </c>
      <c r="N40" s="644">
        <v>101817</v>
      </c>
      <c r="O40" s="644">
        <f t="shared" si="4"/>
        <v>379</v>
      </c>
      <c r="P40" s="644">
        <v>206</v>
      </c>
      <c r="Q40" s="644">
        <v>585</v>
      </c>
      <c r="R40" s="644">
        <f t="shared" si="5"/>
        <v>22627</v>
      </c>
      <c r="S40" s="644">
        <v>25027</v>
      </c>
      <c r="T40" s="644">
        <v>47654</v>
      </c>
      <c r="U40" s="644">
        <f t="shared" si="6"/>
        <v>2395</v>
      </c>
      <c r="V40" s="644">
        <v>3114</v>
      </c>
      <c r="W40" s="644">
        <v>5509</v>
      </c>
      <c r="X40" s="644">
        <f t="shared" si="7"/>
        <v>687</v>
      </c>
      <c r="Y40" s="644">
        <v>698</v>
      </c>
      <c r="Z40" s="644">
        <v>1385</v>
      </c>
    </row>
    <row r="41" spans="1:26" ht="25.5" customHeight="1" x14ac:dyDescent="0.35">
      <c r="A41" s="139" t="s">
        <v>46</v>
      </c>
      <c r="B41" s="342"/>
      <c r="C41" s="649">
        <f t="shared" si="0"/>
        <v>5310689</v>
      </c>
      <c r="D41" s="1002">
        <v>5634882</v>
      </c>
      <c r="E41" s="1002">
        <v>10945571</v>
      </c>
      <c r="F41" s="649">
        <f t="shared" si="1"/>
        <v>739976</v>
      </c>
      <c r="G41" s="649">
        <v>798969</v>
      </c>
      <c r="H41" s="1002">
        <v>1538945</v>
      </c>
      <c r="I41" s="649">
        <f t="shared" si="2"/>
        <v>307160</v>
      </c>
      <c r="J41" s="1002">
        <v>357143</v>
      </c>
      <c r="K41" s="649">
        <v>664303</v>
      </c>
      <c r="L41" s="649">
        <f t="shared" si="3"/>
        <v>1985698</v>
      </c>
      <c r="M41" s="1002">
        <v>2134169</v>
      </c>
      <c r="N41" s="1002">
        <v>4119867</v>
      </c>
      <c r="O41" s="649">
        <f t="shared" si="4"/>
        <v>7165</v>
      </c>
      <c r="P41" s="649">
        <v>5546</v>
      </c>
      <c r="Q41" s="1002">
        <v>12711</v>
      </c>
      <c r="R41" s="649">
        <f t="shared" si="5"/>
        <v>190002</v>
      </c>
      <c r="S41" s="1002">
        <v>208600</v>
      </c>
      <c r="T41" s="649">
        <v>398602</v>
      </c>
      <c r="U41" s="649">
        <f t="shared" si="6"/>
        <v>77045</v>
      </c>
      <c r="V41" s="1002">
        <v>109577</v>
      </c>
      <c r="W41" s="1002">
        <v>186622</v>
      </c>
      <c r="X41" s="649">
        <f t="shared" si="7"/>
        <v>62032</v>
      </c>
      <c r="Y41" s="649">
        <v>63421</v>
      </c>
      <c r="Z41" s="1002">
        <v>125453</v>
      </c>
    </row>
    <row r="42" spans="1:26" x14ac:dyDescent="0.35">
      <c r="N42" t="s">
        <v>1067</v>
      </c>
      <c r="Z42" t="s">
        <v>1068</v>
      </c>
    </row>
  </sheetData>
  <mergeCells count="12">
    <mergeCell ref="U2:W2"/>
    <mergeCell ref="X2:Z2"/>
    <mergeCell ref="C1:N1"/>
    <mergeCell ref="A2:A3"/>
    <mergeCell ref="B2:B3"/>
    <mergeCell ref="C2:E2"/>
    <mergeCell ref="F2:H2"/>
    <mergeCell ref="I2:K2"/>
    <mergeCell ref="L2:N2"/>
    <mergeCell ref="O2:Q2"/>
    <mergeCell ref="R2:T2"/>
    <mergeCell ref="O1:Z1"/>
  </mergeCells>
  <pageMargins left="0.59055118110236227" right="0.35433070866141736" top="0.39370078740157483" bottom="0.39370078740157483" header="0.31496062992125984" footer="0.19685039370078741"/>
  <pageSetup paperSize="9" scale="70" orientation="portrait" r:id="rId1"/>
  <headerFooter>
    <oddFooter>&amp;L&amp;"Arial,Italic"&amp;9AISHE 2022-23</oddFooter>
  </headerFooter>
  <colBreaks count="1" manualBreakCount="1">
    <brk id="1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99A2-E9A4-4D10-9CC7-505066D71E32}">
  <sheetPr codeName="Sheet45">
    <tabColor rgb="FF92D050"/>
  </sheetPr>
  <dimension ref="A1:E229"/>
  <sheetViews>
    <sheetView showZeros="0" view="pageBreakPreview" zoomScaleNormal="100" zoomScaleSheetLayoutView="100" workbookViewId="0">
      <pane xSplit="1" ySplit="2" topLeftCell="B3" activePane="bottomRight" state="frozen"/>
      <selection activeCell="S20" sqref="S20"/>
      <selection pane="topRight" activeCell="S20" sqref="S20"/>
      <selection pane="bottomLeft" activeCell="S20" sqref="S20"/>
      <selection pane="bottomRight" activeCell="E229" sqref="C4:E229"/>
    </sheetView>
  </sheetViews>
  <sheetFormatPr defaultColWidth="9.1796875" defaultRowHeight="14.5" x14ac:dyDescent="0.35"/>
  <cols>
    <col min="2" max="2" width="44.26953125" customWidth="1"/>
    <col min="3" max="5" width="11.1796875" customWidth="1"/>
  </cols>
  <sheetData>
    <row r="1" spans="1:5" ht="15" x14ac:dyDescent="0.35">
      <c r="A1" s="907" t="s">
        <v>813</v>
      </c>
      <c r="B1" s="907"/>
      <c r="C1" s="907"/>
      <c r="D1" s="907"/>
      <c r="E1" s="907"/>
    </row>
    <row r="2" spans="1:5" x14ac:dyDescent="0.35">
      <c r="A2" s="118" t="s">
        <v>49</v>
      </c>
      <c r="B2" s="118" t="s">
        <v>814</v>
      </c>
      <c r="C2" s="285" t="s">
        <v>93</v>
      </c>
      <c r="D2" s="285" t="s">
        <v>94</v>
      </c>
      <c r="E2" s="285" t="s">
        <v>54</v>
      </c>
    </row>
    <row r="3" spans="1:5" x14ac:dyDescent="0.35">
      <c r="A3" s="102">
        <v>1</v>
      </c>
      <c r="B3" s="102">
        <v>2</v>
      </c>
      <c r="C3" s="102">
        <v>3</v>
      </c>
      <c r="D3" s="102">
        <v>4</v>
      </c>
      <c r="E3" s="102">
        <v>5</v>
      </c>
    </row>
    <row r="4" spans="1:5" x14ac:dyDescent="0.35">
      <c r="A4" s="286">
        <v>1</v>
      </c>
      <c r="B4" s="368" t="s">
        <v>815</v>
      </c>
      <c r="C4" s="647">
        <f>E4-D4</f>
        <v>534</v>
      </c>
      <c r="D4" s="647">
        <v>33875</v>
      </c>
      <c r="E4" s="1001">
        <v>34409</v>
      </c>
    </row>
    <row r="5" spans="1:5" x14ac:dyDescent="0.35">
      <c r="A5" s="286">
        <v>2</v>
      </c>
      <c r="B5" s="368" t="s">
        <v>125</v>
      </c>
      <c r="C5" s="647">
        <f t="shared" ref="C5:C68" si="0">E5-D5</f>
        <v>5271</v>
      </c>
      <c r="D5" s="647">
        <v>2910</v>
      </c>
      <c r="E5" s="1001">
        <v>8181</v>
      </c>
    </row>
    <row r="6" spans="1:5" x14ac:dyDescent="0.35">
      <c r="A6" s="286">
        <v>3</v>
      </c>
      <c r="B6" s="368" t="s">
        <v>816</v>
      </c>
      <c r="C6" s="647">
        <f t="shared" si="0"/>
        <v>13</v>
      </c>
      <c r="D6" s="647">
        <v>4</v>
      </c>
      <c r="E6" s="1001">
        <v>17</v>
      </c>
    </row>
    <row r="7" spans="1:5" x14ac:dyDescent="0.35">
      <c r="A7" s="286">
        <v>4</v>
      </c>
      <c r="B7" s="368" t="s">
        <v>817</v>
      </c>
      <c r="C7" s="647">
        <f t="shared" si="0"/>
        <v>30</v>
      </c>
      <c r="D7" s="647">
        <v>31</v>
      </c>
      <c r="E7" s="1001">
        <v>61</v>
      </c>
    </row>
    <row r="8" spans="1:5" x14ac:dyDescent="0.35">
      <c r="A8" s="286">
        <v>5</v>
      </c>
      <c r="B8" s="368" t="s">
        <v>818</v>
      </c>
      <c r="C8" s="647">
        <f t="shared" si="0"/>
        <v>18</v>
      </c>
      <c r="D8" s="647">
        <v>10</v>
      </c>
      <c r="E8" s="1001">
        <v>28</v>
      </c>
    </row>
    <row r="9" spans="1:5" x14ac:dyDescent="0.35">
      <c r="A9" s="286">
        <v>6</v>
      </c>
      <c r="B9" s="368" t="s">
        <v>126</v>
      </c>
      <c r="C9" s="647">
        <f t="shared" si="0"/>
        <v>1332</v>
      </c>
      <c r="D9" s="647">
        <v>2405</v>
      </c>
      <c r="E9" s="1001">
        <v>3737</v>
      </c>
    </row>
    <row r="10" spans="1:5" x14ac:dyDescent="0.35">
      <c r="A10" s="286">
        <v>7</v>
      </c>
      <c r="B10" s="368" t="s">
        <v>127</v>
      </c>
      <c r="C10" s="647">
        <f t="shared" si="0"/>
        <v>8007</v>
      </c>
      <c r="D10" s="647">
        <v>10789</v>
      </c>
      <c r="E10" s="1001">
        <v>18796</v>
      </c>
    </row>
    <row r="11" spans="1:5" ht="15.5" x14ac:dyDescent="0.35">
      <c r="A11" s="286">
        <v>8</v>
      </c>
      <c r="B11" s="368" t="s">
        <v>128</v>
      </c>
      <c r="C11" s="632">
        <f t="shared" si="0"/>
        <v>12619</v>
      </c>
      <c r="D11" s="647">
        <v>9860</v>
      </c>
      <c r="E11" s="1001">
        <v>22479</v>
      </c>
    </row>
    <row r="12" spans="1:5" x14ac:dyDescent="0.35">
      <c r="A12" s="286">
        <v>9</v>
      </c>
      <c r="B12" s="368" t="s">
        <v>129</v>
      </c>
      <c r="C12" s="647">
        <f t="shared" si="0"/>
        <v>63</v>
      </c>
      <c r="D12" s="647">
        <v>107</v>
      </c>
      <c r="E12" s="1001">
        <v>170</v>
      </c>
    </row>
    <row r="13" spans="1:5" x14ac:dyDescent="0.35">
      <c r="A13" s="286">
        <v>10</v>
      </c>
      <c r="B13" s="368" t="s">
        <v>130</v>
      </c>
      <c r="C13" s="647">
        <f t="shared" si="0"/>
        <v>166050</v>
      </c>
      <c r="D13" s="647">
        <v>235855</v>
      </c>
      <c r="E13" s="1001">
        <v>401905</v>
      </c>
    </row>
    <row r="14" spans="1:5" x14ac:dyDescent="0.35">
      <c r="A14" s="286">
        <v>11</v>
      </c>
      <c r="B14" s="368" t="s">
        <v>131</v>
      </c>
      <c r="C14" s="647">
        <f t="shared" si="0"/>
        <v>1177315</v>
      </c>
      <c r="D14" s="647">
        <v>1388648</v>
      </c>
      <c r="E14" s="1001">
        <v>2565963</v>
      </c>
    </row>
    <row r="15" spans="1:5" x14ac:dyDescent="0.35">
      <c r="A15" s="286">
        <v>12</v>
      </c>
      <c r="B15" s="368" t="s">
        <v>132</v>
      </c>
      <c r="C15" s="647">
        <f t="shared" si="0"/>
        <v>465</v>
      </c>
      <c r="D15" s="647">
        <v>781</v>
      </c>
      <c r="E15" s="1001">
        <v>1246</v>
      </c>
    </row>
    <row r="16" spans="1:5" x14ac:dyDescent="0.35">
      <c r="A16" s="286">
        <v>13</v>
      </c>
      <c r="B16" s="368" t="s">
        <v>133</v>
      </c>
      <c r="C16" s="647">
        <f t="shared" si="0"/>
        <v>4555</v>
      </c>
      <c r="D16" s="647">
        <v>6959</v>
      </c>
      <c r="E16" s="1001">
        <v>11514</v>
      </c>
    </row>
    <row r="17" spans="1:5" ht="26.5" x14ac:dyDescent="0.35">
      <c r="A17" s="286">
        <v>14</v>
      </c>
      <c r="B17" s="368" t="s">
        <v>134</v>
      </c>
      <c r="C17" s="647">
        <f t="shared" si="0"/>
        <v>178</v>
      </c>
      <c r="D17" s="647">
        <v>545</v>
      </c>
      <c r="E17" s="1001">
        <v>723</v>
      </c>
    </row>
    <row r="18" spans="1:5" x14ac:dyDescent="0.35">
      <c r="A18" s="286">
        <v>15</v>
      </c>
      <c r="B18" s="368" t="s">
        <v>135</v>
      </c>
      <c r="C18" s="647">
        <f t="shared" si="0"/>
        <v>27495</v>
      </c>
      <c r="D18" s="647">
        <v>9589</v>
      </c>
      <c r="E18" s="1001">
        <v>37084</v>
      </c>
    </row>
    <row r="19" spans="1:5" x14ac:dyDescent="0.35">
      <c r="A19" s="286">
        <v>16</v>
      </c>
      <c r="B19" s="368" t="s">
        <v>136</v>
      </c>
      <c r="C19" s="647">
        <f t="shared" si="0"/>
        <v>6147</v>
      </c>
      <c r="D19" s="647">
        <v>7177</v>
      </c>
      <c r="E19" s="1001">
        <v>13324</v>
      </c>
    </row>
    <row r="20" spans="1:5" x14ac:dyDescent="0.35">
      <c r="A20" s="286">
        <v>17</v>
      </c>
      <c r="B20" s="368" t="s">
        <v>137</v>
      </c>
      <c r="C20" s="647">
        <f t="shared" si="0"/>
        <v>97958</v>
      </c>
      <c r="D20" s="647">
        <v>69493</v>
      </c>
      <c r="E20" s="1001">
        <v>167451</v>
      </c>
    </row>
    <row r="21" spans="1:5" x14ac:dyDescent="0.35">
      <c r="A21" s="286">
        <v>18</v>
      </c>
      <c r="B21" s="368" t="s">
        <v>819</v>
      </c>
      <c r="C21" s="647">
        <f t="shared" si="0"/>
        <v>299</v>
      </c>
      <c r="D21" s="647">
        <v>269</v>
      </c>
      <c r="E21" s="1001">
        <v>568</v>
      </c>
    </row>
    <row r="22" spans="1:5" ht="26.5" x14ac:dyDescent="0.35">
      <c r="A22" s="286">
        <v>19</v>
      </c>
      <c r="B22" s="368" t="s">
        <v>138</v>
      </c>
      <c r="C22" s="647">
        <f t="shared" si="0"/>
        <v>2128</v>
      </c>
      <c r="D22" s="647">
        <v>1856</v>
      </c>
      <c r="E22" s="1001">
        <v>3984</v>
      </c>
    </row>
    <row r="23" spans="1:5" x14ac:dyDescent="0.35">
      <c r="A23" s="286">
        <v>20</v>
      </c>
      <c r="B23" s="368" t="s">
        <v>139</v>
      </c>
      <c r="C23" s="647">
        <f t="shared" si="0"/>
        <v>2308</v>
      </c>
      <c r="D23" s="647">
        <v>1671</v>
      </c>
      <c r="E23" s="1001">
        <v>3979</v>
      </c>
    </row>
    <row r="24" spans="1:5" x14ac:dyDescent="0.35">
      <c r="A24" s="286">
        <v>21</v>
      </c>
      <c r="B24" s="368" t="s">
        <v>140</v>
      </c>
      <c r="C24" s="647">
        <f t="shared" si="0"/>
        <v>68</v>
      </c>
      <c r="D24" s="647">
        <v>17</v>
      </c>
      <c r="E24" s="1001">
        <v>85</v>
      </c>
    </row>
    <row r="25" spans="1:5" x14ac:dyDescent="0.35">
      <c r="A25" s="286">
        <v>22</v>
      </c>
      <c r="B25" s="368" t="s">
        <v>141</v>
      </c>
      <c r="C25" s="647">
        <f t="shared" si="0"/>
        <v>85187</v>
      </c>
      <c r="D25" s="647">
        <v>57064</v>
      </c>
      <c r="E25" s="1001">
        <v>142251</v>
      </c>
    </row>
    <row r="26" spans="1:5" x14ac:dyDescent="0.35">
      <c r="A26" s="286">
        <v>23</v>
      </c>
      <c r="B26" s="368" t="s">
        <v>820</v>
      </c>
      <c r="C26" s="647">
        <f t="shared" si="0"/>
        <v>119</v>
      </c>
      <c r="D26" s="647">
        <v>32</v>
      </c>
      <c r="E26" s="1001">
        <v>151</v>
      </c>
    </row>
    <row r="27" spans="1:5" x14ac:dyDescent="0.35">
      <c r="A27" s="286">
        <v>24</v>
      </c>
      <c r="B27" s="368" t="s">
        <v>142</v>
      </c>
      <c r="C27" s="647">
        <f t="shared" si="0"/>
        <v>124</v>
      </c>
      <c r="D27" s="647">
        <v>52</v>
      </c>
      <c r="E27" s="1001">
        <v>176</v>
      </c>
    </row>
    <row r="28" spans="1:5" x14ac:dyDescent="0.35">
      <c r="A28" s="286">
        <v>25</v>
      </c>
      <c r="B28" s="368" t="s">
        <v>821</v>
      </c>
      <c r="C28" s="647">
        <f t="shared" si="0"/>
        <v>149</v>
      </c>
      <c r="D28" s="647">
        <v>26</v>
      </c>
      <c r="E28" s="1001">
        <v>175</v>
      </c>
    </row>
    <row r="29" spans="1:5" ht="26.5" x14ac:dyDescent="0.35">
      <c r="A29" s="286">
        <v>26</v>
      </c>
      <c r="B29" s="368" t="s">
        <v>822</v>
      </c>
      <c r="C29" s="647">
        <f t="shared" si="0"/>
        <v>0</v>
      </c>
      <c r="D29" s="647">
        <v>22</v>
      </c>
      <c r="E29" s="1001">
        <v>22</v>
      </c>
    </row>
    <row r="30" spans="1:5" x14ac:dyDescent="0.35">
      <c r="A30" s="286">
        <v>27</v>
      </c>
      <c r="B30" s="368" t="s">
        <v>143</v>
      </c>
      <c r="C30" s="647">
        <f t="shared" si="0"/>
        <v>12647</v>
      </c>
      <c r="D30" s="647">
        <v>11042</v>
      </c>
      <c r="E30" s="1001">
        <v>23689</v>
      </c>
    </row>
    <row r="31" spans="1:5" x14ac:dyDescent="0.35">
      <c r="A31" s="286">
        <v>28</v>
      </c>
      <c r="B31" s="368" t="s">
        <v>144</v>
      </c>
      <c r="C31" s="647">
        <f t="shared" si="0"/>
        <v>527305</v>
      </c>
      <c r="D31" s="647">
        <v>535122</v>
      </c>
      <c r="E31" s="1001">
        <v>1062427</v>
      </c>
    </row>
    <row r="32" spans="1:5" x14ac:dyDescent="0.35">
      <c r="A32" s="286">
        <v>29</v>
      </c>
      <c r="B32" s="368" t="s">
        <v>145</v>
      </c>
      <c r="C32" s="647">
        <f t="shared" si="0"/>
        <v>787</v>
      </c>
      <c r="D32" s="647">
        <v>753</v>
      </c>
      <c r="E32" s="1001">
        <v>1540</v>
      </c>
    </row>
    <row r="33" spans="1:5" x14ac:dyDescent="0.35">
      <c r="A33" s="286">
        <v>30</v>
      </c>
      <c r="B33" s="368" t="s">
        <v>146</v>
      </c>
      <c r="C33" s="647">
        <f t="shared" si="0"/>
        <v>4992</v>
      </c>
      <c r="D33" s="647">
        <v>15116</v>
      </c>
      <c r="E33" s="1001">
        <v>20108</v>
      </c>
    </row>
    <row r="34" spans="1:5" x14ac:dyDescent="0.35">
      <c r="A34" s="286">
        <v>31</v>
      </c>
      <c r="B34" s="368" t="s">
        <v>823</v>
      </c>
      <c r="C34" s="647">
        <f t="shared" si="0"/>
        <v>5</v>
      </c>
      <c r="D34" s="647">
        <v>15</v>
      </c>
      <c r="E34" s="1001">
        <v>20</v>
      </c>
    </row>
    <row r="35" spans="1:5" x14ac:dyDescent="0.35">
      <c r="A35" s="286">
        <v>32</v>
      </c>
      <c r="B35" s="368" t="s">
        <v>147</v>
      </c>
      <c r="C35" s="647">
        <f t="shared" si="0"/>
        <v>2398</v>
      </c>
      <c r="D35" s="647">
        <v>5938</v>
      </c>
      <c r="E35" s="1001">
        <v>8336</v>
      </c>
    </row>
    <row r="36" spans="1:5" x14ac:dyDescent="0.35">
      <c r="A36" s="286">
        <v>33</v>
      </c>
      <c r="B36" s="368" t="s">
        <v>148</v>
      </c>
      <c r="C36" s="647">
        <f t="shared" si="0"/>
        <v>212470</v>
      </c>
      <c r="D36" s="647">
        <v>87347</v>
      </c>
      <c r="E36" s="1001">
        <v>299817</v>
      </c>
    </row>
    <row r="37" spans="1:5" x14ac:dyDescent="0.35">
      <c r="A37" s="286">
        <v>34</v>
      </c>
      <c r="B37" s="368" t="s">
        <v>824</v>
      </c>
      <c r="C37" s="647">
        <f t="shared" si="0"/>
        <v>452</v>
      </c>
      <c r="D37" s="647">
        <v>531</v>
      </c>
      <c r="E37" s="1001">
        <v>983</v>
      </c>
    </row>
    <row r="38" spans="1:5" x14ac:dyDescent="0.35">
      <c r="A38" s="286">
        <v>35</v>
      </c>
      <c r="B38" s="368" t="s">
        <v>149</v>
      </c>
      <c r="C38" s="647">
        <f t="shared" si="0"/>
        <v>248081</v>
      </c>
      <c r="D38" s="647">
        <v>455336</v>
      </c>
      <c r="E38" s="1001">
        <v>703417</v>
      </c>
    </row>
    <row r="39" spans="1:5" x14ac:dyDescent="0.35">
      <c r="A39" s="286">
        <v>36</v>
      </c>
      <c r="B39" s="368" t="s">
        <v>150</v>
      </c>
      <c r="C39" s="647">
        <f t="shared" si="0"/>
        <v>884</v>
      </c>
      <c r="D39" s="647">
        <v>1574</v>
      </c>
      <c r="E39" s="1001">
        <v>2458</v>
      </c>
    </row>
    <row r="40" spans="1:5" x14ac:dyDescent="0.35">
      <c r="A40" s="286">
        <v>37</v>
      </c>
      <c r="B40" s="368" t="s">
        <v>151</v>
      </c>
      <c r="C40" s="647">
        <f t="shared" si="0"/>
        <v>2821</v>
      </c>
      <c r="D40" s="647">
        <v>3096</v>
      </c>
      <c r="E40" s="1001">
        <v>5917</v>
      </c>
    </row>
    <row r="41" spans="1:5" x14ac:dyDescent="0.35">
      <c r="A41" s="286">
        <v>38</v>
      </c>
      <c r="B41" s="368" t="s">
        <v>825</v>
      </c>
      <c r="C41" s="647">
        <f t="shared" si="0"/>
        <v>766</v>
      </c>
      <c r="D41" s="647">
        <v>588</v>
      </c>
      <c r="E41" s="1001">
        <v>1354</v>
      </c>
    </row>
    <row r="42" spans="1:5" x14ac:dyDescent="0.35">
      <c r="A42" s="286">
        <v>39</v>
      </c>
      <c r="B42" s="368" t="s">
        <v>826</v>
      </c>
      <c r="C42" s="647">
        <f t="shared" si="0"/>
        <v>116</v>
      </c>
      <c r="D42" s="647">
        <v>520</v>
      </c>
      <c r="E42" s="1001">
        <v>636</v>
      </c>
    </row>
    <row r="43" spans="1:5" x14ac:dyDescent="0.35">
      <c r="A43" s="286">
        <v>40</v>
      </c>
      <c r="B43" s="368" t="s">
        <v>827</v>
      </c>
      <c r="C43" s="647">
        <f t="shared" si="0"/>
        <v>328</v>
      </c>
      <c r="D43" s="647">
        <v>248</v>
      </c>
      <c r="E43" s="1001">
        <v>576</v>
      </c>
    </row>
    <row r="44" spans="1:5" x14ac:dyDescent="0.35">
      <c r="A44" s="286">
        <v>41</v>
      </c>
      <c r="B44" s="368" t="s">
        <v>152</v>
      </c>
      <c r="C44" s="647">
        <f t="shared" si="0"/>
        <v>361</v>
      </c>
      <c r="D44" s="647">
        <v>537</v>
      </c>
      <c r="E44" s="1001">
        <v>898</v>
      </c>
    </row>
    <row r="45" spans="1:5" x14ac:dyDescent="0.35">
      <c r="A45" s="286">
        <v>42</v>
      </c>
      <c r="B45" s="368" t="s">
        <v>153</v>
      </c>
      <c r="C45" s="647">
        <f t="shared" si="0"/>
        <v>9846</v>
      </c>
      <c r="D45" s="647">
        <v>1996</v>
      </c>
      <c r="E45" s="1001">
        <v>11842</v>
      </c>
    </row>
    <row r="46" spans="1:5" ht="26.5" x14ac:dyDescent="0.35">
      <c r="A46" s="286">
        <v>43</v>
      </c>
      <c r="B46" s="368" t="s">
        <v>154</v>
      </c>
      <c r="C46" s="647">
        <f t="shared" si="0"/>
        <v>4253</v>
      </c>
      <c r="D46" s="647">
        <v>906</v>
      </c>
      <c r="E46" s="1001">
        <v>5159</v>
      </c>
    </row>
    <row r="47" spans="1:5" x14ac:dyDescent="0.35">
      <c r="A47" s="286">
        <v>44</v>
      </c>
      <c r="B47" s="368" t="s">
        <v>155</v>
      </c>
      <c r="C47" s="647">
        <f t="shared" si="0"/>
        <v>3649</v>
      </c>
      <c r="D47" s="647">
        <v>6746</v>
      </c>
      <c r="E47" s="1001">
        <v>10395</v>
      </c>
    </row>
    <row r="48" spans="1:5" ht="26.5" x14ac:dyDescent="0.35">
      <c r="A48" s="286">
        <v>45</v>
      </c>
      <c r="B48" s="368" t="s">
        <v>156</v>
      </c>
      <c r="C48" s="647">
        <f t="shared" si="0"/>
        <v>1764</v>
      </c>
      <c r="D48" s="647">
        <v>859</v>
      </c>
      <c r="E48" s="1001">
        <v>2623</v>
      </c>
    </row>
    <row r="49" spans="1:5" x14ac:dyDescent="0.35">
      <c r="A49" s="286">
        <v>46</v>
      </c>
      <c r="B49" s="368" t="s">
        <v>828</v>
      </c>
      <c r="C49" s="647">
        <f t="shared" si="0"/>
        <v>42</v>
      </c>
      <c r="D49" s="647">
        <v>55</v>
      </c>
      <c r="E49" s="1001">
        <v>97</v>
      </c>
    </row>
    <row r="50" spans="1:5" x14ac:dyDescent="0.35">
      <c r="A50" s="286">
        <v>47</v>
      </c>
      <c r="B50" s="368" t="s">
        <v>157</v>
      </c>
      <c r="C50" s="647">
        <f t="shared" si="0"/>
        <v>157</v>
      </c>
      <c r="D50" s="647">
        <v>83</v>
      </c>
      <c r="E50" s="1001">
        <v>240</v>
      </c>
    </row>
    <row r="51" spans="1:5" x14ac:dyDescent="0.35">
      <c r="A51" s="286">
        <v>48</v>
      </c>
      <c r="B51" s="368" t="s">
        <v>829</v>
      </c>
      <c r="C51" s="647">
        <f t="shared" si="0"/>
        <v>62</v>
      </c>
      <c r="D51" s="647">
        <v>54</v>
      </c>
      <c r="E51" s="1001">
        <v>116</v>
      </c>
    </row>
    <row r="52" spans="1:5" x14ac:dyDescent="0.35">
      <c r="A52" s="286">
        <v>49</v>
      </c>
      <c r="B52" s="368" t="s">
        <v>830</v>
      </c>
      <c r="C52" s="647">
        <f t="shared" si="0"/>
        <v>43</v>
      </c>
      <c r="D52" s="647">
        <v>60</v>
      </c>
      <c r="E52" s="1001">
        <v>103</v>
      </c>
    </row>
    <row r="53" spans="1:5" x14ac:dyDescent="0.35">
      <c r="A53" s="286">
        <v>50</v>
      </c>
      <c r="B53" s="368" t="s">
        <v>158</v>
      </c>
      <c r="C53" s="647">
        <f t="shared" si="0"/>
        <v>518</v>
      </c>
      <c r="D53" s="647">
        <v>394</v>
      </c>
      <c r="E53" s="1001">
        <v>912</v>
      </c>
    </row>
    <row r="54" spans="1:5" x14ac:dyDescent="0.35">
      <c r="A54" s="286">
        <v>51</v>
      </c>
      <c r="B54" s="368" t="s">
        <v>159</v>
      </c>
      <c r="C54" s="647">
        <f t="shared" si="0"/>
        <v>3057</v>
      </c>
      <c r="D54" s="647">
        <v>3249</v>
      </c>
      <c r="E54" s="1001">
        <v>6306</v>
      </c>
    </row>
    <row r="55" spans="1:5" x14ac:dyDescent="0.35">
      <c r="A55" s="286">
        <v>52</v>
      </c>
      <c r="B55" s="368" t="s">
        <v>160</v>
      </c>
      <c r="C55" s="647">
        <f t="shared" si="0"/>
        <v>7384</v>
      </c>
      <c r="D55" s="647">
        <v>4392</v>
      </c>
      <c r="E55" s="1001">
        <v>11776</v>
      </c>
    </row>
    <row r="56" spans="1:5" x14ac:dyDescent="0.35">
      <c r="A56" s="286">
        <v>53</v>
      </c>
      <c r="B56" s="368" t="s">
        <v>831</v>
      </c>
      <c r="C56" s="647">
        <f t="shared" si="0"/>
        <v>8879</v>
      </c>
      <c r="D56" s="647">
        <v>6964</v>
      </c>
      <c r="E56" s="1001">
        <v>15843</v>
      </c>
    </row>
    <row r="57" spans="1:5" x14ac:dyDescent="0.35">
      <c r="A57" s="286">
        <v>54</v>
      </c>
      <c r="B57" s="368" t="s">
        <v>161</v>
      </c>
      <c r="C57" s="647">
        <f t="shared" si="0"/>
        <v>6969</v>
      </c>
      <c r="D57" s="647">
        <v>7302</v>
      </c>
      <c r="E57" s="1001">
        <v>14271</v>
      </c>
    </row>
    <row r="58" spans="1:5" x14ac:dyDescent="0.35">
      <c r="A58" s="286">
        <v>55</v>
      </c>
      <c r="B58" s="368" t="s">
        <v>832</v>
      </c>
      <c r="C58" s="647">
        <f t="shared" si="0"/>
        <v>664</v>
      </c>
      <c r="D58" s="647">
        <v>1503</v>
      </c>
      <c r="E58" s="1001">
        <v>2167</v>
      </c>
    </row>
    <row r="59" spans="1:5" x14ac:dyDescent="0.35">
      <c r="A59" s="286">
        <v>56</v>
      </c>
      <c r="B59" s="368" t="s">
        <v>162</v>
      </c>
      <c r="C59" s="647">
        <f t="shared" si="0"/>
        <v>1121</v>
      </c>
      <c r="D59" s="647">
        <v>919</v>
      </c>
      <c r="E59" s="1001">
        <v>2040</v>
      </c>
    </row>
    <row r="60" spans="1:5" x14ac:dyDescent="0.35">
      <c r="A60" s="286">
        <v>57</v>
      </c>
      <c r="B60" s="368" t="s">
        <v>163</v>
      </c>
      <c r="C60" s="647">
        <f t="shared" si="0"/>
        <v>522</v>
      </c>
      <c r="D60" s="647">
        <v>461</v>
      </c>
      <c r="E60" s="1001">
        <v>983</v>
      </c>
    </row>
    <row r="61" spans="1:5" x14ac:dyDescent="0.35">
      <c r="A61" s="286">
        <v>58</v>
      </c>
      <c r="B61" s="368" t="s">
        <v>164</v>
      </c>
      <c r="C61" s="647">
        <f t="shared" si="0"/>
        <v>9619</v>
      </c>
      <c r="D61" s="647">
        <v>7989</v>
      </c>
      <c r="E61" s="1001">
        <v>17608</v>
      </c>
    </row>
    <row r="62" spans="1:5" x14ac:dyDescent="0.35">
      <c r="A62" s="286">
        <v>59</v>
      </c>
      <c r="B62" s="368" t="s">
        <v>165</v>
      </c>
      <c r="C62" s="647">
        <f t="shared" si="0"/>
        <v>182</v>
      </c>
      <c r="D62" s="647">
        <v>306</v>
      </c>
      <c r="E62" s="1001">
        <v>488</v>
      </c>
    </row>
    <row r="63" spans="1:5" x14ac:dyDescent="0.35">
      <c r="A63" s="286">
        <v>60</v>
      </c>
      <c r="B63" s="368" t="s">
        <v>166</v>
      </c>
      <c r="C63" s="647">
        <f t="shared" si="0"/>
        <v>303</v>
      </c>
      <c r="D63" s="647">
        <v>660</v>
      </c>
      <c r="E63" s="1001">
        <v>963</v>
      </c>
    </row>
    <row r="64" spans="1:5" ht="26.5" x14ac:dyDescent="0.35">
      <c r="A64" s="286">
        <v>61</v>
      </c>
      <c r="B64" s="368" t="s">
        <v>167</v>
      </c>
      <c r="C64" s="647">
        <f t="shared" si="0"/>
        <v>61</v>
      </c>
      <c r="D64" s="647">
        <v>132</v>
      </c>
      <c r="E64" s="1001">
        <v>193</v>
      </c>
    </row>
    <row r="65" spans="1:5" x14ac:dyDescent="0.35">
      <c r="A65" s="286">
        <v>62</v>
      </c>
      <c r="B65" s="368" t="s">
        <v>833</v>
      </c>
      <c r="C65" s="647">
        <f t="shared" si="0"/>
        <v>156</v>
      </c>
      <c r="D65" s="647">
        <v>170</v>
      </c>
      <c r="E65" s="1001">
        <v>326</v>
      </c>
    </row>
    <row r="66" spans="1:5" x14ac:dyDescent="0.35">
      <c r="A66" s="286">
        <v>63</v>
      </c>
      <c r="B66" s="368" t="s">
        <v>168</v>
      </c>
      <c r="C66" s="647">
        <f t="shared" si="0"/>
        <v>236</v>
      </c>
      <c r="D66" s="647">
        <v>472</v>
      </c>
      <c r="E66" s="1001">
        <v>708</v>
      </c>
    </row>
    <row r="67" spans="1:5" x14ac:dyDescent="0.35">
      <c r="A67" s="286">
        <v>64</v>
      </c>
      <c r="B67" s="368" t="s">
        <v>169</v>
      </c>
      <c r="C67" s="647">
        <f t="shared" si="0"/>
        <v>654</v>
      </c>
      <c r="D67" s="647">
        <v>1084</v>
      </c>
      <c r="E67" s="1001">
        <v>1738</v>
      </c>
    </row>
    <row r="68" spans="1:5" x14ac:dyDescent="0.35">
      <c r="A68" s="286">
        <v>65</v>
      </c>
      <c r="B68" s="368" t="s">
        <v>170</v>
      </c>
      <c r="C68" s="647">
        <f t="shared" si="0"/>
        <v>772</v>
      </c>
      <c r="D68" s="647">
        <v>812</v>
      </c>
      <c r="E68" s="1001">
        <v>1584</v>
      </c>
    </row>
    <row r="69" spans="1:5" x14ac:dyDescent="0.35">
      <c r="A69" s="286">
        <v>66</v>
      </c>
      <c r="B69" s="368" t="s">
        <v>171</v>
      </c>
      <c r="C69" s="647">
        <f t="shared" ref="C69:C132" si="1">E69-D69</f>
        <v>5081</v>
      </c>
      <c r="D69" s="647">
        <v>1955</v>
      </c>
      <c r="E69" s="1001">
        <v>7036</v>
      </c>
    </row>
    <row r="70" spans="1:5" x14ac:dyDescent="0.35">
      <c r="A70" s="286">
        <v>67</v>
      </c>
      <c r="B70" s="368" t="s">
        <v>172</v>
      </c>
      <c r="C70" s="647">
        <f t="shared" si="1"/>
        <v>13312</v>
      </c>
      <c r="D70" s="647">
        <v>6225</v>
      </c>
      <c r="E70" s="1001">
        <v>19537</v>
      </c>
    </row>
    <row r="71" spans="1:5" x14ac:dyDescent="0.35">
      <c r="A71" s="286">
        <v>68</v>
      </c>
      <c r="B71" s="368" t="s">
        <v>173</v>
      </c>
      <c r="C71" s="647">
        <f t="shared" si="1"/>
        <v>25</v>
      </c>
      <c r="D71" s="647">
        <v>36</v>
      </c>
      <c r="E71" s="1001">
        <v>61</v>
      </c>
    </row>
    <row r="72" spans="1:5" x14ac:dyDescent="0.35">
      <c r="A72" s="286">
        <v>69</v>
      </c>
      <c r="B72" s="368" t="s">
        <v>834</v>
      </c>
      <c r="C72" s="647">
        <f t="shared" si="1"/>
        <v>83</v>
      </c>
      <c r="D72" s="647">
        <v>76</v>
      </c>
      <c r="E72" s="1001">
        <v>159</v>
      </c>
    </row>
    <row r="73" spans="1:5" x14ac:dyDescent="0.35">
      <c r="A73" s="286">
        <v>70</v>
      </c>
      <c r="B73" s="368" t="s">
        <v>174</v>
      </c>
      <c r="C73" s="647">
        <f t="shared" si="1"/>
        <v>5293</v>
      </c>
      <c r="D73" s="647">
        <v>11429</v>
      </c>
      <c r="E73" s="1001">
        <v>16722</v>
      </c>
    </row>
    <row r="74" spans="1:5" x14ac:dyDescent="0.35">
      <c r="A74" s="286">
        <v>71</v>
      </c>
      <c r="B74" s="368" t="s">
        <v>835</v>
      </c>
      <c r="C74" s="647">
        <f t="shared" si="1"/>
        <v>99</v>
      </c>
      <c r="D74" s="647">
        <v>99</v>
      </c>
      <c r="E74" s="1001">
        <v>198</v>
      </c>
    </row>
    <row r="75" spans="1:5" x14ac:dyDescent="0.35">
      <c r="A75" s="286">
        <v>72</v>
      </c>
      <c r="B75" s="368" t="s">
        <v>175</v>
      </c>
      <c r="C75" s="647">
        <f t="shared" si="1"/>
        <v>46726</v>
      </c>
      <c r="D75" s="647">
        <v>33828</v>
      </c>
      <c r="E75" s="1001">
        <v>80554</v>
      </c>
    </row>
    <row r="76" spans="1:5" x14ac:dyDescent="0.35">
      <c r="A76" s="286">
        <v>73</v>
      </c>
      <c r="B76" s="368" t="s">
        <v>836</v>
      </c>
      <c r="C76" s="647">
        <f t="shared" si="1"/>
        <v>150</v>
      </c>
      <c r="D76" s="647">
        <v>133</v>
      </c>
      <c r="E76" s="1001">
        <v>283</v>
      </c>
    </row>
    <row r="77" spans="1:5" x14ac:dyDescent="0.35">
      <c r="A77" s="286">
        <v>74</v>
      </c>
      <c r="B77" s="368" t="s">
        <v>837</v>
      </c>
      <c r="C77" s="647">
        <f t="shared" si="1"/>
        <v>52</v>
      </c>
      <c r="D77" s="647">
        <v>5</v>
      </c>
      <c r="E77" s="1001">
        <v>57</v>
      </c>
    </row>
    <row r="78" spans="1:5" x14ac:dyDescent="0.35">
      <c r="A78" s="286">
        <v>75</v>
      </c>
      <c r="B78" s="368" t="s">
        <v>176</v>
      </c>
      <c r="C78" s="647">
        <f t="shared" si="1"/>
        <v>1284</v>
      </c>
      <c r="D78" s="647">
        <v>851</v>
      </c>
      <c r="E78" s="1001">
        <v>2135</v>
      </c>
    </row>
    <row r="79" spans="1:5" ht="26.5" x14ac:dyDescent="0.35">
      <c r="A79" s="286">
        <v>76</v>
      </c>
      <c r="B79" s="368" t="s">
        <v>838</v>
      </c>
      <c r="C79" s="647">
        <f t="shared" si="1"/>
        <v>233</v>
      </c>
      <c r="D79" s="647">
        <v>504</v>
      </c>
      <c r="E79" s="1001">
        <v>737</v>
      </c>
    </row>
    <row r="80" spans="1:5" x14ac:dyDescent="0.35">
      <c r="A80" s="286">
        <v>77</v>
      </c>
      <c r="B80" s="368" t="s">
        <v>177</v>
      </c>
      <c r="C80" s="647">
        <f t="shared" si="1"/>
        <v>104</v>
      </c>
      <c r="D80" s="647">
        <v>420</v>
      </c>
      <c r="E80" s="1001">
        <v>524</v>
      </c>
    </row>
    <row r="81" spans="1:5" x14ac:dyDescent="0.35">
      <c r="A81" s="286">
        <v>78</v>
      </c>
      <c r="B81" s="368" t="s">
        <v>839</v>
      </c>
      <c r="C81" s="647">
        <f t="shared" si="1"/>
        <v>197</v>
      </c>
      <c r="D81" s="647">
        <v>130</v>
      </c>
      <c r="E81" s="1001">
        <v>327</v>
      </c>
    </row>
    <row r="82" spans="1:5" x14ac:dyDescent="0.35">
      <c r="A82" s="286">
        <v>79</v>
      </c>
      <c r="B82" s="368" t="s">
        <v>178</v>
      </c>
      <c r="C82" s="647">
        <f t="shared" si="1"/>
        <v>2889</v>
      </c>
      <c r="D82" s="647">
        <v>3382</v>
      </c>
      <c r="E82" s="1001">
        <v>6271</v>
      </c>
    </row>
    <row r="83" spans="1:5" x14ac:dyDescent="0.35">
      <c r="A83" s="286">
        <v>80</v>
      </c>
      <c r="B83" s="368" t="s">
        <v>840</v>
      </c>
      <c r="C83" s="647">
        <f t="shared" si="1"/>
        <v>253</v>
      </c>
      <c r="D83" s="647">
        <v>203</v>
      </c>
      <c r="E83" s="1001">
        <v>456</v>
      </c>
    </row>
    <row r="84" spans="1:5" x14ac:dyDescent="0.35">
      <c r="A84" s="286">
        <v>81</v>
      </c>
      <c r="B84" s="368" t="s">
        <v>179</v>
      </c>
      <c r="C84" s="647">
        <f t="shared" si="1"/>
        <v>8324</v>
      </c>
      <c r="D84" s="647">
        <v>9321</v>
      </c>
      <c r="E84" s="1001">
        <v>17645</v>
      </c>
    </row>
    <row r="85" spans="1:5" ht="26.5" x14ac:dyDescent="0.35">
      <c r="A85" s="286">
        <v>82</v>
      </c>
      <c r="B85" s="368" t="s">
        <v>841</v>
      </c>
      <c r="C85" s="647">
        <f t="shared" si="1"/>
        <v>36</v>
      </c>
      <c r="D85" s="647">
        <v>16</v>
      </c>
      <c r="E85" s="1001">
        <v>52</v>
      </c>
    </row>
    <row r="86" spans="1:5" x14ac:dyDescent="0.35">
      <c r="A86" s="286">
        <v>83</v>
      </c>
      <c r="B86" s="368" t="s">
        <v>180</v>
      </c>
      <c r="C86" s="647">
        <f t="shared" si="1"/>
        <v>78144</v>
      </c>
      <c r="D86" s="647">
        <v>65530</v>
      </c>
      <c r="E86" s="1001">
        <v>143674</v>
      </c>
    </row>
    <row r="87" spans="1:5" x14ac:dyDescent="0.35">
      <c r="A87" s="286">
        <v>84</v>
      </c>
      <c r="B87" s="368" t="s">
        <v>181</v>
      </c>
      <c r="C87" s="647">
        <f t="shared" si="1"/>
        <v>17832</v>
      </c>
      <c r="D87" s="647">
        <v>64382</v>
      </c>
      <c r="E87" s="1001">
        <v>82214</v>
      </c>
    </row>
    <row r="88" spans="1:5" x14ac:dyDescent="0.35">
      <c r="A88" s="286">
        <v>85</v>
      </c>
      <c r="B88" s="368" t="s">
        <v>182</v>
      </c>
      <c r="C88" s="647">
        <f t="shared" si="1"/>
        <v>3225</v>
      </c>
      <c r="D88" s="647">
        <v>13808</v>
      </c>
      <c r="E88" s="1001">
        <v>17033</v>
      </c>
    </row>
    <row r="89" spans="1:5" ht="26.5" x14ac:dyDescent="0.35">
      <c r="A89" s="286">
        <v>86</v>
      </c>
      <c r="B89" s="368" t="s">
        <v>842</v>
      </c>
      <c r="C89" s="647">
        <f t="shared" si="1"/>
        <v>4</v>
      </c>
      <c r="D89" s="647">
        <v>8</v>
      </c>
      <c r="E89" s="1001">
        <v>12</v>
      </c>
    </row>
    <row r="90" spans="1:5" x14ac:dyDescent="0.35">
      <c r="A90" s="286">
        <v>87</v>
      </c>
      <c r="B90" s="368" t="s">
        <v>843</v>
      </c>
      <c r="C90" s="647">
        <f t="shared" si="1"/>
        <v>333</v>
      </c>
      <c r="D90" s="647">
        <v>103</v>
      </c>
      <c r="E90" s="1001">
        <v>436</v>
      </c>
    </row>
    <row r="91" spans="1:5" x14ac:dyDescent="0.35">
      <c r="A91" s="286">
        <v>88</v>
      </c>
      <c r="B91" s="368" t="s">
        <v>183</v>
      </c>
      <c r="C91" s="647">
        <f t="shared" si="1"/>
        <v>564505</v>
      </c>
      <c r="D91" s="647">
        <v>673384</v>
      </c>
      <c r="E91" s="1001">
        <v>1237889</v>
      </c>
    </row>
    <row r="92" spans="1:5" x14ac:dyDescent="0.35">
      <c r="A92" s="286">
        <v>89</v>
      </c>
      <c r="B92" s="368" t="s">
        <v>184</v>
      </c>
      <c r="C92" s="647">
        <f t="shared" si="1"/>
        <v>148</v>
      </c>
      <c r="D92" s="647">
        <v>177</v>
      </c>
      <c r="E92" s="1001">
        <v>325</v>
      </c>
    </row>
    <row r="93" spans="1:5" x14ac:dyDescent="0.35">
      <c r="A93" s="286">
        <v>90</v>
      </c>
      <c r="B93" s="368" t="s">
        <v>185</v>
      </c>
      <c r="C93" s="647">
        <f t="shared" si="1"/>
        <v>359796</v>
      </c>
      <c r="D93" s="647">
        <v>149907</v>
      </c>
      <c r="E93" s="1001">
        <v>509703</v>
      </c>
    </row>
    <row r="94" spans="1:5" ht="26.5" x14ac:dyDescent="0.35">
      <c r="A94" s="286">
        <v>91</v>
      </c>
      <c r="B94" s="368" t="s">
        <v>186</v>
      </c>
      <c r="C94" s="647">
        <f t="shared" si="1"/>
        <v>3045</v>
      </c>
      <c r="D94" s="647">
        <v>1215</v>
      </c>
      <c r="E94" s="1001">
        <v>4260</v>
      </c>
    </row>
    <row r="95" spans="1:5" x14ac:dyDescent="0.35">
      <c r="A95" s="286">
        <v>92</v>
      </c>
      <c r="B95" s="368" t="s">
        <v>187</v>
      </c>
      <c r="C95" s="647">
        <f t="shared" si="1"/>
        <v>1014</v>
      </c>
      <c r="D95" s="647">
        <v>940</v>
      </c>
      <c r="E95" s="1001">
        <v>1954</v>
      </c>
    </row>
    <row r="96" spans="1:5" x14ac:dyDescent="0.35">
      <c r="A96" s="286">
        <v>93</v>
      </c>
      <c r="B96" s="368" t="s">
        <v>188</v>
      </c>
      <c r="C96" s="647">
        <f t="shared" si="1"/>
        <v>250</v>
      </c>
      <c r="D96" s="647">
        <v>260</v>
      </c>
      <c r="E96" s="1001">
        <v>510</v>
      </c>
    </row>
    <row r="97" spans="1:5" ht="26.5" x14ac:dyDescent="0.35">
      <c r="A97" s="286">
        <v>94</v>
      </c>
      <c r="B97" s="368" t="s">
        <v>189</v>
      </c>
      <c r="C97" s="647">
        <f t="shared" si="1"/>
        <v>2102</v>
      </c>
      <c r="D97" s="647">
        <v>1609</v>
      </c>
      <c r="E97" s="1001">
        <v>3711</v>
      </c>
    </row>
    <row r="98" spans="1:5" x14ac:dyDescent="0.35">
      <c r="A98" s="286">
        <v>95</v>
      </c>
      <c r="B98" s="368" t="s">
        <v>190</v>
      </c>
      <c r="C98" s="647">
        <f t="shared" si="1"/>
        <v>479</v>
      </c>
      <c r="D98" s="647">
        <v>299</v>
      </c>
      <c r="E98" s="1001">
        <v>778</v>
      </c>
    </row>
    <row r="99" spans="1:5" x14ac:dyDescent="0.35">
      <c r="A99" s="286">
        <v>96</v>
      </c>
      <c r="B99" s="368" t="s">
        <v>191</v>
      </c>
      <c r="C99" s="647">
        <f t="shared" si="1"/>
        <v>7405</v>
      </c>
      <c r="D99" s="647">
        <v>7130</v>
      </c>
      <c r="E99" s="1001">
        <v>14535</v>
      </c>
    </row>
    <row r="100" spans="1:5" x14ac:dyDescent="0.35">
      <c r="A100" s="286">
        <v>97</v>
      </c>
      <c r="B100" s="368" t="s">
        <v>192</v>
      </c>
      <c r="C100" s="647">
        <f t="shared" si="1"/>
        <v>28</v>
      </c>
      <c r="D100" s="647">
        <v>20</v>
      </c>
      <c r="E100" s="1001">
        <v>48</v>
      </c>
    </row>
    <row r="101" spans="1:5" x14ac:dyDescent="0.35">
      <c r="A101" s="286">
        <v>98</v>
      </c>
      <c r="B101" s="368" t="s">
        <v>844</v>
      </c>
      <c r="C101" s="647">
        <f t="shared" si="1"/>
        <v>0</v>
      </c>
      <c r="D101" s="647">
        <v>109</v>
      </c>
      <c r="E101" s="1001">
        <v>109</v>
      </c>
    </row>
    <row r="102" spans="1:5" ht="26.5" x14ac:dyDescent="0.35">
      <c r="A102" s="286">
        <v>99</v>
      </c>
      <c r="B102" s="368" t="s">
        <v>845</v>
      </c>
      <c r="C102" s="647">
        <f t="shared" si="1"/>
        <v>33</v>
      </c>
      <c r="D102" s="647">
        <v>20</v>
      </c>
      <c r="E102" s="1001">
        <v>53</v>
      </c>
    </row>
    <row r="103" spans="1:5" x14ac:dyDescent="0.35">
      <c r="A103" s="286">
        <v>100</v>
      </c>
      <c r="B103" s="368" t="s">
        <v>846</v>
      </c>
      <c r="C103" s="647">
        <f t="shared" si="1"/>
        <v>63</v>
      </c>
      <c r="D103" s="647">
        <v>15</v>
      </c>
      <c r="E103" s="1001">
        <v>78</v>
      </c>
    </row>
    <row r="104" spans="1:5" x14ac:dyDescent="0.35">
      <c r="A104" s="286">
        <v>101</v>
      </c>
      <c r="B104" s="368" t="s">
        <v>193</v>
      </c>
      <c r="C104" s="647">
        <f t="shared" si="1"/>
        <v>27910</v>
      </c>
      <c r="D104" s="647">
        <v>25116</v>
      </c>
      <c r="E104" s="1001">
        <v>53026</v>
      </c>
    </row>
    <row r="105" spans="1:5" x14ac:dyDescent="0.35">
      <c r="A105" s="286">
        <v>102</v>
      </c>
      <c r="B105" s="368" t="s">
        <v>194</v>
      </c>
      <c r="C105" s="647">
        <f t="shared" si="1"/>
        <v>34403</v>
      </c>
      <c r="D105" s="647">
        <v>49010</v>
      </c>
      <c r="E105" s="1001">
        <v>83413</v>
      </c>
    </row>
    <row r="106" spans="1:5" x14ac:dyDescent="0.35">
      <c r="A106" s="286">
        <v>103</v>
      </c>
      <c r="B106" s="368" t="s">
        <v>847</v>
      </c>
      <c r="C106" s="647">
        <f t="shared" si="1"/>
        <v>21581</v>
      </c>
      <c r="D106" s="647">
        <v>33985</v>
      </c>
      <c r="E106" s="1001">
        <v>55566</v>
      </c>
    </row>
    <row r="107" spans="1:5" x14ac:dyDescent="0.35">
      <c r="A107" s="286">
        <v>104</v>
      </c>
      <c r="B107" s="368" t="s">
        <v>848</v>
      </c>
      <c r="C107" s="647">
        <f t="shared" si="1"/>
        <v>18</v>
      </c>
      <c r="D107" s="647">
        <v>5</v>
      </c>
      <c r="E107" s="1001">
        <v>23</v>
      </c>
    </row>
    <row r="108" spans="1:5" x14ac:dyDescent="0.35">
      <c r="A108" s="286">
        <v>105</v>
      </c>
      <c r="B108" s="368" t="s">
        <v>195</v>
      </c>
      <c r="C108" s="647">
        <f t="shared" si="1"/>
        <v>361</v>
      </c>
      <c r="D108" s="647">
        <v>99</v>
      </c>
      <c r="E108" s="1001">
        <v>460</v>
      </c>
    </row>
    <row r="109" spans="1:5" x14ac:dyDescent="0.35">
      <c r="A109" s="286">
        <v>106</v>
      </c>
      <c r="B109" s="368" t="s">
        <v>849</v>
      </c>
      <c r="C109" s="647">
        <f t="shared" si="1"/>
        <v>1314</v>
      </c>
      <c r="D109" s="647">
        <v>1048</v>
      </c>
      <c r="E109" s="1001">
        <v>2362</v>
      </c>
    </row>
    <row r="110" spans="1:5" x14ac:dyDescent="0.35">
      <c r="A110" s="286">
        <v>107</v>
      </c>
      <c r="B110" s="368" t="s">
        <v>850</v>
      </c>
      <c r="C110" s="647">
        <f t="shared" si="1"/>
        <v>0</v>
      </c>
      <c r="D110" s="647">
        <v>1</v>
      </c>
      <c r="E110" s="1001">
        <v>1</v>
      </c>
    </row>
    <row r="111" spans="1:5" x14ac:dyDescent="0.35">
      <c r="A111" s="286">
        <v>108</v>
      </c>
      <c r="B111" s="368" t="s">
        <v>196</v>
      </c>
      <c r="C111" s="647">
        <f t="shared" si="1"/>
        <v>160</v>
      </c>
      <c r="D111" s="647">
        <v>130</v>
      </c>
      <c r="E111" s="1001">
        <v>290</v>
      </c>
    </row>
    <row r="112" spans="1:5" x14ac:dyDescent="0.35">
      <c r="A112" s="286">
        <v>109</v>
      </c>
      <c r="B112" s="368" t="s">
        <v>197</v>
      </c>
      <c r="C112" s="647">
        <f t="shared" si="1"/>
        <v>46937</v>
      </c>
      <c r="D112" s="647">
        <v>21147</v>
      </c>
      <c r="E112" s="1001">
        <v>68084</v>
      </c>
    </row>
    <row r="113" spans="1:5" x14ac:dyDescent="0.35">
      <c r="A113" s="286">
        <v>110</v>
      </c>
      <c r="B113" s="368" t="s">
        <v>198</v>
      </c>
      <c r="C113" s="647">
        <f t="shared" si="1"/>
        <v>112</v>
      </c>
      <c r="D113" s="647">
        <v>114</v>
      </c>
      <c r="E113" s="1001">
        <v>226</v>
      </c>
    </row>
    <row r="114" spans="1:5" x14ac:dyDescent="0.35">
      <c r="A114" s="286">
        <v>111</v>
      </c>
      <c r="B114" s="368" t="s">
        <v>199</v>
      </c>
      <c r="C114" s="647">
        <f t="shared" si="1"/>
        <v>336</v>
      </c>
      <c r="D114" s="647">
        <v>131</v>
      </c>
      <c r="E114" s="1001">
        <v>467</v>
      </c>
    </row>
    <row r="115" spans="1:5" x14ac:dyDescent="0.35">
      <c r="A115" s="286">
        <v>112</v>
      </c>
      <c r="B115" s="368" t="s">
        <v>851</v>
      </c>
      <c r="C115" s="647">
        <f t="shared" si="1"/>
        <v>565</v>
      </c>
      <c r="D115" s="647">
        <v>571</v>
      </c>
      <c r="E115" s="1001">
        <v>1136</v>
      </c>
    </row>
    <row r="116" spans="1:5" x14ac:dyDescent="0.35">
      <c r="A116" s="286">
        <v>113</v>
      </c>
      <c r="B116" s="368" t="s">
        <v>852</v>
      </c>
      <c r="C116" s="647">
        <f t="shared" si="1"/>
        <v>325</v>
      </c>
      <c r="D116" s="647">
        <v>215</v>
      </c>
      <c r="E116" s="1001">
        <v>540</v>
      </c>
    </row>
    <row r="117" spans="1:5" x14ac:dyDescent="0.35">
      <c r="A117" s="286">
        <v>114</v>
      </c>
      <c r="B117" s="368" t="s">
        <v>200</v>
      </c>
      <c r="C117" s="647">
        <f t="shared" si="1"/>
        <v>360729</v>
      </c>
      <c r="D117" s="647">
        <v>143668</v>
      </c>
      <c r="E117" s="1001">
        <v>504397</v>
      </c>
    </row>
    <row r="118" spans="1:5" x14ac:dyDescent="0.35">
      <c r="A118" s="286">
        <v>115</v>
      </c>
      <c r="B118" s="368" t="s">
        <v>853</v>
      </c>
      <c r="C118" s="647">
        <f t="shared" si="1"/>
        <v>782</v>
      </c>
      <c r="D118" s="647">
        <v>261</v>
      </c>
      <c r="E118" s="1001">
        <v>1043</v>
      </c>
    </row>
    <row r="119" spans="1:5" x14ac:dyDescent="0.35">
      <c r="A119" s="286">
        <v>116</v>
      </c>
      <c r="B119" s="368" t="s">
        <v>854</v>
      </c>
      <c r="C119" s="647">
        <f t="shared" si="1"/>
        <v>58</v>
      </c>
      <c r="D119" s="647">
        <v>3</v>
      </c>
      <c r="E119" s="1001">
        <v>61</v>
      </c>
    </row>
    <row r="120" spans="1:5" x14ac:dyDescent="0.35">
      <c r="A120" s="286">
        <v>117</v>
      </c>
      <c r="B120" s="368" t="s">
        <v>855</v>
      </c>
      <c r="C120" s="647">
        <f t="shared" si="1"/>
        <v>5</v>
      </c>
      <c r="D120" s="647">
        <v>60</v>
      </c>
      <c r="E120" s="1001">
        <v>65</v>
      </c>
    </row>
    <row r="121" spans="1:5" x14ac:dyDescent="0.35">
      <c r="A121" s="286">
        <v>118</v>
      </c>
      <c r="B121" s="368" t="s">
        <v>202</v>
      </c>
      <c r="C121" s="647">
        <f t="shared" si="1"/>
        <v>17384</v>
      </c>
      <c r="D121" s="647">
        <v>71150</v>
      </c>
      <c r="E121" s="1001">
        <v>88534</v>
      </c>
    </row>
    <row r="122" spans="1:5" x14ac:dyDescent="0.35">
      <c r="A122" s="286">
        <v>119</v>
      </c>
      <c r="B122" s="368" t="s">
        <v>856</v>
      </c>
      <c r="C122" s="647">
        <f t="shared" si="1"/>
        <v>2698</v>
      </c>
      <c r="D122" s="647">
        <v>731</v>
      </c>
      <c r="E122" s="1001">
        <v>3429</v>
      </c>
    </row>
    <row r="123" spans="1:5" x14ac:dyDescent="0.35">
      <c r="A123" s="286">
        <v>120</v>
      </c>
      <c r="B123" s="368" t="s">
        <v>203</v>
      </c>
      <c r="C123" s="647">
        <f t="shared" si="1"/>
        <v>250</v>
      </c>
      <c r="D123" s="647">
        <v>385</v>
      </c>
      <c r="E123" s="1001">
        <v>635</v>
      </c>
    </row>
    <row r="124" spans="1:5" ht="26.5" x14ac:dyDescent="0.35">
      <c r="A124" s="286">
        <v>121</v>
      </c>
      <c r="B124" s="368" t="s">
        <v>204</v>
      </c>
      <c r="C124" s="647">
        <f t="shared" si="1"/>
        <v>1778</v>
      </c>
      <c r="D124" s="647">
        <v>1255</v>
      </c>
      <c r="E124" s="1001">
        <v>3033</v>
      </c>
    </row>
    <row r="125" spans="1:5" ht="26.5" x14ac:dyDescent="0.35">
      <c r="A125" s="286">
        <v>122</v>
      </c>
      <c r="B125" s="368" t="s">
        <v>857</v>
      </c>
      <c r="C125" s="647">
        <f t="shared" si="1"/>
        <v>686</v>
      </c>
      <c r="D125" s="647">
        <v>423</v>
      </c>
      <c r="E125" s="1001">
        <v>1109</v>
      </c>
    </row>
    <row r="126" spans="1:5" x14ac:dyDescent="0.35">
      <c r="A126" s="286">
        <v>123</v>
      </c>
      <c r="B126" s="368" t="s">
        <v>858</v>
      </c>
      <c r="C126" s="647">
        <f t="shared" si="1"/>
        <v>14</v>
      </c>
      <c r="D126" s="647">
        <v>27</v>
      </c>
      <c r="E126" s="1001">
        <v>41</v>
      </c>
    </row>
    <row r="127" spans="1:5" x14ac:dyDescent="0.35">
      <c r="A127" s="286">
        <v>124</v>
      </c>
      <c r="B127" s="368" t="s">
        <v>205</v>
      </c>
      <c r="C127" s="647">
        <f t="shared" si="1"/>
        <v>2586</v>
      </c>
      <c r="D127" s="647">
        <v>1852</v>
      </c>
      <c r="E127" s="1001">
        <v>4438</v>
      </c>
    </row>
    <row r="128" spans="1:5" x14ac:dyDescent="0.35">
      <c r="A128" s="286">
        <v>125</v>
      </c>
      <c r="B128" s="368" t="s">
        <v>206</v>
      </c>
      <c r="C128" s="647">
        <f t="shared" si="1"/>
        <v>113</v>
      </c>
      <c r="D128" s="647">
        <v>121</v>
      </c>
      <c r="E128" s="1001">
        <v>234</v>
      </c>
    </row>
    <row r="129" spans="1:5" x14ac:dyDescent="0.35">
      <c r="A129" s="286">
        <v>126</v>
      </c>
      <c r="B129" s="368" t="s">
        <v>207</v>
      </c>
      <c r="C129" s="647">
        <f t="shared" si="1"/>
        <v>71251</v>
      </c>
      <c r="D129" s="647">
        <v>33179</v>
      </c>
      <c r="E129" s="1001">
        <v>104430</v>
      </c>
    </row>
    <row r="130" spans="1:5" x14ac:dyDescent="0.35">
      <c r="A130" s="286">
        <v>127</v>
      </c>
      <c r="B130" s="368" t="s">
        <v>859</v>
      </c>
      <c r="C130" s="647">
        <f t="shared" si="1"/>
        <v>19</v>
      </c>
      <c r="D130" s="647">
        <v>24</v>
      </c>
      <c r="E130" s="1001">
        <v>43</v>
      </c>
    </row>
    <row r="131" spans="1:5" x14ac:dyDescent="0.35">
      <c r="A131" s="286">
        <v>128</v>
      </c>
      <c r="B131" s="368" t="s">
        <v>208</v>
      </c>
      <c r="C131" s="647">
        <f t="shared" si="1"/>
        <v>10248</v>
      </c>
      <c r="D131" s="647">
        <v>9288</v>
      </c>
      <c r="E131" s="1001">
        <v>19536</v>
      </c>
    </row>
    <row r="132" spans="1:5" x14ac:dyDescent="0.35">
      <c r="A132" s="286">
        <v>129</v>
      </c>
      <c r="B132" s="368" t="s">
        <v>860</v>
      </c>
      <c r="C132" s="647">
        <f t="shared" si="1"/>
        <v>104</v>
      </c>
      <c r="D132" s="647">
        <v>74</v>
      </c>
      <c r="E132" s="1001">
        <v>178</v>
      </c>
    </row>
    <row r="133" spans="1:5" x14ac:dyDescent="0.35">
      <c r="A133" s="286">
        <v>130</v>
      </c>
      <c r="B133" s="368" t="s">
        <v>209</v>
      </c>
      <c r="C133" s="647">
        <f t="shared" ref="C133:C196" si="2">E133-D133</f>
        <v>107</v>
      </c>
      <c r="D133" s="647">
        <v>297</v>
      </c>
      <c r="E133" s="1001">
        <v>404</v>
      </c>
    </row>
    <row r="134" spans="1:5" x14ac:dyDescent="0.35">
      <c r="A134" s="286">
        <v>131</v>
      </c>
      <c r="B134" s="368" t="s">
        <v>210</v>
      </c>
      <c r="C134" s="647">
        <f t="shared" si="2"/>
        <v>294179</v>
      </c>
      <c r="D134" s="647">
        <v>466305</v>
      </c>
      <c r="E134" s="1001">
        <v>760484</v>
      </c>
    </row>
    <row r="135" spans="1:5" x14ac:dyDescent="0.35">
      <c r="A135" s="286">
        <v>132</v>
      </c>
      <c r="B135" s="368" t="s">
        <v>211</v>
      </c>
      <c r="C135" s="647">
        <f t="shared" si="2"/>
        <v>654</v>
      </c>
      <c r="D135" s="647">
        <v>916</v>
      </c>
      <c r="E135" s="1001">
        <v>1570</v>
      </c>
    </row>
    <row r="136" spans="1:5" x14ac:dyDescent="0.35">
      <c r="A136" s="286">
        <v>133</v>
      </c>
      <c r="B136" s="368" t="s">
        <v>212</v>
      </c>
      <c r="C136" s="647">
        <f t="shared" si="2"/>
        <v>135812</v>
      </c>
      <c r="D136" s="647">
        <v>108169</v>
      </c>
      <c r="E136" s="1001">
        <v>243981</v>
      </c>
    </row>
    <row r="137" spans="1:5" ht="26.5" x14ac:dyDescent="0.35">
      <c r="A137" s="286">
        <v>134</v>
      </c>
      <c r="B137" s="368" t="s">
        <v>213</v>
      </c>
      <c r="C137" s="647">
        <f t="shared" si="2"/>
        <v>95</v>
      </c>
      <c r="D137" s="647">
        <v>72</v>
      </c>
      <c r="E137" s="1001">
        <v>167</v>
      </c>
    </row>
    <row r="138" spans="1:5" ht="26.5" x14ac:dyDescent="0.35">
      <c r="A138" s="286">
        <v>135</v>
      </c>
      <c r="B138" s="368" t="s">
        <v>214</v>
      </c>
      <c r="C138" s="647">
        <f t="shared" si="2"/>
        <v>402</v>
      </c>
      <c r="D138" s="647">
        <v>345</v>
      </c>
      <c r="E138" s="1001">
        <v>747</v>
      </c>
    </row>
    <row r="139" spans="1:5" x14ac:dyDescent="0.35">
      <c r="A139" s="286">
        <v>136</v>
      </c>
      <c r="B139" s="368" t="s">
        <v>215</v>
      </c>
      <c r="C139" s="647">
        <f t="shared" si="2"/>
        <v>29629</v>
      </c>
      <c r="D139" s="647">
        <v>31081</v>
      </c>
      <c r="E139" s="1001">
        <v>60710</v>
      </c>
    </row>
    <row r="140" spans="1:5" x14ac:dyDescent="0.35">
      <c r="A140" s="286">
        <v>137</v>
      </c>
      <c r="B140" s="368" t="s">
        <v>216</v>
      </c>
      <c r="C140" s="647">
        <f t="shared" si="2"/>
        <v>31815</v>
      </c>
      <c r="D140" s="647">
        <v>24310</v>
      </c>
      <c r="E140" s="1001">
        <v>56125</v>
      </c>
    </row>
    <row r="141" spans="1:5" x14ac:dyDescent="0.35">
      <c r="A141" s="286">
        <v>138</v>
      </c>
      <c r="B141" s="368" t="s">
        <v>217</v>
      </c>
      <c r="C141" s="647">
        <f t="shared" si="2"/>
        <v>273</v>
      </c>
      <c r="D141" s="647">
        <v>57</v>
      </c>
      <c r="E141" s="1001">
        <v>330</v>
      </c>
    </row>
    <row r="142" spans="1:5" ht="26.5" x14ac:dyDescent="0.35">
      <c r="A142" s="286">
        <v>139</v>
      </c>
      <c r="B142" s="368" t="s">
        <v>861</v>
      </c>
      <c r="C142" s="647">
        <f t="shared" si="2"/>
        <v>27</v>
      </c>
      <c r="D142" s="647">
        <v>46</v>
      </c>
      <c r="E142" s="1001">
        <v>73</v>
      </c>
    </row>
    <row r="143" spans="1:5" x14ac:dyDescent="0.35">
      <c r="A143" s="286">
        <v>140</v>
      </c>
      <c r="B143" s="368" t="s">
        <v>218</v>
      </c>
      <c r="C143" s="647">
        <f t="shared" si="2"/>
        <v>74908</v>
      </c>
      <c r="D143" s="647">
        <v>125906</v>
      </c>
      <c r="E143" s="1001">
        <v>200814</v>
      </c>
    </row>
    <row r="144" spans="1:5" x14ac:dyDescent="0.35">
      <c r="A144" s="286">
        <v>141</v>
      </c>
      <c r="B144" s="368" t="s">
        <v>219</v>
      </c>
      <c r="C144" s="647">
        <f t="shared" si="2"/>
        <v>7964</v>
      </c>
      <c r="D144" s="647">
        <v>9575</v>
      </c>
      <c r="E144" s="1001">
        <v>17539</v>
      </c>
    </row>
    <row r="145" spans="1:5" x14ac:dyDescent="0.35">
      <c r="A145" s="286">
        <v>142</v>
      </c>
      <c r="B145" s="368" t="s">
        <v>220</v>
      </c>
      <c r="C145" s="647">
        <f t="shared" si="2"/>
        <v>2002</v>
      </c>
      <c r="D145" s="647">
        <v>4399</v>
      </c>
      <c r="E145" s="1001">
        <v>6401</v>
      </c>
    </row>
    <row r="146" spans="1:5" x14ac:dyDescent="0.35">
      <c r="A146" s="286">
        <v>143</v>
      </c>
      <c r="B146" s="368" t="s">
        <v>221</v>
      </c>
      <c r="C146" s="647">
        <f t="shared" si="2"/>
        <v>21</v>
      </c>
      <c r="D146" s="647">
        <v>53</v>
      </c>
      <c r="E146" s="1001">
        <v>74</v>
      </c>
    </row>
    <row r="147" spans="1:5" x14ac:dyDescent="0.35">
      <c r="A147" s="286">
        <v>144</v>
      </c>
      <c r="B147" s="368" t="s">
        <v>222</v>
      </c>
      <c r="C147" s="647">
        <f t="shared" si="2"/>
        <v>635</v>
      </c>
      <c r="D147" s="647">
        <v>896</v>
      </c>
      <c r="E147" s="1001">
        <v>1531</v>
      </c>
    </row>
    <row r="148" spans="1:5" x14ac:dyDescent="0.35">
      <c r="A148" s="286">
        <v>145</v>
      </c>
      <c r="B148" s="368" t="s">
        <v>223</v>
      </c>
      <c r="C148" s="647">
        <f t="shared" si="2"/>
        <v>6717</v>
      </c>
      <c r="D148" s="647">
        <v>4129</v>
      </c>
      <c r="E148" s="1001">
        <v>10846</v>
      </c>
    </row>
    <row r="149" spans="1:5" x14ac:dyDescent="0.35">
      <c r="A149" s="286">
        <v>146</v>
      </c>
      <c r="B149" s="368" t="s">
        <v>224</v>
      </c>
      <c r="C149" s="647">
        <f t="shared" si="2"/>
        <v>8323</v>
      </c>
      <c r="D149" s="647">
        <v>18395</v>
      </c>
      <c r="E149" s="1001">
        <v>26718</v>
      </c>
    </row>
    <row r="150" spans="1:5" x14ac:dyDescent="0.35">
      <c r="A150" s="286">
        <v>147</v>
      </c>
      <c r="B150" s="368" t="s">
        <v>225</v>
      </c>
      <c r="C150" s="647">
        <f t="shared" si="2"/>
        <v>986</v>
      </c>
      <c r="D150" s="647">
        <v>1202</v>
      </c>
      <c r="E150" s="1001">
        <v>2188</v>
      </c>
    </row>
    <row r="151" spans="1:5" x14ac:dyDescent="0.35">
      <c r="A151" s="286">
        <v>148</v>
      </c>
      <c r="B151" s="368" t="s">
        <v>862</v>
      </c>
      <c r="C151" s="647">
        <f t="shared" si="2"/>
        <v>228</v>
      </c>
      <c r="D151" s="647">
        <v>169</v>
      </c>
      <c r="E151" s="1001">
        <v>397</v>
      </c>
    </row>
    <row r="152" spans="1:5" x14ac:dyDescent="0.35">
      <c r="A152" s="286">
        <v>149</v>
      </c>
      <c r="B152" s="368" t="s">
        <v>863</v>
      </c>
      <c r="C152" s="647">
        <f t="shared" si="2"/>
        <v>43</v>
      </c>
      <c r="D152" s="647">
        <v>236</v>
      </c>
      <c r="E152" s="1001">
        <v>279</v>
      </c>
    </row>
    <row r="153" spans="1:5" x14ac:dyDescent="0.35">
      <c r="A153" s="286">
        <v>150</v>
      </c>
      <c r="B153" s="368" t="s">
        <v>864</v>
      </c>
      <c r="C153" s="647">
        <f t="shared" si="2"/>
        <v>270</v>
      </c>
      <c r="D153" s="647">
        <v>293</v>
      </c>
      <c r="E153" s="1001">
        <v>563</v>
      </c>
    </row>
    <row r="154" spans="1:5" x14ac:dyDescent="0.35">
      <c r="A154" s="286">
        <v>151</v>
      </c>
      <c r="B154" s="368" t="s">
        <v>865</v>
      </c>
      <c r="C154" s="647">
        <f t="shared" si="2"/>
        <v>21</v>
      </c>
      <c r="D154" s="647">
        <v>80</v>
      </c>
      <c r="E154" s="1001">
        <v>101</v>
      </c>
    </row>
    <row r="155" spans="1:5" x14ac:dyDescent="0.35">
      <c r="A155" s="286">
        <v>152</v>
      </c>
      <c r="B155" s="368" t="s">
        <v>226</v>
      </c>
      <c r="C155" s="647">
        <f t="shared" si="2"/>
        <v>610</v>
      </c>
      <c r="D155" s="647">
        <v>966</v>
      </c>
      <c r="E155" s="1001">
        <v>1576</v>
      </c>
    </row>
    <row r="156" spans="1:5" x14ac:dyDescent="0.35">
      <c r="A156" s="286">
        <v>153</v>
      </c>
      <c r="B156" s="368" t="s">
        <v>866</v>
      </c>
      <c r="C156" s="647">
        <f t="shared" si="2"/>
        <v>47</v>
      </c>
      <c r="D156" s="647">
        <v>97</v>
      </c>
      <c r="E156" s="1001">
        <v>144</v>
      </c>
    </row>
    <row r="157" spans="1:5" x14ac:dyDescent="0.35">
      <c r="A157" s="286">
        <v>154</v>
      </c>
      <c r="B157" s="368" t="s">
        <v>227</v>
      </c>
      <c r="C157" s="647">
        <f t="shared" si="2"/>
        <v>282</v>
      </c>
      <c r="D157" s="647">
        <v>409</v>
      </c>
      <c r="E157" s="1001">
        <v>691</v>
      </c>
    </row>
    <row r="158" spans="1:5" x14ac:dyDescent="0.35">
      <c r="A158" s="286">
        <v>155</v>
      </c>
      <c r="B158" s="368" t="s">
        <v>867</v>
      </c>
      <c r="C158" s="647">
        <f t="shared" si="2"/>
        <v>225</v>
      </c>
      <c r="D158" s="647">
        <v>172</v>
      </c>
      <c r="E158" s="1001">
        <v>397</v>
      </c>
    </row>
    <row r="159" spans="1:5" x14ac:dyDescent="0.35">
      <c r="A159" s="286">
        <v>156</v>
      </c>
      <c r="B159" s="368" t="s">
        <v>228</v>
      </c>
      <c r="C159" s="647">
        <f t="shared" si="2"/>
        <v>1014</v>
      </c>
      <c r="D159" s="647">
        <v>846</v>
      </c>
      <c r="E159" s="1001">
        <v>1860</v>
      </c>
    </row>
    <row r="160" spans="1:5" x14ac:dyDescent="0.35">
      <c r="A160" s="286">
        <v>157</v>
      </c>
      <c r="B160" s="368" t="s">
        <v>229</v>
      </c>
      <c r="C160" s="647">
        <f t="shared" si="2"/>
        <v>732</v>
      </c>
      <c r="D160" s="647">
        <v>395</v>
      </c>
      <c r="E160" s="1001">
        <v>1127</v>
      </c>
    </row>
    <row r="161" spans="1:5" x14ac:dyDescent="0.35">
      <c r="A161" s="286">
        <v>158</v>
      </c>
      <c r="B161" s="368" t="s">
        <v>230</v>
      </c>
      <c r="C161" s="647">
        <f t="shared" si="2"/>
        <v>282</v>
      </c>
      <c r="D161" s="647">
        <v>319</v>
      </c>
      <c r="E161" s="1001">
        <v>601</v>
      </c>
    </row>
    <row r="162" spans="1:5" x14ac:dyDescent="0.35">
      <c r="A162" s="286">
        <v>159</v>
      </c>
      <c r="B162" s="368" t="s">
        <v>231</v>
      </c>
      <c r="C162" s="647">
        <f t="shared" si="2"/>
        <v>1647</v>
      </c>
      <c r="D162" s="647">
        <v>1872</v>
      </c>
      <c r="E162" s="1001">
        <v>3519</v>
      </c>
    </row>
    <row r="163" spans="1:5" x14ac:dyDescent="0.35">
      <c r="A163" s="286">
        <v>160</v>
      </c>
      <c r="B163" s="368" t="s">
        <v>232</v>
      </c>
      <c r="C163" s="647">
        <f t="shared" si="2"/>
        <v>1668</v>
      </c>
      <c r="D163" s="647">
        <v>1921</v>
      </c>
      <c r="E163" s="1001">
        <v>3589</v>
      </c>
    </row>
    <row r="164" spans="1:5" x14ac:dyDescent="0.35">
      <c r="A164" s="286">
        <v>161</v>
      </c>
      <c r="B164" s="368" t="s">
        <v>868</v>
      </c>
      <c r="C164" s="647">
        <f t="shared" si="2"/>
        <v>18</v>
      </c>
      <c r="D164" s="647">
        <v>60</v>
      </c>
      <c r="E164" s="1001">
        <v>78</v>
      </c>
    </row>
    <row r="165" spans="1:5" x14ac:dyDescent="0.35">
      <c r="A165" s="286">
        <v>162</v>
      </c>
      <c r="B165" s="368" t="s">
        <v>869</v>
      </c>
      <c r="C165" s="647">
        <f t="shared" si="2"/>
        <v>150</v>
      </c>
      <c r="D165" s="647">
        <v>180</v>
      </c>
      <c r="E165" s="1001">
        <v>330</v>
      </c>
    </row>
    <row r="166" spans="1:5" x14ac:dyDescent="0.35">
      <c r="A166" s="286">
        <v>163</v>
      </c>
      <c r="B166" s="368" t="s">
        <v>870</v>
      </c>
      <c r="C166" s="647">
        <f t="shared" si="2"/>
        <v>7</v>
      </c>
      <c r="D166" s="647">
        <v>6</v>
      </c>
      <c r="E166" s="1001">
        <v>13</v>
      </c>
    </row>
    <row r="167" spans="1:5" x14ac:dyDescent="0.35">
      <c r="A167" s="286">
        <v>164</v>
      </c>
      <c r="B167" s="368" t="s">
        <v>233</v>
      </c>
      <c r="C167" s="647">
        <f t="shared" si="2"/>
        <v>1447</v>
      </c>
      <c r="D167" s="647">
        <v>900</v>
      </c>
      <c r="E167" s="1001">
        <v>2347</v>
      </c>
    </row>
    <row r="168" spans="1:5" x14ac:dyDescent="0.35">
      <c r="A168" s="286">
        <v>165</v>
      </c>
      <c r="B168" s="368" t="s">
        <v>871</v>
      </c>
      <c r="C168" s="647">
        <f t="shared" si="2"/>
        <v>101</v>
      </c>
      <c r="D168" s="647">
        <v>54</v>
      </c>
      <c r="E168" s="1001">
        <v>155</v>
      </c>
    </row>
    <row r="169" spans="1:5" x14ac:dyDescent="0.35">
      <c r="A169" s="286">
        <v>166</v>
      </c>
      <c r="B169" s="368" t="s">
        <v>234</v>
      </c>
      <c r="C169" s="647">
        <f t="shared" si="2"/>
        <v>278</v>
      </c>
      <c r="D169" s="647">
        <v>372</v>
      </c>
      <c r="E169" s="1001">
        <v>650</v>
      </c>
    </row>
    <row r="170" spans="1:5" x14ac:dyDescent="0.35">
      <c r="A170" s="286">
        <v>167</v>
      </c>
      <c r="B170" s="368" t="s">
        <v>872</v>
      </c>
      <c r="C170" s="647">
        <f t="shared" si="2"/>
        <v>25</v>
      </c>
      <c r="D170" s="647">
        <v>5</v>
      </c>
      <c r="E170" s="1001">
        <v>30</v>
      </c>
    </row>
    <row r="171" spans="1:5" x14ac:dyDescent="0.35">
      <c r="A171" s="286">
        <v>168</v>
      </c>
      <c r="B171" s="368" t="s">
        <v>235</v>
      </c>
      <c r="C171" s="647">
        <f t="shared" si="2"/>
        <v>53</v>
      </c>
      <c r="D171" s="647">
        <v>147</v>
      </c>
      <c r="E171" s="1001">
        <v>200</v>
      </c>
    </row>
    <row r="172" spans="1:5" x14ac:dyDescent="0.35">
      <c r="A172" s="286">
        <v>169</v>
      </c>
      <c r="B172" s="368" t="s">
        <v>236</v>
      </c>
      <c r="C172" s="647">
        <f t="shared" si="2"/>
        <v>82</v>
      </c>
      <c r="D172" s="647">
        <v>197</v>
      </c>
      <c r="E172" s="1001">
        <v>279</v>
      </c>
    </row>
    <row r="173" spans="1:5" x14ac:dyDescent="0.35">
      <c r="A173" s="286">
        <v>170</v>
      </c>
      <c r="B173" s="368" t="s">
        <v>237</v>
      </c>
      <c r="C173" s="647">
        <f t="shared" si="2"/>
        <v>468</v>
      </c>
      <c r="D173" s="647">
        <v>513</v>
      </c>
      <c r="E173" s="1001">
        <v>981</v>
      </c>
    </row>
    <row r="174" spans="1:5" x14ac:dyDescent="0.35">
      <c r="A174" s="286">
        <v>171</v>
      </c>
      <c r="B174" s="368" t="s">
        <v>873</v>
      </c>
      <c r="C174" s="647">
        <f t="shared" si="2"/>
        <v>563</v>
      </c>
      <c r="D174" s="647">
        <v>301</v>
      </c>
      <c r="E174" s="1001">
        <v>864</v>
      </c>
    </row>
    <row r="175" spans="1:5" x14ac:dyDescent="0.35">
      <c r="A175" s="286">
        <v>172</v>
      </c>
      <c r="B175" s="368" t="s">
        <v>238</v>
      </c>
      <c r="C175" s="647">
        <f t="shared" si="2"/>
        <v>3169</v>
      </c>
      <c r="D175" s="647">
        <v>1571</v>
      </c>
      <c r="E175" s="1001">
        <v>4740</v>
      </c>
    </row>
    <row r="176" spans="1:5" x14ac:dyDescent="0.35">
      <c r="A176" s="286">
        <v>173</v>
      </c>
      <c r="B176" s="368" t="s">
        <v>239</v>
      </c>
      <c r="C176" s="647">
        <f t="shared" si="2"/>
        <v>355</v>
      </c>
      <c r="D176" s="647">
        <v>666</v>
      </c>
      <c r="E176" s="1001">
        <v>1021</v>
      </c>
    </row>
    <row r="177" spans="1:5" x14ac:dyDescent="0.35">
      <c r="A177" s="286">
        <v>174</v>
      </c>
      <c r="B177" s="368" t="s">
        <v>240</v>
      </c>
      <c r="C177" s="647">
        <f t="shared" si="2"/>
        <v>8</v>
      </c>
      <c r="D177" s="647">
        <v>9</v>
      </c>
      <c r="E177" s="1001">
        <v>17</v>
      </c>
    </row>
    <row r="178" spans="1:5" x14ac:dyDescent="0.35">
      <c r="A178" s="286">
        <v>175</v>
      </c>
      <c r="B178" s="368" t="s">
        <v>874</v>
      </c>
      <c r="C178" s="647">
        <f t="shared" si="2"/>
        <v>40</v>
      </c>
      <c r="D178" s="647">
        <v>23</v>
      </c>
      <c r="E178" s="1001">
        <v>63</v>
      </c>
    </row>
    <row r="179" spans="1:5" x14ac:dyDescent="0.35">
      <c r="A179" s="286">
        <v>176</v>
      </c>
      <c r="B179" s="368" t="s">
        <v>241</v>
      </c>
      <c r="C179" s="647">
        <f t="shared" si="2"/>
        <v>947</v>
      </c>
      <c r="D179" s="647">
        <v>2376</v>
      </c>
      <c r="E179" s="1001">
        <v>3323</v>
      </c>
    </row>
    <row r="180" spans="1:5" x14ac:dyDescent="0.35">
      <c r="A180" s="286">
        <v>177</v>
      </c>
      <c r="B180" s="368" t="s">
        <v>242</v>
      </c>
      <c r="C180" s="647">
        <f t="shared" si="2"/>
        <v>8030</v>
      </c>
      <c r="D180" s="647">
        <v>9079</v>
      </c>
      <c r="E180" s="1001">
        <v>17109</v>
      </c>
    </row>
    <row r="181" spans="1:5" x14ac:dyDescent="0.35">
      <c r="A181" s="286">
        <v>178</v>
      </c>
      <c r="B181" s="368" t="s">
        <v>243</v>
      </c>
      <c r="C181" s="647">
        <f t="shared" si="2"/>
        <v>823</v>
      </c>
      <c r="D181" s="647">
        <v>2626</v>
      </c>
      <c r="E181" s="1001">
        <v>3449</v>
      </c>
    </row>
    <row r="182" spans="1:5" x14ac:dyDescent="0.35">
      <c r="A182" s="286">
        <v>179</v>
      </c>
      <c r="B182" s="368" t="s">
        <v>244</v>
      </c>
      <c r="C182" s="647">
        <f t="shared" si="2"/>
        <v>421</v>
      </c>
      <c r="D182" s="647">
        <v>488</v>
      </c>
      <c r="E182" s="1001">
        <v>909</v>
      </c>
    </row>
    <row r="183" spans="1:5" x14ac:dyDescent="0.35">
      <c r="A183" s="286">
        <v>180</v>
      </c>
      <c r="B183" s="368" t="s">
        <v>245</v>
      </c>
      <c r="C183" s="647">
        <f t="shared" si="2"/>
        <v>2326</v>
      </c>
      <c r="D183" s="647">
        <v>2768</v>
      </c>
      <c r="E183" s="1001">
        <v>5094</v>
      </c>
    </row>
    <row r="184" spans="1:5" x14ac:dyDescent="0.35">
      <c r="A184" s="286">
        <v>181</v>
      </c>
      <c r="B184" s="368" t="s">
        <v>246</v>
      </c>
      <c r="C184" s="647">
        <f t="shared" si="2"/>
        <v>2848</v>
      </c>
      <c r="D184" s="647">
        <v>2561</v>
      </c>
      <c r="E184" s="1001">
        <v>5409</v>
      </c>
    </row>
    <row r="185" spans="1:5" x14ac:dyDescent="0.35">
      <c r="A185" s="286">
        <v>182</v>
      </c>
      <c r="B185" s="368" t="s">
        <v>247</v>
      </c>
      <c r="C185" s="647">
        <f t="shared" si="2"/>
        <v>9537</v>
      </c>
      <c r="D185" s="647">
        <v>12331</v>
      </c>
      <c r="E185" s="1001">
        <v>21868</v>
      </c>
    </row>
    <row r="186" spans="1:5" x14ac:dyDescent="0.35">
      <c r="A186" s="286">
        <v>183</v>
      </c>
      <c r="B186" s="368" t="s">
        <v>875</v>
      </c>
      <c r="C186" s="647">
        <f t="shared" si="2"/>
        <v>68</v>
      </c>
      <c r="D186" s="647">
        <v>42</v>
      </c>
      <c r="E186" s="1001">
        <v>110</v>
      </c>
    </row>
    <row r="187" spans="1:5" x14ac:dyDescent="0.35">
      <c r="A187" s="286">
        <v>184</v>
      </c>
      <c r="B187" s="368" t="s">
        <v>876</v>
      </c>
      <c r="C187" s="647">
        <f t="shared" si="2"/>
        <v>52</v>
      </c>
      <c r="D187" s="647">
        <v>116</v>
      </c>
      <c r="E187" s="1001">
        <v>168</v>
      </c>
    </row>
    <row r="188" spans="1:5" ht="26.5" x14ac:dyDescent="0.35">
      <c r="A188" s="286">
        <v>185</v>
      </c>
      <c r="B188" s="368" t="s">
        <v>877</v>
      </c>
      <c r="C188" s="647">
        <f t="shared" si="2"/>
        <v>4</v>
      </c>
      <c r="D188" s="647">
        <v>3</v>
      </c>
      <c r="E188" s="1001">
        <v>7</v>
      </c>
    </row>
    <row r="189" spans="1:5" x14ac:dyDescent="0.35">
      <c r="A189" s="286">
        <v>186</v>
      </c>
      <c r="B189" s="368" t="s">
        <v>248</v>
      </c>
      <c r="C189" s="647">
        <f t="shared" si="2"/>
        <v>1120</v>
      </c>
      <c r="D189" s="647">
        <v>4734</v>
      </c>
      <c r="E189" s="1001">
        <v>5854</v>
      </c>
    </row>
    <row r="190" spans="1:5" x14ac:dyDescent="0.35">
      <c r="A190" s="286">
        <v>187</v>
      </c>
      <c r="B190" s="368" t="s">
        <v>249</v>
      </c>
      <c r="C190" s="647">
        <f t="shared" si="2"/>
        <v>425</v>
      </c>
      <c r="D190" s="647">
        <v>265</v>
      </c>
      <c r="E190" s="1001">
        <v>690</v>
      </c>
    </row>
    <row r="191" spans="1:5" ht="26.5" x14ac:dyDescent="0.35">
      <c r="A191" s="286">
        <v>188</v>
      </c>
      <c r="B191" s="368" t="s">
        <v>878</v>
      </c>
      <c r="C191" s="647">
        <f t="shared" si="2"/>
        <v>59</v>
      </c>
      <c r="D191" s="647">
        <v>18</v>
      </c>
      <c r="E191" s="1001">
        <v>77</v>
      </c>
    </row>
    <row r="192" spans="1:5" ht="26.5" x14ac:dyDescent="0.35">
      <c r="A192" s="286">
        <v>189</v>
      </c>
      <c r="B192" s="368" t="s">
        <v>250</v>
      </c>
      <c r="C192" s="647">
        <f t="shared" si="2"/>
        <v>5</v>
      </c>
      <c r="D192" s="647">
        <v>17</v>
      </c>
      <c r="E192" s="1001">
        <v>22</v>
      </c>
    </row>
    <row r="193" spans="1:5" ht="26.5" x14ac:dyDescent="0.35">
      <c r="A193" s="286">
        <v>190</v>
      </c>
      <c r="B193" s="368" t="s">
        <v>251</v>
      </c>
      <c r="C193" s="647">
        <f t="shared" si="2"/>
        <v>26</v>
      </c>
      <c r="D193" s="647">
        <v>52</v>
      </c>
      <c r="E193" s="1001">
        <v>78</v>
      </c>
    </row>
    <row r="194" spans="1:5" ht="26.5" x14ac:dyDescent="0.35">
      <c r="A194" s="286">
        <v>191</v>
      </c>
      <c r="B194" s="368" t="s">
        <v>252</v>
      </c>
      <c r="C194" s="647">
        <f t="shared" si="2"/>
        <v>125</v>
      </c>
      <c r="D194" s="647">
        <v>175</v>
      </c>
      <c r="E194" s="1001">
        <v>300</v>
      </c>
    </row>
    <row r="195" spans="1:5" ht="26.5" x14ac:dyDescent="0.35">
      <c r="A195" s="286">
        <v>192</v>
      </c>
      <c r="B195" s="368" t="s">
        <v>879</v>
      </c>
      <c r="C195" s="647">
        <f t="shared" si="2"/>
        <v>6</v>
      </c>
      <c r="D195" s="647">
        <v>9</v>
      </c>
      <c r="E195" s="1001">
        <v>15</v>
      </c>
    </row>
    <row r="196" spans="1:5" ht="26.5" x14ac:dyDescent="0.35">
      <c r="A196" s="286">
        <v>193</v>
      </c>
      <c r="B196" s="368" t="s">
        <v>253</v>
      </c>
      <c r="C196" s="647">
        <f t="shared" si="2"/>
        <v>26</v>
      </c>
      <c r="D196" s="647">
        <v>25</v>
      </c>
      <c r="E196" s="1001">
        <v>51</v>
      </c>
    </row>
    <row r="197" spans="1:5" x14ac:dyDescent="0.35">
      <c r="A197" s="286">
        <v>194</v>
      </c>
      <c r="B197" s="368" t="s">
        <v>880</v>
      </c>
      <c r="C197" s="647">
        <f t="shared" ref="C197:C229" si="3">E197-D197</f>
        <v>14</v>
      </c>
      <c r="D197" s="647">
        <v>23</v>
      </c>
      <c r="E197" s="1001">
        <v>37</v>
      </c>
    </row>
    <row r="198" spans="1:5" x14ac:dyDescent="0.35">
      <c r="A198" s="286">
        <v>195</v>
      </c>
      <c r="B198" s="368" t="s">
        <v>254</v>
      </c>
      <c r="C198" s="647">
        <f t="shared" si="3"/>
        <v>135128</v>
      </c>
      <c r="D198" s="647">
        <v>220456</v>
      </c>
      <c r="E198" s="1001">
        <v>355584</v>
      </c>
    </row>
    <row r="199" spans="1:5" x14ac:dyDescent="0.35">
      <c r="A199" s="286">
        <v>196</v>
      </c>
      <c r="B199" s="368" t="s">
        <v>255</v>
      </c>
      <c r="C199" s="647">
        <f t="shared" si="3"/>
        <v>621</v>
      </c>
      <c r="D199" s="647">
        <v>527</v>
      </c>
      <c r="E199" s="1001">
        <v>1148</v>
      </c>
    </row>
    <row r="200" spans="1:5" x14ac:dyDescent="0.35">
      <c r="A200" s="286">
        <v>197</v>
      </c>
      <c r="B200" s="368" t="s">
        <v>256</v>
      </c>
      <c r="C200" s="647">
        <f t="shared" si="3"/>
        <v>33776</v>
      </c>
      <c r="D200" s="647">
        <v>16129</v>
      </c>
      <c r="E200" s="1001">
        <v>49905</v>
      </c>
    </row>
    <row r="201" spans="1:5" ht="26.5" x14ac:dyDescent="0.35">
      <c r="A201" s="286">
        <v>198</v>
      </c>
      <c r="B201" s="368" t="s">
        <v>881</v>
      </c>
      <c r="C201" s="647">
        <f t="shared" si="3"/>
        <v>11</v>
      </c>
      <c r="D201" s="647">
        <v>10</v>
      </c>
      <c r="E201" s="1001">
        <v>21</v>
      </c>
    </row>
    <row r="202" spans="1:5" x14ac:dyDescent="0.35">
      <c r="A202" s="286">
        <v>199</v>
      </c>
      <c r="B202" s="368" t="s">
        <v>882</v>
      </c>
      <c r="C202" s="647">
        <f t="shared" si="3"/>
        <v>22</v>
      </c>
      <c r="D202" s="647">
        <v>23</v>
      </c>
      <c r="E202" s="1001">
        <v>45</v>
      </c>
    </row>
    <row r="203" spans="1:5" x14ac:dyDescent="0.35">
      <c r="A203" s="286">
        <v>200</v>
      </c>
      <c r="B203" s="368" t="s">
        <v>257</v>
      </c>
      <c r="C203" s="647">
        <f t="shared" si="3"/>
        <v>132</v>
      </c>
      <c r="D203" s="647">
        <v>115</v>
      </c>
      <c r="E203" s="1001">
        <v>247</v>
      </c>
    </row>
    <row r="204" spans="1:5" x14ac:dyDescent="0.35">
      <c r="A204" s="286">
        <v>201</v>
      </c>
      <c r="B204" s="368" t="s">
        <v>883</v>
      </c>
      <c r="C204" s="647">
        <f t="shared" si="3"/>
        <v>844</v>
      </c>
      <c r="D204" s="647">
        <v>721</v>
      </c>
      <c r="E204" s="1001">
        <v>1565</v>
      </c>
    </row>
    <row r="205" spans="1:5" x14ac:dyDescent="0.35">
      <c r="A205" s="286">
        <v>202</v>
      </c>
      <c r="B205" s="368" t="s">
        <v>258</v>
      </c>
      <c r="C205" s="647">
        <f t="shared" si="3"/>
        <v>228</v>
      </c>
      <c r="D205" s="647">
        <v>317</v>
      </c>
      <c r="E205" s="1001">
        <v>545</v>
      </c>
    </row>
    <row r="206" spans="1:5" ht="26.5" x14ac:dyDescent="0.35">
      <c r="A206" s="286">
        <v>203</v>
      </c>
      <c r="B206" s="368" t="s">
        <v>884</v>
      </c>
      <c r="C206" s="647">
        <f t="shared" si="3"/>
        <v>14</v>
      </c>
      <c r="D206" s="647">
        <v>15</v>
      </c>
      <c r="E206" s="1001">
        <v>29</v>
      </c>
    </row>
    <row r="207" spans="1:5" x14ac:dyDescent="0.35">
      <c r="A207" s="286">
        <v>204</v>
      </c>
      <c r="B207" s="368" t="s">
        <v>259</v>
      </c>
      <c r="C207" s="647">
        <f t="shared" si="3"/>
        <v>151</v>
      </c>
      <c r="D207" s="647">
        <v>210</v>
      </c>
      <c r="E207" s="1001">
        <v>361</v>
      </c>
    </row>
    <row r="208" spans="1:5" x14ac:dyDescent="0.35">
      <c r="A208" s="286">
        <v>205</v>
      </c>
      <c r="B208" s="368" t="s">
        <v>260</v>
      </c>
      <c r="C208" s="647">
        <f t="shared" si="3"/>
        <v>755</v>
      </c>
      <c r="D208" s="647">
        <v>514</v>
      </c>
      <c r="E208" s="1001">
        <v>1269</v>
      </c>
    </row>
    <row r="209" spans="1:5" x14ac:dyDescent="0.35">
      <c r="A209" s="286">
        <v>206</v>
      </c>
      <c r="B209" s="368" t="s">
        <v>885</v>
      </c>
      <c r="C209" s="647">
        <f t="shared" si="3"/>
        <v>152</v>
      </c>
      <c r="D209" s="647">
        <v>85</v>
      </c>
      <c r="E209" s="1001">
        <v>237</v>
      </c>
    </row>
    <row r="210" spans="1:5" x14ac:dyDescent="0.35">
      <c r="A210" s="286">
        <v>207</v>
      </c>
      <c r="B210" s="369" t="s">
        <v>886</v>
      </c>
      <c r="C210" s="647">
        <f t="shared" si="3"/>
        <v>0</v>
      </c>
      <c r="D210" s="647">
        <v>0</v>
      </c>
      <c r="E210" s="1001">
        <v>0</v>
      </c>
    </row>
    <row r="211" spans="1:5" x14ac:dyDescent="0.35">
      <c r="A211" s="286">
        <v>208</v>
      </c>
      <c r="B211" s="368" t="s">
        <v>887</v>
      </c>
      <c r="C211" s="647">
        <f t="shared" si="3"/>
        <v>31</v>
      </c>
      <c r="D211" s="647">
        <v>30</v>
      </c>
      <c r="E211" s="1001">
        <v>61</v>
      </c>
    </row>
    <row r="212" spans="1:5" x14ac:dyDescent="0.35">
      <c r="A212" s="286">
        <v>209</v>
      </c>
      <c r="B212" s="368" t="s">
        <v>888</v>
      </c>
      <c r="C212" s="647">
        <f t="shared" si="3"/>
        <v>4822</v>
      </c>
      <c r="D212" s="647">
        <v>3253</v>
      </c>
      <c r="E212" s="1001">
        <v>8075</v>
      </c>
    </row>
    <row r="213" spans="1:5" x14ac:dyDescent="0.35">
      <c r="A213" s="286">
        <v>210</v>
      </c>
      <c r="B213" s="368" t="s">
        <v>262</v>
      </c>
      <c r="C213" s="647">
        <f t="shared" si="3"/>
        <v>932</v>
      </c>
      <c r="D213" s="647">
        <v>405</v>
      </c>
      <c r="E213" s="1001">
        <v>1337</v>
      </c>
    </row>
    <row r="214" spans="1:5" x14ac:dyDescent="0.35">
      <c r="A214" s="286">
        <v>211</v>
      </c>
      <c r="B214" s="368" t="s">
        <v>263</v>
      </c>
      <c r="C214" s="647">
        <f t="shared" si="3"/>
        <v>70929</v>
      </c>
      <c r="D214" s="647">
        <v>74607</v>
      </c>
      <c r="E214" s="1001">
        <v>145536</v>
      </c>
    </row>
    <row r="215" spans="1:5" x14ac:dyDescent="0.35">
      <c r="A215" s="286">
        <v>212</v>
      </c>
      <c r="B215" s="368" t="s">
        <v>889</v>
      </c>
      <c r="C215" s="647">
        <f t="shared" si="3"/>
        <v>8</v>
      </c>
      <c r="D215" s="647">
        <v>23</v>
      </c>
      <c r="E215" s="1001">
        <v>31</v>
      </c>
    </row>
    <row r="216" spans="1:5" x14ac:dyDescent="0.35">
      <c r="A216" s="286">
        <v>213</v>
      </c>
      <c r="B216" s="368" t="s">
        <v>264</v>
      </c>
      <c r="C216" s="647">
        <f t="shared" si="3"/>
        <v>15585</v>
      </c>
      <c r="D216" s="647">
        <v>14105</v>
      </c>
      <c r="E216" s="1001">
        <v>29690</v>
      </c>
    </row>
    <row r="217" spans="1:5" x14ac:dyDescent="0.35">
      <c r="A217" s="286">
        <v>214</v>
      </c>
      <c r="B217" s="368" t="s">
        <v>265</v>
      </c>
      <c r="C217" s="647">
        <f t="shared" si="3"/>
        <v>1874</v>
      </c>
      <c r="D217" s="647">
        <v>3448</v>
      </c>
      <c r="E217" s="1001">
        <v>5322</v>
      </c>
    </row>
    <row r="218" spans="1:5" x14ac:dyDescent="0.35">
      <c r="A218" s="286">
        <v>215</v>
      </c>
      <c r="B218" s="368" t="s">
        <v>890</v>
      </c>
      <c r="C218" s="647">
        <f t="shared" si="3"/>
        <v>33</v>
      </c>
      <c r="D218" s="647">
        <v>25</v>
      </c>
      <c r="E218" s="1001">
        <v>58</v>
      </c>
    </row>
    <row r="219" spans="1:5" x14ac:dyDescent="0.35">
      <c r="A219" s="286">
        <v>216</v>
      </c>
      <c r="B219" s="368" t="s">
        <v>891</v>
      </c>
      <c r="C219" s="647">
        <f t="shared" si="3"/>
        <v>65</v>
      </c>
      <c r="D219" s="647">
        <v>0</v>
      </c>
      <c r="E219" s="1001">
        <v>65</v>
      </c>
    </row>
    <row r="220" spans="1:5" x14ac:dyDescent="0.35">
      <c r="A220" s="286">
        <v>217</v>
      </c>
      <c r="B220" s="368" t="s">
        <v>266</v>
      </c>
      <c r="C220" s="647">
        <f t="shared" si="3"/>
        <v>8797</v>
      </c>
      <c r="D220" s="647">
        <v>4553</v>
      </c>
      <c r="E220" s="1001">
        <v>13350</v>
      </c>
    </row>
    <row r="221" spans="1:5" x14ac:dyDescent="0.35">
      <c r="A221" s="286">
        <v>218</v>
      </c>
      <c r="B221" s="368" t="s">
        <v>892</v>
      </c>
      <c r="C221" s="647">
        <f t="shared" si="3"/>
        <v>68</v>
      </c>
      <c r="D221" s="647">
        <v>34</v>
      </c>
      <c r="E221" s="1001">
        <v>102</v>
      </c>
    </row>
    <row r="222" spans="1:5" x14ac:dyDescent="0.35">
      <c r="A222" s="286">
        <v>219</v>
      </c>
      <c r="B222" s="368" t="s">
        <v>893</v>
      </c>
      <c r="C222" s="647">
        <f t="shared" si="3"/>
        <v>1084</v>
      </c>
      <c r="D222" s="647">
        <v>1224</v>
      </c>
      <c r="E222" s="1001">
        <v>2308</v>
      </c>
    </row>
    <row r="223" spans="1:5" x14ac:dyDescent="0.35">
      <c r="A223" s="286">
        <v>220</v>
      </c>
      <c r="B223" s="368" t="s">
        <v>894</v>
      </c>
      <c r="C223" s="647">
        <f t="shared" si="3"/>
        <v>188</v>
      </c>
      <c r="D223" s="647">
        <v>381</v>
      </c>
      <c r="E223" s="1001">
        <v>569</v>
      </c>
    </row>
    <row r="224" spans="1:5" x14ac:dyDescent="0.35">
      <c r="A224" s="286">
        <v>221</v>
      </c>
      <c r="B224" s="368" t="s">
        <v>895</v>
      </c>
      <c r="C224" s="647">
        <f t="shared" si="3"/>
        <v>25</v>
      </c>
      <c r="D224" s="647">
        <v>0</v>
      </c>
      <c r="E224" s="1001">
        <v>25</v>
      </c>
    </row>
    <row r="225" spans="1:5" x14ac:dyDescent="0.35">
      <c r="A225" s="286">
        <v>222</v>
      </c>
      <c r="B225" s="368" t="s">
        <v>896</v>
      </c>
      <c r="C225" s="647">
        <f t="shared" si="3"/>
        <v>0</v>
      </c>
      <c r="D225" s="647">
        <v>0</v>
      </c>
      <c r="E225" s="1001">
        <v>0</v>
      </c>
    </row>
    <row r="226" spans="1:5" x14ac:dyDescent="0.35">
      <c r="A226" s="286">
        <v>223</v>
      </c>
      <c r="B226" s="368" t="s">
        <v>267</v>
      </c>
      <c r="C226" s="647">
        <f t="shared" si="3"/>
        <v>90</v>
      </c>
      <c r="D226" s="647">
        <v>24</v>
      </c>
      <c r="E226" s="1001">
        <v>114</v>
      </c>
    </row>
    <row r="227" spans="1:5" x14ac:dyDescent="0.35">
      <c r="A227" s="286">
        <v>224</v>
      </c>
      <c r="B227" s="368" t="s">
        <v>897</v>
      </c>
      <c r="C227" s="647">
        <f t="shared" si="3"/>
        <v>47</v>
      </c>
      <c r="D227" s="647">
        <v>26</v>
      </c>
      <c r="E227" s="1001">
        <v>73</v>
      </c>
    </row>
    <row r="228" spans="1:5" x14ac:dyDescent="0.35">
      <c r="A228" s="286">
        <v>225</v>
      </c>
      <c r="B228" s="368" t="s">
        <v>898</v>
      </c>
      <c r="C228" s="647">
        <f t="shared" si="3"/>
        <v>1</v>
      </c>
      <c r="D228" s="647">
        <v>2</v>
      </c>
      <c r="E228" s="1001">
        <v>3</v>
      </c>
    </row>
    <row r="229" spans="1:5" x14ac:dyDescent="0.35">
      <c r="A229" s="286"/>
      <c r="B229" s="287" t="s">
        <v>12</v>
      </c>
      <c r="C229" s="647">
        <f t="shared" si="3"/>
        <v>5310689</v>
      </c>
      <c r="D229" s="647">
        <v>5634882</v>
      </c>
      <c r="E229" s="1001">
        <v>10945571</v>
      </c>
    </row>
  </sheetData>
  <mergeCells count="1">
    <mergeCell ref="A1:E1"/>
  </mergeCells>
  <pageMargins left="0.59055118110236227" right="0.35433070866141736" top="0.39370078740157483" bottom="0.39370078740157483" header="0.31496062992125984" footer="0.19685039370078741"/>
  <pageSetup paperSize="9" orientation="portrait" r:id="rId1"/>
  <headerFooter>
    <oddFooter>&amp;L&amp;"Arial,Italic"&amp;9AISHE 2022-23&amp;RT-34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D3D2-A3C0-48EE-833B-71A7D36473EC}">
  <sheetPr codeName="Sheet46">
    <tabColor rgb="FF92D050"/>
  </sheetPr>
  <dimension ref="A1:Z230"/>
  <sheetViews>
    <sheetView showZeros="0" view="pageBreakPreview" topLeftCell="A219" zoomScale="115" zoomScaleNormal="100" zoomScaleSheetLayoutView="115" workbookViewId="0">
      <selection activeCell="C230" sqref="C5:Z230"/>
    </sheetView>
  </sheetViews>
  <sheetFormatPr defaultColWidth="9.1796875" defaultRowHeight="13" x14ac:dyDescent="0.3"/>
  <cols>
    <col min="1" max="1" width="9.26953125" style="589" bestFit="1" customWidth="1"/>
    <col min="2" max="2" width="52" style="589" customWidth="1"/>
    <col min="3" max="8" width="10.81640625" style="589" customWidth="1"/>
    <col min="9" max="14" width="10.1796875" style="589" customWidth="1"/>
    <col min="15" max="20" width="10.453125" style="589" customWidth="1"/>
    <col min="21" max="26" width="10.81640625" style="589" customWidth="1"/>
    <col min="27" max="16384" width="9.1796875" style="589"/>
  </cols>
  <sheetData>
    <row r="1" spans="1:26" s="594" customFormat="1" ht="25.5" customHeight="1" x14ac:dyDescent="0.3">
      <c r="A1" s="909" t="s">
        <v>899</v>
      </c>
      <c r="B1" s="909"/>
      <c r="C1" s="910" t="s">
        <v>1029</v>
      </c>
      <c r="D1" s="911"/>
      <c r="E1" s="911"/>
      <c r="F1" s="911"/>
      <c r="G1" s="911"/>
      <c r="H1" s="911"/>
      <c r="I1" s="910" t="str">
        <f>C1</f>
        <v xml:space="preserve"> Programme-wise Out-turn/Pass-Out at Various Social group  
(Based on Actual Response)</v>
      </c>
      <c r="J1" s="912"/>
      <c r="K1" s="912"/>
      <c r="L1" s="912"/>
      <c r="M1" s="912"/>
      <c r="N1" s="912"/>
      <c r="O1" s="919" t="str">
        <f>C1</f>
        <v xml:space="preserve"> Programme-wise Out-turn/Pass-Out at Various Social group  
(Based on Actual Response)</v>
      </c>
      <c r="P1" s="919"/>
      <c r="Q1" s="919"/>
      <c r="R1" s="919"/>
      <c r="S1" s="919"/>
      <c r="T1" s="919"/>
      <c r="U1" s="919" t="str">
        <f>C1</f>
        <v xml:space="preserve"> Programme-wise Out-turn/Pass-Out at Various Social group  
(Based on Actual Response)</v>
      </c>
      <c r="V1" s="919"/>
      <c r="W1" s="919"/>
      <c r="X1" s="919"/>
      <c r="Y1" s="919"/>
      <c r="Z1" s="919"/>
    </row>
    <row r="2" spans="1:26" x14ac:dyDescent="0.3">
      <c r="A2" s="913" t="s">
        <v>49</v>
      </c>
      <c r="B2" s="915" t="s">
        <v>120</v>
      </c>
      <c r="C2" s="916" t="s">
        <v>565</v>
      </c>
      <c r="D2" s="917"/>
      <c r="E2" s="918"/>
      <c r="F2" s="916" t="s">
        <v>566</v>
      </c>
      <c r="G2" s="917"/>
      <c r="H2" s="918"/>
      <c r="I2" s="916" t="s">
        <v>567</v>
      </c>
      <c r="J2" s="917"/>
      <c r="K2" s="918"/>
      <c r="L2" s="916" t="s">
        <v>568</v>
      </c>
      <c r="M2" s="917"/>
      <c r="N2" s="918"/>
      <c r="O2" s="908" t="s">
        <v>121</v>
      </c>
      <c r="P2" s="908"/>
      <c r="Q2" s="908"/>
      <c r="R2" s="908" t="s">
        <v>122</v>
      </c>
      <c r="S2" s="908"/>
      <c r="T2" s="908"/>
      <c r="U2" s="908" t="s">
        <v>123</v>
      </c>
      <c r="V2" s="908"/>
      <c r="W2" s="908"/>
      <c r="X2" s="908" t="s">
        <v>124</v>
      </c>
      <c r="Y2" s="908"/>
      <c r="Z2" s="908"/>
    </row>
    <row r="3" spans="1:26" x14ac:dyDescent="0.3">
      <c r="A3" s="914"/>
      <c r="B3" s="915"/>
      <c r="C3" s="592" t="s">
        <v>93</v>
      </c>
      <c r="D3" s="592" t="s">
        <v>94</v>
      </c>
      <c r="E3" s="592" t="s">
        <v>54</v>
      </c>
      <c r="F3" s="592" t="s">
        <v>93</v>
      </c>
      <c r="G3" s="592" t="s">
        <v>94</v>
      </c>
      <c r="H3" s="592" t="s">
        <v>54</v>
      </c>
      <c r="I3" s="592" t="s">
        <v>93</v>
      </c>
      <c r="J3" s="592" t="s">
        <v>94</v>
      </c>
      <c r="K3" s="592" t="s">
        <v>54</v>
      </c>
      <c r="L3" s="592" t="s">
        <v>93</v>
      </c>
      <c r="M3" s="592" t="s">
        <v>94</v>
      </c>
      <c r="N3" s="592" t="s">
        <v>54</v>
      </c>
      <c r="O3" s="592" t="s">
        <v>93</v>
      </c>
      <c r="P3" s="592" t="s">
        <v>94</v>
      </c>
      <c r="Q3" s="592" t="s">
        <v>54</v>
      </c>
      <c r="R3" s="592" t="s">
        <v>93</v>
      </c>
      <c r="S3" s="592" t="s">
        <v>94</v>
      </c>
      <c r="T3" s="592" t="s">
        <v>54</v>
      </c>
      <c r="U3" s="592" t="s">
        <v>93</v>
      </c>
      <c r="V3" s="592" t="s">
        <v>94</v>
      </c>
      <c r="W3" s="592" t="s">
        <v>54</v>
      </c>
      <c r="X3" s="592" t="s">
        <v>93</v>
      </c>
      <c r="Y3" s="592" t="s">
        <v>94</v>
      </c>
      <c r="Z3" s="592" t="s">
        <v>54</v>
      </c>
    </row>
    <row r="4" spans="1:26" s="611" customFormat="1" ht="10.5" x14ac:dyDescent="0.25">
      <c r="A4" s="610">
        <v>1</v>
      </c>
      <c r="B4" s="610">
        <v>2</v>
      </c>
      <c r="C4" s="610">
        <v>3</v>
      </c>
      <c r="D4" s="610">
        <v>4</v>
      </c>
      <c r="E4" s="610">
        <v>5</v>
      </c>
      <c r="F4" s="610">
        <v>6</v>
      </c>
      <c r="G4" s="610">
        <v>7</v>
      </c>
      <c r="H4" s="610">
        <v>8</v>
      </c>
      <c r="I4" s="610">
        <v>9</v>
      </c>
      <c r="J4" s="610">
        <v>10</v>
      </c>
      <c r="K4" s="610">
        <v>11</v>
      </c>
      <c r="L4" s="610">
        <v>12</v>
      </c>
      <c r="M4" s="610">
        <v>13</v>
      </c>
      <c r="N4" s="610">
        <v>14</v>
      </c>
      <c r="O4" s="610">
        <v>15</v>
      </c>
      <c r="P4" s="610">
        <v>16</v>
      </c>
      <c r="Q4" s="610">
        <v>17</v>
      </c>
      <c r="R4" s="610">
        <v>18</v>
      </c>
      <c r="S4" s="610">
        <v>19</v>
      </c>
      <c r="T4" s="610">
        <v>20</v>
      </c>
      <c r="U4" s="610">
        <v>21</v>
      </c>
      <c r="V4" s="610">
        <v>22</v>
      </c>
      <c r="W4" s="610">
        <v>23</v>
      </c>
      <c r="X4" s="610">
        <v>24</v>
      </c>
      <c r="Y4" s="610">
        <v>25</v>
      </c>
      <c r="Z4" s="610">
        <v>26</v>
      </c>
    </row>
    <row r="5" spans="1:26" x14ac:dyDescent="0.3">
      <c r="A5" s="593">
        <v>1</v>
      </c>
      <c r="B5" s="291" t="s">
        <v>815</v>
      </c>
      <c r="C5" s="635">
        <v>534</v>
      </c>
      <c r="D5" s="634">
        <v>33875</v>
      </c>
      <c r="E5" s="634">
        <v>34409</v>
      </c>
      <c r="F5" s="635">
        <v>130</v>
      </c>
      <c r="G5" s="634">
        <v>10073</v>
      </c>
      <c r="H5" s="634">
        <v>10203</v>
      </c>
      <c r="I5" s="635">
        <v>73</v>
      </c>
      <c r="J5" s="634">
        <v>5390</v>
      </c>
      <c r="K5" s="634">
        <v>5463</v>
      </c>
      <c r="L5" s="635">
        <v>97</v>
      </c>
      <c r="M5" s="634">
        <v>9454</v>
      </c>
      <c r="N5" s="634">
        <v>9551</v>
      </c>
      <c r="O5" s="635">
        <v>0</v>
      </c>
      <c r="P5" s="634">
        <v>106</v>
      </c>
      <c r="Q5" s="634">
        <v>106</v>
      </c>
      <c r="R5" s="635">
        <v>17</v>
      </c>
      <c r="S5" s="634">
        <v>527</v>
      </c>
      <c r="T5" s="634">
        <v>544</v>
      </c>
      <c r="U5" s="635">
        <v>2</v>
      </c>
      <c r="V5" s="634">
        <v>553</v>
      </c>
      <c r="W5" s="634">
        <v>555</v>
      </c>
      <c r="X5" s="635">
        <v>9</v>
      </c>
      <c r="Y5" s="634">
        <v>458</v>
      </c>
      <c r="Z5" s="634">
        <v>467</v>
      </c>
    </row>
    <row r="6" spans="1:26" x14ac:dyDescent="0.3">
      <c r="A6" s="593">
        <v>2</v>
      </c>
      <c r="B6" s="291" t="s">
        <v>125</v>
      </c>
      <c r="C6" s="635">
        <v>5271</v>
      </c>
      <c r="D6" s="634">
        <v>2910</v>
      </c>
      <c r="E6" s="634">
        <v>8181</v>
      </c>
      <c r="F6" s="635">
        <v>246</v>
      </c>
      <c r="G6" s="634">
        <v>346</v>
      </c>
      <c r="H6" s="634">
        <v>592</v>
      </c>
      <c r="I6" s="635">
        <v>137</v>
      </c>
      <c r="J6" s="634">
        <v>178</v>
      </c>
      <c r="K6" s="634">
        <v>315</v>
      </c>
      <c r="L6" s="635">
        <v>870</v>
      </c>
      <c r="M6" s="634">
        <v>940</v>
      </c>
      <c r="N6" s="634">
        <v>1810</v>
      </c>
      <c r="O6" s="635">
        <v>2</v>
      </c>
      <c r="P6" s="634">
        <v>1</v>
      </c>
      <c r="Q6" s="634">
        <v>3</v>
      </c>
      <c r="R6" s="635">
        <v>4</v>
      </c>
      <c r="S6" s="634">
        <v>4</v>
      </c>
      <c r="T6" s="634">
        <v>8</v>
      </c>
      <c r="U6" s="635">
        <v>16</v>
      </c>
      <c r="V6" s="634">
        <v>25</v>
      </c>
      <c r="W6" s="634">
        <v>41</v>
      </c>
      <c r="X6" s="635">
        <v>26</v>
      </c>
      <c r="Y6" s="634">
        <v>16</v>
      </c>
      <c r="Z6" s="634">
        <v>42</v>
      </c>
    </row>
    <row r="7" spans="1:26" x14ac:dyDescent="0.3">
      <c r="A7" s="593">
        <v>3</v>
      </c>
      <c r="B7" s="291" t="s">
        <v>816</v>
      </c>
      <c r="C7" s="635">
        <v>13</v>
      </c>
      <c r="D7" s="634">
        <v>4</v>
      </c>
      <c r="E7" s="634">
        <v>17</v>
      </c>
      <c r="F7" s="635">
        <v>0</v>
      </c>
      <c r="G7" s="634">
        <v>0</v>
      </c>
      <c r="H7" s="634">
        <v>0</v>
      </c>
      <c r="I7" s="635">
        <v>1</v>
      </c>
      <c r="J7" s="634">
        <v>0</v>
      </c>
      <c r="K7" s="634">
        <v>1</v>
      </c>
      <c r="L7" s="635">
        <v>0</v>
      </c>
      <c r="M7" s="634">
        <v>0</v>
      </c>
      <c r="N7" s="634">
        <v>0</v>
      </c>
      <c r="O7" s="635">
        <v>0</v>
      </c>
      <c r="P7" s="634">
        <v>0</v>
      </c>
      <c r="Q7" s="634">
        <v>0</v>
      </c>
      <c r="R7" s="635">
        <v>0</v>
      </c>
      <c r="S7" s="634">
        <v>0</v>
      </c>
      <c r="T7" s="634">
        <v>0</v>
      </c>
      <c r="U7" s="635">
        <v>0</v>
      </c>
      <c r="V7" s="634">
        <v>0</v>
      </c>
      <c r="W7" s="634">
        <v>0</v>
      </c>
      <c r="X7" s="635">
        <v>0</v>
      </c>
      <c r="Y7" s="634">
        <v>0</v>
      </c>
      <c r="Z7" s="634">
        <v>0</v>
      </c>
    </row>
    <row r="8" spans="1:26" x14ac:dyDescent="0.3">
      <c r="A8" s="593">
        <v>4</v>
      </c>
      <c r="B8" s="291" t="s">
        <v>817</v>
      </c>
      <c r="C8" s="635">
        <v>30</v>
      </c>
      <c r="D8" s="634">
        <v>31</v>
      </c>
      <c r="E8" s="634">
        <v>61</v>
      </c>
      <c r="F8" s="635">
        <v>3</v>
      </c>
      <c r="G8" s="634">
        <v>5</v>
      </c>
      <c r="H8" s="634">
        <v>8</v>
      </c>
      <c r="I8" s="635">
        <v>2</v>
      </c>
      <c r="J8" s="634">
        <v>5</v>
      </c>
      <c r="K8" s="634">
        <v>7</v>
      </c>
      <c r="L8" s="635">
        <v>5</v>
      </c>
      <c r="M8" s="634">
        <v>6</v>
      </c>
      <c r="N8" s="634">
        <v>11</v>
      </c>
      <c r="O8" s="635">
        <v>0</v>
      </c>
      <c r="P8" s="634">
        <v>0</v>
      </c>
      <c r="Q8" s="634">
        <v>0</v>
      </c>
      <c r="R8" s="635">
        <v>0</v>
      </c>
      <c r="S8" s="634">
        <v>1</v>
      </c>
      <c r="T8" s="634">
        <v>1</v>
      </c>
      <c r="U8" s="635">
        <v>0</v>
      </c>
      <c r="V8" s="634">
        <v>0</v>
      </c>
      <c r="W8" s="634">
        <v>0</v>
      </c>
      <c r="X8" s="635">
        <v>0</v>
      </c>
      <c r="Y8" s="634">
        <v>0</v>
      </c>
      <c r="Z8" s="634">
        <v>0</v>
      </c>
    </row>
    <row r="9" spans="1:26" x14ac:dyDescent="0.3">
      <c r="A9" s="593">
        <v>5</v>
      </c>
      <c r="B9" s="291" t="s">
        <v>818</v>
      </c>
      <c r="C9" s="635">
        <v>18</v>
      </c>
      <c r="D9" s="634">
        <v>10</v>
      </c>
      <c r="E9" s="634">
        <v>28</v>
      </c>
      <c r="F9" s="635">
        <v>0</v>
      </c>
      <c r="G9" s="634">
        <v>3</v>
      </c>
      <c r="H9" s="634">
        <v>3</v>
      </c>
      <c r="I9" s="635">
        <v>0</v>
      </c>
      <c r="J9" s="634">
        <v>0</v>
      </c>
      <c r="K9" s="634">
        <v>0</v>
      </c>
      <c r="L9" s="635">
        <v>1</v>
      </c>
      <c r="M9" s="634">
        <v>1</v>
      </c>
      <c r="N9" s="634">
        <v>2</v>
      </c>
      <c r="O9" s="635">
        <v>0</v>
      </c>
      <c r="P9" s="634">
        <v>0</v>
      </c>
      <c r="Q9" s="634">
        <v>0</v>
      </c>
      <c r="R9" s="635">
        <v>0</v>
      </c>
      <c r="S9" s="634">
        <v>0</v>
      </c>
      <c r="T9" s="634">
        <v>0</v>
      </c>
      <c r="U9" s="635">
        <v>0</v>
      </c>
      <c r="V9" s="634">
        <v>0</v>
      </c>
      <c r="W9" s="634">
        <v>0</v>
      </c>
      <c r="X9" s="635">
        <v>0</v>
      </c>
      <c r="Y9" s="634">
        <v>0</v>
      </c>
      <c r="Z9" s="634">
        <v>0</v>
      </c>
    </row>
    <row r="10" spans="1:26" x14ac:dyDescent="0.3">
      <c r="A10" s="593">
        <v>6</v>
      </c>
      <c r="B10" s="291" t="s">
        <v>126</v>
      </c>
      <c r="C10" s="635">
        <v>1332</v>
      </c>
      <c r="D10" s="634">
        <v>2405</v>
      </c>
      <c r="E10" s="634">
        <v>3737</v>
      </c>
      <c r="F10" s="635">
        <v>117</v>
      </c>
      <c r="G10" s="634">
        <v>157</v>
      </c>
      <c r="H10" s="634">
        <v>274</v>
      </c>
      <c r="I10" s="635">
        <v>55</v>
      </c>
      <c r="J10" s="634">
        <v>75</v>
      </c>
      <c r="K10" s="634">
        <v>130</v>
      </c>
      <c r="L10" s="635">
        <v>432</v>
      </c>
      <c r="M10" s="634">
        <v>761</v>
      </c>
      <c r="N10" s="634">
        <v>1193</v>
      </c>
      <c r="O10" s="635">
        <v>0</v>
      </c>
      <c r="P10" s="634">
        <v>0</v>
      </c>
      <c r="Q10" s="634">
        <v>0</v>
      </c>
      <c r="R10" s="635">
        <v>22</v>
      </c>
      <c r="S10" s="634">
        <v>56</v>
      </c>
      <c r="T10" s="634">
        <v>78</v>
      </c>
      <c r="U10" s="635">
        <v>4</v>
      </c>
      <c r="V10" s="634">
        <v>11</v>
      </c>
      <c r="W10" s="634">
        <v>15</v>
      </c>
      <c r="X10" s="635">
        <v>3</v>
      </c>
      <c r="Y10" s="634">
        <v>4</v>
      </c>
      <c r="Z10" s="634">
        <v>7</v>
      </c>
    </row>
    <row r="11" spans="1:26" x14ac:dyDescent="0.3">
      <c r="A11" s="593">
        <v>7</v>
      </c>
      <c r="B11" s="291" t="s">
        <v>127</v>
      </c>
      <c r="C11" s="635">
        <v>8007</v>
      </c>
      <c r="D11" s="634">
        <v>10789</v>
      </c>
      <c r="E11" s="634">
        <v>18796</v>
      </c>
      <c r="F11" s="635">
        <v>1569</v>
      </c>
      <c r="G11" s="634">
        <v>1934</v>
      </c>
      <c r="H11" s="634">
        <v>3503</v>
      </c>
      <c r="I11" s="635">
        <v>997</v>
      </c>
      <c r="J11" s="634">
        <v>1170</v>
      </c>
      <c r="K11" s="634">
        <v>2167</v>
      </c>
      <c r="L11" s="635">
        <v>3378</v>
      </c>
      <c r="M11" s="634">
        <v>4306</v>
      </c>
      <c r="N11" s="634">
        <v>7684</v>
      </c>
      <c r="O11" s="635">
        <v>7</v>
      </c>
      <c r="P11" s="634">
        <v>1</v>
      </c>
      <c r="Q11" s="634">
        <v>8</v>
      </c>
      <c r="R11" s="635">
        <v>88</v>
      </c>
      <c r="S11" s="634">
        <v>150</v>
      </c>
      <c r="T11" s="634">
        <v>238</v>
      </c>
      <c r="U11" s="635">
        <v>64</v>
      </c>
      <c r="V11" s="634">
        <v>171</v>
      </c>
      <c r="W11" s="634">
        <v>235</v>
      </c>
      <c r="X11" s="635">
        <v>198</v>
      </c>
      <c r="Y11" s="634">
        <v>211</v>
      </c>
      <c r="Z11" s="634">
        <v>409</v>
      </c>
    </row>
    <row r="12" spans="1:26" x14ac:dyDescent="0.3">
      <c r="A12" s="593">
        <v>8</v>
      </c>
      <c r="B12" s="291" t="s">
        <v>128</v>
      </c>
      <c r="C12" s="635">
        <v>12619</v>
      </c>
      <c r="D12" s="634">
        <v>9860</v>
      </c>
      <c r="E12" s="634">
        <v>22479</v>
      </c>
      <c r="F12" s="635">
        <v>1366</v>
      </c>
      <c r="G12" s="634">
        <v>1123</v>
      </c>
      <c r="H12" s="634">
        <v>2489</v>
      </c>
      <c r="I12" s="635">
        <v>407</v>
      </c>
      <c r="J12" s="634">
        <v>370</v>
      </c>
      <c r="K12" s="634">
        <v>777</v>
      </c>
      <c r="L12" s="635">
        <v>2741</v>
      </c>
      <c r="M12" s="634">
        <v>1725</v>
      </c>
      <c r="N12" s="634">
        <v>4466</v>
      </c>
      <c r="O12" s="635">
        <v>35</v>
      </c>
      <c r="P12" s="634">
        <v>12</v>
      </c>
      <c r="Q12" s="634">
        <v>47</v>
      </c>
      <c r="R12" s="635">
        <v>656</v>
      </c>
      <c r="S12" s="634">
        <v>393</v>
      </c>
      <c r="T12" s="634">
        <v>1049</v>
      </c>
      <c r="U12" s="635">
        <v>197</v>
      </c>
      <c r="V12" s="634">
        <v>256</v>
      </c>
      <c r="W12" s="634">
        <v>453</v>
      </c>
      <c r="X12" s="635">
        <v>95</v>
      </c>
      <c r="Y12" s="634">
        <v>55</v>
      </c>
      <c r="Z12" s="634">
        <v>150</v>
      </c>
    </row>
    <row r="13" spans="1:26" x14ac:dyDescent="0.3">
      <c r="A13" s="593">
        <v>9</v>
      </c>
      <c r="B13" s="291" t="s">
        <v>129</v>
      </c>
      <c r="C13" s="635">
        <v>63</v>
      </c>
      <c r="D13" s="634">
        <v>107</v>
      </c>
      <c r="E13" s="634">
        <v>170</v>
      </c>
      <c r="F13" s="635">
        <v>3</v>
      </c>
      <c r="G13" s="634">
        <v>1</v>
      </c>
      <c r="H13" s="634">
        <v>4</v>
      </c>
      <c r="I13" s="635">
        <v>0</v>
      </c>
      <c r="J13" s="634">
        <v>0</v>
      </c>
      <c r="K13" s="634">
        <v>0</v>
      </c>
      <c r="L13" s="635">
        <v>0</v>
      </c>
      <c r="M13" s="634">
        <v>0</v>
      </c>
      <c r="N13" s="634">
        <v>0</v>
      </c>
      <c r="O13" s="635">
        <v>0</v>
      </c>
      <c r="P13" s="634">
        <v>0</v>
      </c>
      <c r="Q13" s="634">
        <v>0</v>
      </c>
      <c r="R13" s="635">
        <v>0</v>
      </c>
      <c r="S13" s="634">
        <v>0</v>
      </c>
      <c r="T13" s="634">
        <v>0</v>
      </c>
      <c r="U13" s="635">
        <v>0</v>
      </c>
      <c r="V13" s="634">
        <v>0</v>
      </c>
      <c r="W13" s="634">
        <v>0</v>
      </c>
      <c r="X13" s="635">
        <v>0</v>
      </c>
      <c r="Y13" s="634">
        <v>0</v>
      </c>
      <c r="Z13" s="634">
        <v>0</v>
      </c>
    </row>
    <row r="14" spans="1:26" x14ac:dyDescent="0.3">
      <c r="A14" s="593">
        <v>10</v>
      </c>
      <c r="B14" s="291" t="s">
        <v>130</v>
      </c>
      <c r="C14" s="635">
        <v>166050</v>
      </c>
      <c r="D14" s="634">
        <v>235855</v>
      </c>
      <c r="E14" s="634">
        <v>401905</v>
      </c>
      <c r="F14" s="635">
        <v>21945</v>
      </c>
      <c r="G14" s="634">
        <v>27077</v>
      </c>
      <c r="H14" s="634">
        <v>49022</v>
      </c>
      <c r="I14" s="635">
        <v>16526</v>
      </c>
      <c r="J14" s="634">
        <v>21787</v>
      </c>
      <c r="K14" s="634">
        <v>38313</v>
      </c>
      <c r="L14" s="635">
        <v>59972</v>
      </c>
      <c r="M14" s="634">
        <v>75287</v>
      </c>
      <c r="N14" s="634">
        <v>135259</v>
      </c>
      <c r="O14" s="635">
        <v>120</v>
      </c>
      <c r="P14" s="634">
        <v>118</v>
      </c>
      <c r="Q14" s="634">
        <v>238</v>
      </c>
      <c r="R14" s="635">
        <v>10671</v>
      </c>
      <c r="S14" s="634">
        <v>14967</v>
      </c>
      <c r="T14" s="634">
        <v>25638</v>
      </c>
      <c r="U14" s="635">
        <v>2580</v>
      </c>
      <c r="V14" s="634">
        <v>4231</v>
      </c>
      <c r="W14" s="634">
        <v>6811</v>
      </c>
      <c r="X14" s="635">
        <v>1589</v>
      </c>
      <c r="Y14" s="634">
        <v>1826</v>
      </c>
      <c r="Z14" s="634">
        <v>3415</v>
      </c>
    </row>
    <row r="15" spans="1:26" x14ac:dyDescent="0.3">
      <c r="A15" s="593">
        <v>11</v>
      </c>
      <c r="B15" s="291" t="s">
        <v>131</v>
      </c>
      <c r="C15" s="635">
        <v>1177315</v>
      </c>
      <c r="D15" s="634">
        <v>1388648</v>
      </c>
      <c r="E15" s="634">
        <v>2565963</v>
      </c>
      <c r="F15" s="635">
        <v>217149</v>
      </c>
      <c r="G15" s="634">
        <v>243204</v>
      </c>
      <c r="H15" s="634">
        <v>460353</v>
      </c>
      <c r="I15" s="635">
        <v>97922</v>
      </c>
      <c r="J15" s="634">
        <v>112114</v>
      </c>
      <c r="K15" s="634">
        <v>210036</v>
      </c>
      <c r="L15" s="635">
        <v>466954</v>
      </c>
      <c r="M15" s="634">
        <v>552344</v>
      </c>
      <c r="N15" s="634">
        <v>1019298</v>
      </c>
      <c r="O15" s="635">
        <v>1253</v>
      </c>
      <c r="P15" s="634">
        <v>909</v>
      </c>
      <c r="Q15" s="634">
        <v>2162</v>
      </c>
      <c r="R15" s="635">
        <v>33497</v>
      </c>
      <c r="S15" s="634">
        <v>57335</v>
      </c>
      <c r="T15" s="634">
        <v>90832</v>
      </c>
      <c r="U15" s="635">
        <v>9439</v>
      </c>
      <c r="V15" s="634">
        <v>15070</v>
      </c>
      <c r="W15" s="634">
        <v>24509</v>
      </c>
      <c r="X15" s="635">
        <v>8025</v>
      </c>
      <c r="Y15" s="634">
        <v>9577</v>
      </c>
      <c r="Z15" s="634">
        <v>17602</v>
      </c>
    </row>
    <row r="16" spans="1:26" x14ac:dyDescent="0.3">
      <c r="A16" s="593">
        <v>12</v>
      </c>
      <c r="B16" s="291" t="s">
        <v>132</v>
      </c>
      <c r="C16" s="635">
        <v>465</v>
      </c>
      <c r="D16" s="634">
        <v>781</v>
      </c>
      <c r="E16" s="634">
        <v>1246</v>
      </c>
      <c r="F16" s="635">
        <v>40</v>
      </c>
      <c r="G16" s="634">
        <v>67</v>
      </c>
      <c r="H16" s="634">
        <v>107</v>
      </c>
      <c r="I16" s="635">
        <v>26</v>
      </c>
      <c r="J16" s="634">
        <v>42</v>
      </c>
      <c r="K16" s="634">
        <v>68</v>
      </c>
      <c r="L16" s="635">
        <v>201</v>
      </c>
      <c r="M16" s="634">
        <v>299</v>
      </c>
      <c r="N16" s="634">
        <v>500</v>
      </c>
      <c r="O16" s="635">
        <v>0</v>
      </c>
      <c r="P16" s="634">
        <v>0</v>
      </c>
      <c r="Q16" s="634">
        <v>0</v>
      </c>
      <c r="R16" s="635">
        <v>19</v>
      </c>
      <c r="S16" s="634">
        <v>28</v>
      </c>
      <c r="T16" s="634">
        <v>47</v>
      </c>
      <c r="U16" s="635">
        <v>7</v>
      </c>
      <c r="V16" s="634">
        <v>15</v>
      </c>
      <c r="W16" s="634">
        <v>22</v>
      </c>
      <c r="X16" s="635">
        <v>6</v>
      </c>
      <c r="Y16" s="634">
        <v>6</v>
      </c>
      <c r="Z16" s="634">
        <v>12</v>
      </c>
    </row>
    <row r="17" spans="1:26" x14ac:dyDescent="0.3">
      <c r="A17" s="593">
        <v>13</v>
      </c>
      <c r="B17" s="291" t="s">
        <v>133</v>
      </c>
      <c r="C17" s="635">
        <v>4555</v>
      </c>
      <c r="D17" s="634">
        <v>6959</v>
      </c>
      <c r="E17" s="634">
        <v>11514</v>
      </c>
      <c r="F17" s="635">
        <v>493</v>
      </c>
      <c r="G17" s="634">
        <v>667</v>
      </c>
      <c r="H17" s="634">
        <v>1160</v>
      </c>
      <c r="I17" s="635">
        <v>170</v>
      </c>
      <c r="J17" s="634">
        <v>283</v>
      </c>
      <c r="K17" s="634">
        <v>453</v>
      </c>
      <c r="L17" s="635">
        <v>1750</v>
      </c>
      <c r="M17" s="634">
        <v>2445</v>
      </c>
      <c r="N17" s="634">
        <v>4195</v>
      </c>
      <c r="O17" s="635">
        <v>1</v>
      </c>
      <c r="P17" s="634">
        <v>0</v>
      </c>
      <c r="Q17" s="634">
        <v>1</v>
      </c>
      <c r="R17" s="635">
        <v>205</v>
      </c>
      <c r="S17" s="634">
        <v>187</v>
      </c>
      <c r="T17" s="634">
        <v>392</v>
      </c>
      <c r="U17" s="635">
        <v>124</v>
      </c>
      <c r="V17" s="634">
        <v>163</v>
      </c>
      <c r="W17" s="634">
        <v>287</v>
      </c>
      <c r="X17" s="635">
        <v>45</v>
      </c>
      <c r="Y17" s="634">
        <v>59</v>
      </c>
      <c r="Z17" s="634">
        <v>104</v>
      </c>
    </row>
    <row r="18" spans="1:26" x14ac:dyDescent="0.3">
      <c r="A18" s="593">
        <v>14</v>
      </c>
      <c r="B18" s="291" t="s">
        <v>134</v>
      </c>
      <c r="C18" s="635">
        <v>178</v>
      </c>
      <c r="D18" s="634">
        <v>545</v>
      </c>
      <c r="E18" s="634">
        <v>723</v>
      </c>
      <c r="F18" s="635">
        <v>7</v>
      </c>
      <c r="G18" s="634">
        <v>29</v>
      </c>
      <c r="H18" s="634">
        <v>36</v>
      </c>
      <c r="I18" s="635">
        <v>4</v>
      </c>
      <c r="J18" s="634">
        <v>12</v>
      </c>
      <c r="K18" s="634">
        <v>16</v>
      </c>
      <c r="L18" s="635">
        <v>78</v>
      </c>
      <c r="M18" s="634">
        <v>276</v>
      </c>
      <c r="N18" s="634">
        <v>354</v>
      </c>
      <c r="O18" s="635">
        <v>0</v>
      </c>
      <c r="P18" s="634">
        <v>0</v>
      </c>
      <c r="Q18" s="634">
        <v>0</v>
      </c>
      <c r="R18" s="635">
        <v>13</v>
      </c>
      <c r="S18" s="634">
        <v>45</v>
      </c>
      <c r="T18" s="634">
        <v>58</v>
      </c>
      <c r="U18" s="635">
        <v>22</v>
      </c>
      <c r="V18" s="634">
        <v>56</v>
      </c>
      <c r="W18" s="634">
        <v>78</v>
      </c>
      <c r="X18" s="635">
        <v>0</v>
      </c>
      <c r="Y18" s="634">
        <v>0</v>
      </c>
      <c r="Z18" s="634">
        <v>0</v>
      </c>
    </row>
    <row r="19" spans="1:26" x14ac:dyDescent="0.3">
      <c r="A19" s="593">
        <v>15</v>
      </c>
      <c r="B19" s="291" t="s">
        <v>135</v>
      </c>
      <c r="C19" s="635">
        <v>27495</v>
      </c>
      <c r="D19" s="634">
        <v>9589</v>
      </c>
      <c r="E19" s="634">
        <v>37084</v>
      </c>
      <c r="F19" s="635">
        <v>3518</v>
      </c>
      <c r="G19" s="634">
        <v>1258</v>
      </c>
      <c r="H19" s="634">
        <v>4776</v>
      </c>
      <c r="I19" s="635">
        <v>1064</v>
      </c>
      <c r="J19" s="634">
        <v>661</v>
      </c>
      <c r="K19" s="634">
        <v>1725</v>
      </c>
      <c r="L19" s="635">
        <v>12646</v>
      </c>
      <c r="M19" s="634">
        <v>4028</v>
      </c>
      <c r="N19" s="634">
        <v>16674</v>
      </c>
      <c r="O19" s="635">
        <v>41</v>
      </c>
      <c r="P19" s="634">
        <v>15</v>
      </c>
      <c r="Q19" s="634">
        <v>56</v>
      </c>
      <c r="R19" s="635">
        <v>283</v>
      </c>
      <c r="S19" s="634">
        <v>185</v>
      </c>
      <c r="T19" s="634">
        <v>468</v>
      </c>
      <c r="U19" s="635">
        <v>143</v>
      </c>
      <c r="V19" s="634">
        <v>146</v>
      </c>
      <c r="W19" s="634">
        <v>289</v>
      </c>
      <c r="X19" s="635">
        <v>360</v>
      </c>
      <c r="Y19" s="634">
        <v>202</v>
      </c>
      <c r="Z19" s="634">
        <v>562</v>
      </c>
    </row>
    <row r="20" spans="1:26" x14ac:dyDescent="0.3">
      <c r="A20" s="593">
        <v>16</v>
      </c>
      <c r="B20" s="291" t="s">
        <v>136</v>
      </c>
      <c r="C20" s="635">
        <v>6147</v>
      </c>
      <c r="D20" s="634">
        <v>7177</v>
      </c>
      <c r="E20" s="634">
        <v>13324</v>
      </c>
      <c r="F20" s="635">
        <v>337</v>
      </c>
      <c r="G20" s="634">
        <v>271</v>
      </c>
      <c r="H20" s="634">
        <v>608</v>
      </c>
      <c r="I20" s="635">
        <v>84</v>
      </c>
      <c r="J20" s="634">
        <v>90</v>
      </c>
      <c r="K20" s="634">
        <v>174</v>
      </c>
      <c r="L20" s="635">
        <v>1909</v>
      </c>
      <c r="M20" s="634">
        <v>1932</v>
      </c>
      <c r="N20" s="634">
        <v>3841</v>
      </c>
      <c r="O20" s="635">
        <v>6</v>
      </c>
      <c r="P20" s="634">
        <v>2</v>
      </c>
      <c r="Q20" s="634">
        <v>8</v>
      </c>
      <c r="R20" s="635">
        <v>461</v>
      </c>
      <c r="S20" s="634">
        <v>341</v>
      </c>
      <c r="T20" s="634">
        <v>802</v>
      </c>
      <c r="U20" s="635">
        <v>224</v>
      </c>
      <c r="V20" s="634">
        <v>308</v>
      </c>
      <c r="W20" s="634">
        <v>532</v>
      </c>
      <c r="X20" s="635">
        <v>52</v>
      </c>
      <c r="Y20" s="634">
        <v>53</v>
      </c>
      <c r="Z20" s="634">
        <v>105</v>
      </c>
    </row>
    <row r="21" spans="1:26" x14ac:dyDescent="0.3">
      <c r="A21" s="593">
        <v>17</v>
      </c>
      <c r="B21" s="291" t="s">
        <v>137</v>
      </c>
      <c r="C21" s="635">
        <v>97958</v>
      </c>
      <c r="D21" s="634">
        <v>69493</v>
      </c>
      <c r="E21" s="634">
        <v>167451</v>
      </c>
      <c r="F21" s="635">
        <v>7545</v>
      </c>
      <c r="G21" s="634">
        <v>6455</v>
      </c>
      <c r="H21" s="634">
        <v>14000</v>
      </c>
      <c r="I21" s="635">
        <v>2100</v>
      </c>
      <c r="J21" s="634">
        <v>1441</v>
      </c>
      <c r="K21" s="634">
        <v>3541</v>
      </c>
      <c r="L21" s="635">
        <v>31554</v>
      </c>
      <c r="M21" s="634">
        <v>24079</v>
      </c>
      <c r="N21" s="634">
        <v>55633</v>
      </c>
      <c r="O21" s="635">
        <v>49</v>
      </c>
      <c r="P21" s="634">
        <v>42</v>
      </c>
      <c r="Q21" s="634">
        <v>91</v>
      </c>
      <c r="R21" s="635">
        <v>6852</v>
      </c>
      <c r="S21" s="634">
        <v>3554</v>
      </c>
      <c r="T21" s="634">
        <v>10406</v>
      </c>
      <c r="U21" s="635">
        <v>3150</v>
      </c>
      <c r="V21" s="634">
        <v>2495</v>
      </c>
      <c r="W21" s="634">
        <v>5645</v>
      </c>
      <c r="X21" s="635">
        <v>900</v>
      </c>
      <c r="Y21" s="634">
        <v>742</v>
      </c>
      <c r="Z21" s="634">
        <v>1642</v>
      </c>
    </row>
    <row r="22" spans="1:26" x14ac:dyDescent="0.3">
      <c r="A22" s="593">
        <v>18</v>
      </c>
      <c r="B22" s="291" t="s">
        <v>819</v>
      </c>
      <c r="C22" s="635">
        <v>299</v>
      </c>
      <c r="D22" s="634">
        <v>269</v>
      </c>
      <c r="E22" s="634">
        <v>568</v>
      </c>
      <c r="F22" s="635">
        <v>4</v>
      </c>
      <c r="G22" s="634">
        <v>3</v>
      </c>
      <c r="H22" s="634">
        <v>7</v>
      </c>
      <c r="I22" s="635">
        <v>1</v>
      </c>
      <c r="J22" s="634">
        <v>2</v>
      </c>
      <c r="K22" s="634">
        <v>3</v>
      </c>
      <c r="L22" s="635">
        <v>19</v>
      </c>
      <c r="M22" s="634">
        <v>19</v>
      </c>
      <c r="N22" s="634">
        <v>38</v>
      </c>
      <c r="O22" s="635">
        <v>0</v>
      </c>
      <c r="P22" s="634">
        <v>0</v>
      </c>
      <c r="Q22" s="634">
        <v>0</v>
      </c>
      <c r="R22" s="635">
        <v>1</v>
      </c>
      <c r="S22" s="634">
        <v>0</v>
      </c>
      <c r="T22" s="634">
        <v>1</v>
      </c>
      <c r="U22" s="635">
        <v>2</v>
      </c>
      <c r="V22" s="634">
        <v>5</v>
      </c>
      <c r="W22" s="634">
        <v>7</v>
      </c>
      <c r="X22" s="635">
        <v>0</v>
      </c>
      <c r="Y22" s="634">
        <v>0</v>
      </c>
      <c r="Z22" s="634">
        <v>0</v>
      </c>
    </row>
    <row r="23" spans="1:26" ht="26" x14ac:dyDescent="0.3">
      <c r="A23" s="593">
        <v>19</v>
      </c>
      <c r="B23" s="291" t="s">
        <v>138</v>
      </c>
      <c r="C23" s="635">
        <v>2128</v>
      </c>
      <c r="D23" s="634">
        <v>1856</v>
      </c>
      <c r="E23" s="634">
        <v>3984</v>
      </c>
      <c r="F23" s="635">
        <v>99</v>
      </c>
      <c r="G23" s="634">
        <v>88</v>
      </c>
      <c r="H23" s="634">
        <v>187</v>
      </c>
      <c r="I23" s="635">
        <v>25</v>
      </c>
      <c r="J23" s="634">
        <v>17</v>
      </c>
      <c r="K23" s="634">
        <v>42</v>
      </c>
      <c r="L23" s="635">
        <v>238</v>
      </c>
      <c r="M23" s="634">
        <v>197</v>
      </c>
      <c r="N23" s="634">
        <v>435</v>
      </c>
      <c r="O23" s="635">
        <v>1</v>
      </c>
      <c r="P23" s="634">
        <v>0</v>
      </c>
      <c r="Q23" s="634">
        <v>1</v>
      </c>
      <c r="R23" s="635">
        <v>49</v>
      </c>
      <c r="S23" s="634">
        <v>24</v>
      </c>
      <c r="T23" s="634">
        <v>73</v>
      </c>
      <c r="U23" s="635">
        <v>44</v>
      </c>
      <c r="V23" s="634">
        <v>70</v>
      </c>
      <c r="W23" s="634">
        <v>114</v>
      </c>
      <c r="X23" s="635">
        <v>11</v>
      </c>
      <c r="Y23" s="634">
        <v>8</v>
      </c>
      <c r="Z23" s="634">
        <v>19</v>
      </c>
    </row>
    <row r="24" spans="1:26" x14ac:dyDescent="0.3">
      <c r="A24" s="593">
        <v>20</v>
      </c>
      <c r="B24" s="291" t="s">
        <v>139</v>
      </c>
      <c r="C24" s="635">
        <v>2308</v>
      </c>
      <c r="D24" s="634">
        <v>1671</v>
      </c>
      <c r="E24" s="634">
        <v>3979</v>
      </c>
      <c r="F24" s="635">
        <v>205</v>
      </c>
      <c r="G24" s="634">
        <v>171</v>
      </c>
      <c r="H24" s="634">
        <v>376</v>
      </c>
      <c r="I24" s="635">
        <v>75</v>
      </c>
      <c r="J24" s="634">
        <v>63</v>
      </c>
      <c r="K24" s="634">
        <v>138</v>
      </c>
      <c r="L24" s="635">
        <v>734</v>
      </c>
      <c r="M24" s="634">
        <v>602</v>
      </c>
      <c r="N24" s="634">
        <v>1336</v>
      </c>
      <c r="O24" s="635">
        <v>4</v>
      </c>
      <c r="P24" s="634">
        <v>0</v>
      </c>
      <c r="Q24" s="634">
        <v>4</v>
      </c>
      <c r="R24" s="635">
        <v>85</v>
      </c>
      <c r="S24" s="634">
        <v>66</v>
      </c>
      <c r="T24" s="634">
        <v>151</v>
      </c>
      <c r="U24" s="635">
        <v>18</v>
      </c>
      <c r="V24" s="634">
        <v>74</v>
      </c>
      <c r="W24" s="634">
        <v>92</v>
      </c>
      <c r="X24" s="635">
        <v>25</v>
      </c>
      <c r="Y24" s="634">
        <v>32</v>
      </c>
      <c r="Z24" s="634">
        <v>57</v>
      </c>
    </row>
    <row r="25" spans="1:26" x14ac:dyDescent="0.3">
      <c r="A25" s="593">
        <v>21</v>
      </c>
      <c r="B25" s="291" t="s">
        <v>140</v>
      </c>
      <c r="C25" s="635">
        <v>68</v>
      </c>
      <c r="D25" s="634">
        <v>17</v>
      </c>
      <c r="E25" s="634">
        <v>85</v>
      </c>
      <c r="F25" s="635">
        <v>10</v>
      </c>
      <c r="G25" s="634">
        <v>3</v>
      </c>
      <c r="H25" s="634">
        <v>13</v>
      </c>
      <c r="I25" s="635">
        <v>0</v>
      </c>
      <c r="J25" s="634">
        <v>0</v>
      </c>
      <c r="K25" s="634">
        <v>0</v>
      </c>
      <c r="L25" s="635">
        <v>13</v>
      </c>
      <c r="M25" s="634">
        <v>3</v>
      </c>
      <c r="N25" s="634">
        <v>16</v>
      </c>
      <c r="O25" s="635">
        <v>0</v>
      </c>
      <c r="P25" s="634">
        <v>0</v>
      </c>
      <c r="Q25" s="634">
        <v>0</v>
      </c>
      <c r="R25" s="635">
        <v>0</v>
      </c>
      <c r="S25" s="634">
        <v>0</v>
      </c>
      <c r="T25" s="634">
        <v>0</v>
      </c>
      <c r="U25" s="635">
        <v>0</v>
      </c>
      <c r="V25" s="634">
        <v>0</v>
      </c>
      <c r="W25" s="634">
        <v>0</v>
      </c>
      <c r="X25" s="635">
        <v>6</v>
      </c>
      <c r="Y25" s="634">
        <v>0</v>
      </c>
      <c r="Z25" s="634">
        <v>6</v>
      </c>
    </row>
    <row r="26" spans="1:26" x14ac:dyDescent="0.3">
      <c r="A26" s="593">
        <v>22</v>
      </c>
      <c r="B26" s="291" t="s">
        <v>141</v>
      </c>
      <c r="C26" s="635">
        <v>85187</v>
      </c>
      <c r="D26" s="634">
        <v>57064</v>
      </c>
      <c r="E26" s="634">
        <v>142251</v>
      </c>
      <c r="F26" s="635">
        <v>8006</v>
      </c>
      <c r="G26" s="634">
        <v>6426</v>
      </c>
      <c r="H26" s="634">
        <v>14432</v>
      </c>
      <c r="I26" s="635">
        <v>1982</v>
      </c>
      <c r="J26" s="634">
        <v>1304</v>
      </c>
      <c r="K26" s="634">
        <v>3286</v>
      </c>
      <c r="L26" s="635">
        <v>33312</v>
      </c>
      <c r="M26" s="634">
        <v>24239</v>
      </c>
      <c r="N26" s="634">
        <v>57551</v>
      </c>
      <c r="O26" s="635">
        <v>71</v>
      </c>
      <c r="P26" s="634">
        <v>42</v>
      </c>
      <c r="Q26" s="634">
        <v>113</v>
      </c>
      <c r="R26" s="635">
        <v>4308</v>
      </c>
      <c r="S26" s="634">
        <v>2122</v>
      </c>
      <c r="T26" s="634">
        <v>6430</v>
      </c>
      <c r="U26" s="635">
        <v>2406</v>
      </c>
      <c r="V26" s="634">
        <v>2064</v>
      </c>
      <c r="W26" s="634">
        <v>4470</v>
      </c>
      <c r="X26" s="635">
        <v>851</v>
      </c>
      <c r="Y26" s="634">
        <v>776</v>
      </c>
      <c r="Z26" s="634">
        <v>1627</v>
      </c>
    </row>
    <row r="27" spans="1:26" x14ac:dyDescent="0.3">
      <c r="A27" s="593">
        <v>23</v>
      </c>
      <c r="B27" s="291" t="s">
        <v>820</v>
      </c>
      <c r="C27" s="635">
        <v>119</v>
      </c>
      <c r="D27" s="634">
        <v>32</v>
      </c>
      <c r="E27" s="634">
        <v>151</v>
      </c>
      <c r="F27" s="635">
        <v>1</v>
      </c>
      <c r="G27" s="634">
        <v>3</v>
      </c>
      <c r="H27" s="634">
        <v>4</v>
      </c>
      <c r="I27" s="635">
        <v>1</v>
      </c>
      <c r="J27" s="634">
        <v>0</v>
      </c>
      <c r="K27" s="634">
        <v>1</v>
      </c>
      <c r="L27" s="635">
        <v>7</v>
      </c>
      <c r="M27" s="634">
        <v>3</v>
      </c>
      <c r="N27" s="634">
        <v>10</v>
      </c>
      <c r="O27" s="635">
        <v>0</v>
      </c>
      <c r="P27" s="634">
        <v>0</v>
      </c>
      <c r="Q27" s="634">
        <v>0</v>
      </c>
      <c r="R27" s="635">
        <v>1</v>
      </c>
      <c r="S27" s="634">
        <v>0</v>
      </c>
      <c r="T27" s="634">
        <v>1</v>
      </c>
      <c r="U27" s="635">
        <v>0</v>
      </c>
      <c r="V27" s="634">
        <v>0</v>
      </c>
      <c r="W27" s="634">
        <v>0</v>
      </c>
      <c r="X27" s="635">
        <v>0</v>
      </c>
      <c r="Y27" s="634">
        <v>0</v>
      </c>
      <c r="Z27" s="634">
        <v>0</v>
      </c>
    </row>
    <row r="28" spans="1:26" x14ac:dyDescent="0.3">
      <c r="A28" s="593">
        <v>24</v>
      </c>
      <c r="B28" s="291" t="s">
        <v>142</v>
      </c>
      <c r="C28" s="635">
        <v>124</v>
      </c>
      <c r="D28" s="634">
        <v>52</v>
      </c>
      <c r="E28" s="634">
        <v>176</v>
      </c>
      <c r="F28" s="635">
        <v>13</v>
      </c>
      <c r="G28" s="634">
        <v>5</v>
      </c>
      <c r="H28" s="634">
        <v>18</v>
      </c>
      <c r="I28" s="635">
        <v>3</v>
      </c>
      <c r="J28" s="634">
        <v>4</v>
      </c>
      <c r="K28" s="634">
        <v>7</v>
      </c>
      <c r="L28" s="635">
        <v>40</v>
      </c>
      <c r="M28" s="634">
        <v>22</v>
      </c>
      <c r="N28" s="634">
        <v>62</v>
      </c>
      <c r="O28" s="635">
        <v>0</v>
      </c>
      <c r="P28" s="634">
        <v>0</v>
      </c>
      <c r="Q28" s="634">
        <v>0</v>
      </c>
      <c r="R28" s="635">
        <v>0</v>
      </c>
      <c r="S28" s="634">
        <v>0</v>
      </c>
      <c r="T28" s="634">
        <v>0</v>
      </c>
      <c r="U28" s="635">
        <v>0</v>
      </c>
      <c r="V28" s="634">
        <v>0</v>
      </c>
      <c r="W28" s="634">
        <v>0</v>
      </c>
      <c r="X28" s="635">
        <v>2</v>
      </c>
      <c r="Y28" s="634">
        <v>0</v>
      </c>
      <c r="Z28" s="634">
        <v>2</v>
      </c>
    </row>
    <row r="29" spans="1:26" x14ac:dyDescent="0.3">
      <c r="A29" s="593">
        <v>25</v>
      </c>
      <c r="B29" s="291" t="s">
        <v>821</v>
      </c>
      <c r="C29" s="635">
        <v>149</v>
      </c>
      <c r="D29" s="634">
        <v>26</v>
      </c>
      <c r="E29" s="634">
        <v>175</v>
      </c>
      <c r="F29" s="635">
        <v>10</v>
      </c>
      <c r="G29" s="634">
        <v>1</v>
      </c>
      <c r="H29" s="634">
        <v>11</v>
      </c>
      <c r="I29" s="635">
        <v>2</v>
      </c>
      <c r="J29" s="634">
        <v>0</v>
      </c>
      <c r="K29" s="634">
        <v>2</v>
      </c>
      <c r="L29" s="635">
        <v>11</v>
      </c>
      <c r="M29" s="634">
        <v>1</v>
      </c>
      <c r="N29" s="634">
        <v>12</v>
      </c>
      <c r="O29" s="635">
        <v>0</v>
      </c>
      <c r="P29" s="634">
        <v>0</v>
      </c>
      <c r="Q29" s="634">
        <v>0</v>
      </c>
      <c r="R29" s="635">
        <v>2</v>
      </c>
      <c r="S29" s="634">
        <v>0</v>
      </c>
      <c r="T29" s="634">
        <v>2</v>
      </c>
      <c r="U29" s="635">
        <v>0</v>
      </c>
      <c r="V29" s="634">
        <v>0</v>
      </c>
      <c r="W29" s="634">
        <v>0</v>
      </c>
      <c r="X29" s="635">
        <v>0</v>
      </c>
      <c r="Y29" s="634">
        <v>0</v>
      </c>
      <c r="Z29" s="634">
        <v>0</v>
      </c>
    </row>
    <row r="30" spans="1:26" x14ac:dyDescent="0.3">
      <c r="A30" s="593">
        <v>26</v>
      </c>
      <c r="B30" s="291" t="s">
        <v>822</v>
      </c>
      <c r="C30" s="635">
        <v>0</v>
      </c>
      <c r="D30" s="634">
        <v>22</v>
      </c>
      <c r="E30" s="634">
        <v>22</v>
      </c>
      <c r="F30" s="635">
        <v>0</v>
      </c>
      <c r="G30" s="634">
        <v>0</v>
      </c>
      <c r="H30" s="634">
        <v>0</v>
      </c>
      <c r="I30" s="635">
        <v>0</v>
      </c>
      <c r="J30" s="634">
        <v>0</v>
      </c>
      <c r="K30" s="634">
        <v>0</v>
      </c>
      <c r="L30" s="635">
        <v>0</v>
      </c>
      <c r="M30" s="634">
        <v>0</v>
      </c>
      <c r="N30" s="634">
        <v>0</v>
      </c>
      <c r="O30" s="635">
        <v>0</v>
      </c>
      <c r="P30" s="634">
        <v>0</v>
      </c>
      <c r="Q30" s="634">
        <v>0</v>
      </c>
      <c r="R30" s="635">
        <v>0</v>
      </c>
      <c r="S30" s="634">
        <v>0</v>
      </c>
      <c r="T30" s="634">
        <v>0</v>
      </c>
      <c r="U30" s="635">
        <v>0</v>
      </c>
      <c r="V30" s="634">
        <v>0</v>
      </c>
      <c r="W30" s="634">
        <v>0</v>
      </c>
      <c r="X30" s="635">
        <v>0</v>
      </c>
      <c r="Y30" s="634">
        <v>0</v>
      </c>
      <c r="Z30" s="634">
        <v>0</v>
      </c>
    </row>
    <row r="31" spans="1:26" x14ac:dyDescent="0.3">
      <c r="A31" s="593">
        <v>27</v>
      </c>
      <c r="B31" s="291" t="s">
        <v>143</v>
      </c>
      <c r="C31" s="635">
        <v>12647</v>
      </c>
      <c r="D31" s="634">
        <v>11042</v>
      </c>
      <c r="E31" s="634">
        <v>23689</v>
      </c>
      <c r="F31" s="635">
        <v>994</v>
      </c>
      <c r="G31" s="634">
        <v>847</v>
      </c>
      <c r="H31" s="634">
        <v>1841</v>
      </c>
      <c r="I31" s="635">
        <v>524</v>
      </c>
      <c r="J31" s="634">
        <v>543</v>
      </c>
      <c r="K31" s="634">
        <v>1067</v>
      </c>
      <c r="L31" s="635">
        <v>2889</v>
      </c>
      <c r="M31" s="634">
        <v>2656</v>
      </c>
      <c r="N31" s="634">
        <v>5545</v>
      </c>
      <c r="O31" s="635">
        <v>24</v>
      </c>
      <c r="P31" s="634">
        <v>5</v>
      </c>
      <c r="Q31" s="634">
        <v>29</v>
      </c>
      <c r="R31" s="635">
        <v>412</v>
      </c>
      <c r="S31" s="634">
        <v>309</v>
      </c>
      <c r="T31" s="634">
        <v>721</v>
      </c>
      <c r="U31" s="635">
        <v>163</v>
      </c>
      <c r="V31" s="634">
        <v>189</v>
      </c>
      <c r="W31" s="634">
        <v>352</v>
      </c>
      <c r="X31" s="635">
        <v>114</v>
      </c>
      <c r="Y31" s="634">
        <v>118</v>
      </c>
      <c r="Z31" s="634">
        <v>232</v>
      </c>
    </row>
    <row r="32" spans="1:26" x14ac:dyDescent="0.3">
      <c r="A32" s="593">
        <v>28</v>
      </c>
      <c r="B32" s="291" t="s">
        <v>144</v>
      </c>
      <c r="C32" s="635">
        <v>527305</v>
      </c>
      <c r="D32" s="634">
        <v>535122</v>
      </c>
      <c r="E32" s="634">
        <v>1062427</v>
      </c>
      <c r="F32" s="635">
        <v>57824</v>
      </c>
      <c r="G32" s="634">
        <v>59702</v>
      </c>
      <c r="H32" s="634">
        <v>117526</v>
      </c>
      <c r="I32" s="635">
        <v>18257</v>
      </c>
      <c r="J32" s="634">
        <v>17503</v>
      </c>
      <c r="K32" s="634">
        <v>35760</v>
      </c>
      <c r="L32" s="635">
        <v>196450</v>
      </c>
      <c r="M32" s="634">
        <v>212162</v>
      </c>
      <c r="N32" s="634">
        <v>408612</v>
      </c>
      <c r="O32" s="635">
        <v>827</v>
      </c>
      <c r="P32" s="634">
        <v>598</v>
      </c>
      <c r="Q32" s="634">
        <v>1425</v>
      </c>
      <c r="R32" s="635">
        <v>22885</v>
      </c>
      <c r="S32" s="634">
        <v>20899</v>
      </c>
      <c r="T32" s="634">
        <v>43784</v>
      </c>
      <c r="U32" s="635">
        <v>10823</v>
      </c>
      <c r="V32" s="634">
        <v>14105</v>
      </c>
      <c r="W32" s="634">
        <v>24928</v>
      </c>
      <c r="X32" s="635">
        <v>5379</v>
      </c>
      <c r="Y32" s="634">
        <v>6308</v>
      </c>
      <c r="Z32" s="634">
        <v>11687</v>
      </c>
    </row>
    <row r="33" spans="1:26" x14ac:dyDescent="0.3">
      <c r="A33" s="593">
        <v>29</v>
      </c>
      <c r="B33" s="291" t="s">
        <v>145</v>
      </c>
      <c r="C33" s="635">
        <v>787</v>
      </c>
      <c r="D33" s="634">
        <v>753</v>
      </c>
      <c r="E33" s="634">
        <v>1540</v>
      </c>
      <c r="F33" s="635">
        <v>44</v>
      </c>
      <c r="G33" s="634">
        <v>49</v>
      </c>
      <c r="H33" s="634">
        <v>93</v>
      </c>
      <c r="I33" s="635">
        <v>8</v>
      </c>
      <c r="J33" s="634">
        <v>6</v>
      </c>
      <c r="K33" s="634">
        <v>14</v>
      </c>
      <c r="L33" s="635">
        <v>173</v>
      </c>
      <c r="M33" s="634">
        <v>132</v>
      </c>
      <c r="N33" s="634">
        <v>305</v>
      </c>
      <c r="O33" s="635">
        <v>4</v>
      </c>
      <c r="P33" s="634">
        <v>0</v>
      </c>
      <c r="Q33" s="634">
        <v>4</v>
      </c>
      <c r="R33" s="635">
        <v>11</v>
      </c>
      <c r="S33" s="634">
        <v>16</v>
      </c>
      <c r="T33" s="634">
        <v>27</v>
      </c>
      <c r="U33" s="635">
        <v>28</v>
      </c>
      <c r="V33" s="634">
        <v>40</v>
      </c>
      <c r="W33" s="634">
        <v>68</v>
      </c>
      <c r="X33" s="635">
        <v>4</v>
      </c>
      <c r="Y33" s="634">
        <v>2</v>
      </c>
      <c r="Z33" s="634">
        <v>6</v>
      </c>
    </row>
    <row r="34" spans="1:26" x14ac:dyDescent="0.3">
      <c r="A34" s="593">
        <v>30</v>
      </c>
      <c r="B34" s="291" t="s">
        <v>146</v>
      </c>
      <c r="C34" s="635">
        <v>4992</v>
      </c>
      <c r="D34" s="634">
        <v>15116</v>
      </c>
      <c r="E34" s="634">
        <v>20108</v>
      </c>
      <c r="F34" s="635">
        <v>454</v>
      </c>
      <c r="G34" s="634">
        <v>1057</v>
      </c>
      <c r="H34" s="634">
        <v>1511</v>
      </c>
      <c r="I34" s="635">
        <v>172</v>
      </c>
      <c r="J34" s="634">
        <v>355</v>
      </c>
      <c r="K34" s="634">
        <v>527</v>
      </c>
      <c r="L34" s="635">
        <v>1466</v>
      </c>
      <c r="M34" s="634">
        <v>4714</v>
      </c>
      <c r="N34" s="634">
        <v>6180</v>
      </c>
      <c r="O34" s="635">
        <v>10</v>
      </c>
      <c r="P34" s="634">
        <v>6</v>
      </c>
      <c r="Q34" s="634">
        <v>16</v>
      </c>
      <c r="R34" s="635">
        <v>208</v>
      </c>
      <c r="S34" s="634">
        <v>473</v>
      </c>
      <c r="T34" s="634">
        <v>681</v>
      </c>
      <c r="U34" s="635">
        <v>115</v>
      </c>
      <c r="V34" s="634">
        <v>375</v>
      </c>
      <c r="W34" s="634">
        <v>490</v>
      </c>
      <c r="X34" s="635">
        <v>11</v>
      </c>
      <c r="Y34" s="634">
        <v>48</v>
      </c>
      <c r="Z34" s="634">
        <v>59</v>
      </c>
    </row>
    <row r="35" spans="1:26" x14ac:dyDescent="0.3">
      <c r="A35" s="593">
        <v>31</v>
      </c>
      <c r="B35" s="291" t="s">
        <v>823</v>
      </c>
      <c r="C35" s="635">
        <v>5</v>
      </c>
      <c r="D35" s="634">
        <v>15</v>
      </c>
      <c r="E35" s="634">
        <v>20</v>
      </c>
      <c r="F35" s="635">
        <v>1</v>
      </c>
      <c r="G35" s="634">
        <v>1</v>
      </c>
      <c r="H35" s="634">
        <v>2</v>
      </c>
      <c r="I35" s="635">
        <v>1</v>
      </c>
      <c r="J35" s="634">
        <v>0</v>
      </c>
      <c r="K35" s="634">
        <v>1</v>
      </c>
      <c r="L35" s="635">
        <v>3</v>
      </c>
      <c r="M35" s="634">
        <v>6</v>
      </c>
      <c r="N35" s="634">
        <v>9</v>
      </c>
      <c r="O35" s="635">
        <v>0</v>
      </c>
      <c r="P35" s="634">
        <v>0</v>
      </c>
      <c r="Q35" s="634">
        <v>0</v>
      </c>
      <c r="R35" s="635">
        <v>0</v>
      </c>
      <c r="S35" s="634">
        <v>0</v>
      </c>
      <c r="T35" s="634">
        <v>0</v>
      </c>
      <c r="U35" s="635">
        <v>0</v>
      </c>
      <c r="V35" s="634">
        <v>0</v>
      </c>
      <c r="W35" s="634">
        <v>0</v>
      </c>
      <c r="X35" s="635">
        <v>0</v>
      </c>
      <c r="Y35" s="634">
        <v>0</v>
      </c>
      <c r="Z35" s="634">
        <v>0</v>
      </c>
    </row>
    <row r="36" spans="1:26" x14ac:dyDescent="0.3">
      <c r="A36" s="593">
        <v>32</v>
      </c>
      <c r="B36" s="291" t="s">
        <v>147</v>
      </c>
      <c r="C36" s="635">
        <v>2398</v>
      </c>
      <c r="D36" s="634">
        <v>5938</v>
      </c>
      <c r="E36" s="634">
        <v>8336</v>
      </c>
      <c r="F36" s="635">
        <v>149</v>
      </c>
      <c r="G36" s="634">
        <v>650</v>
      </c>
      <c r="H36" s="634">
        <v>799</v>
      </c>
      <c r="I36" s="635">
        <v>55</v>
      </c>
      <c r="J36" s="634">
        <v>187</v>
      </c>
      <c r="K36" s="634">
        <v>242</v>
      </c>
      <c r="L36" s="635">
        <v>430</v>
      </c>
      <c r="M36" s="634">
        <v>838</v>
      </c>
      <c r="N36" s="634">
        <v>1268</v>
      </c>
      <c r="O36" s="635">
        <v>5</v>
      </c>
      <c r="P36" s="634">
        <v>19</v>
      </c>
      <c r="Q36" s="634">
        <v>24</v>
      </c>
      <c r="R36" s="635">
        <v>49</v>
      </c>
      <c r="S36" s="634">
        <v>75</v>
      </c>
      <c r="T36" s="634">
        <v>124</v>
      </c>
      <c r="U36" s="635">
        <v>55</v>
      </c>
      <c r="V36" s="634">
        <v>144</v>
      </c>
      <c r="W36" s="634">
        <v>199</v>
      </c>
      <c r="X36" s="635">
        <v>4</v>
      </c>
      <c r="Y36" s="634">
        <v>27</v>
      </c>
      <c r="Z36" s="634">
        <v>31</v>
      </c>
    </row>
    <row r="37" spans="1:26" x14ac:dyDescent="0.3">
      <c r="A37" s="593">
        <v>33</v>
      </c>
      <c r="B37" s="291" t="s">
        <v>148</v>
      </c>
      <c r="C37" s="635">
        <v>212470</v>
      </c>
      <c r="D37" s="634">
        <v>87347</v>
      </c>
      <c r="E37" s="634">
        <v>299817</v>
      </c>
      <c r="F37" s="635">
        <v>20292</v>
      </c>
      <c r="G37" s="634">
        <v>10682</v>
      </c>
      <c r="H37" s="634">
        <v>30974</v>
      </c>
      <c r="I37" s="635">
        <v>4596</v>
      </c>
      <c r="J37" s="634">
        <v>2034</v>
      </c>
      <c r="K37" s="634">
        <v>6630</v>
      </c>
      <c r="L37" s="635">
        <v>94090</v>
      </c>
      <c r="M37" s="634">
        <v>41894</v>
      </c>
      <c r="N37" s="634">
        <v>135984</v>
      </c>
      <c r="O37" s="635">
        <v>57</v>
      </c>
      <c r="P37" s="634">
        <v>211</v>
      </c>
      <c r="Q37" s="634">
        <v>268</v>
      </c>
      <c r="R37" s="635">
        <v>8256</v>
      </c>
      <c r="S37" s="634">
        <v>2004</v>
      </c>
      <c r="T37" s="634">
        <v>10260</v>
      </c>
      <c r="U37" s="635">
        <v>4868</v>
      </c>
      <c r="V37" s="634">
        <v>2126</v>
      </c>
      <c r="W37" s="634">
        <v>6994</v>
      </c>
      <c r="X37" s="635">
        <v>3216</v>
      </c>
      <c r="Y37" s="634">
        <v>1230</v>
      </c>
      <c r="Z37" s="634">
        <v>4446</v>
      </c>
    </row>
    <row r="38" spans="1:26" x14ac:dyDescent="0.3">
      <c r="A38" s="593">
        <v>34</v>
      </c>
      <c r="B38" s="291" t="s">
        <v>824</v>
      </c>
      <c r="C38" s="635">
        <v>452</v>
      </c>
      <c r="D38" s="634">
        <v>531</v>
      </c>
      <c r="E38" s="634">
        <v>983</v>
      </c>
      <c r="F38" s="635">
        <v>70</v>
      </c>
      <c r="G38" s="634">
        <v>75</v>
      </c>
      <c r="H38" s="634">
        <v>145</v>
      </c>
      <c r="I38" s="635">
        <v>42</v>
      </c>
      <c r="J38" s="634">
        <v>37</v>
      </c>
      <c r="K38" s="634">
        <v>79</v>
      </c>
      <c r="L38" s="635">
        <v>190</v>
      </c>
      <c r="M38" s="634">
        <v>177</v>
      </c>
      <c r="N38" s="634">
        <v>367</v>
      </c>
      <c r="O38" s="635">
        <v>0</v>
      </c>
      <c r="P38" s="634">
        <v>0</v>
      </c>
      <c r="Q38" s="634">
        <v>0</v>
      </c>
      <c r="R38" s="635">
        <v>1</v>
      </c>
      <c r="S38" s="634">
        <v>1</v>
      </c>
      <c r="T38" s="634">
        <v>2</v>
      </c>
      <c r="U38" s="635">
        <v>2</v>
      </c>
      <c r="V38" s="634">
        <v>14</v>
      </c>
      <c r="W38" s="634">
        <v>16</v>
      </c>
      <c r="X38" s="635">
        <v>13</v>
      </c>
      <c r="Y38" s="634">
        <v>17</v>
      </c>
      <c r="Z38" s="634">
        <v>30</v>
      </c>
    </row>
    <row r="39" spans="1:26" x14ac:dyDescent="0.3">
      <c r="A39" s="593">
        <v>35</v>
      </c>
      <c r="B39" s="291" t="s">
        <v>149</v>
      </c>
      <c r="C39" s="635">
        <v>248081</v>
      </c>
      <c r="D39" s="634">
        <v>455336</v>
      </c>
      <c r="E39" s="634">
        <v>703417</v>
      </c>
      <c r="F39" s="635">
        <v>46973</v>
      </c>
      <c r="G39" s="634">
        <v>72733</v>
      </c>
      <c r="H39" s="634">
        <v>119706</v>
      </c>
      <c r="I39" s="635">
        <v>19692</v>
      </c>
      <c r="J39" s="634">
        <v>29757</v>
      </c>
      <c r="K39" s="634">
        <v>49449</v>
      </c>
      <c r="L39" s="635">
        <v>93980</v>
      </c>
      <c r="M39" s="634">
        <v>167195</v>
      </c>
      <c r="N39" s="634">
        <v>261175</v>
      </c>
      <c r="O39" s="635">
        <v>429</v>
      </c>
      <c r="P39" s="634">
        <v>545</v>
      </c>
      <c r="Q39" s="634">
        <v>974</v>
      </c>
      <c r="R39" s="635">
        <v>9680</v>
      </c>
      <c r="S39" s="634">
        <v>18585</v>
      </c>
      <c r="T39" s="634">
        <v>28265</v>
      </c>
      <c r="U39" s="635">
        <v>2234</v>
      </c>
      <c r="V39" s="634">
        <v>8357</v>
      </c>
      <c r="W39" s="634">
        <v>10591</v>
      </c>
      <c r="X39" s="635">
        <v>4992</v>
      </c>
      <c r="Y39" s="634">
        <v>8051</v>
      </c>
      <c r="Z39" s="634">
        <v>13043</v>
      </c>
    </row>
    <row r="40" spans="1:26" x14ac:dyDescent="0.3">
      <c r="A40" s="593">
        <v>36</v>
      </c>
      <c r="B40" s="291" t="s">
        <v>150</v>
      </c>
      <c r="C40" s="635">
        <v>884</v>
      </c>
      <c r="D40" s="634">
        <v>1574</v>
      </c>
      <c r="E40" s="634">
        <v>2458</v>
      </c>
      <c r="F40" s="635">
        <v>181</v>
      </c>
      <c r="G40" s="634">
        <v>280</v>
      </c>
      <c r="H40" s="634">
        <v>461</v>
      </c>
      <c r="I40" s="635">
        <v>1</v>
      </c>
      <c r="J40" s="634">
        <v>16</v>
      </c>
      <c r="K40" s="634">
        <v>17</v>
      </c>
      <c r="L40" s="635">
        <v>387</v>
      </c>
      <c r="M40" s="634">
        <v>648</v>
      </c>
      <c r="N40" s="634">
        <v>1035</v>
      </c>
      <c r="O40" s="635">
        <v>0</v>
      </c>
      <c r="P40" s="634">
        <v>8</v>
      </c>
      <c r="Q40" s="634">
        <v>8</v>
      </c>
      <c r="R40" s="635">
        <v>20</v>
      </c>
      <c r="S40" s="634">
        <v>37</v>
      </c>
      <c r="T40" s="634">
        <v>57</v>
      </c>
      <c r="U40" s="635">
        <v>0</v>
      </c>
      <c r="V40" s="634">
        <v>0</v>
      </c>
      <c r="W40" s="634">
        <v>0</v>
      </c>
      <c r="X40" s="635">
        <v>0</v>
      </c>
      <c r="Y40" s="634">
        <v>8</v>
      </c>
      <c r="Z40" s="634">
        <v>8</v>
      </c>
    </row>
    <row r="41" spans="1:26" x14ac:dyDescent="0.3">
      <c r="A41" s="593">
        <v>37</v>
      </c>
      <c r="B41" s="291" t="s">
        <v>151</v>
      </c>
      <c r="C41" s="635">
        <v>2821</v>
      </c>
      <c r="D41" s="634">
        <v>3096</v>
      </c>
      <c r="E41" s="634">
        <v>5917</v>
      </c>
      <c r="F41" s="635">
        <v>474</v>
      </c>
      <c r="G41" s="634">
        <v>343</v>
      </c>
      <c r="H41" s="634">
        <v>817</v>
      </c>
      <c r="I41" s="635">
        <v>187</v>
      </c>
      <c r="J41" s="634">
        <v>101</v>
      </c>
      <c r="K41" s="634">
        <v>288</v>
      </c>
      <c r="L41" s="635">
        <v>959</v>
      </c>
      <c r="M41" s="634">
        <v>876</v>
      </c>
      <c r="N41" s="634">
        <v>1835</v>
      </c>
      <c r="O41" s="635">
        <v>9</v>
      </c>
      <c r="P41" s="634">
        <v>7</v>
      </c>
      <c r="Q41" s="634">
        <v>16</v>
      </c>
      <c r="R41" s="635">
        <v>37</v>
      </c>
      <c r="S41" s="634">
        <v>54</v>
      </c>
      <c r="T41" s="634">
        <v>91</v>
      </c>
      <c r="U41" s="635">
        <v>83</v>
      </c>
      <c r="V41" s="634">
        <v>89</v>
      </c>
      <c r="W41" s="634">
        <v>172</v>
      </c>
      <c r="X41" s="635">
        <v>15</v>
      </c>
      <c r="Y41" s="634">
        <v>15</v>
      </c>
      <c r="Z41" s="634">
        <v>30</v>
      </c>
    </row>
    <row r="42" spans="1:26" x14ac:dyDescent="0.3">
      <c r="A42" s="593">
        <v>38</v>
      </c>
      <c r="B42" s="291" t="s">
        <v>825</v>
      </c>
      <c r="C42" s="635">
        <v>766</v>
      </c>
      <c r="D42" s="634">
        <v>588</v>
      </c>
      <c r="E42" s="634">
        <v>1354</v>
      </c>
      <c r="F42" s="635">
        <v>89</v>
      </c>
      <c r="G42" s="634">
        <v>75</v>
      </c>
      <c r="H42" s="634">
        <v>164</v>
      </c>
      <c r="I42" s="635">
        <v>62</v>
      </c>
      <c r="J42" s="634">
        <v>60</v>
      </c>
      <c r="K42" s="634">
        <v>122</v>
      </c>
      <c r="L42" s="635">
        <v>360</v>
      </c>
      <c r="M42" s="634">
        <v>222</v>
      </c>
      <c r="N42" s="634">
        <v>582</v>
      </c>
      <c r="O42" s="635">
        <v>3</v>
      </c>
      <c r="P42" s="634">
        <v>2</v>
      </c>
      <c r="Q42" s="634">
        <v>5</v>
      </c>
      <c r="R42" s="635">
        <v>9</v>
      </c>
      <c r="S42" s="634">
        <v>22</v>
      </c>
      <c r="T42" s="634">
        <v>31</v>
      </c>
      <c r="U42" s="635">
        <v>5</v>
      </c>
      <c r="V42" s="634">
        <v>14</v>
      </c>
      <c r="W42" s="634">
        <v>19</v>
      </c>
      <c r="X42" s="635">
        <v>16</v>
      </c>
      <c r="Y42" s="634">
        <v>7</v>
      </c>
      <c r="Z42" s="634">
        <v>23</v>
      </c>
    </row>
    <row r="43" spans="1:26" x14ac:dyDescent="0.3">
      <c r="A43" s="593">
        <v>39</v>
      </c>
      <c r="B43" s="291" t="s">
        <v>826</v>
      </c>
      <c r="C43" s="635">
        <v>116</v>
      </c>
      <c r="D43" s="634">
        <v>520</v>
      </c>
      <c r="E43" s="634">
        <v>636</v>
      </c>
      <c r="F43" s="635">
        <v>16</v>
      </c>
      <c r="G43" s="634">
        <v>75</v>
      </c>
      <c r="H43" s="634">
        <v>91</v>
      </c>
      <c r="I43" s="635">
        <v>9</v>
      </c>
      <c r="J43" s="634">
        <v>10</v>
      </c>
      <c r="K43" s="634">
        <v>19</v>
      </c>
      <c r="L43" s="635">
        <v>42</v>
      </c>
      <c r="M43" s="634">
        <v>129</v>
      </c>
      <c r="N43" s="634">
        <v>171</v>
      </c>
      <c r="O43" s="635">
        <v>1</v>
      </c>
      <c r="P43" s="634">
        <v>0</v>
      </c>
      <c r="Q43" s="634">
        <v>1</v>
      </c>
      <c r="R43" s="635">
        <v>2</v>
      </c>
      <c r="S43" s="634">
        <v>3</v>
      </c>
      <c r="T43" s="634">
        <v>5</v>
      </c>
      <c r="U43" s="635">
        <v>0</v>
      </c>
      <c r="V43" s="634">
        <v>4</v>
      </c>
      <c r="W43" s="634">
        <v>4</v>
      </c>
      <c r="X43" s="635">
        <v>0</v>
      </c>
      <c r="Y43" s="634">
        <v>4</v>
      </c>
      <c r="Z43" s="634">
        <v>4</v>
      </c>
    </row>
    <row r="44" spans="1:26" x14ac:dyDescent="0.3">
      <c r="A44" s="593">
        <v>40</v>
      </c>
      <c r="B44" s="291" t="s">
        <v>827</v>
      </c>
      <c r="C44" s="635">
        <v>328</v>
      </c>
      <c r="D44" s="634">
        <v>248</v>
      </c>
      <c r="E44" s="634">
        <v>576</v>
      </c>
      <c r="F44" s="635">
        <v>20</v>
      </c>
      <c r="G44" s="634">
        <v>13</v>
      </c>
      <c r="H44" s="634">
        <v>33</v>
      </c>
      <c r="I44" s="635">
        <v>0</v>
      </c>
      <c r="J44" s="634">
        <v>0</v>
      </c>
      <c r="K44" s="634">
        <v>0</v>
      </c>
      <c r="L44" s="635">
        <v>62</v>
      </c>
      <c r="M44" s="634">
        <v>28</v>
      </c>
      <c r="N44" s="634">
        <v>90</v>
      </c>
      <c r="O44" s="635">
        <v>0</v>
      </c>
      <c r="P44" s="634">
        <v>0</v>
      </c>
      <c r="Q44" s="634">
        <v>0</v>
      </c>
      <c r="R44" s="635">
        <v>5</v>
      </c>
      <c r="S44" s="634">
        <v>2</v>
      </c>
      <c r="T44" s="634">
        <v>7</v>
      </c>
      <c r="U44" s="635">
        <v>0</v>
      </c>
      <c r="V44" s="634">
        <v>0</v>
      </c>
      <c r="W44" s="634">
        <v>0</v>
      </c>
      <c r="X44" s="635">
        <v>11</v>
      </c>
      <c r="Y44" s="634">
        <v>3</v>
      </c>
      <c r="Z44" s="634">
        <v>14</v>
      </c>
    </row>
    <row r="45" spans="1:26" x14ac:dyDescent="0.3">
      <c r="A45" s="593">
        <v>41</v>
      </c>
      <c r="B45" s="291" t="s">
        <v>152</v>
      </c>
      <c r="C45" s="635">
        <v>361</v>
      </c>
      <c r="D45" s="634">
        <v>537</v>
      </c>
      <c r="E45" s="634">
        <v>898</v>
      </c>
      <c r="F45" s="635">
        <v>31</v>
      </c>
      <c r="G45" s="634">
        <v>58</v>
      </c>
      <c r="H45" s="634">
        <v>89</v>
      </c>
      <c r="I45" s="635">
        <v>11</v>
      </c>
      <c r="J45" s="634">
        <v>8</v>
      </c>
      <c r="K45" s="634">
        <v>19</v>
      </c>
      <c r="L45" s="635">
        <v>46</v>
      </c>
      <c r="M45" s="634">
        <v>81</v>
      </c>
      <c r="N45" s="634">
        <v>127</v>
      </c>
      <c r="O45" s="635">
        <v>0</v>
      </c>
      <c r="P45" s="634">
        <v>0</v>
      </c>
      <c r="Q45" s="634">
        <v>0</v>
      </c>
      <c r="R45" s="635">
        <v>18</v>
      </c>
      <c r="S45" s="634">
        <v>24</v>
      </c>
      <c r="T45" s="634">
        <v>42</v>
      </c>
      <c r="U45" s="635">
        <v>0</v>
      </c>
      <c r="V45" s="634">
        <v>3</v>
      </c>
      <c r="W45" s="634">
        <v>3</v>
      </c>
      <c r="X45" s="635">
        <v>2</v>
      </c>
      <c r="Y45" s="634">
        <v>1</v>
      </c>
      <c r="Z45" s="634">
        <v>3</v>
      </c>
    </row>
    <row r="46" spans="1:26" x14ac:dyDescent="0.3">
      <c r="A46" s="593">
        <v>42</v>
      </c>
      <c r="B46" s="291" t="s">
        <v>153</v>
      </c>
      <c r="C46" s="635">
        <v>9846</v>
      </c>
      <c r="D46" s="634">
        <v>1996</v>
      </c>
      <c r="E46" s="634">
        <v>11842</v>
      </c>
      <c r="F46" s="635">
        <v>730</v>
      </c>
      <c r="G46" s="634">
        <v>180</v>
      </c>
      <c r="H46" s="634">
        <v>910</v>
      </c>
      <c r="I46" s="635">
        <v>141</v>
      </c>
      <c r="J46" s="634">
        <v>66</v>
      </c>
      <c r="K46" s="634">
        <v>207</v>
      </c>
      <c r="L46" s="635">
        <v>1609</v>
      </c>
      <c r="M46" s="634">
        <v>243</v>
      </c>
      <c r="N46" s="634">
        <v>1852</v>
      </c>
      <c r="O46" s="635">
        <v>53</v>
      </c>
      <c r="P46" s="634">
        <v>0</v>
      </c>
      <c r="Q46" s="634">
        <v>53</v>
      </c>
      <c r="R46" s="635">
        <v>125</v>
      </c>
      <c r="S46" s="634">
        <v>17</v>
      </c>
      <c r="T46" s="634">
        <v>142</v>
      </c>
      <c r="U46" s="635">
        <v>133</v>
      </c>
      <c r="V46" s="634">
        <v>24</v>
      </c>
      <c r="W46" s="634">
        <v>157</v>
      </c>
      <c r="X46" s="635">
        <v>85</v>
      </c>
      <c r="Y46" s="634">
        <v>25</v>
      </c>
      <c r="Z46" s="634">
        <v>110</v>
      </c>
    </row>
    <row r="47" spans="1:26" x14ac:dyDescent="0.3">
      <c r="A47" s="593">
        <v>43</v>
      </c>
      <c r="B47" s="291" t="s">
        <v>154</v>
      </c>
      <c r="C47" s="635">
        <v>4253</v>
      </c>
      <c r="D47" s="634">
        <v>906</v>
      </c>
      <c r="E47" s="634">
        <v>5159</v>
      </c>
      <c r="F47" s="635">
        <v>485</v>
      </c>
      <c r="G47" s="634">
        <v>177</v>
      </c>
      <c r="H47" s="634">
        <v>662</v>
      </c>
      <c r="I47" s="635">
        <v>68</v>
      </c>
      <c r="J47" s="634">
        <v>20</v>
      </c>
      <c r="K47" s="634">
        <v>88</v>
      </c>
      <c r="L47" s="635">
        <v>1047</v>
      </c>
      <c r="M47" s="634">
        <v>153</v>
      </c>
      <c r="N47" s="634">
        <v>1200</v>
      </c>
      <c r="O47" s="635">
        <v>1</v>
      </c>
      <c r="P47" s="634">
        <v>1</v>
      </c>
      <c r="Q47" s="634">
        <v>2</v>
      </c>
      <c r="R47" s="635">
        <v>83</v>
      </c>
      <c r="S47" s="634">
        <v>3</v>
      </c>
      <c r="T47" s="634">
        <v>86</v>
      </c>
      <c r="U47" s="635">
        <v>88</v>
      </c>
      <c r="V47" s="634">
        <v>32</v>
      </c>
      <c r="W47" s="634">
        <v>120</v>
      </c>
      <c r="X47" s="635">
        <v>51</v>
      </c>
      <c r="Y47" s="634">
        <v>16</v>
      </c>
      <c r="Z47" s="634">
        <v>67</v>
      </c>
    </row>
    <row r="48" spans="1:26" x14ac:dyDescent="0.3">
      <c r="A48" s="593">
        <v>44</v>
      </c>
      <c r="B48" s="291" t="s">
        <v>155</v>
      </c>
      <c r="C48" s="635">
        <v>3649</v>
      </c>
      <c r="D48" s="634">
        <v>6746</v>
      </c>
      <c r="E48" s="634">
        <v>10395</v>
      </c>
      <c r="F48" s="635">
        <v>339</v>
      </c>
      <c r="G48" s="634">
        <v>625</v>
      </c>
      <c r="H48" s="634">
        <v>964</v>
      </c>
      <c r="I48" s="635">
        <v>144</v>
      </c>
      <c r="J48" s="634">
        <v>211</v>
      </c>
      <c r="K48" s="634">
        <v>355</v>
      </c>
      <c r="L48" s="635">
        <v>1523</v>
      </c>
      <c r="M48" s="634">
        <v>2537</v>
      </c>
      <c r="N48" s="634">
        <v>4060</v>
      </c>
      <c r="O48" s="635">
        <v>2</v>
      </c>
      <c r="P48" s="634">
        <v>5</v>
      </c>
      <c r="Q48" s="634">
        <v>7</v>
      </c>
      <c r="R48" s="635">
        <v>181</v>
      </c>
      <c r="S48" s="634">
        <v>410</v>
      </c>
      <c r="T48" s="634">
        <v>591</v>
      </c>
      <c r="U48" s="635">
        <v>84</v>
      </c>
      <c r="V48" s="634">
        <v>187</v>
      </c>
      <c r="W48" s="634">
        <v>271</v>
      </c>
      <c r="X48" s="635">
        <v>21</v>
      </c>
      <c r="Y48" s="634">
        <v>63</v>
      </c>
      <c r="Z48" s="634">
        <v>84</v>
      </c>
    </row>
    <row r="49" spans="1:26" x14ac:dyDescent="0.3">
      <c r="A49" s="593">
        <v>45</v>
      </c>
      <c r="B49" s="291" t="s">
        <v>156</v>
      </c>
      <c r="C49" s="635">
        <v>1764</v>
      </c>
      <c r="D49" s="634">
        <v>859</v>
      </c>
      <c r="E49" s="634">
        <v>2623</v>
      </c>
      <c r="F49" s="635">
        <v>110</v>
      </c>
      <c r="G49" s="634">
        <v>90</v>
      </c>
      <c r="H49" s="634">
        <v>200</v>
      </c>
      <c r="I49" s="635">
        <v>74</v>
      </c>
      <c r="J49" s="634">
        <v>39</v>
      </c>
      <c r="K49" s="634">
        <v>113</v>
      </c>
      <c r="L49" s="635">
        <v>191</v>
      </c>
      <c r="M49" s="634">
        <v>98</v>
      </c>
      <c r="N49" s="634">
        <v>289</v>
      </c>
      <c r="O49" s="635">
        <v>0</v>
      </c>
      <c r="P49" s="634">
        <v>0</v>
      </c>
      <c r="Q49" s="634">
        <v>0</v>
      </c>
      <c r="R49" s="635">
        <v>60</v>
      </c>
      <c r="S49" s="634">
        <v>10</v>
      </c>
      <c r="T49" s="634">
        <v>70</v>
      </c>
      <c r="U49" s="635">
        <v>32</v>
      </c>
      <c r="V49" s="634">
        <v>19</v>
      </c>
      <c r="W49" s="634">
        <v>51</v>
      </c>
      <c r="X49" s="635">
        <v>0</v>
      </c>
      <c r="Y49" s="634">
        <v>0</v>
      </c>
      <c r="Z49" s="634">
        <v>0</v>
      </c>
    </row>
    <row r="50" spans="1:26" x14ac:dyDescent="0.3">
      <c r="A50" s="593">
        <v>46</v>
      </c>
      <c r="B50" s="291" t="s">
        <v>828</v>
      </c>
      <c r="C50" s="635">
        <v>42</v>
      </c>
      <c r="D50" s="634">
        <v>55</v>
      </c>
      <c r="E50" s="634">
        <v>97</v>
      </c>
      <c r="F50" s="635">
        <v>0</v>
      </c>
      <c r="G50" s="634">
        <v>3</v>
      </c>
      <c r="H50" s="634">
        <v>3</v>
      </c>
      <c r="I50" s="635">
        <v>0</v>
      </c>
      <c r="J50" s="634">
        <v>0</v>
      </c>
      <c r="K50" s="634">
        <v>0</v>
      </c>
      <c r="L50" s="635">
        <v>5</v>
      </c>
      <c r="M50" s="634">
        <v>1</v>
      </c>
      <c r="N50" s="634">
        <v>6</v>
      </c>
      <c r="O50" s="635">
        <v>0</v>
      </c>
      <c r="P50" s="634">
        <v>0</v>
      </c>
      <c r="Q50" s="634">
        <v>0</v>
      </c>
      <c r="R50" s="635">
        <v>2</v>
      </c>
      <c r="S50" s="634">
        <v>1</v>
      </c>
      <c r="T50" s="634">
        <v>3</v>
      </c>
      <c r="U50" s="635">
        <v>0</v>
      </c>
      <c r="V50" s="634">
        <v>0</v>
      </c>
      <c r="W50" s="634">
        <v>0</v>
      </c>
      <c r="X50" s="635">
        <v>0</v>
      </c>
      <c r="Y50" s="634">
        <v>0</v>
      </c>
      <c r="Z50" s="634">
        <v>0</v>
      </c>
    </row>
    <row r="51" spans="1:26" x14ac:dyDescent="0.3">
      <c r="A51" s="593">
        <v>47</v>
      </c>
      <c r="B51" s="291" t="s">
        <v>157</v>
      </c>
      <c r="C51" s="635">
        <v>157</v>
      </c>
      <c r="D51" s="634">
        <v>83</v>
      </c>
      <c r="E51" s="634">
        <v>240</v>
      </c>
      <c r="F51" s="635">
        <v>17</v>
      </c>
      <c r="G51" s="634">
        <v>7</v>
      </c>
      <c r="H51" s="634">
        <v>24</v>
      </c>
      <c r="I51" s="635">
        <v>3</v>
      </c>
      <c r="J51" s="634">
        <v>2</v>
      </c>
      <c r="K51" s="634">
        <v>5</v>
      </c>
      <c r="L51" s="635">
        <v>37</v>
      </c>
      <c r="M51" s="634">
        <v>19</v>
      </c>
      <c r="N51" s="634">
        <v>56</v>
      </c>
      <c r="O51" s="635">
        <v>0</v>
      </c>
      <c r="P51" s="634">
        <v>0</v>
      </c>
      <c r="Q51" s="634">
        <v>0</v>
      </c>
      <c r="R51" s="635">
        <v>15</v>
      </c>
      <c r="S51" s="634">
        <v>1</v>
      </c>
      <c r="T51" s="634">
        <v>16</v>
      </c>
      <c r="U51" s="635">
        <v>8</v>
      </c>
      <c r="V51" s="634">
        <v>3</v>
      </c>
      <c r="W51" s="634">
        <v>11</v>
      </c>
      <c r="X51" s="635">
        <v>2</v>
      </c>
      <c r="Y51" s="634">
        <v>1</v>
      </c>
      <c r="Z51" s="634">
        <v>3</v>
      </c>
    </row>
    <row r="52" spans="1:26" x14ac:dyDescent="0.3">
      <c r="A52" s="593">
        <v>48</v>
      </c>
      <c r="B52" s="291" t="s">
        <v>829</v>
      </c>
      <c r="C52" s="635">
        <v>62</v>
      </c>
      <c r="D52" s="634">
        <v>54</v>
      </c>
      <c r="E52" s="634">
        <v>116</v>
      </c>
      <c r="F52" s="635">
        <v>3</v>
      </c>
      <c r="G52" s="634">
        <v>3</v>
      </c>
      <c r="H52" s="634">
        <v>6</v>
      </c>
      <c r="I52" s="635">
        <v>0</v>
      </c>
      <c r="J52" s="634">
        <v>1</v>
      </c>
      <c r="K52" s="634">
        <v>1</v>
      </c>
      <c r="L52" s="635">
        <v>15</v>
      </c>
      <c r="M52" s="634">
        <v>16</v>
      </c>
      <c r="N52" s="634">
        <v>31</v>
      </c>
      <c r="O52" s="635">
        <v>0</v>
      </c>
      <c r="P52" s="634">
        <v>0</v>
      </c>
      <c r="Q52" s="634">
        <v>0</v>
      </c>
      <c r="R52" s="635">
        <v>1</v>
      </c>
      <c r="S52" s="634">
        <v>2</v>
      </c>
      <c r="T52" s="634">
        <v>3</v>
      </c>
      <c r="U52" s="635">
        <v>1</v>
      </c>
      <c r="V52" s="634">
        <v>0</v>
      </c>
      <c r="W52" s="634">
        <v>1</v>
      </c>
      <c r="X52" s="635">
        <v>2</v>
      </c>
      <c r="Y52" s="634">
        <v>1</v>
      </c>
      <c r="Z52" s="634">
        <v>3</v>
      </c>
    </row>
    <row r="53" spans="1:26" x14ac:dyDescent="0.3">
      <c r="A53" s="593">
        <v>49</v>
      </c>
      <c r="B53" s="291" t="s">
        <v>830</v>
      </c>
      <c r="C53" s="635">
        <v>43</v>
      </c>
      <c r="D53" s="634">
        <v>60</v>
      </c>
      <c r="E53" s="634">
        <v>103</v>
      </c>
      <c r="F53" s="635">
        <v>2</v>
      </c>
      <c r="G53" s="634">
        <v>6</v>
      </c>
      <c r="H53" s="634">
        <v>8</v>
      </c>
      <c r="I53" s="635">
        <v>0</v>
      </c>
      <c r="J53" s="634">
        <v>0</v>
      </c>
      <c r="K53" s="634">
        <v>0</v>
      </c>
      <c r="L53" s="635">
        <v>23</v>
      </c>
      <c r="M53" s="634">
        <v>28</v>
      </c>
      <c r="N53" s="634">
        <v>51</v>
      </c>
      <c r="O53" s="635">
        <v>0</v>
      </c>
      <c r="P53" s="634">
        <v>0</v>
      </c>
      <c r="Q53" s="634">
        <v>0</v>
      </c>
      <c r="R53" s="635">
        <v>1</v>
      </c>
      <c r="S53" s="634">
        <v>2</v>
      </c>
      <c r="T53" s="634">
        <v>3</v>
      </c>
      <c r="U53" s="635">
        <v>0</v>
      </c>
      <c r="V53" s="634">
        <v>0</v>
      </c>
      <c r="W53" s="634">
        <v>0</v>
      </c>
      <c r="X53" s="635">
        <v>0</v>
      </c>
      <c r="Y53" s="634">
        <v>0</v>
      </c>
      <c r="Z53" s="634">
        <v>0</v>
      </c>
    </row>
    <row r="54" spans="1:26" x14ac:dyDescent="0.3">
      <c r="A54" s="593">
        <v>50</v>
      </c>
      <c r="B54" s="291" t="s">
        <v>158</v>
      </c>
      <c r="C54" s="635">
        <v>518</v>
      </c>
      <c r="D54" s="634">
        <v>394</v>
      </c>
      <c r="E54" s="634">
        <v>912</v>
      </c>
      <c r="F54" s="635">
        <v>75</v>
      </c>
      <c r="G54" s="634">
        <v>30</v>
      </c>
      <c r="H54" s="634">
        <v>105</v>
      </c>
      <c r="I54" s="635">
        <v>32</v>
      </c>
      <c r="J54" s="634">
        <v>17</v>
      </c>
      <c r="K54" s="634">
        <v>49</v>
      </c>
      <c r="L54" s="635">
        <v>151</v>
      </c>
      <c r="M54" s="634">
        <v>91</v>
      </c>
      <c r="N54" s="634">
        <v>242</v>
      </c>
      <c r="O54" s="635">
        <v>0</v>
      </c>
      <c r="P54" s="634">
        <v>0</v>
      </c>
      <c r="Q54" s="634">
        <v>0</v>
      </c>
      <c r="R54" s="635">
        <v>2</v>
      </c>
      <c r="S54" s="634">
        <v>2</v>
      </c>
      <c r="T54" s="634">
        <v>4</v>
      </c>
      <c r="U54" s="635">
        <v>0</v>
      </c>
      <c r="V54" s="634">
        <v>0</v>
      </c>
      <c r="W54" s="634">
        <v>0</v>
      </c>
      <c r="X54" s="635">
        <v>8</v>
      </c>
      <c r="Y54" s="634">
        <v>6</v>
      </c>
      <c r="Z54" s="634">
        <v>14</v>
      </c>
    </row>
    <row r="55" spans="1:26" x14ac:dyDescent="0.3">
      <c r="A55" s="593">
        <v>51</v>
      </c>
      <c r="B55" s="291" t="s">
        <v>159</v>
      </c>
      <c r="C55" s="635">
        <v>3057</v>
      </c>
      <c r="D55" s="634">
        <v>3249</v>
      </c>
      <c r="E55" s="634">
        <v>6306</v>
      </c>
      <c r="F55" s="635">
        <v>404</v>
      </c>
      <c r="G55" s="634">
        <v>305</v>
      </c>
      <c r="H55" s="634">
        <v>709</v>
      </c>
      <c r="I55" s="635">
        <v>145</v>
      </c>
      <c r="J55" s="634">
        <v>68</v>
      </c>
      <c r="K55" s="634">
        <v>213</v>
      </c>
      <c r="L55" s="635">
        <v>516</v>
      </c>
      <c r="M55" s="634">
        <v>495</v>
      </c>
      <c r="N55" s="634">
        <v>1011</v>
      </c>
      <c r="O55" s="635">
        <v>2</v>
      </c>
      <c r="P55" s="634">
        <v>0</v>
      </c>
      <c r="Q55" s="634">
        <v>2</v>
      </c>
      <c r="R55" s="635">
        <v>45</v>
      </c>
      <c r="S55" s="634">
        <v>37</v>
      </c>
      <c r="T55" s="634">
        <v>82</v>
      </c>
      <c r="U55" s="635">
        <v>54</v>
      </c>
      <c r="V55" s="634">
        <v>78</v>
      </c>
      <c r="W55" s="634">
        <v>132</v>
      </c>
      <c r="X55" s="635">
        <v>20</v>
      </c>
      <c r="Y55" s="634">
        <v>23</v>
      </c>
      <c r="Z55" s="634">
        <v>43</v>
      </c>
    </row>
    <row r="56" spans="1:26" x14ac:dyDescent="0.3">
      <c r="A56" s="593">
        <v>52</v>
      </c>
      <c r="B56" s="291" t="s">
        <v>160</v>
      </c>
      <c r="C56" s="635">
        <v>7384</v>
      </c>
      <c r="D56" s="634">
        <v>4392</v>
      </c>
      <c r="E56" s="634">
        <v>11776</v>
      </c>
      <c r="F56" s="635">
        <v>839</v>
      </c>
      <c r="G56" s="634">
        <v>507</v>
      </c>
      <c r="H56" s="634">
        <v>1346</v>
      </c>
      <c r="I56" s="635">
        <v>110</v>
      </c>
      <c r="J56" s="634">
        <v>77</v>
      </c>
      <c r="K56" s="634">
        <v>187</v>
      </c>
      <c r="L56" s="635">
        <v>2448</v>
      </c>
      <c r="M56" s="634">
        <v>1168</v>
      </c>
      <c r="N56" s="634">
        <v>3616</v>
      </c>
      <c r="O56" s="635">
        <v>79</v>
      </c>
      <c r="P56" s="634">
        <v>41</v>
      </c>
      <c r="Q56" s="634">
        <v>120</v>
      </c>
      <c r="R56" s="635">
        <v>241</v>
      </c>
      <c r="S56" s="634">
        <v>188</v>
      </c>
      <c r="T56" s="634">
        <v>429</v>
      </c>
      <c r="U56" s="635">
        <v>68</v>
      </c>
      <c r="V56" s="634">
        <v>78</v>
      </c>
      <c r="W56" s="634">
        <v>146</v>
      </c>
      <c r="X56" s="635">
        <v>44</v>
      </c>
      <c r="Y56" s="634">
        <v>24</v>
      </c>
      <c r="Z56" s="634">
        <v>68</v>
      </c>
    </row>
    <row r="57" spans="1:26" x14ac:dyDescent="0.3">
      <c r="A57" s="593">
        <v>53</v>
      </c>
      <c r="B57" s="291" t="s">
        <v>831</v>
      </c>
      <c r="C57" s="635">
        <v>8879</v>
      </c>
      <c r="D57" s="634">
        <v>6964</v>
      </c>
      <c r="E57" s="634">
        <v>15843</v>
      </c>
      <c r="F57" s="635">
        <v>1020</v>
      </c>
      <c r="G57" s="634">
        <v>764</v>
      </c>
      <c r="H57" s="634">
        <v>1784</v>
      </c>
      <c r="I57" s="635">
        <v>231</v>
      </c>
      <c r="J57" s="634">
        <v>206</v>
      </c>
      <c r="K57" s="634">
        <v>437</v>
      </c>
      <c r="L57" s="635">
        <v>4650</v>
      </c>
      <c r="M57" s="634">
        <v>3189</v>
      </c>
      <c r="N57" s="634">
        <v>7839</v>
      </c>
      <c r="O57" s="635">
        <v>11</v>
      </c>
      <c r="P57" s="634">
        <v>6</v>
      </c>
      <c r="Q57" s="634">
        <v>17</v>
      </c>
      <c r="R57" s="635">
        <v>785</v>
      </c>
      <c r="S57" s="634">
        <v>467</v>
      </c>
      <c r="T57" s="634">
        <v>1252</v>
      </c>
      <c r="U57" s="635">
        <v>56</v>
      </c>
      <c r="V57" s="634">
        <v>88</v>
      </c>
      <c r="W57" s="634">
        <v>144</v>
      </c>
      <c r="X57" s="635">
        <v>12</v>
      </c>
      <c r="Y57" s="634">
        <v>11</v>
      </c>
      <c r="Z57" s="634">
        <v>23</v>
      </c>
    </row>
    <row r="58" spans="1:26" x14ac:dyDescent="0.3">
      <c r="A58" s="593">
        <v>54</v>
      </c>
      <c r="B58" s="291" t="s">
        <v>161</v>
      </c>
      <c r="C58" s="635">
        <v>6969</v>
      </c>
      <c r="D58" s="634">
        <v>7302</v>
      </c>
      <c r="E58" s="634">
        <v>14271</v>
      </c>
      <c r="F58" s="635">
        <v>1108</v>
      </c>
      <c r="G58" s="634">
        <v>1116</v>
      </c>
      <c r="H58" s="634">
        <v>2224</v>
      </c>
      <c r="I58" s="635">
        <v>494</v>
      </c>
      <c r="J58" s="634">
        <v>593</v>
      </c>
      <c r="K58" s="634">
        <v>1087</v>
      </c>
      <c r="L58" s="635">
        <v>2835</v>
      </c>
      <c r="M58" s="634">
        <v>2426</v>
      </c>
      <c r="N58" s="634">
        <v>5261</v>
      </c>
      <c r="O58" s="635">
        <v>14</v>
      </c>
      <c r="P58" s="634">
        <v>4</v>
      </c>
      <c r="Q58" s="634">
        <v>18</v>
      </c>
      <c r="R58" s="635">
        <v>242</v>
      </c>
      <c r="S58" s="634">
        <v>127</v>
      </c>
      <c r="T58" s="634">
        <v>369</v>
      </c>
      <c r="U58" s="635">
        <v>26</v>
      </c>
      <c r="V58" s="634">
        <v>72</v>
      </c>
      <c r="W58" s="634">
        <v>98</v>
      </c>
      <c r="X58" s="635">
        <v>116</v>
      </c>
      <c r="Y58" s="634">
        <v>92</v>
      </c>
      <c r="Z58" s="634">
        <v>208</v>
      </c>
    </row>
    <row r="59" spans="1:26" x14ac:dyDescent="0.3">
      <c r="A59" s="593">
        <v>55</v>
      </c>
      <c r="B59" s="291" t="s">
        <v>832</v>
      </c>
      <c r="C59" s="635">
        <v>664</v>
      </c>
      <c r="D59" s="634">
        <v>1503</v>
      </c>
      <c r="E59" s="634">
        <v>2167</v>
      </c>
      <c r="F59" s="635">
        <v>151</v>
      </c>
      <c r="G59" s="634">
        <v>313</v>
      </c>
      <c r="H59" s="634">
        <v>464</v>
      </c>
      <c r="I59" s="635">
        <v>15</v>
      </c>
      <c r="J59" s="634">
        <v>26</v>
      </c>
      <c r="K59" s="634">
        <v>41</v>
      </c>
      <c r="L59" s="635">
        <v>356</v>
      </c>
      <c r="M59" s="634">
        <v>835</v>
      </c>
      <c r="N59" s="634">
        <v>1191</v>
      </c>
      <c r="O59" s="635">
        <v>0</v>
      </c>
      <c r="P59" s="634">
        <v>0</v>
      </c>
      <c r="Q59" s="634">
        <v>0</v>
      </c>
      <c r="R59" s="635">
        <v>3</v>
      </c>
      <c r="S59" s="634">
        <v>13</v>
      </c>
      <c r="T59" s="634">
        <v>16</v>
      </c>
      <c r="U59" s="635">
        <v>12</v>
      </c>
      <c r="V59" s="634">
        <v>100</v>
      </c>
      <c r="W59" s="634">
        <v>112</v>
      </c>
      <c r="X59" s="635">
        <v>0</v>
      </c>
      <c r="Y59" s="634">
        <v>2</v>
      </c>
      <c r="Z59" s="634">
        <v>2</v>
      </c>
    </row>
    <row r="60" spans="1:26" x14ac:dyDescent="0.3">
      <c r="A60" s="593">
        <v>56</v>
      </c>
      <c r="B60" s="291" t="s">
        <v>162</v>
      </c>
      <c r="C60" s="635">
        <v>1121</v>
      </c>
      <c r="D60" s="634">
        <v>919</v>
      </c>
      <c r="E60" s="634">
        <v>2040</v>
      </c>
      <c r="F60" s="635">
        <v>146</v>
      </c>
      <c r="G60" s="634">
        <v>131</v>
      </c>
      <c r="H60" s="634">
        <v>277</v>
      </c>
      <c r="I60" s="635">
        <v>52</v>
      </c>
      <c r="J60" s="634">
        <v>47</v>
      </c>
      <c r="K60" s="634">
        <v>99</v>
      </c>
      <c r="L60" s="635">
        <v>364</v>
      </c>
      <c r="M60" s="634">
        <v>285</v>
      </c>
      <c r="N60" s="634">
        <v>649</v>
      </c>
      <c r="O60" s="635">
        <v>0</v>
      </c>
      <c r="P60" s="634">
        <v>1</v>
      </c>
      <c r="Q60" s="634">
        <v>1</v>
      </c>
      <c r="R60" s="635">
        <v>40</v>
      </c>
      <c r="S60" s="634">
        <v>48</v>
      </c>
      <c r="T60" s="634">
        <v>88</v>
      </c>
      <c r="U60" s="635">
        <v>12</v>
      </c>
      <c r="V60" s="634">
        <v>27</v>
      </c>
      <c r="W60" s="634">
        <v>39</v>
      </c>
      <c r="X60" s="635">
        <v>3</v>
      </c>
      <c r="Y60" s="634">
        <v>5</v>
      </c>
      <c r="Z60" s="634">
        <v>8</v>
      </c>
    </row>
    <row r="61" spans="1:26" x14ac:dyDescent="0.3">
      <c r="A61" s="593">
        <v>57</v>
      </c>
      <c r="B61" s="291" t="s">
        <v>163</v>
      </c>
      <c r="C61" s="635">
        <v>522</v>
      </c>
      <c r="D61" s="634">
        <v>461</v>
      </c>
      <c r="E61" s="634">
        <v>983</v>
      </c>
      <c r="F61" s="635">
        <v>80</v>
      </c>
      <c r="G61" s="634">
        <v>31</v>
      </c>
      <c r="H61" s="634">
        <v>111</v>
      </c>
      <c r="I61" s="635">
        <v>6</v>
      </c>
      <c r="J61" s="634">
        <v>2</v>
      </c>
      <c r="K61" s="634">
        <v>8</v>
      </c>
      <c r="L61" s="635">
        <v>130</v>
      </c>
      <c r="M61" s="634">
        <v>73</v>
      </c>
      <c r="N61" s="634">
        <v>203</v>
      </c>
      <c r="O61" s="635">
        <v>0</v>
      </c>
      <c r="P61" s="634">
        <v>0</v>
      </c>
      <c r="Q61" s="634">
        <v>0</v>
      </c>
      <c r="R61" s="635">
        <v>20</v>
      </c>
      <c r="S61" s="634">
        <v>34</v>
      </c>
      <c r="T61" s="634">
        <v>54</v>
      </c>
      <c r="U61" s="635">
        <v>32</v>
      </c>
      <c r="V61" s="634">
        <v>38</v>
      </c>
      <c r="W61" s="634">
        <v>70</v>
      </c>
      <c r="X61" s="635">
        <v>3</v>
      </c>
      <c r="Y61" s="634">
        <v>1</v>
      </c>
      <c r="Z61" s="634">
        <v>4</v>
      </c>
    </row>
    <row r="62" spans="1:26" x14ac:dyDescent="0.3">
      <c r="A62" s="593">
        <v>58</v>
      </c>
      <c r="B62" s="291" t="s">
        <v>164</v>
      </c>
      <c r="C62" s="635">
        <v>9619</v>
      </c>
      <c r="D62" s="634">
        <v>7989</v>
      </c>
      <c r="E62" s="634">
        <v>17608</v>
      </c>
      <c r="F62" s="635">
        <v>531</v>
      </c>
      <c r="G62" s="634">
        <v>526</v>
      </c>
      <c r="H62" s="634">
        <v>1057</v>
      </c>
      <c r="I62" s="635">
        <v>93</v>
      </c>
      <c r="J62" s="634">
        <v>86</v>
      </c>
      <c r="K62" s="634">
        <v>179</v>
      </c>
      <c r="L62" s="635">
        <v>977</v>
      </c>
      <c r="M62" s="634">
        <v>829</v>
      </c>
      <c r="N62" s="634">
        <v>1806</v>
      </c>
      <c r="O62" s="635">
        <v>30</v>
      </c>
      <c r="P62" s="634">
        <v>27</v>
      </c>
      <c r="Q62" s="634">
        <v>57</v>
      </c>
      <c r="R62" s="635">
        <v>808</v>
      </c>
      <c r="S62" s="634">
        <v>409</v>
      </c>
      <c r="T62" s="634">
        <v>1217</v>
      </c>
      <c r="U62" s="635">
        <v>477</v>
      </c>
      <c r="V62" s="634">
        <v>497</v>
      </c>
      <c r="W62" s="634">
        <v>974</v>
      </c>
      <c r="X62" s="635">
        <v>62</v>
      </c>
      <c r="Y62" s="634">
        <v>49</v>
      </c>
      <c r="Z62" s="634">
        <v>111</v>
      </c>
    </row>
    <row r="63" spans="1:26" x14ac:dyDescent="0.3">
      <c r="A63" s="593">
        <v>59</v>
      </c>
      <c r="B63" s="291" t="s">
        <v>165</v>
      </c>
      <c r="C63" s="635">
        <v>182</v>
      </c>
      <c r="D63" s="634">
        <v>306</v>
      </c>
      <c r="E63" s="634">
        <v>488</v>
      </c>
      <c r="F63" s="635">
        <v>17</v>
      </c>
      <c r="G63" s="634">
        <v>44</v>
      </c>
      <c r="H63" s="634">
        <v>61</v>
      </c>
      <c r="I63" s="635">
        <v>53</v>
      </c>
      <c r="J63" s="634">
        <v>40</v>
      </c>
      <c r="K63" s="634">
        <v>93</v>
      </c>
      <c r="L63" s="635">
        <v>36</v>
      </c>
      <c r="M63" s="634">
        <v>64</v>
      </c>
      <c r="N63" s="634">
        <v>100</v>
      </c>
      <c r="O63" s="635">
        <v>0</v>
      </c>
      <c r="P63" s="634">
        <v>0</v>
      </c>
      <c r="Q63" s="634">
        <v>0</v>
      </c>
      <c r="R63" s="635">
        <v>0</v>
      </c>
      <c r="S63" s="634">
        <v>0</v>
      </c>
      <c r="T63" s="634">
        <v>0</v>
      </c>
      <c r="U63" s="635">
        <v>12</v>
      </c>
      <c r="V63" s="634">
        <v>27</v>
      </c>
      <c r="W63" s="634">
        <v>39</v>
      </c>
      <c r="X63" s="635">
        <v>2</v>
      </c>
      <c r="Y63" s="634">
        <v>6</v>
      </c>
      <c r="Z63" s="634">
        <v>8</v>
      </c>
    </row>
    <row r="64" spans="1:26" x14ac:dyDescent="0.3">
      <c r="A64" s="593">
        <v>60</v>
      </c>
      <c r="B64" s="291" t="s">
        <v>166</v>
      </c>
      <c r="C64" s="635">
        <v>303</v>
      </c>
      <c r="D64" s="634">
        <v>660</v>
      </c>
      <c r="E64" s="634">
        <v>963</v>
      </c>
      <c r="F64" s="635">
        <v>39</v>
      </c>
      <c r="G64" s="634">
        <v>91</v>
      </c>
      <c r="H64" s="634">
        <v>130</v>
      </c>
      <c r="I64" s="635">
        <v>15</v>
      </c>
      <c r="J64" s="634">
        <v>14</v>
      </c>
      <c r="K64" s="634">
        <v>29</v>
      </c>
      <c r="L64" s="635">
        <v>150</v>
      </c>
      <c r="M64" s="634">
        <v>328</v>
      </c>
      <c r="N64" s="634">
        <v>478</v>
      </c>
      <c r="O64" s="635">
        <v>0</v>
      </c>
      <c r="P64" s="634">
        <v>0</v>
      </c>
      <c r="Q64" s="634">
        <v>0</v>
      </c>
      <c r="R64" s="635">
        <v>7</v>
      </c>
      <c r="S64" s="634">
        <v>10</v>
      </c>
      <c r="T64" s="634">
        <v>17</v>
      </c>
      <c r="U64" s="635">
        <v>0</v>
      </c>
      <c r="V64" s="634">
        <v>3</v>
      </c>
      <c r="W64" s="634">
        <v>3</v>
      </c>
      <c r="X64" s="635">
        <v>6</v>
      </c>
      <c r="Y64" s="634">
        <v>4</v>
      </c>
      <c r="Z64" s="634">
        <v>10</v>
      </c>
    </row>
    <row r="65" spans="1:26" ht="15" customHeight="1" x14ac:dyDescent="0.3">
      <c r="A65" s="593">
        <v>61</v>
      </c>
      <c r="B65" s="612" t="s">
        <v>167</v>
      </c>
      <c r="C65" s="635">
        <v>61</v>
      </c>
      <c r="D65" s="634">
        <v>132</v>
      </c>
      <c r="E65" s="634">
        <v>193</v>
      </c>
      <c r="F65" s="635">
        <v>4</v>
      </c>
      <c r="G65" s="634">
        <v>11</v>
      </c>
      <c r="H65" s="634">
        <v>15</v>
      </c>
      <c r="I65" s="635">
        <v>2</v>
      </c>
      <c r="J65" s="634">
        <v>3</v>
      </c>
      <c r="K65" s="634">
        <v>5</v>
      </c>
      <c r="L65" s="635">
        <v>26</v>
      </c>
      <c r="M65" s="634">
        <v>78</v>
      </c>
      <c r="N65" s="634">
        <v>104</v>
      </c>
      <c r="O65" s="635">
        <v>0</v>
      </c>
      <c r="P65" s="634">
        <v>0</v>
      </c>
      <c r="Q65" s="634">
        <v>0</v>
      </c>
      <c r="R65" s="635">
        <v>0</v>
      </c>
      <c r="S65" s="634">
        <v>0</v>
      </c>
      <c r="T65" s="634">
        <v>0</v>
      </c>
      <c r="U65" s="635">
        <v>0</v>
      </c>
      <c r="V65" s="634">
        <v>0</v>
      </c>
      <c r="W65" s="634">
        <v>0</v>
      </c>
      <c r="X65" s="635">
        <v>0</v>
      </c>
      <c r="Y65" s="634">
        <v>0</v>
      </c>
      <c r="Z65" s="634">
        <v>0</v>
      </c>
    </row>
    <row r="66" spans="1:26" x14ac:dyDescent="0.3">
      <c r="A66" s="593">
        <v>62</v>
      </c>
      <c r="B66" s="291" t="s">
        <v>833</v>
      </c>
      <c r="C66" s="635">
        <v>156</v>
      </c>
      <c r="D66" s="634">
        <v>170</v>
      </c>
      <c r="E66" s="634">
        <v>326</v>
      </c>
      <c r="F66" s="635">
        <v>7</v>
      </c>
      <c r="G66" s="634">
        <v>47</v>
      </c>
      <c r="H66" s="634">
        <v>54</v>
      </c>
      <c r="I66" s="635">
        <v>4</v>
      </c>
      <c r="J66" s="634">
        <v>10</v>
      </c>
      <c r="K66" s="634">
        <v>14</v>
      </c>
      <c r="L66" s="635">
        <v>33</v>
      </c>
      <c r="M66" s="634">
        <v>74</v>
      </c>
      <c r="N66" s="634">
        <v>107</v>
      </c>
      <c r="O66" s="635">
        <v>0</v>
      </c>
      <c r="P66" s="634">
        <v>0</v>
      </c>
      <c r="Q66" s="634">
        <v>0</v>
      </c>
      <c r="R66" s="635">
        <v>21</v>
      </c>
      <c r="S66" s="634">
        <v>10</v>
      </c>
      <c r="T66" s="634">
        <v>31</v>
      </c>
      <c r="U66" s="635">
        <v>0</v>
      </c>
      <c r="V66" s="634">
        <v>0</v>
      </c>
      <c r="W66" s="634">
        <v>0</v>
      </c>
      <c r="X66" s="635">
        <v>1</v>
      </c>
      <c r="Y66" s="634">
        <v>1</v>
      </c>
      <c r="Z66" s="634">
        <v>2</v>
      </c>
    </row>
    <row r="67" spans="1:26" x14ac:dyDescent="0.3">
      <c r="A67" s="593">
        <v>63</v>
      </c>
      <c r="B67" s="291" t="s">
        <v>168</v>
      </c>
      <c r="C67" s="635">
        <v>236</v>
      </c>
      <c r="D67" s="634">
        <v>472</v>
      </c>
      <c r="E67" s="634">
        <v>708</v>
      </c>
      <c r="F67" s="635">
        <v>23</v>
      </c>
      <c r="G67" s="634">
        <v>43</v>
      </c>
      <c r="H67" s="634">
        <v>66</v>
      </c>
      <c r="I67" s="635">
        <v>9</v>
      </c>
      <c r="J67" s="634">
        <v>15</v>
      </c>
      <c r="K67" s="634">
        <v>24</v>
      </c>
      <c r="L67" s="635">
        <v>91</v>
      </c>
      <c r="M67" s="634">
        <v>181</v>
      </c>
      <c r="N67" s="634">
        <v>272</v>
      </c>
      <c r="O67" s="635">
        <v>0</v>
      </c>
      <c r="P67" s="634">
        <v>0</v>
      </c>
      <c r="Q67" s="634">
        <v>0</v>
      </c>
      <c r="R67" s="635">
        <v>9</v>
      </c>
      <c r="S67" s="634">
        <v>23</v>
      </c>
      <c r="T67" s="634">
        <v>32</v>
      </c>
      <c r="U67" s="635">
        <v>3</v>
      </c>
      <c r="V67" s="634">
        <v>15</v>
      </c>
      <c r="W67" s="634">
        <v>18</v>
      </c>
      <c r="X67" s="635">
        <v>4</v>
      </c>
      <c r="Y67" s="634">
        <v>5</v>
      </c>
      <c r="Z67" s="634">
        <v>9</v>
      </c>
    </row>
    <row r="68" spans="1:26" x14ac:dyDescent="0.3">
      <c r="A68" s="593">
        <v>64</v>
      </c>
      <c r="B68" s="291" t="s">
        <v>169</v>
      </c>
      <c r="C68" s="635">
        <v>654</v>
      </c>
      <c r="D68" s="634">
        <v>1084</v>
      </c>
      <c r="E68" s="634">
        <v>1738</v>
      </c>
      <c r="F68" s="635">
        <v>39</v>
      </c>
      <c r="G68" s="634">
        <v>64</v>
      </c>
      <c r="H68" s="634">
        <v>103</v>
      </c>
      <c r="I68" s="635">
        <v>15</v>
      </c>
      <c r="J68" s="634">
        <v>37</v>
      </c>
      <c r="K68" s="634">
        <v>52</v>
      </c>
      <c r="L68" s="635">
        <v>146</v>
      </c>
      <c r="M68" s="634">
        <v>338</v>
      </c>
      <c r="N68" s="634">
        <v>484</v>
      </c>
      <c r="O68" s="635">
        <v>0</v>
      </c>
      <c r="P68" s="634">
        <v>1</v>
      </c>
      <c r="Q68" s="634">
        <v>1</v>
      </c>
      <c r="R68" s="635">
        <v>46</v>
      </c>
      <c r="S68" s="634">
        <v>96</v>
      </c>
      <c r="T68" s="634">
        <v>142</v>
      </c>
      <c r="U68" s="635">
        <v>14</v>
      </c>
      <c r="V68" s="634">
        <v>17</v>
      </c>
      <c r="W68" s="634">
        <v>31</v>
      </c>
      <c r="X68" s="635">
        <v>0</v>
      </c>
      <c r="Y68" s="634">
        <v>6</v>
      </c>
      <c r="Z68" s="634">
        <v>6</v>
      </c>
    </row>
    <row r="69" spans="1:26" x14ac:dyDescent="0.3">
      <c r="A69" s="593">
        <v>65</v>
      </c>
      <c r="B69" s="291" t="s">
        <v>170</v>
      </c>
      <c r="C69" s="635">
        <v>772</v>
      </c>
      <c r="D69" s="634">
        <v>812</v>
      </c>
      <c r="E69" s="634">
        <v>1584</v>
      </c>
      <c r="F69" s="635">
        <v>87</v>
      </c>
      <c r="G69" s="634">
        <v>113</v>
      </c>
      <c r="H69" s="634">
        <v>200</v>
      </c>
      <c r="I69" s="635">
        <v>31</v>
      </c>
      <c r="J69" s="634">
        <v>41</v>
      </c>
      <c r="K69" s="634">
        <v>72</v>
      </c>
      <c r="L69" s="635">
        <v>233</v>
      </c>
      <c r="M69" s="634">
        <v>198</v>
      </c>
      <c r="N69" s="634">
        <v>431</v>
      </c>
      <c r="O69" s="635">
        <v>5</v>
      </c>
      <c r="P69" s="634">
        <v>5</v>
      </c>
      <c r="Q69" s="634">
        <v>10</v>
      </c>
      <c r="R69" s="635">
        <v>5</v>
      </c>
      <c r="S69" s="634">
        <v>2</v>
      </c>
      <c r="T69" s="634">
        <v>7</v>
      </c>
      <c r="U69" s="635">
        <v>3</v>
      </c>
      <c r="V69" s="634">
        <v>0</v>
      </c>
      <c r="W69" s="634">
        <v>3</v>
      </c>
      <c r="X69" s="635">
        <v>4</v>
      </c>
      <c r="Y69" s="634">
        <v>21</v>
      </c>
      <c r="Z69" s="634">
        <v>25</v>
      </c>
    </row>
    <row r="70" spans="1:26" x14ac:dyDescent="0.3">
      <c r="A70" s="593">
        <v>66</v>
      </c>
      <c r="B70" s="291" t="s">
        <v>171</v>
      </c>
      <c r="C70" s="635">
        <v>5081</v>
      </c>
      <c r="D70" s="634">
        <v>1955</v>
      </c>
      <c r="E70" s="634">
        <v>7036</v>
      </c>
      <c r="F70" s="635">
        <v>657</v>
      </c>
      <c r="G70" s="634">
        <v>304</v>
      </c>
      <c r="H70" s="634">
        <v>961</v>
      </c>
      <c r="I70" s="635">
        <v>268</v>
      </c>
      <c r="J70" s="634">
        <v>130</v>
      </c>
      <c r="K70" s="634">
        <v>398</v>
      </c>
      <c r="L70" s="635">
        <v>1431</v>
      </c>
      <c r="M70" s="634">
        <v>564</v>
      </c>
      <c r="N70" s="634">
        <v>1995</v>
      </c>
      <c r="O70" s="635">
        <v>0</v>
      </c>
      <c r="P70" s="634">
        <v>0</v>
      </c>
      <c r="Q70" s="634">
        <v>0</v>
      </c>
      <c r="R70" s="635">
        <v>125</v>
      </c>
      <c r="S70" s="634">
        <v>30</v>
      </c>
      <c r="T70" s="634">
        <v>155</v>
      </c>
      <c r="U70" s="635">
        <v>82</v>
      </c>
      <c r="V70" s="634">
        <v>18</v>
      </c>
      <c r="W70" s="634">
        <v>100</v>
      </c>
      <c r="X70" s="635">
        <v>13</v>
      </c>
      <c r="Y70" s="634">
        <v>8</v>
      </c>
      <c r="Z70" s="634">
        <v>21</v>
      </c>
    </row>
    <row r="71" spans="1:26" x14ac:dyDescent="0.3">
      <c r="A71" s="593">
        <v>67</v>
      </c>
      <c r="B71" s="291" t="s">
        <v>172</v>
      </c>
      <c r="C71" s="635">
        <v>13312</v>
      </c>
      <c r="D71" s="634">
        <v>6225</v>
      </c>
      <c r="E71" s="634">
        <v>19537</v>
      </c>
      <c r="F71" s="635">
        <v>2090</v>
      </c>
      <c r="G71" s="634">
        <v>972</v>
      </c>
      <c r="H71" s="634">
        <v>3062</v>
      </c>
      <c r="I71" s="635">
        <v>943</v>
      </c>
      <c r="J71" s="634">
        <v>502</v>
      </c>
      <c r="K71" s="634">
        <v>1445</v>
      </c>
      <c r="L71" s="635">
        <v>3995</v>
      </c>
      <c r="M71" s="634">
        <v>2055</v>
      </c>
      <c r="N71" s="634">
        <v>6050</v>
      </c>
      <c r="O71" s="635">
        <v>1</v>
      </c>
      <c r="P71" s="634">
        <v>0</v>
      </c>
      <c r="Q71" s="634">
        <v>1</v>
      </c>
      <c r="R71" s="635">
        <v>204</v>
      </c>
      <c r="S71" s="634">
        <v>52</v>
      </c>
      <c r="T71" s="634">
        <v>256</v>
      </c>
      <c r="U71" s="635">
        <v>183</v>
      </c>
      <c r="V71" s="634">
        <v>64</v>
      </c>
      <c r="W71" s="634">
        <v>247</v>
      </c>
      <c r="X71" s="635">
        <v>157</v>
      </c>
      <c r="Y71" s="634">
        <v>90</v>
      </c>
      <c r="Z71" s="634">
        <v>247</v>
      </c>
    </row>
    <row r="72" spans="1:26" x14ac:dyDescent="0.3">
      <c r="A72" s="593">
        <v>68</v>
      </c>
      <c r="B72" s="291" t="s">
        <v>173</v>
      </c>
      <c r="C72" s="635">
        <v>25</v>
      </c>
      <c r="D72" s="634">
        <v>36</v>
      </c>
      <c r="E72" s="634">
        <v>61</v>
      </c>
      <c r="F72" s="635">
        <v>4</v>
      </c>
      <c r="G72" s="634">
        <v>3</v>
      </c>
      <c r="H72" s="634">
        <v>7</v>
      </c>
      <c r="I72" s="635">
        <v>0</v>
      </c>
      <c r="J72" s="634">
        <v>0</v>
      </c>
      <c r="K72" s="634">
        <v>0</v>
      </c>
      <c r="L72" s="635">
        <v>6</v>
      </c>
      <c r="M72" s="634">
        <v>12</v>
      </c>
      <c r="N72" s="634">
        <v>18</v>
      </c>
      <c r="O72" s="635">
        <v>0</v>
      </c>
      <c r="P72" s="634">
        <v>0</v>
      </c>
      <c r="Q72" s="634">
        <v>0</v>
      </c>
      <c r="R72" s="635">
        <v>1</v>
      </c>
      <c r="S72" s="634">
        <v>4</v>
      </c>
      <c r="T72" s="634">
        <v>5</v>
      </c>
      <c r="U72" s="635">
        <v>0</v>
      </c>
      <c r="V72" s="634">
        <v>3</v>
      </c>
      <c r="W72" s="634">
        <v>3</v>
      </c>
      <c r="X72" s="635">
        <v>0</v>
      </c>
      <c r="Y72" s="634">
        <v>0</v>
      </c>
      <c r="Z72" s="634">
        <v>0</v>
      </c>
    </row>
    <row r="73" spans="1:26" x14ac:dyDescent="0.3">
      <c r="A73" s="593">
        <v>69</v>
      </c>
      <c r="B73" s="291" t="s">
        <v>834</v>
      </c>
      <c r="C73" s="635">
        <v>83</v>
      </c>
      <c r="D73" s="634">
        <v>76</v>
      </c>
      <c r="E73" s="634">
        <v>159</v>
      </c>
      <c r="F73" s="635">
        <v>1</v>
      </c>
      <c r="G73" s="634">
        <v>4</v>
      </c>
      <c r="H73" s="634">
        <v>5</v>
      </c>
      <c r="I73" s="635">
        <v>6</v>
      </c>
      <c r="J73" s="634">
        <v>1</v>
      </c>
      <c r="K73" s="634">
        <v>7</v>
      </c>
      <c r="L73" s="635">
        <v>16</v>
      </c>
      <c r="M73" s="634">
        <v>23</v>
      </c>
      <c r="N73" s="634">
        <v>39</v>
      </c>
      <c r="O73" s="635">
        <v>0</v>
      </c>
      <c r="P73" s="634">
        <v>0</v>
      </c>
      <c r="Q73" s="634">
        <v>0</v>
      </c>
      <c r="R73" s="635">
        <v>5</v>
      </c>
      <c r="S73" s="634">
        <v>1</v>
      </c>
      <c r="T73" s="634">
        <v>6</v>
      </c>
      <c r="U73" s="635">
        <v>3</v>
      </c>
      <c r="V73" s="634">
        <v>0</v>
      </c>
      <c r="W73" s="634">
        <v>3</v>
      </c>
      <c r="X73" s="635">
        <v>0</v>
      </c>
      <c r="Y73" s="634">
        <v>0</v>
      </c>
      <c r="Z73" s="634">
        <v>0</v>
      </c>
    </row>
    <row r="74" spans="1:26" x14ac:dyDescent="0.3">
      <c r="A74" s="593">
        <v>70</v>
      </c>
      <c r="B74" s="291" t="s">
        <v>174</v>
      </c>
      <c r="C74" s="635">
        <v>5293</v>
      </c>
      <c r="D74" s="634">
        <v>11429</v>
      </c>
      <c r="E74" s="634">
        <v>16722</v>
      </c>
      <c r="F74" s="635">
        <v>565</v>
      </c>
      <c r="G74" s="634">
        <v>1033</v>
      </c>
      <c r="H74" s="634">
        <v>1598</v>
      </c>
      <c r="I74" s="635">
        <v>169</v>
      </c>
      <c r="J74" s="634">
        <v>224</v>
      </c>
      <c r="K74" s="634">
        <v>393</v>
      </c>
      <c r="L74" s="635">
        <v>1411</v>
      </c>
      <c r="M74" s="634">
        <v>2750</v>
      </c>
      <c r="N74" s="634">
        <v>4161</v>
      </c>
      <c r="O74" s="635">
        <v>2</v>
      </c>
      <c r="P74" s="634">
        <v>5</v>
      </c>
      <c r="Q74" s="634">
        <v>7</v>
      </c>
      <c r="R74" s="635">
        <v>291</v>
      </c>
      <c r="S74" s="634">
        <v>473</v>
      </c>
      <c r="T74" s="634">
        <v>764</v>
      </c>
      <c r="U74" s="635">
        <v>246</v>
      </c>
      <c r="V74" s="634">
        <v>431</v>
      </c>
      <c r="W74" s="634">
        <v>677</v>
      </c>
      <c r="X74" s="635">
        <v>28</v>
      </c>
      <c r="Y74" s="634">
        <v>100</v>
      </c>
      <c r="Z74" s="634">
        <v>128</v>
      </c>
    </row>
    <row r="75" spans="1:26" x14ac:dyDescent="0.3">
      <c r="A75" s="593">
        <v>71</v>
      </c>
      <c r="B75" s="291" t="s">
        <v>835</v>
      </c>
      <c r="C75" s="635">
        <v>99</v>
      </c>
      <c r="D75" s="634">
        <v>99</v>
      </c>
      <c r="E75" s="634">
        <v>198</v>
      </c>
      <c r="F75" s="635">
        <v>14</v>
      </c>
      <c r="G75" s="634">
        <v>23</v>
      </c>
      <c r="H75" s="634">
        <v>37</v>
      </c>
      <c r="I75" s="635">
        <v>5</v>
      </c>
      <c r="J75" s="634">
        <v>8</v>
      </c>
      <c r="K75" s="634">
        <v>13</v>
      </c>
      <c r="L75" s="635">
        <v>39</v>
      </c>
      <c r="M75" s="634">
        <v>27</v>
      </c>
      <c r="N75" s="634">
        <v>66</v>
      </c>
      <c r="O75" s="635">
        <v>1</v>
      </c>
      <c r="P75" s="634">
        <v>0</v>
      </c>
      <c r="Q75" s="634">
        <v>1</v>
      </c>
      <c r="R75" s="635">
        <v>3</v>
      </c>
      <c r="S75" s="634">
        <v>1</v>
      </c>
      <c r="T75" s="634">
        <v>4</v>
      </c>
      <c r="U75" s="635">
        <v>3</v>
      </c>
      <c r="V75" s="634">
        <v>1</v>
      </c>
      <c r="W75" s="634">
        <v>4</v>
      </c>
      <c r="X75" s="635">
        <v>10</v>
      </c>
      <c r="Y75" s="634">
        <v>7</v>
      </c>
      <c r="Z75" s="634">
        <v>17</v>
      </c>
    </row>
    <row r="76" spans="1:26" x14ac:dyDescent="0.3">
      <c r="A76" s="593">
        <v>72</v>
      </c>
      <c r="B76" s="291" t="s">
        <v>175</v>
      </c>
      <c r="C76" s="635">
        <v>46726</v>
      </c>
      <c r="D76" s="634">
        <v>33828</v>
      </c>
      <c r="E76" s="634">
        <v>80554</v>
      </c>
      <c r="F76" s="635">
        <v>4505</v>
      </c>
      <c r="G76" s="634">
        <v>3922</v>
      </c>
      <c r="H76" s="634">
        <v>8427</v>
      </c>
      <c r="I76" s="635">
        <v>1186</v>
      </c>
      <c r="J76" s="634">
        <v>1098</v>
      </c>
      <c r="K76" s="634">
        <v>2284</v>
      </c>
      <c r="L76" s="635">
        <v>18295</v>
      </c>
      <c r="M76" s="634">
        <v>13368</v>
      </c>
      <c r="N76" s="634">
        <v>31663</v>
      </c>
      <c r="O76" s="635">
        <v>48</v>
      </c>
      <c r="P76" s="634">
        <v>29</v>
      </c>
      <c r="Q76" s="634">
        <v>77</v>
      </c>
      <c r="R76" s="635">
        <v>2734</v>
      </c>
      <c r="S76" s="634">
        <v>1662</v>
      </c>
      <c r="T76" s="634">
        <v>4396</v>
      </c>
      <c r="U76" s="635">
        <v>464</v>
      </c>
      <c r="V76" s="634">
        <v>591</v>
      </c>
      <c r="W76" s="634">
        <v>1055</v>
      </c>
      <c r="X76" s="635">
        <v>450</v>
      </c>
      <c r="Y76" s="634">
        <v>366</v>
      </c>
      <c r="Z76" s="634">
        <v>816</v>
      </c>
    </row>
    <row r="77" spans="1:26" x14ac:dyDescent="0.3">
      <c r="A77" s="593">
        <v>73</v>
      </c>
      <c r="B77" s="291" t="s">
        <v>836</v>
      </c>
      <c r="C77" s="635">
        <v>150</v>
      </c>
      <c r="D77" s="634">
        <v>133</v>
      </c>
      <c r="E77" s="634">
        <v>283</v>
      </c>
      <c r="F77" s="635">
        <v>21</v>
      </c>
      <c r="G77" s="634">
        <v>17</v>
      </c>
      <c r="H77" s="634">
        <v>38</v>
      </c>
      <c r="I77" s="635">
        <v>7</v>
      </c>
      <c r="J77" s="634">
        <v>5</v>
      </c>
      <c r="K77" s="634">
        <v>12</v>
      </c>
      <c r="L77" s="635">
        <v>44</v>
      </c>
      <c r="M77" s="634">
        <v>42</v>
      </c>
      <c r="N77" s="634">
        <v>86</v>
      </c>
      <c r="O77" s="635">
        <v>0</v>
      </c>
      <c r="P77" s="634">
        <v>0</v>
      </c>
      <c r="Q77" s="634">
        <v>0</v>
      </c>
      <c r="R77" s="635">
        <v>6</v>
      </c>
      <c r="S77" s="634">
        <v>1</v>
      </c>
      <c r="T77" s="634">
        <v>7</v>
      </c>
      <c r="U77" s="635">
        <v>10</v>
      </c>
      <c r="V77" s="634">
        <v>8</v>
      </c>
      <c r="W77" s="634">
        <v>18</v>
      </c>
      <c r="X77" s="635">
        <v>3</v>
      </c>
      <c r="Y77" s="634">
        <v>5</v>
      </c>
      <c r="Z77" s="634">
        <v>8</v>
      </c>
    </row>
    <row r="78" spans="1:26" x14ac:dyDescent="0.3">
      <c r="A78" s="593">
        <v>74</v>
      </c>
      <c r="B78" s="291" t="s">
        <v>837</v>
      </c>
      <c r="C78" s="635">
        <v>52</v>
      </c>
      <c r="D78" s="634">
        <v>5</v>
      </c>
      <c r="E78" s="634">
        <v>57</v>
      </c>
      <c r="F78" s="635">
        <v>0</v>
      </c>
      <c r="G78" s="634">
        <v>0</v>
      </c>
      <c r="H78" s="634">
        <v>0</v>
      </c>
      <c r="I78" s="635">
        <v>0</v>
      </c>
      <c r="J78" s="634">
        <v>0</v>
      </c>
      <c r="K78" s="634">
        <v>0</v>
      </c>
      <c r="L78" s="635">
        <v>0</v>
      </c>
      <c r="M78" s="634">
        <v>0</v>
      </c>
      <c r="N78" s="634">
        <v>0</v>
      </c>
      <c r="O78" s="635">
        <v>0</v>
      </c>
      <c r="P78" s="634">
        <v>0</v>
      </c>
      <c r="Q78" s="634">
        <v>0</v>
      </c>
      <c r="R78" s="635">
        <v>0</v>
      </c>
      <c r="S78" s="634">
        <v>0</v>
      </c>
      <c r="T78" s="634">
        <v>0</v>
      </c>
      <c r="U78" s="635">
        <v>0</v>
      </c>
      <c r="V78" s="634">
        <v>0</v>
      </c>
      <c r="W78" s="634">
        <v>0</v>
      </c>
      <c r="X78" s="635">
        <v>0</v>
      </c>
      <c r="Y78" s="634">
        <v>0</v>
      </c>
      <c r="Z78" s="634">
        <v>0</v>
      </c>
    </row>
    <row r="79" spans="1:26" x14ac:dyDescent="0.3">
      <c r="A79" s="593">
        <v>75</v>
      </c>
      <c r="B79" s="291" t="s">
        <v>176</v>
      </c>
      <c r="C79" s="635">
        <v>1284</v>
      </c>
      <c r="D79" s="634">
        <v>851</v>
      </c>
      <c r="E79" s="634">
        <v>2135</v>
      </c>
      <c r="F79" s="635">
        <v>160</v>
      </c>
      <c r="G79" s="634">
        <v>72</v>
      </c>
      <c r="H79" s="634">
        <v>232</v>
      </c>
      <c r="I79" s="635">
        <v>49</v>
      </c>
      <c r="J79" s="634">
        <v>32</v>
      </c>
      <c r="K79" s="634">
        <v>81</v>
      </c>
      <c r="L79" s="635">
        <v>410</v>
      </c>
      <c r="M79" s="634">
        <v>227</v>
      </c>
      <c r="N79" s="634">
        <v>637</v>
      </c>
      <c r="O79" s="635">
        <v>6</v>
      </c>
      <c r="P79" s="634">
        <v>2</v>
      </c>
      <c r="Q79" s="634">
        <v>8</v>
      </c>
      <c r="R79" s="635">
        <v>45</v>
      </c>
      <c r="S79" s="634">
        <v>47</v>
      </c>
      <c r="T79" s="634">
        <v>92</v>
      </c>
      <c r="U79" s="635">
        <v>41</v>
      </c>
      <c r="V79" s="634">
        <v>30</v>
      </c>
      <c r="W79" s="634">
        <v>71</v>
      </c>
      <c r="X79" s="635">
        <v>13</v>
      </c>
      <c r="Y79" s="634">
        <v>4</v>
      </c>
      <c r="Z79" s="634">
        <v>17</v>
      </c>
    </row>
    <row r="80" spans="1:26" ht="26" x14ac:dyDescent="0.3">
      <c r="A80" s="593">
        <v>76</v>
      </c>
      <c r="B80" s="291" t="s">
        <v>838</v>
      </c>
      <c r="C80" s="635">
        <v>233</v>
      </c>
      <c r="D80" s="634">
        <v>504</v>
      </c>
      <c r="E80" s="634">
        <v>737</v>
      </c>
      <c r="F80" s="635">
        <v>25</v>
      </c>
      <c r="G80" s="634">
        <v>43</v>
      </c>
      <c r="H80" s="634">
        <v>68</v>
      </c>
      <c r="I80" s="635">
        <v>3</v>
      </c>
      <c r="J80" s="634">
        <v>5</v>
      </c>
      <c r="K80" s="634">
        <v>8</v>
      </c>
      <c r="L80" s="635">
        <v>123</v>
      </c>
      <c r="M80" s="634">
        <v>183</v>
      </c>
      <c r="N80" s="634">
        <v>306</v>
      </c>
      <c r="O80" s="635">
        <v>0</v>
      </c>
      <c r="P80" s="634">
        <v>0</v>
      </c>
      <c r="Q80" s="634">
        <v>0</v>
      </c>
      <c r="R80" s="635">
        <v>13</v>
      </c>
      <c r="S80" s="634">
        <v>25</v>
      </c>
      <c r="T80" s="634">
        <v>38</v>
      </c>
      <c r="U80" s="635">
        <v>0</v>
      </c>
      <c r="V80" s="634">
        <v>3</v>
      </c>
      <c r="W80" s="634">
        <v>3</v>
      </c>
      <c r="X80" s="635">
        <v>22</v>
      </c>
      <c r="Y80" s="634">
        <v>23</v>
      </c>
      <c r="Z80" s="634">
        <v>45</v>
      </c>
    </row>
    <row r="81" spans="1:26" x14ac:dyDescent="0.3">
      <c r="A81" s="593">
        <v>77</v>
      </c>
      <c r="B81" s="291" t="s">
        <v>177</v>
      </c>
      <c r="C81" s="635">
        <v>104</v>
      </c>
      <c r="D81" s="634">
        <v>420</v>
      </c>
      <c r="E81" s="634">
        <v>524</v>
      </c>
      <c r="F81" s="635">
        <v>17</v>
      </c>
      <c r="G81" s="634">
        <v>77</v>
      </c>
      <c r="H81" s="634">
        <v>94</v>
      </c>
      <c r="I81" s="635">
        <v>5</v>
      </c>
      <c r="J81" s="634">
        <v>7</v>
      </c>
      <c r="K81" s="634">
        <v>12</v>
      </c>
      <c r="L81" s="635">
        <v>76</v>
      </c>
      <c r="M81" s="634">
        <v>300</v>
      </c>
      <c r="N81" s="634">
        <v>376</v>
      </c>
      <c r="O81" s="635">
        <v>0</v>
      </c>
      <c r="P81" s="634">
        <v>0</v>
      </c>
      <c r="Q81" s="634">
        <v>0</v>
      </c>
      <c r="R81" s="635">
        <v>0</v>
      </c>
      <c r="S81" s="634">
        <v>6</v>
      </c>
      <c r="T81" s="634">
        <v>6</v>
      </c>
      <c r="U81" s="635">
        <v>0</v>
      </c>
      <c r="V81" s="634">
        <v>3</v>
      </c>
      <c r="W81" s="634">
        <v>3</v>
      </c>
      <c r="X81" s="635">
        <v>0</v>
      </c>
      <c r="Y81" s="634">
        <v>0</v>
      </c>
      <c r="Z81" s="634">
        <v>0</v>
      </c>
    </row>
    <row r="82" spans="1:26" x14ac:dyDescent="0.3">
      <c r="A82" s="593">
        <v>78</v>
      </c>
      <c r="B82" s="291" t="s">
        <v>839</v>
      </c>
      <c r="C82" s="635">
        <v>197</v>
      </c>
      <c r="D82" s="634">
        <v>130</v>
      </c>
      <c r="E82" s="634">
        <v>327</v>
      </c>
      <c r="F82" s="635">
        <v>9</v>
      </c>
      <c r="G82" s="634">
        <v>10</v>
      </c>
      <c r="H82" s="634">
        <v>19</v>
      </c>
      <c r="I82" s="635">
        <v>30</v>
      </c>
      <c r="J82" s="634">
        <v>51</v>
      </c>
      <c r="K82" s="634">
        <v>81</v>
      </c>
      <c r="L82" s="635">
        <v>84</v>
      </c>
      <c r="M82" s="634">
        <v>30</v>
      </c>
      <c r="N82" s="634">
        <v>114</v>
      </c>
      <c r="O82" s="635">
        <v>0</v>
      </c>
      <c r="P82" s="634">
        <v>0</v>
      </c>
      <c r="Q82" s="634">
        <v>0</v>
      </c>
      <c r="R82" s="635">
        <v>1</v>
      </c>
      <c r="S82" s="634">
        <v>0</v>
      </c>
      <c r="T82" s="634">
        <v>1</v>
      </c>
      <c r="U82" s="635">
        <v>20</v>
      </c>
      <c r="V82" s="634">
        <v>11</v>
      </c>
      <c r="W82" s="634">
        <v>31</v>
      </c>
      <c r="X82" s="635">
        <v>3</v>
      </c>
      <c r="Y82" s="634">
        <v>4</v>
      </c>
      <c r="Z82" s="634">
        <v>7</v>
      </c>
    </row>
    <row r="83" spans="1:26" x14ac:dyDescent="0.3">
      <c r="A83" s="593">
        <v>79</v>
      </c>
      <c r="B83" s="291" t="s">
        <v>178</v>
      </c>
      <c r="C83" s="635">
        <v>2889</v>
      </c>
      <c r="D83" s="634">
        <v>3382</v>
      </c>
      <c r="E83" s="634">
        <v>6271</v>
      </c>
      <c r="F83" s="635">
        <v>576</v>
      </c>
      <c r="G83" s="634">
        <v>590</v>
      </c>
      <c r="H83" s="634">
        <v>1166</v>
      </c>
      <c r="I83" s="635">
        <v>583</v>
      </c>
      <c r="J83" s="634">
        <v>669</v>
      </c>
      <c r="K83" s="634">
        <v>1252</v>
      </c>
      <c r="L83" s="635">
        <v>1026</v>
      </c>
      <c r="M83" s="634">
        <v>1206</v>
      </c>
      <c r="N83" s="634">
        <v>2232</v>
      </c>
      <c r="O83" s="635">
        <v>5</v>
      </c>
      <c r="P83" s="634">
        <v>4</v>
      </c>
      <c r="Q83" s="634">
        <v>9</v>
      </c>
      <c r="R83" s="635">
        <v>56</v>
      </c>
      <c r="S83" s="634">
        <v>86</v>
      </c>
      <c r="T83" s="634">
        <v>142</v>
      </c>
      <c r="U83" s="635">
        <v>121</v>
      </c>
      <c r="V83" s="634">
        <v>194</v>
      </c>
      <c r="W83" s="634">
        <v>315</v>
      </c>
      <c r="X83" s="635">
        <v>27</v>
      </c>
      <c r="Y83" s="634">
        <v>36</v>
      </c>
      <c r="Z83" s="634">
        <v>63</v>
      </c>
    </row>
    <row r="84" spans="1:26" x14ac:dyDescent="0.3">
      <c r="A84" s="593">
        <v>80</v>
      </c>
      <c r="B84" s="291" t="s">
        <v>840</v>
      </c>
      <c r="C84" s="635">
        <v>253</v>
      </c>
      <c r="D84" s="634">
        <v>203</v>
      </c>
      <c r="E84" s="634">
        <v>456</v>
      </c>
      <c r="F84" s="635">
        <v>20</v>
      </c>
      <c r="G84" s="634">
        <v>11</v>
      </c>
      <c r="H84" s="634">
        <v>31</v>
      </c>
      <c r="I84" s="635">
        <v>3</v>
      </c>
      <c r="J84" s="634">
        <v>11</v>
      </c>
      <c r="K84" s="634">
        <v>14</v>
      </c>
      <c r="L84" s="635">
        <v>79</v>
      </c>
      <c r="M84" s="634">
        <v>65</v>
      </c>
      <c r="N84" s="634">
        <v>144</v>
      </c>
      <c r="O84" s="635">
        <v>0</v>
      </c>
      <c r="P84" s="634">
        <v>0</v>
      </c>
      <c r="Q84" s="634">
        <v>0</v>
      </c>
      <c r="R84" s="635">
        <v>1</v>
      </c>
      <c r="S84" s="634">
        <v>2</v>
      </c>
      <c r="T84" s="634">
        <v>3</v>
      </c>
      <c r="U84" s="635">
        <v>2</v>
      </c>
      <c r="V84" s="634">
        <v>2</v>
      </c>
      <c r="W84" s="634">
        <v>4</v>
      </c>
      <c r="X84" s="635">
        <v>0</v>
      </c>
      <c r="Y84" s="634">
        <v>0</v>
      </c>
      <c r="Z84" s="634">
        <v>0</v>
      </c>
    </row>
    <row r="85" spans="1:26" x14ac:dyDescent="0.3">
      <c r="A85" s="593">
        <v>81</v>
      </c>
      <c r="B85" s="291" t="s">
        <v>179</v>
      </c>
      <c r="C85" s="635">
        <v>8324</v>
      </c>
      <c r="D85" s="634">
        <v>9321</v>
      </c>
      <c r="E85" s="634">
        <v>17645</v>
      </c>
      <c r="F85" s="635">
        <v>1643</v>
      </c>
      <c r="G85" s="634">
        <v>1647</v>
      </c>
      <c r="H85" s="634">
        <v>3290</v>
      </c>
      <c r="I85" s="635">
        <v>1260</v>
      </c>
      <c r="J85" s="634">
        <v>1116</v>
      </c>
      <c r="K85" s="634">
        <v>2376</v>
      </c>
      <c r="L85" s="635">
        <v>3513</v>
      </c>
      <c r="M85" s="634">
        <v>3966</v>
      </c>
      <c r="N85" s="634">
        <v>7479</v>
      </c>
      <c r="O85" s="635">
        <v>3</v>
      </c>
      <c r="P85" s="634">
        <v>0</v>
      </c>
      <c r="Q85" s="634">
        <v>3</v>
      </c>
      <c r="R85" s="635">
        <v>97</v>
      </c>
      <c r="S85" s="634">
        <v>106</v>
      </c>
      <c r="T85" s="634">
        <v>203</v>
      </c>
      <c r="U85" s="635">
        <v>28</v>
      </c>
      <c r="V85" s="634">
        <v>108</v>
      </c>
      <c r="W85" s="634">
        <v>136</v>
      </c>
      <c r="X85" s="635">
        <v>186</v>
      </c>
      <c r="Y85" s="634">
        <v>202</v>
      </c>
      <c r="Z85" s="634">
        <v>388</v>
      </c>
    </row>
    <row r="86" spans="1:26" x14ac:dyDescent="0.3">
      <c r="A86" s="593">
        <v>82</v>
      </c>
      <c r="B86" s="291" t="s">
        <v>841</v>
      </c>
      <c r="C86" s="635">
        <v>36</v>
      </c>
      <c r="D86" s="634">
        <v>16</v>
      </c>
      <c r="E86" s="634">
        <v>52</v>
      </c>
      <c r="F86" s="635">
        <v>4</v>
      </c>
      <c r="G86" s="634">
        <v>1</v>
      </c>
      <c r="H86" s="634">
        <v>5</v>
      </c>
      <c r="I86" s="635">
        <v>1</v>
      </c>
      <c r="J86" s="634">
        <v>1</v>
      </c>
      <c r="K86" s="634">
        <v>2</v>
      </c>
      <c r="L86" s="635">
        <v>1</v>
      </c>
      <c r="M86" s="634">
        <v>4</v>
      </c>
      <c r="N86" s="634">
        <v>5</v>
      </c>
      <c r="O86" s="635">
        <v>1</v>
      </c>
      <c r="P86" s="634">
        <v>0</v>
      </c>
      <c r="Q86" s="634">
        <v>1</v>
      </c>
      <c r="R86" s="635">
        <v>1</v>
      </c>
      <c r="S86" s="634">
        <v>0</v>
      </c>
      <c r="T86" s="634">
        <v>1</v>
      </c>
      <c r="U86" s="635">
        <v>0</v>
      </c>
      <c r="V86" s="634">
        <v>0</v>
      </c>
      <c r="W86" s="634">
        <v>0</v>
      </c>
      <c r="X86" s="635">
        <v>0</v>
      </c>
      <c r="Y86" s="634">
        <v>0</v>
      </c>
      <c r="Z86" s="634">
        <v>0</v>
      </c>
    </row>
    <row r="87" spans="1:26" x14ac:dyDescent="0.3">
      <c r="A87" s="593">
        <v>83</v>
      </c>
      <c r="B87" s="291" t="s">
        <v>180</v>
      </c>
      <c r="C87" s="635">
        <v>78144</v>
      </c>
      <c r="D87" s="634">
        <v>65530</v>
      </c>
      <c r="E87" s="634">
        <v>143674</v>
      </c>
      <c r="F87" s="635">
        <v>8889</v>
      </c>
      <c r="G87" s="634">
        <v>6450</v>
      </c>
      <c r="H87" s="634">
        <v>15339</v>
      </c>
      <c r="I87" s="635">
        <v>4442</v>
      </c>
      <c r="J87" s="634">
        <v>4020</v>
      </c>
      <c r="K87" s="634">
        <v>8462</v>
      </c>
      <c r="L87" s="635">
        <v>28786</v>
      </c>
      <c r="M87" s="634">
        <v>20906</v>
      </c>
      <c r="N87" s="634">
        <v>49692</v>
      </c>
      <c r="O87" s="635">
        <v>60</v>
      </c>
      <c r="P87" s="634">
        <v>31</v>
      </c>
      <c r="Q87" s="634">
        <v>91</v>
      </c>
      <c r="R87" s="635">
        <v>3190</v>
      </c>
      <c r="S87" s="634">
        <v>2623</v>
      </c>
      <c r="T87" s="634">
        <v>5813</v>
      </c>
      <c r="U87" s="635">
        <v>544</v>
      </c>
      <c r="V87" s="634">
        <v>912</v>
      </c>
      <c r="W87" s="634">
        <v>1456</v>
      </c>
      <c r="X87" s="635">
        <v>836</v>
      </c>
      <c r="Y87" s="634">
        <v>859</v>
      </c>
      <c r="Z87" s="634">
        <v>1695</v>
      </c>
    </row>
    <row r="88" spans="1:26" x14ac:dyDescent="0.3">
      <c r="A88" s="593">
        <v>84</v>
      </c>
      <c r="B88" s="291" t="s">
        <v>181</v>
      </c>
      <c r="C88" s="635">
        <v>17832</v>
      </c>
      <c r="D88" s="634">
        <v>64382</v>
      </c>
      <c r="E88" s="634">
        <v>82214</v>
      </c>
      <c r="F88" s="635">
        <v>2810</v>
      </c>
      <c r="G88" s="634">
        <v>10297</v>
      </c>
      <c r="H88" s="634">
        <v>13107</v>
      </c>
      <c r="I88" s="635">
        <v>1245</v>
      </c>
      <c r="J88" s="634">
        <v>4922</v>
      </c>
      <c r="K88" s="634">
        <v>6167</v>
      </c>
      <c r="L88" s="635">
        <v>6188</v>
      </c>
      <c r="M88" s="634">
        <v>18751</v>
      </c>
      <c r="N88" s="634">
        <v>24939</v>
      </c>
      <c r="O88" s="635">
        <v>8</v>
      </c>
      <c r="P88" s="634">
        <v>35</v>
      </c>
      <c r="Q88" s="634">
        <v>43</v>
      </c>
      <c r="R88" s="635">
        <v>814</v>
      </c>
      <c r="S88" s="634">
        <v>1391</v>
      </c>
      <c r="T88" s="634">
        <v>2205</v>
      </c>
      <c r="U88" s="635">
        <v>434</v>
      </c>
      <c r="V88" s="634">
        <v>3651</v>
      </c>
      <c r="W88" s="634">
        <v>4085</v>
      </c>
      <c r="X88" s="635">
        <v>219</v>
      </c>
      <c r="Y88" s="634">
        <v>443</v>
      </c>
      <c r="Z88" s="634">
        <v>662</v>
      </c>
    </row>
    <row r="89" spans="1:26" x14ac:dyDescent="0.3">
      <c r="A89" s="593">
        <v>85</v>
      </c>
      <c r="B89" s="291" t="s">
        <v>182</v>
      </c>
      <c r="C89" s="635">
        <v>3225</v>
      </c>
      <c r="D89" s="634">
        <v>13808</v>
      </c>
      <c r="E89" s="634">
        <v>17033</v>
      </c>
      <c r="F89" s="635">
        <v>556</v>
      </c>
      <c r="G89" s="634">
        <v>2222</v>
      </c>
      <c r="H89" s="634">
        <v>2778</v>
      </c>
      <c r="I89" s="635">
        <v>242</v>
      </c>
      <c r="J89" s="634">
        <v>1131</v>
      </c>
      <c r="K89" s="634">
        <v>1373</v>
      </c>
      <c r="L89" s="635">
        <v>828</v>
      </c>
      <c r="M89" s="634">
        <v>3161</v>
      </c>
      <c r="N89" s="634">
        <v>3989</v>
      </c>
      <c r="O89" s="635">
        <v>2</v>
      </c>
      <c r="P89" s="634">
        <v>11</v>
      </c>
      <c r="Q89" s="634">
        <v>13</v>
      </c>
      <c r="R89" s="635">
        <v>62</v>
      </c>
      <c r="S89" s="634">
        <v>195</v>
      </c>
      <c r="T89" s="634">
        <v>257</v>
      </c>
      <c r="U89" s="635">
        <v>51</v>
      </c>
      <c r="V89" s="634">
        <v>504</v>
      </c>
      <c r="W89" s="634">
        <v>555</v>
      </c>
      <c r="X89" s="635">
        <v>27</v>
      </c>
      <c r="Y89" s="634">
        <v>77</v>
      </c>
      <c r="Z89" s="634">
        <v>104</v>
      </c>
    </row>
    <row r="90" spans="1:26" ht="16.5" customHeight="1" x14ac:dyDescent="0.3">
      <c r="A90" s="593">
        <v>86</v>
      </c>
      <c r="B90" s="612" t="s">
        <v>842</v>
      </c>
      <c r="C90" s="635">
        <v>4</v>
      </c>
      <c r="D90" s="634">
        <v>8</v>
      </c>
      <c r="E90" s="634">
        <v>12</v>
      </c>
      <c r="F90" s="635">
        <v>0</v>
      </c>
      <c r="G90" s="634">
        <v>0</v>
      </c>
      <c r="H90" s="634">
        <v>0</v>
      </c>
      <c r="I90" s="635">
        <v>0</v>
      </c>
      <c r="J90" s="634">
        <v>0</v>
      </c>
      <c r="K90" s="634">
        <v>0</v>
      </c>
      <c r="L90" s="635">
        <v>1</v>
      </c>
      <c r="M90" s="634">
        <v>2</v>
      </c>
      <c r="N90" s="634">
        <v>3</v>
      </c>
      <c r="O90" s="635">
        <v>0</v>
      </c>
      <c r="P90" s="634">
        <v>0</v>
      </c>
      <c r="Q90" s="634">
        <v>0</v>
      </c>
      <c r="R90" s="635">
        <v>0</v>
      </c>
      <c r="S90" s="634">
        <v>0</v>
      </c>
      <c r="T90" s="634">
        <v>0</v>
      </c>
      <c r="U90" s="635">
        <v>0</v>
      </c>
      <c r="V90" s="634">
        <v>0</v>
      </c>
      <c r="W90" s="634">
        <v>0</v>
      </c>
      <c r="X90" s="635">
        <v>0</v>
      </c>
      <c r="Y90" s="634">
        <v>0</v>
      </c>
      <c r="Z90" s="634">
        <v>0</v>
      </c>
    </row>
    <row r="91" spans="1:26" x14ac:dyDescent="0.3">
      <c r="A91" s="593">
        <v>87</v>
      </c>
      <c r="B91" s="291" t="s">
        <v>843</v>
      </c>
      <c r="C91" s="635">
        <v>333</v>
      </c>
      <c r="D91" s="634">
        <v>103</v>
      </c>
      <c r="E91" s="634">
        <v>436</v>
      </c>
      <c r="F91" s="635">
        <v>32</v>
      </c>
      <c r="G91" s="634">
        <v>9</v>
      </c>
      <c r="H91" s="634">
        <v>41</v>
      </c>
      <c r="I91" s="635">
        <v>5</v>
      </c>
      <c r="J91" s="634">
        <v>5</v>
      </c>
      <c r="K91" s="634">
        <v>10</v>
      </c>
      <c r="L91" s="635">
        <v>200</v>
      </c>
      <c r="M91" s="634">
        <v>37</v>
      </c>
      <c r="N91" s="634">
        <v>237</v>
      </c>
      <c r="O91" s="635">
        <v>0</v>
      </c>
      <c r="P91" s="634">
        <v>0</v>
      </c>
      <c r="Q91" s="634">
        <v>0</v>
      </c>
      <c r="R91" s="635">
        <v>5</v>
      </c>
      <c r="S91" s="634">
        <v>15</v>
      </c>
      <c r="T91" s="634">
        <v>20</v>
      </c>
      <c r="U91" s="635">
        <v>0</v>
      </c>
      <c r="V91" s="634">
        <v>0</v>
      </c>
      <c r="W91" s="634">
        <v>0</v>
      </c>
      <c r="X91" s="635">
        <v>13</v>
      </c>
      <c r="Y91" s="634">
        <v>3</v>
      </c>
      <c r="Z91" s="634">
        <v>16</v>
      </c>
    </row>
    <row r="92" spans="1:26" x14ac:dyDescent="0.3">
      <c r="A92" s="593">
        <v>88</v>
      </c>
      <c r="B92" s="291" t="s">
        <v>183</v>
      </c>
      <c r="C92" s="635">
        <v>564505</v>
      </c>
      <c r="D92" s="634">
        <v>673384</v>
      </c>
      <c r="E92" s="634">
        <v>1237889</v>
      </c>
      <c r="F92" s="635">
        <v>80910</v>
      </c>
      <c r="G92" s="634">
        <v>92422</v>
      </c>
      <c r="H92" s="634">
        <v>173332</v>
      </c>
      <c r="I92" s="635">
        <v>30817</v>
      </c>
      <c r="J92" s="634">
        <v>36718</v>
      </c>
      <c r="K92" s="634">
        <v>67535</v>
      </c>
      <c r="L92" s="635">
        <v>244894</v>
      </c>
      <c r="M92" s="634">
        <v>314724</v>
      </c>
      <c r="N92" s="634">
        <v>559618</v>
      </c>
      <c r="O92" s="635">
        <v>370</v>
      </c>
      <c r="P92" s="634">
        <v>345</v>
      </c>
      <c r="Q92" s="634">
        <v>715</v>
      </c>
      <c r="R92" s="635">
        <v>15735</v>
      </c>
      <c r="S92" s="634">
        <v>24467</v>
      </c>
      <c r="T92" s="634">
        <v>40202</v>
      </c>
      <c r="U92" s="635">
        <v>7151</v>
      </c>
      <c r="V92" s="634">
        <v>12330</v>
      </c>
      <c r="W92" s="634">
        <v>19481</v>
      </c>
      <c r="X92" s="635">
        <v>6073</v>
      </c>
      <c r="Y92" s="634">
        <v>6946</v>
      </c>
      <c r="Z92" s="634">
        <v>13019</v>
      </c>
    </row>
    <row r="93" spans="1:26" x14ac:dyDescent="0.3">
      <c r="A93" s="593">
        <v>89</v>
      </c>
      <c r="B93" s="291" t="s">
        <v>184</v>
      </c>
      <c r="C93" s="635">
        <v>148</v>
      </c>
      <c r="D93" s="634">
        <v>177</v>
      </c>
      <c r="E93" s="634">
        <v>325</v>
      </c>
      <c r="F93" s="635">
        <v>19</v>
      </c>
      <c r="G93" s="634">
        <v>18</v>
      </c>
      <c r="H93" s="634">
        <v>37</v>
      </c>
      <c r="I93" s="635">
        <v>9</v>
      </c>
      <c r="J93" s="634">
        <v>8</v>
      </c>
      <c r="K93" s="634">
        <v>17</v>
      </c>
      <c r="L93" s="635">
        <v>58</v>
      </c>
      <c r="M93" s="634">
        <v>78</v>
      </c>
      <c r="N93" s="634">
        <v>136</v>
      </c>
      <c r="O93" s="635">
        <v>0</v>
      </c>
      <c r="P93" s="634">
        <v>0</v>
      </c>
      <c r="Q93" s="634">
        <v>0</v>
      </c>
      <c r="R93" s="635">
        <v>6</v>
      </c>
      <c r="S93" s="634">
        <v>5</v>
      </c>
      <c r="T93" s="634">
        <v>11</v>
      </c>
      <c r="U93" s="635">
        <v>1</v>
      </c>
      <c r="V93" s="634">
        <v>5</v>
      </c>
      <c r="W93" s="634">
        <v>6</v>
      </c>
      <c r="X93" s="635">
        <v>0</v>
      </c>
      <c r="Y93" s="634">
        <v>0</v>
      </c>
      <c r="Z93" s="634">
        <v>0</v>
      </c>
    </row>
    <row r="94" spans="1:26" x14ac:dyDescent="0.3">
      <c r="A94" s="593">
        <v>90</v>
      </c>
      <c r="B94" s="291" t="s">
        <v>185</v>
      </c>
      <c r="C94" s="635">
        <v>359796</v>
      </c>
      <c r="D94" s="634">
        <v>149907</v>
      </c>
      <c r="E94" s="634">
        <v>509703</v>
      </c>
      <c r="F94" s="635">
        <v>34379</v>
      </c>
      <c r="G94" s="634">
        <v>15014</v>
      </c>
      <c r="H94" s="634">
        <v>49393</v>
      </c>
      <c r="I94" s="635">
        <v>11803</v>
      </c>
      <c r="J94" s="634">
        <v>4811</v>
      </c>
      <c r="K94" s="634">
        <v>16614</v>
      </c>
      <c r="L94" s="635">
        <v>113343</v>
      </c>
      <c r="M94" s="634">
        <v>51481</v>
      </c>
      <c r="N94" s="634">
        <v>164824</v>
      </c>
      <c r="O94" s="635">
        <v>739</v>
      </c>
      <c r="P94" s="634">
        <v>241</v>
      </c>
      <c r="Q94" s="634">
        <v>980</v>
      </c>
      <c r="R94" s="635">
        <v>12960</v>
      </c>
      <c r="S94" s="634">
        <v>4219</v>
      </c>
      <c r="T94" s="634">
        <v>17179</v>
      </c>
      <c r="U94" s="635">
        <v>6925</v>
      </c>
      <c r="V94" s="634">
        <v>3450</v>
      </c>
      <c r="W94" s="634">
        <v>10375</v>
      </c>
      <c r="X94" s="635">
        <v>4450</v>
      </c>
      <c r="Y94" s="634">
        <v>1825</v>
      </c>
      <c r="Z94" s="634">
        <v>6275</v>
      </c>
    </row>
    <row r="95" spans="1:26" x14ac:dyDescent="0.3">
      <c r="A95" s="593">
        <v>91</v>
      </c>
      <c r="B95" s="291" t="s">
        <v>186</v>
      </c>
      <c r="C95" s="635">
        <v>3045</v>
      </c>
      <c r="D95" s="634">
        <v>1215</v>
      </c>
      <c r="E95" s="634">
        <v>4260</v>
      </c>
      <c r="F95" s="635">
        <v>362</v>
      </c>
      <c r="G95" s="634">
        <v>100</v>
      </c>
      <c r="H95" s="634">
        <v>462</v>
      </c>
      <c r="I95" s="635">
        <v>124</v>
      </c>
      <c r="J95" s="634">
        <v>60</v>
      </c>
      <c r="K95" s="634">
        <v>184</v>
      </c>
      <c r="L95" s="635">
        <v>884</v>
      </c>
      <c r="M95" s="634">
        <v>405</v>
      </c>
      <c r="N95" s="634">
        <v>1289</v>
      </c>
      <c r="O95" s="635">
        <v>18</v>
      </c>
      <c r="P95" s="634">
        <v>2</v>
      </c>
      <c r="Q95" s="634">
        <v>20</v>
      </c>
      <c r="R95" s="635">
        <v>40</v>
      </c>
      <c r="S95" s="634">
        <v>10</v>
      </c>
      <c r="T95" s="634">
        <v>50</v>
      </c>
      <c r="U95" s="635">
        <v>18</v>
      </c>
      <c r="V95" s="634">
        <v>12</v>
      </c>
      <c r="W95" s="634">
        <v>30</v>
      </c>
      <c r="X95" s="635">
        <v>41</v>
      </c>
      <c r="Y95" s="634">
        <v>3</v>
      </c>
      <c r="Z95" s="634">
        <v>44</v>
      </c>
    </row>
    <row r="96" spans="1:26" x14ac:dyDescent="0.3">
      <c r="A96" s="593">
        <v>92</v>
      </c>
      <c r="B96" s="291" t="s">
        <v>187</v>
      </c>
      <c r="C96" s="635">
        <v>1014</v>
      </c>
      <c r="D96" s="634">
        <v>940</v>
      </c>
      <c r="E96" s="634">
        <v>1954</v>
      </c>
      <c r="F96" s="635">
        <v>8</v>
      </c>
      <c r="G96" s="634">
        <v>4</v>
      </c>
      <c r="H96" s="634">
        <v>12</v>
      </c>
      <c r="I96" s="635">
        <v>3</v>
      </c>
      <c r="J96" s="634">
        <v>4</v>
      </c>
      <c r="K96" s="634">
        <v>7</v>
      </c>
      <c r="L96" s="635">
        <v>464</v>
      </c>
      <c r="M96" s="634">
        <v>400</v>
      </c>
      <c r="N96" s="634">
        <v>864</v>
      </c>
      <c r="O96" s="635">
        <v>0</v>
      </c>
      <c r="P96" s="634">
        <v>0</v>
      </c>
      <c r="Q96" s="634">
        <v>0</v>
      </c>
      <c r="R96" s="635">
        <v>562</v>
      </c>
      <c r="S96" s="634">
        <v>492</v>
      </c>
      <c r="T96" s="634">
        <v>1054</v>
      </c>
      <c r="U96" s="635">
        <v>0</v>
      </c>
      <c r="V96" s="634">
        <v>0</v>
      </c>
      <c r="W96" s="634">
        <v>0</v>
      </c>
      <c r="X96" s="635">
        <v>8</v>
      </c>
      <c r="Y96" s="634">
        <v>10</v>
      </c>
      <c r="Z96" s="634">
        <v>18</v>
      </c>
    </row>
    <row r="97" spans="1:26" x14ac:dyDescent="0.3">
      <c r="A97" s="593">
        <v>93</v>
      </c>
      <c r="B97" s="291" t="s">
        <v>188</v>
      </c>
      <c r="C97" s="635">
        <v>250</v>
      </c>
      <c r="D97" s="634">
        <v>260</v>
      </c>
      <c r="E97" s="634">
        <v>510</v>
      </c>
      <c r="F97" s="635">
        <v>23</v>
      </c>
      <c r="G97" s="634">
        <v>10</v>
      </c>
      <c r="H97" s="634">
        <v>33</v>
      </c>
      <c r="I97" s="635">
        <v>7</v>
      </c>
      <c r="J97" s="634">
        <v>3</v>
      </c>
      <c r="K97" s="634">
        <v>10</v>
      </c>
      <c r="L97" s="635">
        <v>77</v>
      </c>
      <c r="M97" s="634">
        <v>44</v>
      </c>
      <c r="N97" s="634">
        <v>121</v>
      </c>
      <c r="O97" s="635">
        <v>0</v>
      </c>
      <c r="P97" s="634">
        <v>0</v>
      </c>
      <c r="Q97" s="634">
        <v>0</v>
      </c>
      <c r="R97" s="635">
        <v>3</v>
      </c>
      <c r="S97" s="634">
        <v>2</v>
      </c>
      <c r="T97" s="634">
        <v>5</v>
      </c>
      <c r="U97" s="635">
        <v>0</v>
      </c>
      <c r="V97" s="634">
        <v>0</v>
      </c>
      <c r="W97" s="634">
        <v>0</v>
      </c>
      <c r="X97" s="635">
        <v>1</v>
      </c>
      <c r="Y97" s="634">
        <v>2</v>
      </c>
      <c r="Z97" s="634">
        <v>3</v>
      </c>
    </row>
    <row r="98" spans="1:26" ht="15.75" customHeight="1" x14ac:dyDescent="0.3">
      <c r="A98" s="593">
        <v>94</v>
      </c>
      <c r="B98" s="612" t="s">
        <v>189</v>
      </c>
      <c r="C98" s="635">
        <v>2102</v>
      </c>
      <c r="D98" s="634">
        <v>1609</v>
      </c>
      <c r="E98" s="634">
        <v>3711</v>
      </c>
      <c r="F98" s="635">
        <v>298</v>
      </c>
      <c r="G98" s="634">
        <v>193</v>
      </c>
      <c r="H98" s="634">
        <v>491</v>
      </c>
      <c r="I98" s="635">
        <v>164</v>
      </c>
      <c r="J98" s="634">
        <v>160</v>
      </c>
      <c r="K98" s="634">
        <v>324</v>
      </c>
      <c r="L98" s="635">
        <v>883</v>
      </c>
      <c r="M98" s="634">
        <v>692</v>
      </c>
      <c r="N98" s="634">
        <v>1575</v>
      </c>
      <c r="O98" s="635">
        <v>14</v>
      </c>
      <c r="P98" s="634">
        <v>7</v>
      </c>
      <c r="Q98" s="634">
        <v>21</v>
      </c>
      <c r="R98" s="635">
        <v>39</v>
      </c>
      <c r="S98" s="634">
        <v>24</v>
      </c>
      <c r="T98" s="634">
        <v>63</v>
      </c>
      <c r="U98" s="635">
        <v>55</v>
      </c>
      <c r="V98" s="634">
        <v>54</v>
      </c>
      <c r="W98" s="634">
        <v>109</v>
      </c>
      <c r="X98" s="635">
        <v>7</v>
      </c>
      <c r="Y98" s="634">
        <v>4</v>
      </c>
      <c r="Z98" s="634">
        <v>11</v>
      </c>
    </row>
    <row r="99" spans="1:26" x14ac:dyDescent="0.3">
      <c r="A99" s="593">
        <v>95</v>
      </c>
      <c r="B99" s="291" t="s">
        <v>190</v>
      </c>
      <c r="C99" s="635">
        <v>479</v>
      </c>
      <c r="D99" s="634">
        <v>299</v>
      </c>
      <c r="E99" s="634">
        <v>778</v>
      </c>
      <c r="F99" s="635">
        <v>41</v>
      </c>
      <c r="G99" s="634">
        <v>43</v>
      </c>
      <c r="H99" s="634">
        <v>84</v>
      </c>
      <c r="I99" s="635">
        <v>38</v>
      </c>
      <c r="J99" s="634">
        <v>37</v>
      </c>
      <c r="K99" s="634">
        <v>75</v>
      </c>
      <c r="L99" s="635">
        <v>171</v>
      </c>
      <c r="M99" s="634">
        <v>91</v>
      </c>
      <c r="N99" s="634">
        <v>262</v>
      </c>
      <c r="O99" s="635">
        <v>1</v>
      </c>
      <c r="P99" s="634">
        <v>2</v>
      </c>
      <c r="Q99" s="634">
        <v>3</v>
      </c>
      <c r="R99" s="635">
        <v>60</v>
      </c>
      <c r="S99" s="634">
        <v>14</v>
      </c>
      <c r="T99" s="634">
        <v>74</v>
      </c>
      <c r="U99" s="635">
        <v>4</v>
      </c>
      <c r="V99" s="634">
        <v>6</v>
      </c>
      <c r="W99" s="634">
        <v>10</v>
      </c>
      <c r="X99" s="635">
        <v>0</v>
      </c>
      <c r="Y99" s="634">
        <v>0</v>
      </c>
      <c r="Z99" s="634">
        <v>0</v>
      </c>
    </row>
    <row r="100" spans="1:26" x14ac:dyDescent="0.3">
      <c r="A100" s="593">
        <v>96</v>
      </c>
      <c r="B100" s="291" t="s">
        <v>191</v>
      </c>
      <c r="C100" s="635">
        <v>7405</v>
      </c>
      <c r="D100" s="634">
        <v>7130</v>
      </c>
      <c r="E100" s="634">
        <v>14535</v>
      </c>
      <c r="F100" s="635">
        <v>850</v>
      </c>
      <c r="G100" s="634">
        <v>818</v>
      </c>
      <c r="H100" s="634">
        <v>1668</v>
      </c>
      <c r="I100" s="635">
        <v>216</v>
      </c>
      <c r="J100" s="634">
        <v>169</v>
      </c>
      <c r="K100" s="634">
        <v>385</v>
      </c>
      <c r="L100" s="635">
        <v>2391</v>
      </c>
      <c r="M100" s="634">
        <v>2256</v>
      </c>
      <c r="N100" s="634">
        <v>4647</v>
      </c>
      <c r="O100" s="635">
        <v>6</v>
      </c>
      <c r="P100" s="634">
        <v>3</v>
      </c>
      <c r="Q100" s="634">
        <v>9</v>
      </c>
      <c r="R100" s="635">
        <v>470</v>
      </c>
      <c r="S100" s="634">
        <v>569</v>
      </c>
      <c r="T100" s="634">
        <v>1039</v>
      </c>
      <c r="U100" s="635">
        <v>336</v>
      </c>
      <c r="V100" s="634">
        <v>455</v>
      </c>
      <c r="W100" s="634">
        <v>791</v>
      </c>
      <c r="X100" s="635">
        <v>159</v>
      </c>
      <c r="Y100" s="634">
        <v>136</v>
      </c>
      <c r="Z100" s="634">
        <v>295</v>
      </c>
    </row>
    <row r="101" spans="1:26" x14ac:dyDescent="0.3">
      <c r="A101" s="593">
        <v>97</v>
      </c>
      <c r="B101" s="291" t="s">
        <v>192</v>
      </c>
      <c r="C101" s="635">
        <v>28</v>
      </c>
      <c r="D101" s="634">
        <v>20</v>
      </c>
      <c r="E101" s="634">
        <v>48</v>
      </c>
      <c r="F101" s="635">
        <v>3</v>
      </c>
      <c r="G101" s="634">
        <v>3</v>
      </c>
      <c r="H101" s="634">
        <v>6</v>
      </c>
      <c r="I101" s="635">
        <v>2</v>
      </c>
      <c r="J101" s="634">
        <v>2</v>
      </c>
      <c r="K101" s="634">
        <v>4</v>
      </c>
      <c r="L101" s="635">
        <v>11</v>
      </c>
      <c r="M101" s="634">
        <v>6</v>
      </c>
      <c r="N101" s="634">
        <v>17</v>
      </c>
      <c r="O101" s="635">
        <v>0</v>
      </c>
      <c r="P101" s="634">
        <v>0</v>
      </c>
      <c r="Q101" s="634">
        <v>0</v>
      </c>
      <c r="R101" s="635">
        <v>8</v>
      </c>
      <c r="S101" s="634">
        <v>4</v>
      </c>
      <c r="T101" s="634">
        <v>12</v>
      </c>
      <c r="U101" s="635">
        <v>0</v>
      </c>
      <c r="V101" s="634">
        <v>0</v>
      </c>
      <c r="W101" s="634">
        <v>0</v>
      </c>
      <c r="X101" s="635">
        <v>0</v>
      </c>
      <c r="Y101" s="634">
        <v>0</v>
      </c>
      <c r="Z101" s="634">
        <v>0</v>
      </c>
    </row>
    <row r="102" spans="1:26" x14ac:dyDescent="0.3">
      <c r="A102" s="593">
        <v>98</v>
      </c>
      <c r="B102" s="291" t="s">
        <v>844</v>
      </c>
      <c r="C102" s="635">
        <v>0</v>
      </c>
      <c r="D102" s="634">
        <v>109</v>
      </c>
      <c r="E102" s="634">
        <v>109</v>
      </c>
      <c r="F102" s="635">
        <v>0</v>
      </c>
      <c r="G102" s="634">
        <v>69</v>
      </c>
      <c r="H102" s="634">
        <v>69</v>
      </c>
      <c r="I102" s="635">
        <v>0</v>
      </c>
      <c r="J102" s="634">
        <v>4</v>
      </c>
      <c r="K102" s="634">
        <v>4</v>
      </c>
      <c r="L102" s="635">
        <v>0</v>
      </c>
      <c r="M102" s="634">
        <v>18</v>
      </c>
      <c r="N102" s="634">
        <v>18</v>
      </c>
      <c r="O102" s="635">
        <v>0</v>
      </c>
      <c r="P102" s="634">
        <v>0</v>
      </c>
      <c r="Q102" s="634">
        <v>0</v>
      </c>
      <c r="R102" s="635">
        <v>0</v>
      </c>
      <c r="S102" s="634">
        <v>0</v>
      </c>
      <c r="T102" s="634">
        <v>0</v>
      </c>
      <c r="U102" s="635">
        <v>0</v>
      </c>
      <c r="V102" s="634">
        <v>0</v>
      </c>
      <c r="W102" s="634">
        <v>0</v>
      </c>
      <c r="X102" s="635">
        <v>0</v>
      </c>
      <c r="Y102" s="634">
        <v>0</v>
      </c>
      <c r="Z102" s="634">
        <v>0</v>
      </c>
    </row>
    <row r="103" spans="1:26" ht="26" x14ac:dyDescent="0.3">
      <c r="A103" s="593">
        <v>99</v>
      </c>
      <c r="B103" s="291" t="s">
        <v>845</v>
      </c>
      <c r="C103" s="635">
        <v>33</v>
      </c>
      <c r="D103" s="634">
        <v>20</v>
      </c>
      <c r="E103" s="634">
        <v>53</v>
      </c>
      <c r="F103" s="635">
        <v>0</v>
      </c>
      <c r="G103" s="634">
        <v>0</v>
      </c>
      <c r="H103" s="634">
        <v>0</v>
      </c>
      <c r="I103" s="635">
        <v>0</v>
      </c>
      <c r="J103" s="634">
        <v>0</v>
      </c>
      <c r="K103" s="634">
        <v>0</v>
      </c>
      <c r="L103" s="635">
        <v>8</v>
      </c>
      <c r="M103" s="634">
        <v>2</v>
      </c>
      <c r="N103" s="634">
        <v>10</v>
      </c>
      <c r="O103" s="635">
        <v>0</v>
      </c>
      <c r="P103" s="634">
        <v>0</v>
      </c>
      <c r="Q103" s="634">
        <v>0</v>
      </c>
      <c r="R103" s="635">
        <v>0</v>
      </c>
      <c r="S103" s="634">
        <v>0</v>
      </c>
      <c r="T103" s="634">
        <v>0</v>
      </c>
      <c r="U103" s="635">
        <v>0</v>
      </c>
      <c r="V103" s="634">
        <v>0</v>
      </c>
      <c r="W103" s="634">
        <v>0</v>
      </c>
      <c r="X103" s="635">
        <v>0</v>
      </c>
      <c r="Y103" s="634">
        <v>0</v>
      </c>
      <c r="Z103" s="634">
        <v>0</v>
      </c>
    </row>
    <row r="104" spans="1:26" x14ac:dyDescent="0.3">
      <c r="A104" s="593">
        <v>100</v>
      </c>
      <c r="B104" s="291" t="s">
        <v>846</v>
      </c>
      <c r="C104" s="635">
        <v>63</v>
      </c>
      <c r="D104" s="634">
        <v>15</v>
      </c>
      <c r="E104" s="634">
        <v>78</v>
      </c>
      <c r="F104" s="635">
        <v>10</v>
      </c>
      <c r="G104" s="634">
        <v>2</v>
      </c>
      <c r="H104" s="634">
        <v>12</v>
      </c>
      <c r="I104" s="635">
        <v>2</v>
      </c>
      <c r="J104" s="634">
        <v>1</v>
      </c>
      <c r="K104" s="634">
        <v>3</v>
      </c>
      <c r="L104" s="635">
        <v>8</v>
      </c>
      <c r="M104" s="634">
        <v>1</v>
      </c>
      <c r="N104" s="634">
        <v>9</v>
      </c>
      <c r="O104" s="635">
        <v>0</v>
      </c>
      <c r="P104" s="634">
        <v>0</v>
      </c>
      <c r="Q104" s="634">
        <v>0</v>
      </c>
      <c r="R104" s="635">
        <v>1</v>
      </c>
      <c r="S104" s="634">
        <v>0</v>
      </c>
      <c r="T104" s="634">
        <v>1</v>
      </c>
      <c r="U104" s="635">
        <v>3</v>
      </c>
      <c r="V104" s="634">
        <v>0</v>
      </c>
      <c r="W104" s="634">
        <v>3</v>
      </c>
      <c r="X104" s="635">
        <v>0</v>
      </c>
      <c r="Y104" s="634">
        <v>0</v>
      </c>
      <c r="Z104" s="634">
        <v>0</v>
      </c>
    </row>
    <row r="105" spans="1:26" x14ac:dyDescent="0.3">
      <c r="A105" s="593">
        <v>101</v>
      </c>
      <c r="B105" s="291" t="s">
        <v>193</v>
      </c>
      <c r="C105" s="635">
        <v>27910</v>
      </c>
      <c r="D105" s="634">
        <v>25116</v>
      </c>
      <c r="E105" s="634">
        <v>53026</v>
      </c>
      <c r="F105" s="635">
        <v>2592</v>
      </c>
      <c r="G105" s="634">
        <v>2801</v>
      </c>
      <c r="H105" s="634">
        <v>5393</v>
      </c>
      <c r="I105" s="635">
        <v>2068</v>
      </c>
      <c r="J105" s="634">
        <v>2319</v>
      </c>
      <c r="K105" s="634">
        <v>4387</v>
      </c>
      <c r="L105" s="635">
        <v>7140</v>
      </c>
      <c r="M105" s="634">
        <v>7877</v>
      </c>
      <c r="N105" s="634">
        <v>15017</v>
      </c>
      <c r="O105" s="635">
        <v>85</v>
      </c>
      <c r="P105" s="634">
        <v>49</v>
      </c>
      <c r="Q105" s="634">
        <v>134</v>
      </c>
      <c r="R105" s="635">
        <v>990</v>
      </c>
      <c r="S105" s="634">
        <v>951</v>
      </c>
      <c r="T105" s="634">
        <v>1941</v>
      </c>
      <c r="U105" s="635">
        <v>376</v>
      </c>
      <c r="V105" s="634">
        <v>350</v>
      </c>
      <c r="W105" s="634">
        <v>726</v>
      </c>
      <c r="X105" s="635">
        <v>261</v>
      </c>
      <c r="Y105" s="634">
        <v>260</v>
      </c>
      <c r="Z105" s="634">
        <v>521</v>
      </c>
    </row>
    <row r="106" spans="1:26" x14ac:dyDescent="0.3">
      <c r="A106" s="593">
        <v>102</v>
      </c>
      <c r="B106" s="291" t="s">
        <v>194</v>
      </c>
      <c r="C106" s="635">
        <v>34403</v>
      </c>
      <c r="D106" s="634">
        <v>49010</v>
      </c>
      <c r="E106" s="634">
        <v>83413</v>
      </c>
      <c r="F106" s="635">
        <v>5464</v>
      </c>
      <c r="G106" s="634">
        <v>7468</v>
      </c>
      <c r="H106" s="634">
        <v>12932</v>
      </c>
      <c r="I106" s="635">
        <v>3349</v>
      </c>
      <c r="J106" s="634">
        <v>4392</v>
      </c>
      <c r="K106" s="634">
        <v>7741</v>
      </c>
      <c r="L106" s="635">
        <v>11836</v>
      </c>
      <c r="M106" s="634">
        <v>16636</v>
      </c>
      <c r="N106" s="634">
        <v>28472</v>
      </c>
      <c r="O106" s="635">
        <v>188</v>
      </c>
      <c r="P106" s="634">
        <v>156</v>
      </c>
      <c r="Q106" s="634">
        <v>344</v>
      </c>
      <c r="R106" s="635">
        <v>2210</v>
      </c>
      <c r="S106" s="634">
        <v>3234</v>
      </c>
      <c r="T106" s="634">
        <v>5444</v>
      </c>
      <c r="U106" s="635">
        <v>584</v>
      </c>
      <c r="V106" s="634">
        <v>1185</v>
      </c>
      <c r="W106" s="634">
        <v>1769</v>
      </c>
      <c r="X106" s="635">
        <v>676</v>
      </c>
      <c r="Y106" s="634">
        <v>819</v>
      </c>
      <c r="Z106" s="634">
        <v>1495</v>
      </c>
    </row>
    <row r="107" spans="1:26" x14ac:dyDescent="0.3">
      <c r="A107" s="593">
        <v>103</v>
      </c>
      <c r="B107" s="291" t="s">
        <v>847</v>
      </c>
      <c r="C107" s="635">
        <v>21581</v>
      </c>
      <c r="D107" s="634">
        <v>33985</v>
      </c>
      <c r="E107" s="634">
        <v>55566</v>
      </c>
      <c r="F107" s="635">
        <v>3688</v>
      </c>
      <c r="G107" s="634">
        <v>5287</v>
      </c>
      <c r="H107" s="634">
        <v>8975</v>
      </c>
      <c r="I107" s="635">
        <v>1953</v>
      </c>
      <c r="J107" s="634">
        <v>3431</v>
      </c>
      <c r="K107" s="634">
        <v>5384</v>
      </c>
      <c r="L107" s="635">
        <v>8573</v>
      </c>
      <c r="M107" s="634">
        <v>13602</v>
      </c>
      <c r="N107" s="634">
        <v>22175</v>
      </c>
      <c r="O107" s="635">
        <v>102</v>
      </c>
      <c r="P107" s="634">
        <v>254</v>
      </c>
      <c r="Q107" s="634">
        <v>356</v>
      </c>
      <c r="R107" s="635">
        <v>1229</v>
      </c>
      <c r="S107" s="634">
        <v>1931</v>
      </c>
      <c r="T107" s="634">
        <v>3160</v>
      </c>
      <c r="U107" s="635">
        <v>291</v>
      </c>
      <c r="V107" s="634">
        <v>923</v>
      </c>
      <c r="W107" s="634">
        <v>1214</v>
      </c>
      <c r="X107" s="635">
        <v>404</v>
      </c>
      <c r="Y107" s="634">
        <v>629</v>
      </c>
      <c r="Z107" s="634">
        <v>1033</v>
      </c>
    </row>
    <row r="108" spans="1:26" x14ac:dyDescent="0.3">
      <c r="A108" s="593">
        <v>104</v>
      </c>
      <c r="B108" s="291" t="s">
        <v>848</v>
      </c>
      <c r="C108" s="635">
        <v>18</v>
      </c>
      <c r="D108" s="634">
        <v>5</v>
      </c>
      <c r="E108" s="634">
        <v>23</v>
      </c>
      <c r="F108" s="635">
        <v>0</v>
      </c>
      <c r="G108" s="634">
        <v>0</v>
      </c>
      <c r="H108" s="634">
        <v>0</v>
      </c>
      <c r="I108" s="635">
        <v>0</v>
      </c>
      <c r="J108" s="634">
        <v>0</v>
      </c>
      <c r="K108" s="634">
        <v>0</v>
      </c>
      <c r="L108" s="635">
        <v>0</v>
      </c>
      <c r="M108" s="634">
        <v>0</v>
      </c>
      <c r="N108" s="634">
        <v>0</v>
      </c>
      <c r="O108" s="635">
        <v>0</v>
      </c>
      <c r="P108" s="634">
        <v>0</v>
      </c>
      <c r="Q108" s="634">
        <v>0</v>
      </c>
      <c r="R108" s="635">
        <v>0</v>
      </c>
      <c r="S108" s="634">
        <v>0</v>
      </c>
      <c r="T108" s="634">
        <v>0</v>
      </c>
      <c r="U108" s="635">
        <v>0</v>
      </c>
      <c r="V108" s="634">
        <v>0</v>
      </c>
      <c r="W108" s="634">
        <v>0</v>
      </c>
      <c r="X108" s="635">
        <v>0</v>
      </c>
      <c r="Y108" s="634">
        <v>0</v>
      </c>
      <c r="Z108" s="634">
        <v>0</v>
      </c>
    </row>
    <row r="109" spans="1:26" x14ac:dyDescent="0.3">
      <c r="A109" s="593">
        <v>105</v>
      </c>
      <c r="B109" s="291" t="s">
        <v>195</v>
      </c>
      <c r="C109" s="635">
        <v>361</v>
      </c>
      <c r="D109" s="634">
        <v>99</v>
      </c>
      <c r="E109" s="634">
        <v>460</v>
      </c>
      <c r="F109" s="635">
        <v>3</v>
      </c>
      <c r="G109" s="634">
        <v>2</v>
      </c>
      <c r="H109" s="634">
        <v>5</v>
      </c>
      <c r="I109" s="635">
        <v>2</v>
      </c>
      <c r="J109" s="634">
        <v>0</v>
      </c>
      <c r="K109" s="634">
        <v>2</v>
      </c>
      <c r="L109" s="635">
        <v>16</v>
      </c>
      <c r="M109" s="634">
        <v>4</v>
      </c>
      <c r="N109" s="634">
        <v>20</v>
      </c>
      <c r="O109" s="635">
        <v>0</v>
      </c>
      <c r="P109" s="634">
        <v>0</v>
      </c>
      <c r="Q109" s="634">
        <v>0</v>
      </c>
      <c r="R109" s="635">
        <v>4</v>
      </c>
      <c r="S109" s="634">
        <v>1</v>
      </c>
      <c r="T109" s="634">
        <v>5</v>
      </c>
      <c r="U109" s="635">
        <v>4</v>
      </c>
      <c r="V109" s="634">
        <v>2</v>
      </c>
      <c r="W109" s="634">
        <v>6</v>
      </c>
      <c r="X109" s="635">
        <v>0</v>
      </c>
      <c r="Y109" s="634">
        <v>0</v>
      </c>
      <c r="Z109" s="634">
        <v>0</v>
      </c>
    </row>
    <row r="110" spans="1:26" x14ac:dyDescent="0.3">
      <c r="A110" s="593">
        <v>106</v>
      </c>
      <c r="B110" s="291" t="s">
        <v>849</v>
      </c>
      <c r="C110" s="635">
        <v>1314</v>
      </c>
      <c r="D110" s="634">
        <v>1048</v>
      </c>
      <c r="E110" s="634">
        <v>2362</v>
      </c>
      <c r="F110" s="635">
        <v>194</v>
      </c>
      <c r="G110" s="634">
        <v>170</v>
      </c>
      <c r="H110" s="634">
        <v>364</v>
      </c>
      <c r="I110" s="635">
        <v>103</v>
      </c>
      <c r="J110" s="634">
        <v>129</v>
      </c>
      <c r="K110" s="634">
        <v>232</v>
      </c>
      <c r="L110" s="635">
        <v>466</v>
      </c>
      <c r="M110" s="634">
        <v>410</v>
      </c>
      <c r="N110" s="634">
        <v>876</v>
      </c>
      <c r="O110" s="635">
        <v>0</v>
      </c>
      <c r="P110" s="634">
        <v>0</v>
      </c>
      <c r="Q110" s="634">
        <v>0</v>
      </c>
      <c r="R110" s="635">
        <v>95</v>
      </c>
      <c r="S110" s="634">
        <v>35</v>
      </c>
      <c r="T110" s="634">
        <v>130</v>
      </c>
      <c r="U110" s="635">
        <v>39</v>
      </c>
      <c r="V110" s="634">
        <v>25</v>
      </c>
      <c r="W110" s="634">
        <v>64</v>
      </c>
      <c r="X110" s="635">
        <v>12</v>
      </c>
      <c r="Y110" s="634">
        <v>6</v>
      </c>
      <c r="Z110" s="634">
        <v>18</v>
      </c>
    </row>
    <row r="111" spans="1:26" x14ac:dyDescent="0.3">
      <c r="A111" s="593">
        <v>107</v>
      </c>
      <c r="B111" s="291" t="s">
        <v>850</v>
      </c>
      <c r="C111" s="635">
        <v>0</v>
      </c>
      <c r="D111" s="634">
        <v>1</v>
      </c>
      <c r="E111" s="634">
        <v>1</v>
      </c>
      <c r="F111" s="635">
        <v>0</v>
      </c>
      <c r="G111" s="634">
        <v>0</v>
      </c>
      <c r="H111" s="634">
        <v>0</v>
      </c>
      <c r="I111" s="635">
        <v>0</v>
      </c>
      <c r="J111" s="634">
        <v>0</v>
      </c>
      <c r="K111" s="634">
        <v>0</v>
      </c>
      <c r="L111" s="635">
        <v>0</v>
      </c>
      <c r="M111" s="634">
        <v>1</v>
      </c>
      <c r="N111" s="634">
        <v>1</v>
      </c>
      <c r="O111" s="635">
        <v>0</v>
      </c>
      <c r="P111" s="634">
        <v>0</v>
      </c>
      <c r="Q111" s="634">
        <v>0</v>
      </c>
      <c r="R111" s="635">
        <v>0</v>
      </c>
      <c r="S111" s="634">
        <v>0</v>
      </c>
      <c r="T111" s="634">
        <v>0</v>
      </c>
      <c r="U111" s="635">
        <v>0</v>
      </c>
      <c r="V111" s="634">
        <v>0</v>
      </c>
      <c r="W111" s="634">
        <v>0</v>
      </c>
      <c r="X111" s="635">
        <v>0</v>
      </c>
      <c r="Y111" s="634">
        <v>0</v>
      </c>
      <c r="Z111" s="634">
        <v>0</v>
      </c>
    </row>
    <row r="112" spans="1:26" x14ac:dyDescent="0.3">
      <c r="A112" s="593">
        <v>108</v>
      </c>
      <c r="B112" s="291" t="s">
        <v>196</v>
      </c>
      <c r="C112" s="635">
        <v>160</v>
      </c>
      <c r="D112" s="634">
        <v>130</v>
      </c>
      <c r="E112" s="634">
        <v>290</v>
      </c>
      <c r="F112" s="635">
        <v>30</v>
      </c>
      <c r="G112" s="634">
        <v>33</v>
      </c>
      <c r="H112" s="634">
        <v>63</v>
      </c>
      <c r="I112" s="635">
        <v>23</v>
      </c>
      <c r="J112" s="634">
        <v>14</v>
      </c>
      <c r="K112" s="634">
        <v>37</v>
      </c>
      <c r="L112" s="635">
        <v>63</v>
      </c>
      <c r="M112" s="634">
        <v>48</v>
      </c>
      <c r="N112" s="634">
        <v>111</v>
      </c>
      <c r="O112" s="635">
        <v>0</v>
      </c>
      <c r="P112" s="634">
        <v>0</v>
      </c>
      <c r="Q112" s="634">
        <v>0</v>
      </c>
      <c r="R112" s="635">
        <v>24</v>
      </c>
      <c r="S112" s="634">
        <v>15</v>
      </c>
      <c r="T112" s="634">
        <v>39</v>
      </c>
      <c r="U112" s="635">
        <v>24</v>
      </c>
      <c r="V112" s="634">
        <v>12</v>
      </c>
      <c r="W112" s="634">
        <v>36</v>
      </c>
      <c r="X112" s="635">
        <v>5</v>
      </c>
      <c r="Y112" s="634">
        <v>3</v>
      </c>
      <c r="Z112" s="634">
        <v>8</v>
      </c>
    </row>
    <row r="113" spans="1:26" x14ac:dyDescent="0.3">
      <c r="A113" s="593">
        <v>109</v>
      </c>
      <c r="B113" s="291" t="s">
        <v>197</v>
      </c>
      <c r="C113" s="635">
        <v>46937</v>
      </c>
      <c r="D113" s="634">
        <v>21147</v>
      </c>
      <c r="E113" s="634">
        <v>68084</v>
      </c>
      <c r="F113" s="635">
        <v>4820</v>
      </c>
      <c r="G113" s="634">
        <v>2262</v>
      </c>
      <c r="H113" s="634">
        <v>7082</v>
      </c>
      <c r="I113" s="635">
        <v>927</v>
      </c>
      <c r="J113" s="634">
        <v>633</v>
      </c>
      <c r="K113" s="634">
        <v>1560</v>
      </c>
      <c r="L113" s="635">
        <v>18523</v>
      </c>
      <c r="M113" s="634">
        <v>8287</v>
      </c>
      <c r="N113" s="634">
        <v>26810</v>
      </c>
      <c r="O113" s="635">
        <v>18</v>
      </c>
      <c r="P113" s="634">
        <v>10</v>
      </c>
      <c r="Q113" s="634">
        <v>28</v>
      </c>
      <c r="R113" s="635">
        <v>3212</v>
      </c>
      <c r="S113" s="634">
        <v>1195</v>
      </c>
      <c r="T113" s="634">
        <v>4407</v>
      </c>
      <c r="U113" s="635">
        <v>681</v>
      </c>
      <c r="V113" s="634">
        <v>404</v>
      </c>
      <c r="W113" s="634">
        <v>1085</v>
      </c>
      <c r="X113" s="635">
        <v>1174</v>
      </c>
      <c r="Y113" s="634">
        <v>551</v>
      </c>
      <c r="Z113" s="634">
        <v>1725</v>
      </c>
    </row>
    <row r="114" spans="1:26" x14ac:dyDescent="0.3">
      <c r="A114" s="593">
        <v>110</v>
      </c>
      <c r="B114" s="291" t="s">
        <v>198</v>
      </c>
      <c r="C114" s="635">
        <v>112</v>
      </c>
      <c r="D114" s="634">
        <v>114</v>
      </c>
      <c r="E114" s="634">
        <v>226</v>
      </c>
      <c r="F114" s="635">
        <v>13</v>
      </c>
      <c r="G114" s="634">
        <v>9</v>
      </c>
      <c r="H114" s="634">
        <v>22</v>
      </c>
      <c r="I114" s="635">
        <v>3</v>
      </c>
      <c r="J114" s="634">
        <v>3</v>
      </c>
      <c r="K114" s="634">
        <v>6</v>
      </c>
      <c r="L114" s="635">
        <v>31</v>
      </c>
      <c r="M114" s="634">
        <v>32</v>
      </c>
      <c r="N114" s="634">
        <v>63</v>
      </c>
      <c r="O114" s="635">
        <v>0</v>
      </c>
      <c r="P114" s="634">
        <v>0</v>
      </c>
      <c r="Q114" s="634">
        <v>0</v>
      </c>
      <c r="R114" s="635">
        <v>4</v>
      </c>
      <c r="S114" s="634">
        <v>2</v>
      </c>
      <c r="T114" s="634">
        <v>6</v>
      </c>
      <c r="U114" s="635">
        <v>1</v>
      </c>
      <c r="V114" s="634">
        <v>0</v>
      </c>
      <c r="W114" s="634">
        <v>1</v>
      </c>
      <c r="X114" s="635">
        <v>1</v>
      </c>
      <c r="Y114" s="634">
        <v>2</v>
      </c>
      <c r="Z114" s="634">
        <v>3</v>
      </c>
    </row>
    <row r="115" spans="1:26" x14ac:dyDescent="0.3">
      <c r="A115" s="593">
        <v>111</v>
      </c>
      <c r="B115" s="291" t="s">
        <v>199</v>
      </c>
      <c r="C115" s="635">
        <v>336</v>
      </c>
      <c r="D115" s="634">
        <v>131</v>
      </c>
      <c r="E115" s="634">
        <v>467</v>
      </c>
      <c r="F115" s="635">
        <v>3</v>
      </c>
      <c r="G115" s="634">
        <v>2</v>
      </c>
      <c r="H115" s="634">
        <v>5</v>
      </c>
      <c r="I115" s="635">
        <v>0</v>
      </c>
      <c r="J115" s="634">
        <v>0</v>
      </c>
      <c r="K115" s="634">
        <v>0</v>
      </c>
      <c r="L115" s="635">
        <v>3</v>
      </c>
      <c r="M115" s="634">
        <v>0</v>
      </c>
      <c r="N115" s="634">
        <v>3</v>
      </c>
      <c r="O115" s="635">
        <v>1</v>
      </c>
      <c r="P115" s="634">
        <v>0</v>
      </c>
      <c r="Q115" s="634">
        <v>1</v>
      </c>
      <c r="R115" s="635">
        <v>1</v>
      </c>
      <c r="S115" s="634">
        <v>2</v>
      </c>
      <c r="T115" s="634">
        <v>3</v>
      </c>
      <c r="U115" s="635">
        <v>0</v>
      </c>
      <c r="V115" s="634">
        <v>0</v>
      </c>
      <c r="W115" s="634">
        <v>0</v>
      </c>
      <c r="X115" s="635">
        <v>1</v>
      </c>
      <c r="Y115" s="634">
        <v>0</v>
      </c>
      <c r="Z115" s="634">
        <v>1</v>
      </c>
    </row>
    <row r="116" spans="1:26" x14ac:dyDescent="0.3">
      <c r="A116" s="593">
        <v>112</v>
      </c>
      <c r="B116" s="291" t="s">
        <v>851</v>
      </c>
      <c r="C116" s="635">
        <v>565</v>
      </c>
      <c r="D116" s="634">
        <v>571</v>
      </c>
      <c r="E116" s="634">
        <v>1136</v>
      </c>
      <c r="F116" s="635">
        <v>221</v>
      </c>
      <c r="G116" s="634">
        <v>168</v>
      </c>
      <c r="H116" s="634">
        <v>389</v>
      </c>
      <c r="I116" s="635">
        <v>141</v>
      </c>
      <c r="J116" s="634">
        <v>59</v>
      </c>
      <c r="K116" s="634">
        <v>200</v>
      </c>
      <c r="L116" s="635">
        <v>112</v>
      </c>
      <c r="M116" s="634">
        <v>181</v>
      </c>
      <c r="N116" s="634">
        <v>293</v>
      </c>
      <c r="O116" s="635">
        <v>0</v>
      </c>
      <c r="P116" s="634">
        <v>0</v>
      </c>
      <c r="Q116" s="634">
        <v>0</v>
      </c>
      <c r="R116" s="635">
        <v>13</v>
      </c>
      <c r="S116" s="634">
        <v>16</v>
      </c>
      <c r="T116" s="634">
        <v>29</v>
      </c>
      <c r="U116" s="635">
        <v>3</v>
      </c>
      <c r="V116" s="634">
        <v>12</v>
      </c>
      <c r="W116" s="634">
        <v>15</v>
      </c>
      <c r="X116" s="635">
        <v>0</v>
      </c>
      <c r="Y116" s="634">
        <v>0</v>
      </c>
      <c r="Z116" s="634">
        <v>0</v>
      </c>
    </row>
    <row r="117" spans="1:26" x14ac:dyDescent="0.3">
      <c r="A117" s="593">
        <v>113</v>
      </c>
      <c r="B117" s="291" t="s">
        <v>852</v>
      </c>
      <c r="C117" s="635">
        <v>325</v>
      </c>
      <c r="D117" s="634">
        <v>215</v>
      </c>
      <c r="E117" s="634">
        <v>540</v>
      </c>
      <c r="F117" s="635">
        <v>30</v>
      </c>
      <c r="G117" s="634">
        <v>19</v>
      </c>
      <c r="H117" s="634">
        <v>49</v>
      </c>
      <c r="I117" s="635">
        <v>16</v>
      </c>
      <c r="J117" s="634">
        <v>19</v>
      </c>
      <c r="K117" s="634">
        <v>35</v>
      </c>
      <c r="L117" s="635">
        <v>113</v>
      </c>
      <c r="M117" s="634">
        <v>96</v>
      </c>
      <c r="N117" s="634">
        <v>209</v>
      </c>
      <c r="O117" s="635">
        <v>0</v>
      </c>
      <c r="P117" s="634">
        <v>0</v>
      </c>
      <c r="Q117" s="634">
        <v>0</v>
      </c>
      <c r="R117" s="635">
        <v>5</v>
      </c>
      <c r="S117" s="634">
        <v>18</v>
      </c>
      <c r="T117" s="634">
        <v>23</v>
      </c>
      <c r="U117" s="635">
        <v>6</v>
      </c>
      <c r="V117" s="634">
        <v>3</v>
      </c>
      <c r="W117" s="634">
        <v>9</v>
      </c>
      <c r="X117" s="635">
        <v>1</v>
      </c>
      <c r="Y117" s="634">
        <v>1</v>
      </c>
      <c r="Z117" s="634">
        <v>2</v>
      </c>
    </row>
    <row r="118" spans="1:26" x14ac:dyDescent="0.3">
      <c r="A118" s="593">
        <v>114</v>
      </c>
      <c r="B118" s="291" t="s">
        <v>200</v>
      </c>
      <c r="C118" s="635">
        <v>360729</v>
      </c>
      <c r="D118" s="634">
        <v>143668</v>
      </c>
      <c r="E118" s="634">
        <v>504397</v>
      </c>
      <c r="F118" s="635">
        <v>53656</v>
      </c>
      <c r="G118" s="634">
        <v>22556</v>
      </c>
      <c r="H118" s="634">
        <v>76212</v>
      </c>
      <c r="I118" s="635">
        <v>21310</v>
      </c>
      <c r="J118" s="634">
        <v>12167</v>
      </c>
      <c r="K118" s="634">
        <v>33477</v>
      </c>
      <c r="L118" s="635">
        <v>139223</v>
      </c>
      <c r="M118" s="634">
        <v>50707</v>
      </c>
      <c r="N118" s="634">
        <v>189930</v>
      </c>
      <c r="O118" s="635">
        <v>641</v>
      </c>
      <c r="P118" s="634">
        <v>262</v>
      </c>
      <c r="Q118" s="634">
        <v>903</v>
      </c>
      <c r="R118" s="635">
        <v>14183</v>
      </c>
      <c r="S118" s="634">
        <v>4270</v>
      </c>
      <c r="T118" s="634">
        <v>18453</v>
      </c>
      <c r="U118" s="635">
        <v>5629</v>
      </c>
      <c r="V118" s="634">
        <v>3231</v>
      </c>
      <c r="W118" s="634">
        <v>8860</v>
      </c>
      <c r="X118" s="635">
        <v>4950</v>
      </c>
      <c r="Y118" s="634">
        <v>2070</v>
      </c>
      <c r="Z118" s="634">
        <v>7020</v>
      </c>
    </row>
    <row r="119" spans="1:26" x14ac:dyDescent="0.3">
      <c r="A119" s="593">
        <v>115</v>
      </c>
      <c r="B119" s="291" t="s">
        <v>853</v>
      </c>
      <c r="C119" s="635">
        <v>782</v>
      </c>
      <c r="D119" s="634">
        <v>261</v>
      </c>
      <c r="E119" s="634">
        <v>1043</v>
      </c>
      <c r="F119" s="635">
        <v>46</v>
      </c>
      <c r="G119" s="634">
        <v>12</v>
      </c>
      <c r="H119" s="634">
        <v>58</v>
      </c>
      <c r="I119" s="635">
        <v>3</v>
      </c>
      <c r="J119" s="634">
        <v>0</v>
      </c>
      <c r="K119" s="634">
        <v>3</v>
      </c>
      <c r="L119" s="635">
        <v>77</v>
      </c>
      <c r="M119" s="634">
        <v>26</v>
      </c>
      <c r="N119" s="634">
        <v>103</v>
      </c>
      <c r="O119" s="635">
        <v>0</v>
      </c>
      <c r="P119" s="634">
        <v>0</v>
      </c>
      <c r="Q119" s="634">
        <v>0</v>
      </c>
      <c r="R119" s="635">
        <v>2</v>
      </c>
      <c r="S119" s="634">
        <v>1</v>
      </c>
      <c r="T119" s="634">
        <v>3</v>
      </c>
      <c r="U119" s="635">
        <v>0</v>
      </c>
      <c r="V119" s="634">
        <v>1</v>
      </c>
      <c r="W119" s="634">
        <v>1</v>
      </c>
      <c r="X119" s="635">
        <v>16</v>
      </c>
      <c r="Y119" s="634">
        <v>8</v>
      </c>
      <c r="Z119" s="634">
        <v>24</v>
      </c>
    </row>
    <row r="120" spans="1:26" x14ac:dyDescent="0.3">
      <c r="A120" s="593">
        <v>116</v>
      </c>
      <c r="B120" s="291" t="s">
        <v>854</v>
      </c>
      <c r="C120" s="635">
        <v>58</v>
      </c>
      <c r="D120" s="634">
        <v>3</v>
      </c>
      <c r="E120" s="634">
        <v>61</v>
      </c>
      <c r="F120" s="635">
        <v>1</v>
      </c>
      <c r="G120" s="634">
        <v>0</v>
      </c>
      <c r="H120" s="634">
        <v>1</v>
      </c>
      <c r="I120" s="635">
        <v>1</v>
      </c>
      <c r="J120" s="634">
        <v>0</v>
      </c>
      <c r="K120" s="634">
        <v>1</v>
      </c>
      <c r="L120" s="635">
        <v>4</v>
      </c>
      <c r="M120" s="634">
        <v>0</v>
      </c>
      <c r="N120" s="634">
        <v>4</v>
      </c>
      <c r="O120" s="635">
        <v>0</v>
      </c>
      <c r="P120" s="634">
        <v>0</v>
      </c>
      <c r="Q120" s="634">
        <v>0</v>
      </c>
      <c r="R120" s="635">
        <v>0</v>
      </c>
      <c r="S120" s="634">
        <v>0</v>
      </c>
      <c r="T120" s="634">
        <v>0</v>
      </c>
      <c r="U120" s="635">
        <v>0</v>
      </c>
      <c r="V120" s="634">
        <v>0</v>
      </c>
      <c r="W120" s="634">
        <v>0</v>
      </c>
      <c r="X120" s="635">
        <v>0</v>
      </c>
      <c r="Y120" s="634">
        <v>0</v>
      </c>
      <c r="Z120" s="634">
        <v>0</v>
      </c>
    </row>
    <row r="121" spans="1:26" x14ac:dyDescent="0.3">
      <c r="A121" s="593">
        <v>117</v>
      </c>
      <c r="B121" s="291" t="s">
        <v>855</v>
      </c>
      <c r="C121" s="635">
        <v>5</v>
      </c>
      <c r="D121" s="634">
        <v>60</v>
      </c>
      <c r="E121" s="634">
        <v>65</v>
      </c>
      <c r="F121" s="635">
        <v>0</v>
      </c>
      <c r="G121" s="634">
        <v>4</v>
      </c>
      <c r="H121" s="634">
        <v>4</v>
      </c>
      <c r="I121" s="635">
        <v>0</v>
      </c>
      <c r="J121" s="634">
        <v>1</v>
      </c>
      <c r="K121" s="634">
        <v>1</v>
      </c>
      <c r="L121" s="635">
        <v>0</v>
      </c>
      <c r="M121" s="634">
        <v>8</v>
      </c>
      <c r="N121" s="634">
        <v>8</v>
      </c>
      <c r="O121" s="635">
        <v>0</v>
      </c>
      <c r="P121" s="634">
        <v>0</v>
      </c>
      <c r="Q121" s="634">
        <v>0</v>
      </c>
      <c r="R121" s="635">
        <v>0</v>
      </c>
      <c r="S121" s="634">
        <v>2</v>
      </c>
      <c r="T121" s="634">
        <v>2</v>
      </c>
      <c r="U121" s="635">
        <v>0</v>
      </c>
      <c r="V121" s="634">
        <v>4</v>
      </c>
      <c r="W121" s="634">
        <v>4</v>
      </c>
      <c r="X121" s="635">
        <v>0</v>
      </c>
      <c r="Y121" s="634">
        <v>1</v>
      </c>
      <c r="Z121" s="634">
        <v>1</v>
      </c>
    </row>
    <row r="122" spans="1:26" x14ac:dyDescent="0.3">
      <c r="A122" s="593">
        <v>118</v>
      </c>
      <c r="B122" s="291" t="s">
        <v>202</v>
      </c>
      <c r="C122" s="635">
        <v>17384</v>
      </c>
      <c r="D122" s="634">
        <v>71150</v>
      </c>
      <c r="E122" s="634">
        <v>88534</v>
      </c>
      <c r="F122" s="635">
        <v>3313</v>
      </c>
      <c r="G122" s="634">
        <v>17119</v>
      </c>
      <c r="H122" s="634">
        <v>20432</v>
      </c>
      <c r="I122" s="635">
        <v>1549</v>
      </c>
      <c r="J122" s="634">
        <v>8992</v>
      </c>
      <c r="K122" s="634">
        <v>10541</v>
      </c>
      <c r="L122" s="635">
        <v>4472</v>
      </c>
      <c r="M122" s="634">
        <v>19493</v>
      </c>
      <c r="N122" s="634">
        <v>23965</v>
      </c>
      <c r="O122" s="635">
        <v>56</v>
      </c>
      <c r="P122" s="634">
        <v>115</v>
      </c>
      <c r="Q122" s="634">
        <v>171</v>
      </c>
      <c r="R122" s="635">
        <v>472</v>
      </c>
      <c r="S122" s="634">
        <v>1479</v>
      </c>
      <c r="T122" s="634">
        <v>1951</v>
      </c>
      <c r="U122" s="635">
        <v>295</v>
      </c>
      <c r="V122" s="634">
        <v>2066</v>
      </c>
      <c r="W122" s="634">
        <v>2361</v>
      </c>
      <c r="X122" s="635">
        <v>257</v>
      </c>
      <c r="Y122" s="634">
        <v>689</v>
      </c>
      <c r="Z122" s="634">
        <v>946</v>
      </c>
    </row>
    <row r="123" spans="1:26" x14ac:dyDescent="0.3">
      <c r="A123" s="593">
        <v>119</v>
      </c>
      <c r="B123" s="291" t="s">
        <v>856</v>
      </c>
      <c r="C123" s="635">
        <v>2698</v>
      </c>
      <c r="D123" s="634">
        <v>731</v>
      </c>
      <c r="E123" s="634">
        <v>3429</v>
      </c>
      <c r="F123" s="635">
        <v>341</v>
      </c>
      <c r="G123" s="634">
        <v>30</v>
      </c>
      <c r="H123" s="634">
        <v>371</v>
      </c>
      <c r="I123" s="635">
        <v>14</v>
      </c>
      <c r="J123" s="634">
        <v>5</v>
      </c>
      <c r="K123" s="634">
        <v>19</v>
      </c>
      <c r="L123" s="635">
        <v>1489</v>
      </c>
      <c r="M123" s="634">
        <v>398</v>
      </c>
      <c r="N123" s="634">
        <v>1887</v>
      </c>
      <c r="O123" s="635">
        <v>15</v>
      </c>
      <c r="P123" s="634">
        <v>6</v>
      </c>
      <c r="Q123" s="634">
        <v>21</v>
      </c>
      <c r="R123" s="635">
        <v>63</v>
      </c>
      <c r="S123" s="634">
        <v>15</v>
      </c>
      <c r="T123" s="634">
        <v>78</v>
      </c>
      <c r="U123" s="635">
        <v>0</v>
      </c>
      <c r="V123" s="634">
        <v>2</v>
      </c>
      <c r="W123" s="634">
        <v>2</v>
      </c>
      <c r="X123" s="635">
        <v>0</v>
      </c>
      <c r="Y123" s="634">
        <v>0</v>
      </c>
      <c r="Z123" s="634">
        <v>0</v>
      </c>
    </row>
    <row r="124" spans="1:26" x14ac:dyDescent="0.3">
      <c r="A124" s="593">
        <v>120</v>
      </c>
      <c r="B124" s="291" t="s">
        <v>203</v>
      </c>
      <c r="C124" s="635">
        <v>250</v>
      </c>
      <c r="D124" s="634">
        <v>385</v>
      </c>
      <c r="E124" s="634">
        <v>635</v>
      </c>
      <c r="F124" s="635">
        <v>34</v>
      </c>
      <c r="G124" s="634">
        <v>33</v>
      </c>
      <c r="H124" s="634">
        <v>67</v>
      </c>
      <c r="I124" s="635">
        <v>8</v>
      </c>
      <c r="J124" s="634">
        <v>5</v>
      </c>
      <c r="K124" s="634">
        <v>13</v>
      </c>
      <c r="L124" s="635">
        <v>78</v>
      </c>
      <c r="M124" s="634">
        <v>106</v>
      </c>
      <c r="N124" s="634">
        <v>184</v>
      </c>
      <c r="O124" s="635">
        <v>0</v>
      </c>
      <c r="P124" s="634">
        <v>0</v>
      </c>
      <c r="Q124" s="634">
        <v>0</v>
      </c>
      <c r="R124" s="635">
        <v>4</v>
      </c>
      <c r="S124" s="634">
        <v>5</v>
      </c>
      <c r="T124" s="634">
        <v>9</v>
      </c>
      <c r="U124" s="635">
        <v>6</v>
      </c>
      <c r="V124" s="634">
        <v>3</v>
      </c>
      <c r="W124" s="634">
        <v>9</v>
      </c>
      <c r="X124" s="635">
        <v>1</v>
      </c>
      <c r="Y124" s="634">
        <v>4</v>
      </c>
      <c r="Z124" s="634">
        <v>5</v>
      </c>
    </row>
    <row r="125" spans="1:26" x14ac:dyDescent="0.3">
      <c r="A125" s="593">
        <v>121</v>
      </c>
      <c r="B125" s="291" t="s">
        <v>204</v>
      </c>
      <c r="C125" s="635">
        <v>1778</v>
      </c>
      <c r="D125" s="634">
        <v>1255</v>
      </c>
      <c r="E125" s="634">
        <v>3033</v>
      </c>
      <c r="F125" s="635">
        <v>121</v>
      </c>
      <c r="G125" s="634">
        <v>98</v>
      </c>
      <c r="H125" s="634">
        <v>219</v>
      </c>
      <c r="I125" s="635">
        <v>56</v>
      </c>
      <c r="J125" s="634">
        <v>29</v>
      </c>
      <c r="K125" s="634">
        <v>85</v>
      </c>
      <c r="L125" s="635">
        <v>309</v>
      </c>
      <c r="M125" s="634">
        <v>221</v>
      </c>
      <c r="N125" s="634">
        <v>530</v>
      </c>
      <c r="O125" s="635">
        <v>0</v>
      </c>
      <c r="P125" s="634">
        <v>0</v>
      </c>
      <c r="Q125" s="634">
        <v>0</v>
      </c>
      <c r="R125" s="635">
        <v>13</v>
      </c>
      <c r="S125" s="634">
        <v>10</v>
      </c>
      <c r="T125" s="634">
        <v>23</v>
      </c>
      <c r="U125" s="635">
        <v>24</v>
      </c>
      <c r="V125" s="634">
        <v>19</v>
      </c>
      <c r="W125" s="634">
        <v>43</v>
      </c>
      <c r="X125" s="635">
        <v>11</v>
      </c>
      <c r="Y125" s="634">
        <v>5</v>
      </c>
      <c r="Z125" s="634">
        <v>16</v>
      </c>
    </row>
    <row r="126" spans="1:26" x14ac:dyDescent="0.3">
      <c r="A126" s="593">
        <v>122</v>
      </c>
      <c r="B126" s="291" t="s">
        <v>857</v>
      </c>
      <c r="C126" s="635">
        <v>686</v>
      </c>
      <c r="D126" s="634">
        <v>423</v>
      </c>
      <c r="E126" s="634">
        <v>1109</v>
      </c>
      <c r="F126" s="635">
        <v>50</v>
      </c>
      <c r="G126" s="634">
        <v>24</v>
      </c>
      <c r="H126" s="634">
        <v>74</v>
      </c>
      <c r="I126" s="635">
        <v>27</v>
      </c>
      <c r="J126" s="634">
        <v>7</v>
      </c>
      <c r="K126" s="634">
        <v>34</v>
      </c>
      <c r="L126" s="635">
        <v>162</v>
      </c>
      <c r="M126" s="634">
        <v>121</v>
      </c>
      <c r="N126" s="634">
        <v>283</v>
      </c>
      <c r="O126" s="635">
        <v>0</v>
      </c>
      <c r="P126" s="634">
        <v>0</v>
      </c>
      <c r="Q126" s="634">
        <v>0</v>
      </c>
      <c r="R126" s="635">
        <v>7</v>
      </c>
      <c r="S126" s="634">
        <v>2</v>
      </c>
      <c r="T126" s="634">
        <v>9</v>
      </c>
      <c r="U126" s="635">
        <v>23</v>
      </c>
      <c r="V126" s="634">
        <v>21</v>
      </c>
      <c r="W126" s="634">
        <v>44</v>
      </c>
      <c r="X126" s="635">
        <v>3</v>
      </c>
      <c r="Y126" s="634">
        <v>0</v>
      </c>
      <c r="Z126" s="634">
        <v>3</v>
      </c>
    </row>
    <row r="127" spans="1:26" x14ac:dyDescent="0.3">
      <c r="A127" s="593">
        <v>123</v>
      </c>
      <c r="B127" s="291" t="s">
        <v>858</v>
      </c>
      <c r="C127" s="635">
        <v>14</v>
      </c>
      <c r="D127" s="634">
        <v>27</v>
      </c>
      <c r="E127" s="634">
        <v>41</v>
      </c>
      <c r="F127" s="635">
        <v>0</v>
      </c>
      <c r="G127" s="634">
        <v>1</v>
      </c>
      <c r="H127" s="634">
        <v>1</v>
      </c>
      <c r="I127" s="635">
        <v>0</v>
      </c>
      <c r="J127" s="634">
        <v>2</v>
      </c>
      <c r="K127" s="634">
        <v>2</v>
      </c>
      <c r="L127" s="635">
        <v>1</v>
      </c>
      <c r="M127" s="634">
        <v>4</v>
      </c>
      <c r="N127" s="634">
        <v>5</v>
      </c>
      <c r="O127" s="635">
        <v>0</v>
      </c>
      <c r="P127" s="634">
        <v>0</v>
      </c>
      <c r="Q127" s="634">
        <v>0</v>
      </c>
      <c r="R127" s="635">
        <v>0</v>
      </c>
      <c r="S127" s="634">
        <v>0</v>
      </c>
      <c r="T127" s="634">
        <v>0</v>
      </c>
      <c r="U127" s="635">
        <v>1</v>
      </c>
      <c r="V127" s="634">
        <v>0</v>
      </c>
      <c r="W127" s="634">
        <v>1</v>
      </c>
      <c r="X127" s="635">
        <v>0</v>
      </c>
      <c r="Y127" s="634">
        <v>0</v>
      </c>
      <c r="Z127" s="634">
        <v>0</v>
      </c>
    </row>
    <row r="128" spans="1:26" x14ac:dyDescent="0.3">
      <c r="A128" s="593">
        <v>124</v>
      </c>
      <c r="B128" s="291" t="s">
        <v>205</v>
      </c>
      <c r="C128" s="635">
        <v>2586</v>
      </c>
      <c r="D128" s="634">
        <v>1852</v>
      </c>
      <c r="E128" s="634">
        <v>4438</v>
      </c>
      <c r="F128" s="635">
        <v>169</v>
      </c>
      <c r="G128" s="634">
        <v>159</v>
      </c>
      <c r="H128" s="634">
        <v>328</v>
      </c>
      <c r="I128" s="635">
        <v>79</v>
      </c>
      <c r="J128" s="634">
        <v>67</v>
      </c>
      <c r="K128" s="634">
        <v>146</v>
      </c>
      <c r="L128" s="635">
        <v>480</v>
      </c>
      <c r="M128" s="634">
        <v>410</v>
      </c>
      <c r="N128" s="634">
        <v>890</v>
      </c>
      <c r="O128" s="635">
        <v>8</v>
      </c>
      <c r="P128" s="634">
        <v>3</v>
      </c>
      <c r="Q128" s="634">
        <v>11</v>
      </c>
      <c r="R128" s="635">
        <v>45</v>
      </c>
      <c r="S128" s="634">
        <v>33</v>
      </c>
      <c r="T128" s="634">
        <v>78</v>
      </c>
      <c r="U128" s="635">
        <v>32</v>
      </c>
      <c r="V128" s="634">
        <v>42</v>
      </c>
      <c r="W128" s="634">
        <v>74</v>
      </c>
      <c r="X128" s="635">
        <v>27</v>
      </c>
      <c r="Y128" s="634">
        <v>18</v>
      </c>
      <c r="Z128" s="634">
        <v>45</v>
      </c>
    </row>
    <row r="129" spans="1:26" x14ac:dyDescent="0.3">
      <c r="A129" s="593">
        <v>125</v>
      </c>
      <c r="B129" s="291" t="s">
        <v>206</v>
      </c>
      <c r="C129" s="635">
        <v>113</v>
      </c>
      <c r="D129" s="634">
        <v>121</v>
      </c>
      <c r="E129" s="634">
        <v>234</v>
      </c>
      <c r="F129" s="635">
        <v>5</v>
      </c>
      <c r="G129" s="634">
        <v>4</v>
      </c>
      <c r="H129" s="634">
        <v>9</v>
      </c>
      <c r="I129" s="635">
        <v>0</v>
      </c>
      <c r="J129" s="634">
        <v>0</v>
      </c>
      <c r="K129" s="634">
        <v>0</v>
      </c>
      <c r="L129" s="635">
        <v>13</v>
      </c>
      <c r="M129" s="634">
        <v>12</v>
      </c>
      <c r="N129" s="634">
        <v>25</v>
      </c>
      <c r="O129" s="635">
        <v>0</v>
      </c>
      <c r="P129" s="634">
        <v>0</v>
      </c>
      <c r="Q129" s="634">
        <v>0</v>
      </c>
      <c r="R129" s="635">
        <v>0</v>
      </c>
      <c r="S129" s="634">
        <v>3</v>
      </c>
      <c r="T129" s="634">
        <v>3</v>
      </c>
      <c r="U129" s="635">
        <v>1</v>
      </c>
      <c r="V129" s="634">
        <v>1</v>
      </c>
      <c r="W129" s="634">
        <v>2</v>
      </c>
      <c r="X129" s="635">
        <v>1</v>
      </c>
      <c r="Y129" s="634">
        <v>1</v>
      </c>
      <c r="Z129" s="634">
        <v>2</v>
      </c>
    </row>
    <row r="130" spans="1:26" x14ac:dyDescent="0.3">
      <c r="A130" s="593">
        <v>126</v>
      </c>
      <c r="B130" s="291" t="s">
        <v>207</v>
      </c>
      <c r="C130" s="635">
        <v>71251</v>
      </c>
      <c r="D130" s="634">
        <v>33179</v>
      </c>
      <c r="E130" s="634">
        <v>104430</v>
      </c>
      <c r="F130" s="635">
        <v>8804</v>
      </c>
      <c r="G130" s="634">
        <v>3938</v>
      </c>
      <c r="H130" s="634">
        <v>12742</v>
      </c>
      <c r="I130" s="635">
        <v>2213</v>
      </c>
      <c r="J130" s="634">
        <v>1256</v>
      </c>
      <c r="K130" s="634">
        <v>3469</v>
      </c>
      <c r="L130" s="635">
        <v>21306</v>
      </c>
      <c r="M130" s="634">
        <v>8276</v>
      </c>
      <c r="N130" s="634">
        <v>29582</v>
      </c>
      <c r="O130" s="635">
        <v>147</v>
      </c>
      <c r="P130" s="634">
        <v>101</v>
      </c>
      <c r="Q130" s="634">
        <v>248</v>
      </c>
      <c r="R130" s="635">
        <v>2645</v>
      </c>
      <c r="S130" s="634">
        <v>1228</v>
      </c>
      <c r="T130" s="634">
        <v>3873</v>
      </c>
      <c r="U130" s="635">
        <v>713</v>
      </c>
      <c r="V130" s="634">
        <v>655</v>
      </c>
      <c r="W130" s="634">
        <v>1368</v>
      </c>
      <c r="X130" s="635">
        <v>779</v>
      </c>
      <c r="Y130" s="634">
        <v>311</v>
      </c>
      <c r="Z130" s="634">
        <v>1090</v>
      </c>
    </row>
    <row r="131" spans="1:26" x14ac:dyDescent="0.3">
      <c r="A131" s="593">
        <v>127</v>
      </c>
      <c r="B131" s="291" t="s">
        <v>859</v>
      </c>
      <c r="C131" s="635">
        <v>19</v>
      </c>
      <c r="D131" s="634">
        <v>24</v>
      </c>
      <c r="E131" s="634">
        <v>43</v>
      </c>
      <c r="F131" s="635">
        <v>1</v>
      </c>
      <c r="G131" s="634">
        <v>0</v>
      </c>
      <c r="H131" s="634">
        <v>1</v>
      </c>
      <c r="I131" s="635">
        <v>0</v>
      </c>
      <c r="J131" s="634">
        <v>0</v>
      </c>
      <c r="K131" s="634">
        <v>0</v>
      </c>
      <c r="L131" s="635">
        <v>1</v>
      </c>
      <c r="M131" s="634">
        <v>0</v>
      </c>
      <c r="N131" s="634">
        <v>1</v>
      </c>
      <c r="O131" s="635">
        <v>0</v>
      </c>
      <c r="P131" s="634">
        <v>0</v>
      </c>
      <c r="Q131" s="634">
        <v>0</v>
      </c>
      <c r="R131" s="635">
        <v>0</v>
      </c>
      <c r="S131" s="634">
        <v>0</v>
      </c>
      <c r="T131" s="634">
        <v>0</v>
      </c>
      <c r="U131" s="635">
        <v>0</v>
      </c>
      <c r="V131" s="634">
        <v>1</v>
      </c>
      <c r="W131" s="634">
        <v>1</v>
      </c>
      <c r="X131" s="635">
        <v>0</v>
      </c>
      <c r="Y131" s="634">
        <v>0</v>
      </c>
      <c r="Z131" s="634">
        <v>0</v>
      </c>
    </row>
    <row r="132" spans="1:26" x14ac:dyDescent="0.3">
      <c r="A132" s="593">
        <v>128</v>
      </c>
      <c r="B132" s="291" t="s">
        <v>208</v>
      </c>
      <c r="C132" s="635">
        <v>10248</v>
      </c>
      <c r="D132" s="634">
        <v>9288</v>
      </c>
      <c r="E132" s="634">
        <v>19536</v>
      </c>
      <c r="F132" s="635">
        <v>1190</v>
      </c>
      <c r="G132" s="634">
        <v>914</v>
      </c>
      <c r="H132" s="634">
        <v>2104</v>
      </c>
      <c r="I132" s="635">
        <v>288</v>
      </c>
      <c r="J132" s="634">
        <v>319</v>
      </c>
      <c r="K132" s="634">
        <v>607</v>
      </c>
      <c r="L132" s="635">
        <v>2272</v>
      </c>
      <c r="M132" s="634">
        <v>1842</v>
      </c>
      <c r="N132" s="634">
        <v>4114</v>
      </c>
      <c r="O132" s="635">
        <v>43</v>
      </c>
      <c r="P132" s="634">
        <v>20</v>
      </c>
      <c r="Q132" s="634">
        <v>63</v>
      </c>
      <c r="R132" s="635">
        <v>220</v>
      </c>
      <c r="S132" s="634">
        <v>178</v>
      </c>
      <c r="T132" s="634">
        <v>398</v>
      </c>
      <c r="U132" s="635">
        <v>155</v>
      </c>
      <c r="V132" s="634">
        <v>221</v>
      </c>
      <c r="W132" s="634">
        <v>376</v>
      </c>
      <c r="X132" s="635">
        <v>167</v>
      </c>
      <c r="Y132" s="634">
        <v>138</v>
      </c>
      <c r="Z132" s="634">
        <v>305</v>
      </c>
    </row>
    <row r="133" spans="1:26" x14ac:dyDescent="0.3">
      <c r="A133" s="593">
        <v>129</v>
      </c>
      <c r="B133" s="291" t="s">
        <v>860</v>
      </c>
      <c r="C133" s="635">
        <v>104</v>
      </c>
      <c r="D133" s="634">
        <v>74</v>
      </c>
      <c r="E133" s="634">
        <v>178</v>
      </c>
      <c r="F133" s="635">
        <v>14</v>
      </c>
      <c r="G133" s="634">
        <v>6</v>
      </c>
      <c r="H133" s="634">
        <v>20</v>
      </c>
      <c r="I133" s="635">
        <v>17</v>
      </c>
      <c r="J133" s="634">
        <v>7</v>
      </c>
      <c r="K133" s="634">
        <v>24</v>
      </c>
      <c r="L133" s="635">
        <v>37</v>
      </c>
      <c r="M133" s="634">
        <v>19</v>
      </c>
      <c r="N133" s="634">
        <v>56</v>
      </c>
      <c r="O133" s="635">
        <v>0</v>
      </c>
      <c r="P133" s="634">
        <v>0</v>
      </c>
      <c r="Q133" s="634">
        <v>0</v>
      </c>
      <c r="R133" s="635">
        <v>8</v>
      </c>
      <c r="S133" s="634">
        <v>11</v>
      </c>
      <c r="T133" s="634">
        <v>19</v>
      </c>
      <c r="U133" s="635">
        <v>1</v>
      </c>
      <c r="V133" s="634">
        <v>3</v>
      </c>
      <c r="W133" s="634">
        <v>4</v>
      </c>
      <c r="X133" s="635">
        <v>2</v>
      </c>
      <c r="Y133" s="634">
        <v>1</v>
      </c>
      <c r="Z133" s="634">
        <v>3</v>
      </c>
    </row>
    <row r="134" spans="1:26" x14ac:dyDescent="0.3">
      <c r="A134" s="593">
        <v>130</v>
      </c>
      <c r="B134" s="291" t="s">
        <v>209</v>
      </c>
      <c r="C134" s="635">
        <v>107</v>
      </c>
      <c r="D134" s="634">
        <v>297</v>
      </c>
      <c r="E134" s="634">
        <v>404</v>
      </c>
      <c r="F134" s="635">
        <v>8</v>
      </c>
      <c r="G134" s="634">
        <v>24</v>
      </c>
      <c r="H134" s="634">
        <v>32</v>
      </c>
      <c r="I134" s="635">
        <v>3</v>
      </c>
      <c r="J134" s="634">
        <v>8</v>
      </c>
      <c r="K134" s="634">
        <v>11</v>
      </c>
      <c r="L134" s="635">
        <v>18</v>
      </c>
      <c r="M134" s="634">
        <v>51</v>
      </c>
      <c r="N134" s="634">
        <v>69</v>
      </c>
      <c r="O134" s="635">
        <v>1</v>
      </c>
      <c r="P134" s="634">
        <v>0</v>
      </c>
      <c r="Q134" s="634">
        <v>1</v>
      </c>
      <c r="R134" s="635">
        <v>0</v>
      </c>
      <c r="S134" s="634">
        <v>0</v>
      </c>
      <c r="T134" s="634">
        <v>0</v>
      </c>
      <c r="U134" s="635">
        <v>0</v>
      </c>
      <c r="V134" s="634">
        <v>0</v>
      </c>
      <c r="W134" s="634">
        <v>0</v>
      </c>
      <c r="X134" s="635">
        <v>5</v>
      </c>
      <c r="Y134" s="634">
        <v>3</v>
      </c>
      <c r="Z134" s="634">
        <v>8</v>
      </c>
    </row>
    <row r="135" spans="1:26" x14ac:dyDescent="0.3">
      <c r="A135" s="593">
        <v>131</v>
      </c>
      <c r="B135" s="291" t="s">
        <v>210</v>
      </c>
      <c r="C135" s="635">
        <v>294179</v>
      </c>
      <c r="D135" s="634">
        <v>466305</v>
      </c>
      <c r="E135" s="634">
        <v>760484</v>
      </c>
      <c r="F135" s="635">
        <v>49129</v>
      </c>
      <c r="G135" s="634">
        <v>69229</v>
      </c>
      <c r="H135" s="634">
        <v>118358</v>
      </c>
      <c r="I135" s="635">
        <v>25664</v>
      </c>
      <c r="J135" s="634">
        <v>39135</v>
      </c>
      <c r="K135" s="634">
        <v>64799</v>
      </c>
      <c r="L135" s="635">
        <v>109947</v>
      </c>
      <c r="M135" s="634">
        <v>164931</v>
      </c>
      <c r="N135" s="634">
        <v>274878</v>
      </c>
      <c r="O135" s="635">
        <v>519</v>
      </c>
      <c r="P135" s="634">
        <v>443</v>
      </c>
      <c r="Q135" s="634">
        <v>962</v>
      </c>
      <c r="R135" s="635">
        <v>8052</v>
      </c>
      <c r="S135" s="634">
        <v>13508</v>
      </c>
      <c r="T135" s="634">
        <v>21560</v>
      </c>
      <c r="U135" s="635">
        <v>2650</v>
      </c>
      <c r="V135" s="634">
        <v>6673</v>
      </c>
      <c r="W135" s="634">
        <v>9323</v>
      </c>
      <c r="X135" s="635">
        <v>3420</v>
      </c>
      <c r="Y135" s="634">
        <v>5300</v>
      </c>
      <c r="Z135" s="634">
        <v>8720</v>
      </c>
    </row>
    <row r="136" spans="1:26" x14ac:dyDescent="0.3">
      <c r="A136" s="593">
        <v>132</v>
      </c>
      <c r="B136" s="291" t="s">
        <v>211</v>
      </c>
      <c r="C136" s="635">
        <v>654</v>
      </c>
      <c r="D136" s="634">
        <v>916</v>
      </c>
      <c r="E136" s="634">
        <v>1570</v>
      </c>
      <c r="F136" s="635">
        <v>40</v>
      </c>
      <c r="G136" s="634">
        <v>29</v>
      </c>
      <c r="H136" s="634">
        <v>69</v>
      </c>
      <c r="I136" s="635">
        <v>2</v>
      </c>
      <c r="J136" s="634">
        <v>9</v>
      </c>
      <c r="K136" s="634">
        <v>11</v>
      </c>
      <c r="L136" s="635">
        <v>177</v>
      </c>
      <c r="M136" s="634">
        <v>246</v>
      </c>
      <c r="N136" s="634">
        <v>423</v>
      </c>
      <c r="O136" s="635">
        <v>1</v>
      </c>
      <c r="P136" s="634">
        <v>0</v>
      </c>
      <c r="Q136" s="634">
        <v>1</v>
      </c>
      <c r="R136" s="635">
        <v>56</v>
      </c>
      <c r="S136" s="634">
        <v>56</v>
      </c>
      <c r="T136" s="634">
        <v>112</v>
      </c>
      <c r="U136" s="635">
        <v>23</v>
      </c>
      <c r="V136" s="634">
        <v>27</v>
      </c>
      <c r="W136" s="634">
        <v>50</v>
      </c>
      <c r="X136" s="635">
        <v>10</v>
      </c>
      <c r="Y136" s="634">
        <v>11</v>
      </c>
      <c r="Z136" s="634">
        <v>21</v>
      </c>
    </row>
    <row r="137" spans="1:26" x14ac:dyDescent="0.3">
      <c r="A137" s="593">
        <v>133</v>
      </c>
      <c r="B137" s="291" t="s">
        <v>212</v>
      </c>
      <c r="C137" s="635">
        <v>135812</v>
      </c>
      <c r="D137" s="634">
        <v>108169</v>
      </c>
      <c r="E137" s="634">
        <v>243981</v>
      </c>
      <c r="F137" s="635">
        <v>13945</v>
      </c>
      <c r="G137" s="634">
        <v>11163</v>
      </c>
      <c r="H137" s="634">
        <v>25108</v>
      </c>
      <c r="I137" s="635">
        <v>3053</v>
      </c>
      <c r="J137" s="634">
        <v>2225</v>
      </c>
      <c r="K137" s="634">
        <v>5278</v>
      </c>
      <c r="L137" s="635">
        <v>45559</v>
      </c>
      <c r="M137" s="634">
        <v>37141</v>
      </c>
      <c r="N137" s="634">
        <v>82700</v>
      </c>
      <c r="O137" s="635">
        <v>166</v>
      </c>
      <c r="P137" s="634">
        <v>97</v>
      </c>
      <c r="Q137" s="634">
        <v>263</v>
      </c>
      <c r="R137" s="635">
        <v>4372</v>
      </c>
      <c r="S137" s="634">
        <v>2694</v>
      </c>
      <c r="T137" s="634">
        <v>7066</v>
      </c>
      <c r="U137" s="635">
        <v>2681</v>
      </c>
      <c r="V137" s="634">
        <v>2616</v>
      </c>
      <c r="W137" s="634">
        <v>5297</v>
      </c>
      <c r="X137" s="635">
        <v>1841</v>
      </c>
      <c r="Y137" s="634">
        <v>1414</v>
      </c>
      <c r="Z137" s="634">
        <v>3255</v>
      </c>
    </row>
    <row r="138" spans="1:26" ht="26" x14ac:dyDescent="0.3">
      <c r="A138" s="593">
        <v>134</v>
      </c>
      <c r="B138" s="291" t="s">
        <v>213</v>
      </c>
      <c r="C138" s="635">
        <v>95</v>
      </c>
      <c r="D138" s="634">
        <v>72</v>
      </c>
      <c r="E138" s="634">
        <v>167</v>
      </c>
      <c r="F138" s="635">
        <v>6</v>
      </c>
      <c r="G138" s="634">
        <v>13</v>
      </c>
      <c r="H138" s="634">
        <v>19</v>
      </c>
      <c r="I138" s="635">
        <v>3</v>
      </c>
      <c r="J138" s="634">
        <v>2</v>
      </c>
      <c r="K138" s="634">
        <v>5</v>
      </c>
      <c r="L138" s="635">
        <v>32</v>
      </c>
      <c r="M138" s="634">
        <v>18</v>
      </c>
      <c r="N138" s="634">
        <v>50</v>
      </c>
      <c r="O138" s="635">
        <v>0</v>
      </c>
      <c r="P138" s="634">
        <v>0</v>
      </c>
      <c r="Q138" s="634">
        <v>0</v>
      </c>
      <c r="R138" s="635">
        <v>1</v>
      </c>
      <c r="S138" s="634">
        <v>1</v>
      </c>
      <c r="T138" s="634">
        <v>2</v>
      </c>
      <c r="U138" s="635">
        <v>2</v>
      </c>
      <c r="V138" s="634">
        <v>3</v>
      </c>
      <c r="W138" s="634">
        <v>5</v>
      </c>
      <c r="X138" s="635">
        <v>4</v>
      </c>
      <c r="Y138" s="634">
        <v>2</v>
      </c>
      <c r="Z138" s="634">
        <v>6</v>
      </c>
    </row>
    <row r="139" spans="1:26" ht="16.5" customHeight="1" x14ac:dyDescent="0.3">
      <c r="A139" s="593">
        <v>135</v>
      </c>
      <c r="B139" s="612" t="s">
        <v>214</v>
      </c>
      <c r="C139" s="635">
        <v>402</v>
      </c>
      <c r="D139" s="634">
        <v>345</v>
      </c>
      <c r="E139" s="634">
        <v>747</v>
      </c>
      <c r="F139" s="635">
        <v>41</v>
      </c>
      <c r="G139" s="634">
        <v>54</v>
      </c>
      <c r="H139" s="634">
        <v>95</v>
      </c>
      <c r="I139" s="635">
        <v>6</v>
      </c>
      <c r="J139" s="634">
        <v>17</v>
      </c>
      <c r="K139" s="634">
        <v>23</v>
      </c>
      <c r="L139" s="635">
        <v>90</v>
      </c>
      <c r="M139" s="634">
        <v>104</v>
      </c>
      <c r="N139" s="634">
        <v>194</v>
      </c>
      <c r="O139" s="635">
        <v>0</v>
      </c>
      <c r="P139" s="634">
        <v>0</v>
      </c>
      <c r="Q139" s="634">
        <v>0</v>
      </c>
      <c r="R139" s="635">
        <v>10</v>
      </c>
      <c r="S139" s="634">
        <v>9</v>
      </c>
      <c r="T139" s="634">
        <v>19</v>
      </c>
      <c r="U139" s="635">
        <v>6</v>
      </c>
      <c r="V139" s="634">
        <v>2</v>
      </c>
      <c r="W139" s="634">
        <v>8</v>
      </c>
      <c r="X139" s="635">
        <v>2</v>
      </c>
      <c r="Y139" s="634">
        <v>11</v>
      </c>
      <c r="Z139" s="634">
        <v>13</v>
      </c>
    </row>
    <row r="140" spans="1:26" x14ac:dyDescent="0.3">
      <c r="A140" s="593">
        <v>136</v>
      </c>
      <c r="B140" s="291" t="s">
        <v>215</v>
      </c>
      <c r="C140" s="635">
        <v>29629</v>
      </c>
      <c r="D140" s="634">
        <v>31081</v>
      </c>
      <c r="E140" s="634">
        <v>60710</v>
      </c>
      <c r="F140" s="635">
        <v>2785</v>
      </c>
      <c r="G140" s="634">
        <v>2803</v>
      </c>
      <c r="H140" s="634">
        <v>5588</v>
      </c>
      <c r="I140" s="635">
        <v>1387</v>
      </c>
      <c r="J140" s="634">
        <v>1449</v>
      </c>
      <c r="K140" s="634">
        <v>2836</v>
      </c>
      <c r="L140" s="635">
        <v>8331</v>
      </c>
      <c r="M140" s="634">
        <v>8377</v>
      </c>
      <c r="N140" s="634">
        <v>16708</v>
      </c>
      <c r="O140" s="635">
        <v>67</v>
      </c>
      <c r="P140" s="634">
        <v>50</v>
      </c>
      <c r="Q140" s="634">
        <v>117</v>
      </c>
      <c r="R140" s="635">
        <v>1230</v>
      </c>
      <c r="S140" s="634">
        <v>1286</v>
      </c>
      <c r="T140" s="634">
        <v>2516</v>
      </c>
      <c r="U140" s="635">
        <v>482</v>
      </c>
      <c r="V140" s="634">
        <v>500</v>
      </c>
      <c r="W140" s="634">
        <v>982</v>
      </c>
      <c r="X140" s="635">
        <v>291</v>
      </c>
      <c r="Y140" s="634">
        <v>268</v>
      </c>
      <c r="Z140" s="634">
        <v>559</v>
      </c>
    </row>
    <row r="141" spans="1:26" x14ac:dyDescent="0.3">
      <c r="A141" s="593">
        <v>137</v>
      </c>
      <c r="B141" s="291" t="s">
        <v>216</v>
      </c>
      <c r="C141" s="635">
        <v>31815</v>
      </c>
      <c r="D141" s="634">
        <v>24310</v>
      </c>
      <c r="E141" s="634">
        <v>56125</v>
      </c>
      <c r="F141" s="635">
        <v>2065</v>
      </c>
      <c r="G141" s="634">
        <v>1808</v>
      </c>
      <c r="H141" s="634">
        <v>3873</v>
      </c>
      <c r="I141" s="635">
        <v>649</v>
      </c>
      <c r="J141" s="634">
        <v>423</v>
      </c>
      <c r="K141" s="634">
        <v>1072</v>
      </c>
      <c r="L141" s="635">
        <v>11408</v>
      </c>
      <c r="M141" s="634">
        <v>9381</v>
      </c>
      <c r="N141" s="634">
        <v>20789</v>
      </c>
      <c r="O141" s="635">
        <v>53</v>
      </c>
      <c r="P141" s="634">
        <v>42</v>
      </c>
      <c r="Q141" s="634">
        <v>95</v>
      </c>
      <c r="R141" s="635">
        <v>1066</v>
      </c>
      <c r="S141" s="634">
        <v>528</v>
      </c>
      <c r="T141" s="634">
        <v>1594</v>
      </c>
      <c r="U141" s="635">
        <v>700</v>
      </c>
      <c r="V141" s="634">
        <v>721</v>
      </c>
      <c r="W141" s="634">
        <v>1421</v>
      </c>
      <c r="X141" s="635">
        <v>627</v>
      </c>
      <c r="Y141" s="634">
        <v>484</v>
      </c>
      <c r="Z141" s="634">
        <v>1111</v>
      </c>
    </row>
    <row r="142" spans="1:26" x14ac:dyDescent="0.3">
      <c r="A142" s="593">
        <v>138</v>
      </c>
      <c r="B142" s="291" t="s">
        <v>217</v>
      </c>
      <c r="C142" s="635">
        <v>273</v>
      </c>
      <c r="D142" s="634">
        <v>57</v>
      </c>
      <c r="E142" s="634">
        <v>330</v>
      </c>
      <c r="F142" s="635">
        <v>2</v>
      </c>
      <c r="G142" s="634">
        <v>0</v>
      </c>
      <c r="H142" s="634">
        <v>2</v>
      </c>
      <c r="I142" s="635">
        <v>0</v>
      </c>
      <c r="J142" s="634">
        <v>0</v>
      </c>
      <c r="K142" s="634">
        <v>0</v>
      </c>
      <c r="L142" s="635">
        <v>8</v>
      </c>
      <c r="M142" s="634">
        <v>2</v>
      </c>
      <c r="N142" s="634">
        <v>10</v>
      </c>
      <c r="O142" s="635">
        <v>0</v>
      </c>
      <c r="P142" s="634">
        <v>0</v>
      </c>
      <c r="Q142" s="634">
        <v>0</v>
      </c>
      <c r="R142" s="635">
        <v>0</v>
      </c>
      <c r="S142" s="634">
        <v>0</v>
      </c>
      <c r="T142" s="634">
        <v>0</v>
      </c>
      <c r="U142" s="635">
        <v>0</v>
      </c>
      <c r="V142" s="634">
        <v>0</v>
      </c>
      <c r="W142" s="634">
        <v>0</v>
      </c>
      <c r="X142" s="635">
        <v>0</v>
      </c>
      <c r="Y142" s="634">
        <v>0</v>
      </c>
      <c r="Z142" s="634">
        <v>0</v>
      </c>
    </row>
    <row r="143" spans="1:26" x14ac:dyDescent="0.3">
      <c r="A143" s="593">
        <v>139</v>
      </c>
      <c r="B143" s="291" t="s">
        <v>861</v>
      </c>
      <c r="C143" s="635">
        <v>27</v>
      </c>
      <c r="D143" s="634">
        <v>46</v>
      </c>
      <c r="E143" s="634">
        <v>73</v>
      </c>
      <c r="F143" s="635">
        <v>4</v>
      </c>
      <c r="G143" s="634">
        <v>5</v>
      </c>
      <c r="H143" s="634">
        <v>9</v>
      </c>
      <c r="I143" s="635">
        <v>0</v>
      </c>
      <c r="J143" s="634">
        <v>0</v>
      </c>
      <c r="K143" s="634">
        <v>0</v>
      </c>
      <c r="L143" s="635">
        <v>5</v>
      </c>
      <c r="M143" s="634">
        <v>14</v>
      </c>
      <c r="N143" s="634">
        <v>19</v>
      </c>
      <c r="O143" s="635">
        <v>0</v>
      </c>
      <c r="P143" s="634">
        <v>0</v>
      </c>
      <c r="Q143" s="634">
        <v>0</v>
      </c>
      <c r="R143" s="635">
        <v>5</v>
      </c>
      <c r="S143" s="634">
        <v>0</v>
      </c>
      <c r="T143" s="634">
        <v>5</v>
      </c>
      <c r="U143" s="635">
        <v>0</v>
      </c>
      <c r="V143" s="634">
        <v>0</v>
      </c>
      <c r="W143" s="634">
        <v>0</v>
      </c>
      <c r="X143" s="635">
        <v>1</v>
      </c>
      <c r="Y143" s="634">
        <v>2</v>
      </c>
      <c r="Z143" s="634">
        <v>3</v>
      </c>
    </row>
    <row r="144" spans="1:26" x14ac:dyDescent="0.3">
      <c r="A144" s="593">
        <v>140</v>
      </c>
      <c r="B144" s="291" t="s">
        <v>218</v>
      </c>
      <c r="C144" s="635">
        <v>74908</v>
      </c>
      <c r="D144" s="634">
        <v>125906</v>
      </c>
      <c r="E144" s="634">
        <v>200814</v>
      </c>
      <c r="F144" s="635">
        <v>8553</v>
      </c>
      <c r="G144" s="634">
        <v>12896</v>
      </c>
      <c r="H144" s="634">
        <v>21449</v>
      </c>
      <c r="I144" s="635">
        <v>3484</v>
      </c>
      <c r="J144" s="634">
        <v>4654</v>
      </c>
      <c r="K144" s="634">
        <v>8138</v>
      </c>
      <c r="L144" s="635">
        <v>27363</v>
      </c>
      <c r="M144" s="634">
        <v>46232</v>
      </c>
      <c r="N144" s="634">
        <v>73595</v>
      </c>
      <c r="O144" s="635">
        <v>88</v>
      </c>
      <c r="P144" s="634">
        <v>95</v>
      </c>
      <c r="Q144" s="634">
        <v>183</v>
      </c>
      <c r="R144" s="635">
        <v>1541</v>
      </c>
      <c r="S144" s="634">
        <v>2706</v>
      </c>
      <c r="T144" s="634">
        <v>4247</v>
      </c>
      <c r="U144" s="635">
        <v>1046</v>
      </c>
      <c r="V144" s="634">
        <v>2910</v>
      </c>
      <c r="W144" s="634">
        <v>3956</v>
      </c>
      <c r="X144" s="635">
        <v>1080</v>
      </c>
      <c r="Y144" s="634">
        <v>2564</v>
      </c>
      <c r="Z144" s="634">
        <v>3644</v>
      </c>
    </row>
    <row r="145" spans="1:26" x14ac:dyDescent="0.3">
      <c r="A145" s="593">
        <v>141</v>
      </c>
      <c r="B145" s="291" t="s">
        <v>219</v>
      </c>
      <c r="C145" s="635">
        <v>7964</v>
      </c>
      <c r="D145" s="634">
        <v>9575</v>
      </c>
      <c r="E145" s="634">
        <v>17539</v>
      </c>
      <c r="F145" s="635">
        <v>677</v>
      </c>
      <c r="G145" s="634">
        <v>756</v>
      </c>
      <c r="H145" s="634">
        <v>1433</v>
      </c>
      <c r="I145" s="635">
        <v>257</v>
      </c>
      <c r="J145" s="634">
        <v>371</v>
      </c>
      <c r="K145" s="634">
        <v>628</v>
      </c>
      <c r="L145" s="635">
        <v>1942</v>
      </c>
      <c r="M145" s="634">
        <v>2364</v>
      </c>
      <c r="N145" s="634">
        <v>4306</v>
      </c>
      <c r="O145" s="635">
        <v>10</v>
      </c>
      <c r="P145" s="634">
        <v>10</v>
      </c>
      <c r="Q145" s="634">
        <v>20</v>
      </c>
      <c r="R145" s="635">
        <v>319</v>
      </c>
      <c r="S145" s="634">
        <v>374</v>
      </c>
      <c r="T145" s="634">
        <v>693</v>
      </c>
      <c r="U145" s="635">
        <v>195</v>
      </c>
      <c r="V145" s="634">
        <v>278</v>
      </c>
      <c r="W145" s="634">
        <v>473</v>
      </c>
      <c r="X145" s="635">
        <v>82</v>
      </c>
      <c r="Y145" s="634">
        <v>96</v>
      </c>
      <c r="Z145" s="634">
        <v>178</v>
      </c>
    </row>
    <row r="146" spans="1:26" x14ac:dyDescent="0.3">
      <c r="A146" s="593">
        <v>142</v>
      </c>
      <c r="B146" s="291" t="s">
        <v>220</v>
      </c>
      <c r="C146" s="635">
        <v>2002</v>
      </c>
      <c r="D146" s="634">
        <v>4399</v>
      </c>
      <c r="E146" s="634">
        <v>6401</v>
      </c>
      <c r="F146" s="635">
        <v>100</v>
      </c>
      <c r="G146" s="634">
        <v>201</v>
      </c>
      <c r="H146" s="634">
        <v>301</v>
      </c>
      <c r="I146" s="635">
        <v>28</v>
      </c>
      <c r="J146" s="634">
        <v>65</v>
      </c>
      <c r="K146" s="634">
        <v>93</v>
      </c>
      <c r="L146" s="635">
        <v>371</v>
      </c>
      <c r="M146" s="634">
        <v>764</v>
      </c>
      <c r="N146" s="634">
        <v>1135</v>
      </c>
      <c r="O146" s="635">
        <v>0</v>
      </c>
      <c r="P146" s="634">
        <v>0</v>
      </c>
      <c r="Q146" s="634">
        <v>0</v>
      </c>
      <c r="R146" s="635">
        <v>68</v>
      </c>
      <c r="S146" s="634">
        <v>134</v>
      </c>
      <c r="T146" s="634">
        <v>202</v>
      </c>
      <c r="U146" s="635">
        <v>50</v>
      </c>
      <c r="V146" s="634">
        <v>115</v>
      </c>
      <c r="W146" s="634">
        <v>165</v>
      </c>
      <c r="X146" s="635">
        <v>19</v>
      </c>
      <c r="Y146" s="634">
        <v>31</v>
      </c>
      <c r="Z146" s="634">
        <v>50</v>
      </c>
    </row>
    <row r="147" spans="1:26" x14ac:dyDescent="0.3">
      <c r="A147" s="593">
        <v>143</v>
      </c>
      <c r="B147" s="291" t="s">
        <v>221</v>
      </c>
      <c r="C147" s="635">
        <v>21</v>
      </c>
      <c r="D147" s="634">
        <v>53</v>
      </c>
      <c r="E147" s="634">
        <v>74</v>
      </c>
      <c r="F147" s="635">
        <v>10</v>
      </c>
      <c r="G147" s="634">
        <v>6</v>
      </c>
      <c r="H147" s="634">
        <v>16</v>
      </c>
      <c r="I147" s="635">
        <v>0</v>
      </c>
      <c r="J147" s="634">
        <v>2</v>
      </c>
      <c r="K147" s="634">
        <v>2</v>
      </c>
      <c r="L147" s="635">
        <v>6</v>
      </c>
      <c r="M147" s="634">
        <v>17</v>
      </c>
      <c r="N147" s="634">
        <v>23</v>
      </c>
      <c r="O147" s="635">
        <v>0</v>
      </c>
      <c r="P147" s="634">
        <v>0</v>
      </c>
      <c r="Q147" s="634">
        <v>0</v>
      </c>
      <c r="R147" s="635">
        <v>0</v>
      </c>
      <c r="S147" s="634">
        <v>0</v>
      </c>
      <c r="T147" s="634">
        <v>0</v>
      </c>
      <c r="U147" s="635">
        <v>0</v>
      </c>
      <c r="V147" s="634">
        <v>0</v>
      </c>
      <c r="W147" s="634">
        <v>0</v>
      </c>
      <c r="X147" s="635">
        <v>0</v>
      </c>
      <c r="Y147" s="634">
        <v>0</v>
      </c>
      <c r="Z147" s="634">
        <v>0</v>
      </c>
    </row>
    <row r="148" spans="1:26" x14ac:dyDescent="0.3">
      <c r="A148" s="593">
        <v>144</v>
      </c>
      <c r="B148" s="291" t="s">
        <v>222</v>
      </c>
      <c r="C148" s="635">
        <v>635</v>
      </c>
      <c r="D148" s="634">
        <v>896</v>
      </c>
      <c r="E148" s="634">
        <v>1531</v>
      </c>
      <c r="F148" s="635">
        <v>38</v>
      </c>
      <c r="G148" s="634">
        <v>52</v>
      </c>
      <c r="H148" s="634">
        <v>90</v>
      </c>
      <c r="I148" s="635">
        <v>9</v>
      </c>
      <c r="J148" s="634">
        <v>30</v>
      </c>
      <c r="K148" s="634">
        <v>39</v>
      </c>
      <c r="L148" s="635">
        <v>85</v>
      </c>
      <c r="M148" s="634">
        <v>105</v>
      </c>
      <c r="N148" s="634">
        <v>190</v>
      </c>
      <c r="O148" s="635">
        <v>0</v>
      </c>
      <c r="P148" s="634">
        <v>4</v>
      </c>
      <c r="Q148" s="634">
        <v>4</v>
      </c>
      <c r="R148" s="635">
        <v>11</v>
      </c>
      <c r="S148" s="634">
        <v>8</v>
      </c>
      <c r="T148" s="634">
        <v>19</v>
      </c>
      <c r="U148" s="635">
        <v>15</v>
      </c>
      <c r="V148" s="634">
        <v>24</v>
      </c>
      <c r="W148" s="634">
        <v>39</v>
      </c>
      <c r="X148" s="635">
        <v>12</v>
      </c>
      <c r="Y148" s="634">
        <v>10</v>
      </c>
      <c r="Z148" s="634">
        <v>22</v>
      </c>
    </row>
    <row r="149" spans="1:26" x14ac:dyDescent="0.3">
      <c r="A149" s="593">
        <v>145</v>
      </c>
      <c r="B149" s="291" t="s">
        <v>223</v>
      </c>
      <c r="C149" s="635">
        <v>6717</v>
      </c>
      <c r="D149" s="634">
        <v>4129</v>
      </c>
      <c r="E149" s="634">
        <v>10846</v>
      </c>
      <c r="F149" s="635">
        <v>807</v>
      </c>
      <c r="G149" s="634">
        <v>644</v>
      </c>
      <c r="H149" s="634">
        <v>1451</v>
      </c>
      <c r="I149" s="635">
        <v>137</v>
      </c>
      <c r="J149" s="634">
        <v>56</v>
      </c>
      <c r="K149" s="634">
        <v>193</v>
      </c>
      <c r="L149" s="635">
        <v>2534</v>
      </c>
      <c r="M149" s="634">
        <v>1894</v>
      </c>
      <c r="N149" s="634">
        <v>4428</v>
      </c>
      <c r="O149" s="635">
        <v>1</v>
      </c>
      <c r="P149" s="634">
        <v>0</v>
      </c>
      <c r="Q149" s="634">
        <v>1</v>
      </c>
      <c r="R149" s="635">
        <v>233</v>
      </c>
      <c r="S149" s="634">
        <v>87</v>
      </c>
      <c r="T149" s="634">
        <v>320</v>
      </c>
      <c r="U149" s="635">
        <v>121</v>
      </c>
      <c r="V149" s="634">
        <v>158</v>
      </c>
      <c r="W149" s="634">
        <v>279</v>
      </c>
      <c r="X149" s="635">
        <v>108</v>
      </c>
      <c r="Y149" s="634">
        <v>39</v>
      </c>
      <c r="Z149" s="634">
        <v>147</v>
      </c>
    </row>
    <row r="150" spans="1:26" x14ac:dyDescent="0.3">
      <c r="A150" s="593">
        <v>146</v>
      </c>
      <c r="B150" s="291" t="s">
        <v>224</v>
      </c>
      <c r="C150" s="635">
        <v>8323</v>
      </c>
      <c r="D150" s="634">
        <v>18395</v>
      </c>
      <c r="E150" s="634">
        <v>26718</v>
      </c>
      <c r="F150" s="635">
        <v>2109</v>
      </c>
      <c r="G150" s="634">
        <v>3915</v>
      </c>
      <c r="H150" s="634">
        <v>6024</v>
      </c>
      <c r="I150" s="635">
        <v>640</v>
      </c>
      <c r="J150" s="634">
        <v>1255</v>
      </c>
      <c r="K150" s="634">
        <v>1895</v>
      </c>
      <c r="L150" s="635">
        <v>2533</v>
      </c>
      <c r="M150" s="634">
        <v>5036</v>
      </c>
      <c r="N150" s="634">
        <v>7569</v>
      </c>
      <c r="O150" s="635">
        <v>27</v>
      </c>
      <c r="P150" s="634">
        <v>35</v>
      </c>
      <c r="Q150" s="634">
        <v>62</v>
      </c>
      <c r="R150" s="635">
        <v>320</v>
      </c>
      <c r="S150" s="634">
        <v>715</v>
      </c>
      <c r="T150" s="634">
        <v>1035</v>
      </c>
      <c r="U150" s="635">
        <v>79</v>
      </c>
      <c r="V150" s="634">
        <v>403</v>
      </c>
      <c r="W150" s="634">
        <v>482</v>
      </c>
      <c r="X150" s="635">
        <v>176</v>
      </c>
      <c r="Y150" s="634">
        <v>209</v>
      </c>
      <c r="Z150" s="634">
        <v>385</v>
      </c>
    </row>
    <row r="151" spans="1:26" x14ac:dyDescent="0.3">
      <c r="A151" s="593">
        <v>147</v>
      </c>
      <c r="B151" s="291" t="s">
        <v>225</v>
      </c>
      <c r="C151" s="635">
        <v>986</v>
      </c>
      <c r="D151" s="634">
        <v>1202</v>
      </c>
      <c r="E151" s="634">
        <v>2188</v>
      </c>
      <c r="F151" s="635">
        <v>186</v>
      </c>
      <c r="G151" s="634">
        <v>153</v>
      </c>
      <c r="H151" s="634">
        <v>339</v>
      </c>
      <c r="I151" s="635">
        <v>50</v>
      </c>
      <c r="J151" s="634">
        <v>27</v>
      </c>
      <c r="K151" s="634">
        <v>77</v>
      </c>
      <c r="L151" s="635">
        <v>302</v>
      </c>
      <c r="M151" s="634">
        <v>368</v>
      </c>
      <c r="N151" s="634">
        <v>670</v>
      </c>
      <c r="O151" s="635">
        <v>10</v>
      </c>
      <c r="P151" s="634">
        <v>2</v>
      </c>
      <c r="Q151" s="634">
        <v>12</v>
      </c>
      <c r="R151" s="635">
        <v>12</v>
      </c>
      <c r="S151" s="634">
        <v>24</v>
      </c>
      <c r="T151" s="634">
        <v>36</v>
      </c>
      <c r="U151" s="635">
        <v>10</v>
      </c>
      <c r="V151" s="634">
        <v>35</v>
      </c>
      <c r="W151" s="634">
        <v>45</v>
      </c>
      <c r="X151" s="635">
        <v>15</v>
      </c>
      <c r="Y151" s="634">
        <v>13</v>
      </c>
      <c r="Z151" s="634">
        <v>28</v>
      </c>
    </row>
    <row r="152" spans="1:26" x14ac:dyDescent="0.3">
      <c r="A152" s="593">
        <v>148</v>
      </c>
      <c r="B152" s="291" t="s">
        <v>862</v>
      </c>
      <c r="C152" s="635">
        <v>228</v>
      </c>
      <c r="D152" s="634">
        <v>169</v>
      </c>
      <c r="E152" s="634">
        <v>397</v>
      </c>
      <c r="F152" s="635">
        <v>29</v>
      </c>
      <c r="G152" s="634">
        <v>21</v>
      </c>
      <c r="H152" s="634">
        <v>50</v>
      </c>
      <c r="I152" s="635">
        <v>6</v>
      </c>
      <c r="J152" s="634">
        <v>12</v>
      </c>
      <c r="K152" s="634">
        <v>18</v>
      </c>
      <c r="L152" s="635">
        <v>13</v>
      </c>
      <c r="M152" s="634">
        <v>11</v>
      </c>
      <c r="N152" s="634">
        <v>24</v>
      </c>
      <c r="O152" s="635">
        <v>1</v>
      </c>
      <c r="P152" s="634">
        <v>0</v>
      </c>
      <c r="Q152" s="634">
        <v>1</v>
      </c>
      <c r="R152" s="635">
        <v>26</v>
      </c>
      <c r="S152" s="634">
        <v>15</v>
      </c>
      <c r="T152" s="634">
        <v>41</v>
      </c>
      <c r="U152" s="635">
        <v>0</v>
      </c>
      <c r="V152" s="634">
        <v>0</v>
      </c>
      <c r="W152" s="634">
        <v>0</v>
      </c>
      <c r="X152" s="635">
        <v>0</v>
      </c>
      <c r="Y152" s="634">
        <v>0</v>
      </c>
      <c r="Z152" s="634">
        <v>0</v>
      </c>
    </row>
    <row r="153" spans="1:26" x14ac:dyDescent="0.3">
      <c r="A153" s="593">
        <v>149</v>
      </c>
      <c r="B153" s="291" t="s">
        <v>863</v>
      </c>
      <c r="C153" s="635">
        <v>43</v>
      </c>
      <c r="D153" s="634">
        <v>236</v>
      </c>
      <c r="E153" s="634">
        <v>279</v>
      </c>
      <c r="F153" s="635">
        <v>3</v>
      </c>
      <c r="G153" s="634">
        <v>20</v>
      </c>
      <c r="H153" s="634">
        <v>23</v>
      </c>
      <c r="I153" s="635">
        <v>1</v>
      </c>
      <c r="J153" s="634">
        <v>2</v>
      </c>
      <c r="K153" s="634">
        <v>3</v>
      </c>
      <c r="L153" s="635">
        <v>22</v>
      </c>
      <c r="M153" s="634">
        <v>54</v>
      </c>
      <c r="N153" s="634">
        <v>76</v>
      </c>
      <c r="O153" s="635">
        <v>1</v>
      </c>
      <c r="P153" s="634">
        <v>0</v>
      </c>
      <c r="Q153" s="634">
        <v>1</v>
      </c>
      <c r="R153" s="635">
        <v>4</v>
      </c>
      <c r="S153" s="634">
        <v>5</v>
      </c>
      <c r="T153" s="634">
        <v>9</v>
      </c>
      <c r="U153" s="635">
        <v>0</v>
      </c>
      <c r="V153" s="634">
        <v>12</v>
      </c>
      <c r="W153" s="634">
        <v>12</v>
      </c>
      <c r="X153" s="635">
        <v>1</v>
      </c>
      <c r="Y153" s="634">
        <v>13</v>
      </c>
      <c r="Z153" s="634">
        <v>14</v>
      </c>
    </row>
    <row r="154" spans="1:26" x14ac:dyDescent="0.3">
      <c r="A154" s="593">
        <v>150</v>
      </c>
      <c r="B154" s="291" t="s">
        <v>864</v>
      </c>
      <c r="C154" s="635">
        <v>270</v>
      </c>
      <c r="D154" s="634">
        <v>293</v>
      </c>
      <c r="E154" s="634">
        <v>563</v>
      </c>
      <c r="F154" s="635">
        <v>30</v>
      </c>
      <c r="G154" s="634">
        <v>27</v>
      </c>
      <c r="H154" s="634">
        <v>57</v>
      </c>
      <c r="I154" s="635">
        <v>17</v>
      </c>
      <c r="J154" s="634">
        <v>27</v>
      </c>
      <c r="K154" s="634">
        <v>44</v>
      </c>
      <c r="L154" s="635">
        <v>107</v>
      </c>
      <c r="M154" s="634">
        <v>103</v>
      </c>
      <c r="N154" s="634">
        <v>210</v>
      </c>
      <c r="O154" s="635">
        <v>1</v>
      </c>
      <c r="P154" s="634">
        <v>2</v>
      </c>
      <c r="Q154" s="634">
        <v>3</v>
      </c>
      <c r="R154" s="635">
        <v>6</v>
      </c>
      <c r="S154" s="634">
        <v>20</v>
      </c>
      <c r="T154" s="634">
        <v>26</v>
      </c>
      <c r="U154" s="635">
        <v>1</v>
      </c>
      <c r="V154" s="634">
        <v>10</v>
      </c>
      <c r="W154" s="634">
        <v>11</v>
      </c>
      <c r="X154" s="635">
        <v>7</v>
      </c>
      <c r="Y154" s="634">
        <v>7</v>
      </c>
      <c r="Z154" s="634">
        <v>14</v>
      </c>
    </row>
    <row r="155" spans="1:26" x14ac:dyDescent="0.3">
      <c r="A155" s="593">
        <v>151</v>
      </c>
      <c r="B155" s="291" t="s">
        <v>865</v>
      </c>
      <c r="C155" s="635">
        <v>21</v>
      </c>
      <c r="D155" s="634">
        <v>80</v>
      </c>
      <c r="E155" s="634">
        <v>101</v>
      </c>
      <c r="F155" s="635">
        <v>2</v>
      </c>
      <c r="G155" s="634">
        <v>17</v>
      </c>
      <c r="H155" s="634">
        <v>19</v>
      </c>
      <c r="I155" s="635">
        <v>0</v>
      </c>
      <c r="J155" s="634">
        <v>0</v>
      </c>
      <c r="K155" s="634">
        <v>0</v>
      </c>
      <c r="L155" s="635">
        <v>4</v>
      </c>
      <c r="M155" s="634">
        <v>15</v>
      </c>
      <c r="N155" s="634">
        <v>19</v>
      </c>
      <c r="O155" s="635">
        <v>0</v>
      </c>
      <c r="P155" s="634">
        <v>0</v>
      </c>
      <c r="Q155" s="634">
        <v>0</v>
      </c>
      <c r="R155" s="635">
        <v>4</v>
      </c>
      <c r="S155" s="634">
        <v>1</v>
      </c>
      <c r="T155" s="634">
        <v>5</v>
      </c>
      <c r="U155" s="635">
        <v>0</v>
      </c>
      <c r="V155" s="634">
        <v>3</v>
      </c>
      <c r="W155" s="634">
        <v>3</v>
      </c>
      <c r="X155" s="635">
        <v>2</v>
      </c>
      <c r="Y155" s="634">
        <v>0</v>
      </c>
      <c r="Z155" s="634">
        <v>2</v>
      </c>
    </row>
    <row r="156" spans="1:26" x14ac:dyDescent="0.3">
      <c r="A156" s="593">
        <v>152</v>
      </c>
      <c r="B156" s="291" t="s">
        <v>226</v>
      </c>
      <c r="C156" s="635">
        <v>610</v>
      </c>
      <c r="D156" s="634">
        <v>966</v>
      </c>
      <c r="E156" s="634">
        <v>1576</v>
      </c>
      <c r="F156" s="635">
        <v>50</v>
      </c>
      <c r="G156" s="634">
        <v>52</v>
      </c>
      <c r="H156" s="634">
        <v>102</v>
      </c>
      <c r="I156" s="635">
        <v>14</v>
      </c>
      <c r="J156" s="634">
        <v>19</v>
      </c>
      <c r="K156" s="634">
        <v>33</v>
      </c>
      <c r="L156" s="635">
        <v>96</v>
      </c>
      <c r="M156" s="634">
        <v>167</v>
      </c>
      <c r="N156" s="634">
        <v>263</v>
      </c>
      <c r="O156" s="635">
        <v>1</v>
      </c>
      <c r="P156" s="634">
        <v>0</v>
      </c>
      <c r="Q156" s="634">
        <v>1</v>
      </c>
      <c r="R156" s="635">
        <v>17</v>
      </c>
      <c r="S156" s="634">
        <v>35</v>
      </c>
      <c r="T156" s="634">
        <v>52</v>
      </c>
      <c r="U156" s="635">
        <v>22</v>
      </c>
      <c r="V156" s="634">
        <v>42</v>
      </c>
      <c r="W156" s="634">
        <v>64</v>
      </c>
      <c r="X156" s="635">
        <v>4</v>
      </c>
      <c r="Y156" s="634">
        <v>7</v>
      </c>
      <c r="Z156" s="634">
        <v>11</v>
      </c>
    </row>
    <row r="157" spans="1:26" x14ac:dyDescent="0.3">
      <c r="A157" s="593">
        <v>153</v>
      </c>
      <c r="B157" s="291" t="s">
        <v>866</v>
      </c>
      <c r="C157" s="635">
        <v>47</v>
      </c>
      <c r="D157" s="634">
        <v>97</v>
      </c>
      <c r="E157" s="634">
        <v>144</v>
      </c>
      <c r="F157" s="635">
        <v>3</v>
      </c>
      <c r="G157" s="634">
        <v>13</v>
      </c>
      <c r="H157" s="634">
        <v>16</v>
      </c>
      <c r="I157" s="635">
        <v>11</v>
      </c>
      <c r="J157" s="634">
        <v>1</v>
      </c>
      <c r="K157" s="634">
        <v>12</v>
      </c>
      <c r="L157" s="635">
        <v>12</v>
      </c>
      <c r="M157" s="634">
        <v>33</v>
      </c>
      <c r="N157" s="634">
        <v>45</v>
      </c>
      <c r="O157" s="635">
        <v>0</v>
      </c>
      <c r="P157" s="634">
        <v>0</v>
      </c>
      <c r="Q157" s="634">
        <v>0</v>
      </c>
      <c r="R157" s="635">
        <v>0</v>
      </c>
      <c r="S157" s="634">
        <v>3</v>
      </c>
      <c r="T157" s="634">
        <v>3</v>
      </c>
      <c r="U157" s="635">
        <v>2</v>
      </c>
      <c r="V157" s="634">
        <v>4</v>
      </c>
      <c r="W157" s="634">
        <v>6</v>
      </c>
      <c r="X157" s="635">
        <v>5</v>
      </c>
      <c r="Y157" s="634">
        <v>1</v>
      </c>
      <c r="Z157" s="634">
        <v>6</v>
      </c>
    </row>
    <row r="158" spans="1:26" x14ac:dyDescent="0.3">
      <c r="A158" s="593">
        <v>154</v>
      </c>
      <c r="B158" s="291" t="s">
        <v>227</v>
      </c>
      <c r="C158" s="635">
        <v>282</v>
      </c>
      <c r="D158" s="634">
        <v>409</v>
      </c>
      <c r="E158" s="634">
        <v>691</v>
      </c>
      <c r="F158" s="635">
        <v>28</v>
      </c>
      <c r="G158" s="634">
        <v>41</v>
      </c>
      <c r="H158" s="634">
        <v>69</v>
      </c>
      <c r="I158" s="635">
        <v>35</v>
      </c>
      <c r="J158" s="634">
        <v>36</v>
      </c>
      <c r="K158" s="634">
        <v>71</v>
      </c>
      <c r="L158" s="635">
        <v>81</v>
      </c>
      <c r="M158" s="634">
        <v>130</v>
      </c>
      <c r="N158" s="634">
        <v>211</v>
      </c>
      <c r="O158" s="635">
        <v>0</v>
      </c>
      <c r="P158" s="634">
        <v>0</v>
      </c>
      <c r="Q158" s="634">
        <v>0</v>
      </c>
      <c r="R158" s="635">
        <v>25</v>
      </c>
      <c r="S158" s="634">
        <v>15</v>
      </c>
      <c r="T158" s="634">
        <v>40</v>
      </c>
      <c r="U158" s="635">
        <v>0</v>
      </c>
      <c r="V158" s="634">
        <v>8</v>
      </c>
      <c r="W158" s="634">
        <v>8</v>
      </c>
      <c r="X158" s="635">
        <v>4</v>
      </c>
      <c r="Y158" s="634">
        <v>4</v>
      </c>
      <c r="Z158" s="634">
        <v>8</v>
      </c>
    </row>
    <row r="159" spans="1:26" x14ac:dyDescent="0.3">
      <c r="A159" s="593">
        <v>155</v>
      </c>
      <c r="B159" s="291" t="s">
        <v>867</v>
      </c>
      <c r="C159" s="635">
        <v>225</v>
      </c>
      <c r="D159" s="634">
        <v>172</v>
      </c>
      <c r="E159" s="634">
        <v>397</v>
      </c>
      <c r="F159" s="635">
        <v>17</v>
      </c>
      <c r="G159" s="634">
        <v>14</v>
      </c>
      <c r="H159" s="634">
        <v>31</v>
      </c>
      <c r="I159" s="635">
        <v>0</v>
      </c>
      <c r="J159" s="634">
        <v>0</v>
      </c>
      <c r="K159" s="634">
        <v>0</v>
      </c>
      <c r="L159" s="635">
        <v>105</v>
      </c>
      <c r="M159" s="634">
        <v>87</v>
      </c>
      <c r="N159" s="634">
        <v>192</v>
      </c>
      <c r="O159" s="635">
        <v>1</v>
      </c>
      <c r="P159" s="634">
        <v>0</v>
      </c>
      <c r="Q159" s="634">
        <v>1</v>
      </c>
      <c r="R159" s="635">
        <v>20</v>
      </c>
      <c r="S159" s="634">
        <v>7</v>
      </c>
      <c r="T159" s="634">
        <v>27</v>
      </c>
      <c r="U159" s="635">
        <v>5</v>
      </c>
      <c r="V159" s="634">
        <v>4</v>
      </c>
      <c r="W159" s="634">
        <v>9</v>
      </c>
      <c r="X159" s="635">
        <v>2</v>
      </c>
      <c r="Y159" s="634">
        <v>0</v>
      </c>
      <c r="Z159" s="634">
        <v>2</v>
      </c>
    </row>
    <row r="160" spans="1:26" x14ac:dyDescent="0.3">
      <c r="A160" s="593">
        <v>156</v>
      </c>
      <c r="B160" s="291" t="s">
        <v>228</v>
      </c>
      <c r="C160" s="635">
        <v>1014</v>
      </c>
      <c r="D160" s="634">
        <v>846</v>
      </c>
      <c r="E160" s="634">
        <v>1860</v>
      </c>
      <c r="F160" s="635">
        <v>129</v>
      </c>
      <c r="G160" s="634">
        <v>81</v>
      </c>
      <c r="H160" s="634">
        <v>210</v>
      </c>
      <c r="I160" s="635">
        <v>29</v>
      </c>
      <c r="J160" s="634">
        <v>16</v>
      </c>
      <c r="K160" s="634">
        <v>45</v>
      </c>
      <c r="L160" s="635">
        <v>264</v>
      </c>
      <c r="M160" s="634">
        <v>188</v>
      </c>
      <c r="N160" s="634">
        <v>452</v>
      </c>
      <c r="O160" s="635">
        <v>0</v>
      </c>
      <c r="P160" s="634">
        <v>0</v>
      </c>
      <c r="Q160" s="634">
        <v>0</v>
      </c>
      <c r="R160" s="635">
        <v>35</v>
      </c>
      <c r="S160" s="634">
        <v>48</v>
      </c>
      <c r="T160" s="634">
        <v>83</v>
      </c>
      <c r="U160" s="635">
        <v>18</v>
      </c>
      <c r="V160" s="634">
        <v>36</v>
      </c>
      <c r="W160" s="634">
        <v>54</v>
      </c>
      <c r="X160" s="635">
        <v>19</v>
      </c>
      <c r="Y160" s="634">
        <v>15</v>
      </c>
      <c r="Z160" s="634">
        <v>34</v>
      </c>
    </row>
    <row r="161" spans="1:26" x14ac:dyDescent="0.3">
      <c r="A161" s="593">
        <v>157</v>
      </c>
      <c r="B161" s="291" t="s">
        <v>229</v>
      </c>
      <c r="C161" s="635">
        <v>732</v>
      </c>
      <c r="D161" s="634">
        <v>395</v>
      </c>
      <c r="E161" s="634">
        <v>1127</v>
      </c>
      <c r="F161" s="635">
        <v>114</v>
      </c>
      <c r="G161" s="634">
        <v>56</v>
      </c>
      <c r="H161" s="634">
        <v>170</v>
      </c>
      <c r="I161" s="635">
        <v>28</v>
      </c>
      <c r="J161" s="634">
        <v>17</v>
      </c>
      <c r="K161" s="634">
        <v>45</v>
      </c>
      <c r="L161" s="635">
        <v>206</v>
      </c>
      <c r="M161" s="634">
        <v>81</v>
      </c>
      <c r="N161" s="634">
        <v>287</v>
      </c>
      <c r="O161" s="635">
        <v>0</v>
      </c>
      <c r="P161" s="634">
        <v>0</v>
      </c>
      <c r="Q161" s="634">
        <v>0</v>
      </c>
      <c r="R161" s="635">
        <v>9</v>
      </c>
      <c r="S161" s="634">
        <v>5</v>
      </c>
      <c r="T161" s="634">
        <v>14</v>
      </c>
      <c r="U161" s="635">
        <v>9</v>
      </c>
      <c r="V161" s="634">
        <v>3</v>
      </c>
      <c r="W161" s="634">
        <v>12</v>
      </c>
      <c r="X161" s="635">
        <v>0</v>
      </c>
      <c r="Y161" s="634">
        <v>1</v>
      </c>
      <c r="Z161" s="634">
        <v>1</v>
      </c>
    </row>
    <row r="162" spans="1:26" x14ac:dyDescent="0.3">
      <c r="A162" s="593">
        <v>158</v>
      </c>
      <c r="B162" s="291" t="s">
        <v>230</v>
      </c>
      <c r="C162" s="635">
        <v>282</v>
      </c>
      <c r="D162" s="634">
        <v>319</v>
      </c>
      <c r="E162" s="634">
        <v>601</v>
      </c>
      <c r="F162" s="635">
        <v>14</v>
      </c>
      <c r="G162" s="634">
        <v>22</v>
      </c>
      <c r="H162" s="634">
        <v>36</v>
      </c>
      <c r="I162" s="635">
        <v>4</v>
      </c>
      <c r="J162" s="634">
        <v>6</v>
      </c>
      <c r="K162" s="634">
        <v>10</v>
      </c>
      <c r="L162" s="635">
        <v>54</v>
      </c>
      <c r="M162" s="634">
        <v>39</v>
      </c>
      <c r="N162" s="634">
        <v>93</v>
      </c>
      <c r="O162" s="635">
        <v>0</v>
      </c>
      <c r="P162" s="634">
        <v>0</v>
      </c>
      <c r="Q162" s="634">
        <v>0</v>
      </c>
      <c r="R162" s="635">
        <v>0</v>
      </c>
      <c r="S162" s="634">
        <v>0</v>
      </c>
      <c r="T162" s="634">
        <v>0</v>
      </c>
      <c r="U162" s="635">
        <v>0</v>
      </c>
      <c r="V162" s="634">
        <v>0</v>
      </c>
      <c r="W162" s="634">
        <v>0</v>
      </c>
      <c r="X162" s="635">
        <v>0</v>
      </c>
      <c r="Y162" s="634">
        <v>1</v>
      </c>
      <c r="Z162" s="634">
        <v>1</v>
      </c>
    </row>
    <row r="163" spans="1:26" x14ac:dyDescent="0.3">
      <c r="A163" s="593">
        <v>159</v>
      </c>
      <c r="B163" s="291" t="s">
        <v>231</v>
      </c>
      <c r="C163" s="635">
        <v>1647</v>
      </c>
      <c r="D163" s="634">
        <v>1872</v>
      </c>
      <c r="E163" s="634">
        <v>3519</v>
      </c>
      <c r="F163" s="635">
        <v>263</v>
      </c>
      <c r="G163" s="634">
        <v>223</v>
      </c>
      <c r="H163" s="634">
        <v>486</v>
      </c>
      <c r="I163" s="635">
        <v>102</v>
      </c>
      <c r="J163" s="634">
        <v>128</v>
      </c>
      <c r="K163" s="634">
        <v>230</v>
      </c>
      <c r="L163" s="635">
        <v>584</v>
      </c>
      <c r="M163" s="634">
        <v>614</v>
      </c>
      <c r="N163" s="634">
        <v>1198</v>
      </c>
      <c r="O163" s="635">
        <v>5</v>
      </c>
      <c r="P163" s="634">
        <v>4</v>
      </c>
      <c r="Q163" s="634">
        <v>9</v>
      </c>
      <c r="R163" s="635">
        <v>31</v>
      </c>
      <c r="S163" s="634">
        <v>24</v>
      </c>
      <c r="T163" s="634">
        <v>55</v>
      </c>
      <c r="U163" s="635">
        <v>10</v>
      </c>
      <c r="V163" s="634">
        <v>18</v>
      </c>
      <c r="W163" s="634">
        <v>28</v>
      </c>
      <c r="X163" s="635">
        <v>18</v>
      </c>
      <c r="Y163" s="634">
        <v>17</v>
      </c>
      <c r="Z163" s="634">
        <v>35</v>
      </c>
    </row>
    <row r="164" spans="1:26" x14ac:dyDescent="0.3">
      <c r="A164" s="593">
        <v>160</v>
      </c>
      <c r="B164" s="291" t="s">
        <v>232</v>
      </c>
      <c r="C164" s="635">
        <v>1668</v>
      </c>
      <c r="D164" s="634">
        <v>1921</v>
      </c>
      <c r="E164" s="634">
        <v>3589</v>
      </c>
      <c r="F164" s="635">
        <v>336</v>
      </c>
      <c r="G164" s="634">
        <v>318</v>
      </c>
      <c r="H164" s="634">
        <v>654</v>
      </c>
      <c r="I164" s="635">
        <v>142</v>
      </c>
      <c r="J164" s="634">
        <v>120</v>
      </c>
      <c r="K164" s="634">
        <v>262</v>
      </c>
      <c r="L164" s="635">
        <v>609</v>
      </c>
      <c r="M164" s="634">
        <v>647</v>
      </c>
      <c r="N164" s="634">
        <v>1256</v>
      </c>
      <c r="O164" s="635">
        <v>8</v>
      </c>
      <c r="P164" s="634">
        <v>1</v>
      </c>
      <c r="Q164" s="634">
        <v>9</v>
      </c>
      <c r="R164" s="635">
        <v>56</v>
      </c>
      <c r="S164" s="634">
        <v>49</v>
      </c>
      <c r="T164" s="634">
        <v>105</v>
      </c>
      <c r="U164" s="635">
        <v>34</v>
      </c>
      <c r="V164" s="634">
        <v>78</v>
      </c>
      <c r="W164" s="634">
        <v>112</v>
      </c>
      <c r="X164" s="635">
        <v>17</v>
      </c>
      <c r="Y164" s="634">
        <v>25</v>
      </c>
      <c r="Z164" s="634">
        <v>42</v>
      </c>
    </row>
    <row r="165" spans="1:26" x14ac:dyDescent="0.3">
      <c r="A165" s="593">
        <v>161</v>
      </c>
      <c r="B165" s="291" t="s">
        <v>868</v>
      </c>
      <c r="C165" s="635">
        <v>18</v>
      </c>
      <c r="D165" s="634">
        <v>60</v>
      </c>
      <c r="E165" s="634">
        <v>78</v>
      </c>
      <c r="F165" s="635">
        <v>7</v>
      </c>
      <c r="G165" s="634">
        <v>10</v>
      </c>
      <c r="H165" s="634">
        <v>17</v>
      </c>
      <c r="I165" s="635">
        <v>0</v>
      </c>
      <c r="J165" s="634">
        <v>0</v>
      </c>
      <c r="K165" s="634">
        <v>0</v>
      </c>
      <c r="L165" s="635">
        <v>9</v>
      </c>
      <c r="M165" s="634">
        <v>46</v>
      </c>
      <c r="N165" s="634">
        <v>55</v>
      </c>
      <c r="O165" s="635">
        <v>0</v>
      </c>
      <c r="P165" s="634">
        <v>0</v>
      </c>
      <c r="Q165" s="634">
        <v>0</v>
      </c>
      <c r="R165" s="635">
        <v>3</v>
      </c>
      <c r="S165" s="634">
        <v>1</v>
      </c>
      <c r="T165" s="634">
        <v>4</v>
      </c>
      <c r="U165" s="635">
        <v>3</v>
      </c>
      <c r="V165" s="634">
        <v>28</v>
      </c>
      <c r="W165" s="634">
        <v>31</v>
      </c>
      <c r="X165" s="635">
        <v>0</v>
      </c>
      <c r="Y165" s="634">
        <v>0</v>
      </c>
      <c r="Z165" s="634">
        <v>0</v>
      </c>
    </row>
    <row r="166" spans="1:26" x14ac:dyDescent="0.3">
      <c r="A166" s="593">
        <v>162</v>
      </c>
      <c r="B166" s="291" t="s">
        <v>869</v>
      </c>
      <c r="C166" s="635">
        <v>150</v>
      </c>
      <c r="D166" s="634">
        <v>180</v>
      </c>
      <c r="E166" s="634">
        <v>330</v>
      </c>
      <c r="F166" s="635">
        <v>17</v>
      </c>
      <c r="G166" s="634">
        <v>22</v>
      </c>
      <c r="H166" s="634">
        <v>39</v>
      </c>
      <c r="I166" s="635">
        <v>14</v>
      </c>
      <c r="J166" s="634">
        <v>5</v>
      </c>
      <c r="K166" s="634">
        <v>19</v>
      </c>
      <c r="L166" s="635">
        <v>28</v>
      </c>
      <c r="M166" s="634">
        <v>23</v>
      </c>
      <c r="N166" s="634">
        <v>51</v>
      </c>
      <c r="O166" s="635">
        <v>0</v>
      </c>
      <c r="P166" s="634">
        <v>0</v>
      </c>
      <c r="Q166" s="634">
        <v>0</v>
      </c>
      <c r="R166" s="635">
        <v>1</v>
      </c>
      <c r="S166" s="634">
        <v>8</v>
      </c>
      <c r="T166" s="634">
        <v>9</v>
      </c>
      <c r="U166" s="635">
        <v>0</v>
      </c>
      <c r="V166" s="634">
        <v>0</v>
      </c>
      <c r="W166" s="634">
        <v>0</v>
      </c>
      <c r="X166" s="635">
        <v>2</v>
      </c>
      <c r="Y166" s="634">
        <v>4</v>
      </c>
      <c r="Z166" s="634">
        <v>6</v>
      </c>
    </row>
    <row r="167" spans="1:26" x14ac:dyDescent="0.3">
      <c r="A167" s="593">
        <v>163</v>
      </c>
      <c r="B167" s="291" t="s">
        <v>870</v>
      </c>
      <c r="C167" s="635">
        <v>7</v>
      </c>
      <c r="D167" s="634">
        <v>6</v>
      </c>
      <c r="E167" s="634">
        <v>13</v>
      </c>
      <c r="F167" s="635">
        <v>0</v>
      </c>
      <c r="G167" s="634">
        <v>0</v>
      </c>
      <c r="H167" s="634">
        <v>0</v>
      </c>
      <c r="I167" s="635">
        <v>0</v>
      </c>
      <c r="J167" s="634">
        <v>0</v>
      </c>
      <c r="K167" s="634">
        <v>0</v>
      </c>
      <c r="L167" s="635">
        <v>0</v>
      </c>
      <c r="M167" s="634">
        <v>0</v>
      </c>
      <c r="N167" s="634">
        <v>0</v>
      </c>
      <c r="O167" s="635">
        <v>0</v>
      </c>
      <c r="P167" s="634">
        <v>0</v>
      </c>
      <c r="Q167" s="634">
        <v>0</v>
      </c>
      <c r="R167" s="635">
        <v>0</v>
      </c>
      <c r="S167" s="634">
        <v>0</v>
      </c>
      <c r="T167" s="634">
        <v>0</v>
      </c>
      <c r="U167" s="635">
        <v>0</v>
      </c>
      <c r="V167" s="634">
        <v>0</v>
      </c>
      <c r="W167" s="634">
        <v>0</v>
      </c>
      <c r="X167" s="635">
        <v>0</v>
      </c>
      <c r="Y167" s="634">
        <v>0</v>
      </c>
      <c r="Z167" s="634">
        <v>0</v>
      </c>
    </row>
    <row r="168" spans="1:26" x14ac:dyDescent="0.3">
      <c r="A168" s="593">
        <v>164</v>
      </c>
      <c r="B168" s="291" t="s">
        <v>233</v>
      </c>
      <c r="C168" s="635">
        <v>1447</v>
      </c>
      <c r="D168" s="634">
        <v>900</v>
      </c>
      <c r="E168" s="634">
        <v>2347</v>
      </c>
      <c r="F168" s="635">
        <v>126</v>
      </c>
      <c r="G168" s="634">
        <v>100</v>
      </c>
      <c r="H168" s="634">
        <v>226</v>
      </c>
      <c r="I168" s="635">
        <v>40</v>
      </c>
      <c r="J168" s="634">
        <v>37</v>
      </c>
      <c r="K168" s="634">
        <v>77</v>
      </c>
      <c r="L168" s="635">
        <v>145</v>
      </c>
      <c r="M168" s="634">
        <v>118</v>
      </c>
      <c r="N168" s="634">
        <v>263</v>
      </c>
      <c r="O168" s="635">
        <v>0</v>
      </c>
      <c r="P168" s="634">
        <v>0</v>
      </c>
      <c r="Q168" s="634">
        <v>0</v>
      </c>
      <c r="R168" s="635">
        <v>115</v>
      </c>
      <c r="S168" s="634">
        <v>39</v>
      </c>
      <c r="T168" s="634">
        <v>154</v>
      </c>
      <c r="U168" s="635">
        <v>55</v>
      </c>
      <c r="V168" s="634">
        <v>37</v>
      </c>
      <c r="W168" s="634">
        <v>92</v>
      </c>
      <c r="X168" s="635">
        <v>40</v>
      </c>
      <c r="Y168" s="634">
        <v>24</v>
      </c>
      <c r="Z168" s="634">
        <v>64</v>
      </c>
    </row>
    <row r="169" spans="1:26" x14ac:dyDescent="0.3">
      <c r="A169" s="593">
        <v>165</v>
      </c>
      <c r="B169" s="291" t="s">
        <v>871</v>
      </c>
      <c r="C169" s="635">
        <v>101</v>
      </c>
      <c r="D169" s="634">
        <v>54</v>
      </c>
      <c r="E169" s="634">
        <v>155</v>
      </c>
      <c r="F169" s="635">
        <v>6</v>
      </c>
      <c r="G169" s="634">
        <v>3</v>
      </c>
      <c r="H169" s="634">
        <v>9</v>
      </c>
      <c r="I169" s="635">
        <v>2</v>
      </c>
      <c r="J169" s="634">
        <v>4</v>
      </c>
      <c r="K169" s="634">
        <v>6</v>
      </c>
      <c r="L169" s="635">
        <v>20</v>
      </c>
      <c r="M169" s="634">
        <v>12</v>
      </c>
      <c r="N169" s="634">
        <v>32</v>
      </c>
      <c r="O169" s="635">
        <v>0</v>
      </c>
      <c r="P169" s="634">
        <v>0</v>
      </c>
      <c r="Q169" s="634">
        <v>0</v>
      </c>
      <c r="R169" s="635">
        <v>1</v>
      </c>
      <c r="S169" s="634">
        <v>0</v>
      </c>
      <c r="T169" s="634">
        <v>1</v>
      </c>
      <c r="U169" s="635">
        <v>0</v>
      </c>
      <c r="V169" s="634">
        <v>0</v>
      </c>
      <c r="W169" s="634">
        <v>0</v>
      </c>
      <c r="X169" s="635">
        <v>0</v>
      </c>
      <c r="Y169" s="634">
        <v>0</v>
      </c>
      <c r="Z169" s="634">
        <v>0</v>
      </c>
    </row>
    <row r="170" spans="1:26" x14ac:dyDescent="0.3">
      <c r="A170" s="593">
        <v>166</v>
      </c>
      <c r="B170" s="291" t="s">
        <v>234</v>
      </c>
      <c r="C170" s="635">
        <v>278</v>
      </c>
      <c r="D170" s="634">
        <v>372</v>
      </c>
      <c r="E170" s="634">
        <v>650</v>
      </c>
      <c r="F170" s="635">
        <v>61</v>
      </c>
      <c r="G170" s="634">
        <v>57</v>
      </c>
      <c r="H170" s="634">
        <v>118</v>
      </c>
      <c r="I170" s="635">
        <v>9</v>
      </c>
      <c r="J170" s="634">
        <v>9</v>
      </c>
      <c r="K170" s="634">
        <v>18</v>
      </c>
      <c r="L170" s="635">
        <v>88</v>
      </c>
      <c r="M170" s="634">
        <v>95</v>
      </c>
      <c r="N170" s="634">
        <v>183</v>
      </c>
      <c r="O170" s="635">
        <v>0</v>
      </c>
      <c r="P170" s="634">
        <v>1</v>
      </c>
      <c r="Q170" s="634">
        <v>1</v>
      </c>
      <c r="R170" s="635">
        <v>2</v>
      </c>
      <c r="S170" s="634">
        <v>2</v>
      </c>
      <c r="T170" s="634">
        <v>4</v>
      </c>
      <c r="U170" s="635">
        <v>13</v>
      </c>
      <c r="V170" s="634">
        <v>23</v>
      </c>
      <c r="W170" s="634">
        <v>36</v>
      </c>
      <c r="X170" s="635">
        <v>5</v>
      </c>
      <c r="Y170" s="634">
        <v>17</v>
      </c>
      <c r="Z170" s="634">
        <v>22</v>
      </c>
    </row>
    <row r="171" spans="1:26" x14ac:dyDescent="0.3">
      <c r="A171" s="593">
        <v>167</v>
      </c>
      <c r="B171" s="291" t="s">
        <v>872</v>
      </c>
      <c r="C171" s="635">
        <v>25</v>
      </c>
      <c r="D171" s="634">
        <v>5</v>
      </c>
      <c r="E171" s="634">
        <v>30</v>
      </c>
      <c r="F171" s="635">
        <v>0</v>
      </c>
      <c r="G171" s="634">
        <v>0</v>
      </c>
      <c r="H171" s="634">
        <v>0</v>
      </c>
      <c r="I171" s="635">
        <v>0</v>
      </c>
      <c r="J171" s="634">
        <v>0</v>
      </c>
      <c r="K171" s="634">
        <v>0</v>
      </c>
      <c r="L171" s="635">
        <v>0</v>
      </c>
      <c r="M171" s="634">
        <v>0</v>
      </c>
      <c r="N171" s="634">
        <v>0</v>
      </c>
      <c r="O171" s="635">
        <v>0</v>
      </c>
      <c r="P171" s="634">
        <v>0</v>
      </c>
      <c r="Q171" s="634">
        <v>0</v>
      </c>
      <c r="R171" s="635">
        <v>0</v>
      </c>
      <c r="S171" s="634">
        <v>0</v>
      </c>
      <c r="T171" s="634">
        <v>0</v>
      </c>
      <c r="U171" s="635">
        <v>0</v>
      </c>
      <c r="V171" s="634">
        <v>0</v>
      </c>
      <c r="W171" s="634">
        <v>0</v>
      </c>
      <c r="X171" s="635">
        <v>0</v>
      </c>
      <c r="Y171" s="634">
        <v>0</v>
      </c>
      <c r="Z171" s="634">
        <v>0</v>
      </c>
    </row>
    <row r="172" spans="1:26" x14ac:dyDescent="0.3">
      <c r="A172" s="593">
        <v>168</v>
      </c>
      <c r="B172" s="291" t="s">
        <v>235</v>
      </c>
      <c r="C172" s="635">
        <v>53</v>
      </c>
      <c r="D172" s="634">
        <v>147</v>
      </c>
      <c r="E172" s="634">
        <v>200</v>
      </c>
      <c r="F172" s="635">
        <v>1</v>
      </c>
      <c r="G172" s="634">
        <v>15</v>
      </c>
      <c r="H172" s="634">
        <v>16</v>
      </c>
      <c r="I172" s="635">
        <v>0</v>
      </c>
      <c r="J172" s="634">
        <v>2</v>
      </c>
      <c r="K172" s="634">
        <v>2</v>
      </c>
      <c r="L172" s="635">
        <v>18</v>
      </c>
      <c r="M172" s="634">
        <v>32</v>
      </c>
      <c r="N172" s="634">
        <v>50</v>
      </c>
      <c r="O172" s="635">
        <v>0</v>
      </c>
      <c r="P172" s="634">
        <v>0</v>
      </c>
      <c r="Q172" s="634">
        <v>0</v>
      </c>
      <c r="R172" s="635">
        <v>2</v>
      </c>
      <c r="S172" s="634">
        <v>5</v>
      </c>
      <c r="T172" s="634">
        <v>7</v>
      </c>
      <c r="U172" s="635">
        <v>4</v>
      </c>
      <c r="V172" s="634">
        <v>2</v>
      </c>
      <c r="W172" s="634">
        <v>6</v>
      </c>
      <c r="X172" s="635">
        <v>0</v>
      </c>
      <c r="Y172" s="634">
        <v>1</v>
      </c>
      <c r="Z172" s="634">
        <v>1</v>
      </c>
    </row>
    <row r="173" spans="1:26" x14ac:dyDescent="0.3">
      <c r="A173" s="593">
        <v>169</v>
      </c>
      <c r="B173" s="291" t="s">
        <v>236</v>
      </c>
      <c r="C173" s="635">
        <v>82</v>
      </c>
      <c r="D173" s="634">
        <v>197</v>
      </c>
      <c r="E173" s="634">
        <v>279</v>
      </c>
      <c r="F173" s="635">
        <v>1</v>
      </c>
      <c r="G173" s="634">
        <v>4</v>
      </c>
      <c r="H173" s="634">
        <v>5</v>
      </c>
      <c r="I173" s="635">
        <v>3</v>
      </c>
      <c r="J173" s="634">
        <v>4</v>
      </c>
      <c r="K173" s="634">
        <v>7</v>
      </c>
      <c r="L173" s="635">
        <v>24</v>
      </c>
      <c r="M173" s="634">
        <v>63</v>
      </c>
      <c r="N173" s="634">
        <v>87</v>
      </c>
      <c r="O173" s="635">
        <v>0</v>
      </c>
      <c r="P173" s="634">
        <v>0</v>
      </c>
      <c r="Q173" s="634">
        <v>0</v>
      </c>
      <c r="R173" s="635">
        <v>4</v>
      </c>
      <c r="S173" s="634">
        <v>9</v>
      </c>
      <c r="T173" s="634">
        <v>13</v>
      </c>
      <c r="U173" s="635">
        <v>3</v>
      </c>
      <c r="V173" s="634">
        <v>2</v>
      </c>
      <c r="W173" s="634">
        <v>5</v>
      </c>
      <c r="X173" s="635">
        <v>0</v>
      </c>
      <c r="Y173" s="634">
        <v>1</v>
      </c>
      <c r="Z173" s="634">
        <v>1</v>
      </c>
    </row>
    <row r="174" spans="1:26" x14ac:dyDescent="0.3">
      <c r="A174" s="593">
        <v>170</v>
      </c>
      <c r="B174" s="291" t="s">
        <v>237</v>
      </c>
      <c r="C174" s="635">
        <v>468</v>
      </c>
      <c r="D174" s="634">
        <v>513</v>
      </c>
      <c r="E174" s="634">
        <v>981</v>
      </c>
      <c r="F174" s="635">
        <v>71</v>
      </c>
      <c r="G174" s="634">
        <v>37</v>
      </c>
      <c r="H174" s="634">
        <v>108</v>
      </c>
      <c r="I174" s="635">
        <v>13</v>
      </c>
      <c r="J174" s="634">
        <v>9</v>
      </c>
      <c r="K174" s="634">
        <v>22</v>
      </c>
      <c r="L174" s="635">
        <v>90</v>
      </c>
      <c r="M174" s="634">
        <v>88</v>
      </c>
      <c r="N174" s="634">
        <v>178</v>
      </c>
      <c r="O174" s="635">
        <v>1</v>
      </c>
      <c r="P174" s="634">
        <v>2</v>
      </c>
      <c r="Q174" s="634">
        <v>3</v>
      </c>
      <c r="R174" s="635">
        <v>0</v>
      </c>
      <c r="S174" s="634">
        <v>0</v>
      </c>
      <c r="T174" s="634">
        <v>0</v>
      </c>
      <c r="U174" s="635">
        <v>2</v>
      </c>
      <c r="V174" s="634">
        <v>0</v>
      </c>
      <c r="W174" s="634">
        <v>2</v>
      </c>
      <c r="X174" s="635">
        <v>5</v>
      </c>
      <c r="Y174" s="634">
        <v>4</v>
      </c>
      <c r="Z174" s="634">
        <v>9</v>
      </c>
    </row>
    <row r="175" spans="1:26" x14ac:dyDescent="0.3">
      <c r="A175" s="593">
        <v>171</v>
      </c>
      <c r="B175" s="291" t="s">
        <v>873</v>
      </c>
      <c r="C175" s="635">
        <v>563</v>
      </c>
      <c r="D175" s="634">
        <v>301</v>
      </c>
      <c r="E175" s="634">
        <v>864</v>
      </c>
      <c r="F175" s="635">
        <v>73</v>
      </c>
      <c r="G175" s="634">
        <v>49</v>
      </c>
      <c r="H175" s="634">
        <v>122</v>
      </c>
      <c r="I175" s="635">
        <v>50</v>
      </c>
      <c r="J175" s="634">
        <v>18</v>
      </c>
      <c r="K175" s="634">
        <v>68</v>
      </c>
      <c r="L175" s="635">
        <v>179</v>
      </c>
      <c r="M175" s="634">
        <v>103</v>
      </c>
      <c r="N175" s="634">
        <v>282</v>
      </c>
      <c r="O175" s="635">
        <v>0</v>
      </c>
      <c r="P175" s="634">
        <v>0</v>
      </c>
      <c r="Q175" s="634">
        <v>0</v>
      </c>
      <c r="R175" s="635">
        <v>1</v>
      </c>
      <c r="S175" s="634">
        <v>4</v>
      </c>
      <c r="T175" s="634">
        <v>5</v>
      </c>
      <c r="U175" s="635">
        <v>12</v>
      </c>
      <c r="V175" s="634">
        <v>8</v>
      </c>
      <c r="W175" s="634">
        <v>20</v>
      </c>
      <c r="X175" s="635">
        <v>7</v>
      </c>
      <c r="Y175" s="634">
        <v>4</v>
      </c>
      <c r="Z175" s="634">
        <v>11</v>
      </c>
    </row>
    <row r="176" spans="1:26" x14ac:dyDescent="0.3">
      <c r="A176" s="593">
        <v>172</v>
      </c>
      <c r="B176" s="291" t="s">
        <v>238</v>
      </c>
      <c r="C176" s="635">
        <v>3169</v>
      </c>
      <c r="D176" s="634">
        <v>1571</v>
      </c>
      <c r="E176" s="634">
        <v>4740</v>
      </c>
      <c r="F176" s="635">
        <v>515</v>
      </c>
      <c r="G176" s="634">
        <v>235</v>
      </c>
      <c r="H176" s="634">
        <v>750</v>
      </c>
      <c r="I176" s="635">
        <v>165</v>
      </c>
      <c r="J176" s="634">
        <v>92</v>
      </c>
      <c r="K176" s="634">
        <v>257</v>
      </c>
      <c r="L176" s="635">
        <v>947</v>
      </c>
      <c r="M176" s="634">
        <v>461</v>
      </c>
      <c r="N176" s="634">
        <v>1408</v>
      </c>
      <c r="O176" s="635">
        <v>36</v>
      </c>
      <c r="P176" s="634">
        <v>5</v>
      </c>
      <c r="Q176" s="634">
        <v>41</v>
      </c>
      <c r="R176" s="635">
        <v>68</v>
      </c>
      <c r="S176" s="634">
        <v>15</v>
      </c>
      <c r="T176" s="634">
        <v>83</v>
      </c>
      <c r="U176" s="635">
        <v>28</v>
      </c>
      <c r="V176" s="634">
        <v>31</v>
      </c>
      <c r="W176" s="634">
        <v>59</v>
      </c>
      <c r="X176" s="635">
        <v>44</v>
      </c>
      <c r="Y176" s="634">
        <v>18</v>
      </c>
      <c r="Z176" s="634">
        <v>62</v>
      </c>
    </row>
    <row r="177" spans="1:26" x14ac:dyDescent="0.3">
      <c r="A177" s="593">
        <v>173</v>
      </c>
      <c r="B177" s="291" t="s">
        <v>239</v>
      </c>
      <c r="C177" s="635">
        <v>355</v>
      </c>
      <c r="D177" s="634">
        <v>666</v>
      </c>
      <c r="E177" s="634">
        <v>1021</v>
      </c>
      <c r="F177" s="635">
        <v>27</v>
      </c>
      <c r="G177" s="634">
        <v>41</v>
      </c>
      <c r="H177" s="634">
        <v>68</v>
      </c>
      <c r="I177" s="635">
        <v>16</v>
      </c>
      <c r="J177" s="634">
        <v>34</v>
      </c>
      <c r="K177" s="634">
        <v>50</v>
      </c>
      <c r="L177" s="635">
        <v>78</v>
      </c>
      <c r="M177" s="634">
        <v>144</v>
      </c>
      <c r="N177" s="634">
        <v>222</v>
      </c>
      <c r="O177" s="635">
        <v>0</v>
      </c>
      <c r="P177" s="634">
        <v>1</v>
      </c>
      <c r="Q177" s="634">
        <v>1</v>
      </c>
      <c r="R177" s="635">
        <v>16</v>
      </c>
      <c r="S177" s="634">
        <v>27</v>
      </c>
      <c r="T177" s="634">
        <v>43</v>
      </c>
      <c r="U177" s="635">
        <v>15</v>
      </c>
      <c r="V177" s="634">
        <v>31</v>
      </c>
      <c r="W177" s="634">
        <v>46</v>
      </c>
      <c r="X177" s="635">
        <v>4</v>
      </c>
      <c r="Y177" s="634">
        <v>7</v>
      </c>
      <c r="Z177" s="634">
        <v>11</v>
      </c>
    </row>
    <row r="178" spans="1:26" x14ac:dyDescent="0.3">
      <c r="A178" s="593">
        <v>174</v>
      </c>
      <c r="B178" s="291" t="s">
        <v>240</v>
      </c>
      <c r="C178" s="635">
        <v>8</v>
      </c>
      <c r="D178" s="634">
        <v>9</v>
      </c>
      <c r="E178" s="634">
        <v>17</v>
      </c>
      <c r="F178" s="635">
        <v>1</v>
      </c>
      <c r="G178" s="634">
        <v>0</v>
      </c>
      <c r="H178" s="634">
        <v>1</v>
      </c>
      <c r="I178" s="635">
        <v>0</v>
      </c>
      <c r="J178" s="634">
        <v>1</v>
      </c>
      <c r="K178" s="634">
        <v>1</v>
      </c>
      <c r="L178" s="635">
        <v>1</v>
      </c>
      <c r="M178" s="634">
        <v>2</v>
      </c>
      <c r="N178" s="634">
        <v>3</v>
      </c>
      <c r="O178" s="635">
        <v>0</v>
      </c>
      <c r="P178" s="634">
        <v>0</v>
      </c>
      <c r="Q178" s="634">
        <v>0</v>
      </c>
      <c r="R178" s="635">
        <v>0</v>
      </c>
      <c r="S178" s="634">
        <v>0</v>
      </c>
      <c r="T178" s="634">
        <v>0</v>
      </c>
      <c r="U178" s="635">
        <v>0</v>
      </c>
      <c r="V178" s="634">
        <v>1</v>
      </c>
      <c r="W178" s="634">
        <v>1</v>
      </c>
      <c r="X178" s="635">
        <v>0</v>
      </c>
      <c r="Y178" s="634">
        <v>0</v>
      </c>
      <c r="Z178" s="634">
        <v>0</v>
      </c>
    </row>
    <row r="179" spans="1:26" x14ac:dyDescent="0.3">
      <c r="A179" s="593">
        <v>175</v>
      </c>
      <c r="B179" s="291" t="s">
        <v>874</v>
      </c>
      <c r="C179" s="635">
        <v>40</v>
      </c>
      <c r="D179" s="634">
        <v>23</v>
      </c>
      <c r="E179" s="634">
        <v>63</v>
      </c>
      <c r="F179" s="635">
        <v>7</v>
      </c>
      <c r="G179" s="634">
        <v>2</v>
      </c>
      <c r="H179" s="634">
        <v>9</v>
      </c>
      <c r="I179" s="635">
        <v>2</v>
      </c>
      <c r="J179" s="634">
        <v>0</v>
      </c>
      <c r="K179" s="634">
        <v>2</v>
      </c>
      <c r="L179" s="635">
        <v>12</v>
      </c>
      <c r="M179" s="634">
        <v>5</v>
      </c>
      <c r="N179" s="634">
        <v>17</v>
      </c>
      <c r="O179" s="635">
        <v>0</v>
      </c>
      <c r="P179" s="634">
        <v>0</v>
      </c>
      <c r="Q179" s="634">
        <v>0</v>
      </c>
      <c r="R179" s="635">
        <v>6</v>
      </c>
      <c r="S179" s="634">
        <v>1</v>
      </c>
      <c r="T179" s="634">
        <v>7</v>
      </c>
      <c r="U179" s="635">
        <v>1</v>
      </c>
      <c r="V179" s="634">
        <v>1</v>
      </c>
      <c r="W179" s="634">
        <v>2</v>
      </c>
      <c r="X179" s="635">
        <v>2</v>
      </c>
      <c r="Y179" s="634">
        <v>2</v>
      </c>
      <c r="Z179" s="634">
        <v>4</v>
      </c>
    </row>
    <row r="180" spans="1:26" x14ac:dyDescent="0.3">
      <c r="A180" s="593">
        <v>176</v>
      </c>
      <c r="B180" s="291" t="s">
        <v>241</v>
      </c>
      <c r="C180" s="635">
        <v>947</v>
      </c>
      <c r="D180" s="634">
        <v>2376</v>
      </c>
      <c r="E180" s="634">
        <v>3323</v>
      </c>
      <c r="F180" s="635">
        <v>99</v>
      </c>
      <c r="G180" s="634">
        <v>148</v>
      </c>
      <c r="H180" s="634">
        <v>247</v>
      </c>
      <c r="I180" s="635">
        <v>18</v>
      </c>
      <c r="J180" s="634">
        <v>44</v>
      </c>
      <c r="K180" s="634">
        <v>62</v>
      </c>
      <c r="L180" s="635">
        <v>277</v>
      </c>
      <c r="M180" s="634">
        <v>505</v>
      </c>
      <c r="N180" s="634">
        <v>782</v>
      </c>
      <c r="O180" s="635">
        <v>0</v>
      </c>
      <c r="P180" s="634">
        <v>0</v>
      </c>
      <c r="Q180" s="634">
        <v>0</v>
      </c>
      <c r="R180" s="635">
        <v>37</v>
      </c>
      <c r="S180" s="634">
        <v>84</v>
      </c>
      <c r="T180" s="634">
        <v>121</v>
      </c>
      <c r="U180" s="635">
        <v>30</v>
      </c>
      <c r="V180" s="634">
        <v>88</v>
      </c>
      <c r="W180" s="634">
        <v>118</v>
      </c>
      <c r="X180" s="635">
        <v>4</v>
      </c>
      <c r="Y180" s="634">
        <v>12</v>
      </c>
      <c r="Z180" s="634">
        <v>16</v>
      </c>
    </row>
    <row r="181" spans="1:26" x14ac:dyDescent="0.3">
      <c r="A181" s="593">
        <v>177</v>
      </c>
      <c r="B181" s="291" t="s">
        <v>242</v>
      </c>
      <c r="C181" s="635">
        <v>8030</v>
      </c>
      <c r="D181" s="634">
        <v>9079</v>
      </c>
      <c r="E181" s="634">
        <v>17109</v>
      </c>
      <c r="F181" s="635">
        <v>783</v>
      </c>
      <c r="G181" s="634">
        <v>992</v>
      </c>
      <c r="H181" s="634">
        <v>1775</v>
      </c>
      <c r="I181" s="635">
        <v>252</v>
      </c>
      <c r="J181" s="634">
        <v>305</v>
      </c>
      <c r="K181" s="634">
        <v>557</v>
      </c>
      <c r="L181" s="635">
        <v>2727</v>
      </c>
      <c r="M181" s="634">
        <v>3190</v>
      </c>
      <c r="N181" s="634">
        <v>5917</v>
      </c>
      <c r="O181" s="635">
        <v>13</v>
      </c>
      <c r="P181" s="634">
        <v>7</v>
      </c>
      <c r="Q181" s="634">
        <v>20</v>
      </c>
      <c r="R181" s="635">
        <v>327</v>
      </c>
      <c r="S181" s="634">
        <v>363</v>
      </c>
      <c r="T181" s="634">
        <v>690</v>
      </c>
      <c r="U181" s="635">
        <v>72</v>
      </c>
      <c r="V181" s="634">
        <v>126</v>
      </c>
      <c r="W181" s="634">
        <v>198</v>
      </c>
      <c r="X181" s="635">
        <v>171</v>
      </c>
      <c r="Y181" s="634">
        <v>157</v>
      </c>
      <c r="Z181" s="634">
        <v>328</v>
      </c>
    </row>
    <row r="182" spans="1:26" x14ac:dyDescent="0.3">
      <c r="A182" s="593">
        <v>178</v>
      </c>
      <c r="B182" s="291" t="s">
        <v>243</v>
      </c>
      <c r="C182" s="635">
        <v>823</v>
      </c>
      <c r="D182" s="634">
        <v>2626</v>
      </c>
      <c r="E182" s="634">
        <v>3449</v>
      </c>
      <c r="F182" s="635">
        <v>109</v>
      </c>
      <c r="G182" s="634">
        <v>348</v>
      </c>
      <c r="H182" s="634">
        <v>457</v>
      </c>
      <c r="I182" s="635">
        <v>12</v>
      </c>
      <c r="J182" s="634">
        <v>35</v>
      </c>
      <c r="K182" s="634">
        <v>47</v>
      </c>
      <c r="L182" s="635">
        <v>276</v>
      </c>
      <c r="M182" s="634">
        <v>1498</v>
      </c>
      <c r="N182" s="634">
        <v>1774</v>
      </c>
      <c r="O182" s="635">
        <v>4</v>
      </c>
      <c r="P182" s="634">
        <v>5</v>
      </c>
      <c r="Q182" s="634">
        <v>9</v>
      </c>
      <c r="R182" s="635">
        <v>23</v>
      </c>
      <c r="S182" s="634">
        <v>81</v>
      </c>
      <c r="T182" s="634">
        <v>104</v>
      </c>
      <c r="U182" s="635">
        <v>29</v>
      </c>
      <c r="V182" s="634">
        <v>279</v>
      </c>
      <c r="W182" s="634">
        <v>308</v>
      </c>
      <c r="X182" s="635">
        <v>9</v>
      </c>
      <c r="Y182" s="634">
        <v>17</v>
      </c>
      <c r="Z182" s="634">
        <v>26</v>
      </c>
    </row>
    <row r="183" spans="1:26" x14ac:dyDescent="0.3">
      <c r="A183" s="593">
        <v>179</v>
      </c>
      <c r="B183" s="291" t="s">
        <v>244</v>
      </c>
      <c r="C183" s="635">
        <v>421</v>
      </c>
      <c r="D183" s="634">
        <v>488</v>
      </c>
      <c r="E183" s="634">
        <v>909</v>
      </c>
      <c r="F183" s="635">
        <v>40</v>
      </c>
      <c r="G183" s="634">
        <v>28</v>
      </c>
      <c r="H183" s="634">
        <v>68</v>
      </c>
      <c r="I183" s="635">
        <v>11</v>
      </c>
      <c r="J183" s="634">
        <v>13</v>
      </c>
      <c r="K183" s="634">
        <v>24</v>
      </c>
      <c r="L183" s="635">
        <v>91</v>
      </c>
      <c r="M183" s="634">
        <v>105</v>
      </c>
      <c r="N183" s="634">
        <v>196</v>
      </c>
      <c r="O183" s="635">
        <v>5</v>
      </c>
      <c r="P183" s="634">
        <v>0</v>
      </c>
      <c r="Q183" s="634">
        <v>5</v>
      </c>
      <c r="R183" s="635">
        <v>16</v>
      </c>
      <c r="S183" s="634">
        <v>14</v>
      </c>
      <c r="T183" s="634">
        <v>30</v>
      </c>
      <c r="U183" s="635">
        <v>22</v>
      </c>
      <c r="V183" s="634">
        <v>15</v>
      </c>
      <c r="W183" s="634">
        <v>37</v>
      </c>
      <c r="X183" s="635">
        <v>17</v>
      </c>
      <c r="Y183" s="634">
        <v>10</v>
      </c>
      <c r="Z183" s="634">
        <v>27</v>
      </c>
    </row>
    <row r="184" spans="1:26" x14ac:dyDescent="0.3">
      <c r="A184" s="593">
        <v>180</v>
      </c>
      <c r="B184" s="291" t="s">
        <v>245</v>
      </c>
      <c r="C184" s="635">
        <v>2326</v>
      </c>
      <c r="D184" s="634">
        <v>2768</v>
      </c>
      <c r="E184" s="634">
        <v>5094</v>
      </c>
      <c r="F184" s="635">
        <v>252</v>
      </c>
      <c r="G184" s="634">
        <v>254</v>
      </c>
      <c r="H184" s="634">
        <v>506</v>
      </c>
      <c r="I184" s="635">
        <v>113</v>
      </c>
      <c r="J184" s="634">
        <v>150</v>
      </c>
      <c r="K184" s="634">
        <v>263</v>
      </c>
      <c r="L184" s="635">
        <v>741</v>
      </c>
      <c r="M184" s="634">
        <v>951</v>
      </c>
      <c r="N184" s="634">
        <v>1692</v>
      </c>
      <c r="O184" s="635">
        <v>8</v>
      </c>
      <c r="P184" s="634">
        <v>4</v>
      </c>
      <c r="Q184" s="634">
        <v>12</v>
      </c>
      <c r="R184" s="635">
        <v>57</v>
      </c>
      <c r="S184" s="634">
        <v>69</v>
      </c>
      <c r="T184" s="634">
        <v>126</v>
      </c>
      <c r="U184" s="635">
        <v>44</v>
      </c>
      <c r="V184" s="634">
        <v>93</v>
      </c>
      <c r="W184" s="634">
        <v>137</v>
      </c>
      <c r="X184" s="635">
        <v>69</v>
      </c>
      <c r="Y184" s="634">
        <v>43</v>
      </c>
      <c r="Z184" s="634">
        <v>112</v>
      </c>
    </row>
    <row r="185" spans="1:26" x14ac:dyDescent="0.3">
      <c r="A185" s="593">
        <v>181</v>
      </c>
      <c r="B185" s="291" t="s">
        <v>246</v>
      </c>
      <c r="C185" s="635">
        <v>2848</v>
      </c>
      <c r="D185" s="634">
        <v>2561</v>
      </c>
      <c r="E185" s="634">
        <v>5409</v>
      </c>
      <c r="F185" s="635">
        <v>229</v>
      </c>
      <c r="G185" s="634">
        <v>205</v>
      </c>
      <c r="H185" s="634">
        <v>434</v>
      </c>
      <c r="I185" s="635">
        <v>104</v>
      </c>
      <c r="J185" s="634">
        <v>79</v>
      </c>
      <c r="K185" s="634">
        <v>183</v>
      </c>
      <c r="L185" s="635">
        <v>707</v>
      </c>
      <c r="M185" s="634">
        <v>644</v>
      </c>
      <c r="N185" s="634">
        <v>1351</v>
      </c>
      <c r="O185" s="635">
        <v>3</v>
      </c>
      <c r="P185" s="634">
        <v>1</v>
      </c>
      <c r="Q185" s="634">
        <v>4</v>
      </c>
      <c r="R185" s="635">
        <v>107</v>
      </c>
      <c r="S185" s="634">
        <v>123</v>
      </c>
      <c r="T185" s="634">
        <v>230</v>
      </c>
      <c r="U185" s="635">
        <v>73</v>
      </c>
      <c r="V185" s="634">
        <v>67</v>
      </c>
      <c r="W185" s="634">
        <v>140</v>
      </c>
      <c r="X185" s="635">
        <v>28</v>
      </c>
      <c r="Y185" s="634">
        <v>8</v>
      </c>
      <c r="Z185" s="634">
        <v>36</v>
      </c>
    </row>
    <row r="186" spans="1:26" x14ac:dyDescent="0.3">
      <c r="A186" s="593">
        <v>182</v>
      </c>
      <c r="B186" s="291" t="s">
        <v>247</v>
      </c>
      <c r="C186" s="635">
        <v>9537</v>
      </c>
      <c r="D186" s="634">
        <v>12331</v>
      </c>
      <c r="E186" s="634">
        <v>21868</v>
      </c>
      <c r="F186" s="635">
        <v>2219</v>
      </c>
      <c r="G186" s="634">
        <v>2272</v>
      </c>
      <c r="H186" s="634">
        <v>4491</v>
      </c>
      <c r="I186" s="635">
        <v>1765</v>
      </c>
      <c r="J186" s="634">
        <v>1968</v>
      </c>
      <c r="K186" s="634">
        <v>3733</v>
      </c>
      <c r="L186" s="635">
        <v>3029</v>
      </c>
      <c r="M186" s="634">
        <v>3798</v>
      </c>
      <c r="N186" s="634">
        <v>6827</v>
      </c>
      <c r="O186" s="635">
        <v>7</v>
      </c>
      <c r="P186" s="634">
        <v>9</v>
      </c>
      <c r="Q186" s="634">
        <v>16</v>
      </c>
      <c r="R186" s="635">
        <v>150</v>
      </c>
      <c r="S186" s="634">
        <v>244</v>
      </c>
      <c r="T186" s="634">
        <v>394</v>
      </c>
      <c r="U186" s="635">
        <v>315</v>
      </c>
      <c r="V186" s="634">
        <v>627</v>
      </c>
      <c r="W186" s="634">
        <v>942</v>
      </c>
      <c r="X186" s="635">
        <v>82</v>
      </c>
      <c r="Y186" s="634">
        <v>136</v>
      </c>
      <c r="Z186" s="634">
        <v>218</v>
      </c>
    </row>
    <row r="187" spans="1:26" x14ac:dyDescent="0.3">
      <c r="A187" s="593">
        <v>183</v>
      </c>
      <c r="B187" s="291" t="s">
        <v>875</v>
      </c>
      <c r="C187" s="635">
        <v>68</v>
      </c>
      <c r="D187" s="634">
        <v>42</v>
      </c>
      <c r="E187" s="634">
        <v>110</v>
      </c>
      <c r="F187" s="635">
        <v>12</v>
      </c>
      <c r="G187" s="634">
        <v>2</v>
      </c>
      <c r="H187" s="634">
        <v>14</v>
      </c>
      <c r="I187" s="635">
        <v>4</v>
      </c>
      <c r="J187" s="634">
        <v>2</v>
      </c>
      <c r="K187" s="634">
        <v>6</v>
      </c>
      <c r="L187" s="635">
        <v>27</v>
      </c>
      <c r="M187" s="634">
        <v>14</v>
      </c>
      <c r="N187" s="634">
        <v>41</v>
      </c>
      <c r="O187" s="635">
        <v>0</v>
      </c>
      <c r="P187" s="634">
        <v>0</v>
      </c>
      <c r="Q187" s="634">
        <v>0</v>
      </c>
      <c r="R187" s="635">
        <v>0</v>
      </c>
      <c r="S187" s="634">
        <v>0</v>
      </c>
      <c r="T187" s="634">
        <v>0</v>
      </c>
      <c r="U187" s="635">
        <v>1</v>
      </c>
      <c r="V187" s="634">
        <v>1</v>
      </c>
      <c r="W187" s="634">
        <v>2</v>
      </c>
      <c r="X187" s="635">
        <v>10</v>
      </c>
      <c r="Y187" s="634">
        <v>1</v>
      </c>
      <c r="Z187" s="634">
        <v>11</v>
      </c>
    </row>
    <row r="188" spans="1:26" x14ac:dyDescent="0.3">
      <c r="A188" s="593">
        <v>184</v>
      </c>
      <c r="B188" s="291" t="s">
        <v>876</v>
      </c>
      <c r="C188" s="635">
        <v>52</v>
      </c>
      <c r="D188" s="634">
        <v>116</v>
      </c>
      <c r="E188" s="634">
        <v>168</v>
      </c>
      <c r="F188" s="635">
        <v>6</v>
      </c>
      <c r="G188" s="634">
        <v>11</v>
      </c>
      <c r="H188" s="634">
        <v>17</v>
      </c>
      <c r="I188" s="635">
        <v>4</v>
      </c>
      <c r="J188" s="634">
        <v>5</v>
      </c>
      <c r="K188" s="634">
        <v>9</v>
      </c>
      <c r="L188" s="635">
        <v>10</v>
      </c>
      <c r="M188" s="634">
        <v>23</v>
      </c>
      <c r="N188" s="634">
        <v>33</v>
      </c>
      <c r="O188" s="635">
        <v>0</v>
      </c>
      <c r="P188" s="634">
        <v>0</v>
      </c>
      <c r="Q188" s="634">
        <v>0</v>
      </c>
      <c r="R188" s="635">
        <v>0</v>
      </c>
      <c r="S188" s="634">
        <v>2</v>
      </c>
      <c r="T188" s="634">
        <v>2</v>
      </c>
      <c r="U188" s="635">
        <v>1</v>
      </c>
      <c r="V188" s="634">
        <v>10</v>
      </c>
      <c r="W188" s="634">
        <v>11</v>
      </c>
      <c r="X188" s="635">
        <v>1</v>
      </c>
      <c r="Y188" s="634">
        <v>2</v>
      </c>
      <c r="Z188" s="634">
        <v>3</v>
      </c>
    </row>
    <row r="189" spans="1:26" x14ac:dyDescent="0.3">
      <c r="A189" s="593">
        <v>185</v>
      </c>
      <c r="B189" s="291" t="s">
        <v>877</v>
      </c>
      <c r="C189" s="635">
        <v>4</v>
      </c>
      <c r="D189" s="634">
        <v>3</v>
      </c>
      <c r="E189" s="634">
        <v>7</v>
      </c>
      <c r="F189" s="635">
        <v>0</v>
      </c>
      <c r="G189" s="634">
        <v>0</v>
      </c>
      <c r="H189" s="634">
        <v>0</v>
      </c>
      <c r="I189" s="635">
        <v>0</v>
      </c>
      <c r="J189" s="634">
        <v>0</v>
      </c>
      <c r="K189" s="634">
        <v>0</v>
      </c>
      <c r="L189" s="635">
        <v>0</v>
      </c>
      <c r="M189" s="634">
        <v>0</v>
      </c>
      <c r="N189" s="634">
        <v>0</v>
      </c>
      <c r="O189" s="635">
        <v>0</v>
      </c>
      <c r="P189" s="634">
        <v>0</v>
      </c>
      <c r="Q189" s="634">
        <v>0</v>
      </c>
      <c r="R189" s="635">
        <v>0</v>
      </c>
      <c r="S189" s="634">
        <v>0</v>
      </c>
      <c r="T189" s="634">
        <v>0</v>
      </c>
      <c r="U189" s="635">
        <v>0</v>
      </c>
      <c r="V189" s="634">
        <v>0</v>
      </c>
      <c r="W189" s="634">
        <v>0</v>
      </c>
      <c r="X189" s="635">
        <v>0</v>
      </c>
      <c r="Y189" s="634">
        <v>0</v>
      </c>
      <c r="Z189" s="634">
        <v>0</v>
      </c>
    </row>
    <row r="190" spans="1:26" x14ac:dyDescent="0.3">
      <c r="A190" s="593">
        <v>186</v>
      </c>
      <c r="B190" s="291" t="s">
        <v>248</v>
      </c>
      <c r="C190" s="635">
        <v>1120</v>
      </c>
      <c r="D190" s="634">
        <v>4734</v>
      </c>
      <c r="E190" s="634">
        <v>5854</v>
      </c>
      <c r="F190" s="635">
        <v>153</v>
      </c>
      <c r="G190" s="634">
        <v>713</v>
      </c>
      <c r="H190" s="634">
        <v>866</v>
      </c>
      <c r="I190" s="635">
        <v>77</v>
      </c>
      <c r="J190" s="634">
        <v>349</v>
      </c>
      <c r="K190" s="634">
        <v>426</v>
      </c>
      <c r="L190" s="635">
        <v>329</v>
      </c>
      <c r="M190" s="634">
        <v>1347</v>
      </c>
      <c r="N190" s="634">
        <v>1676</v>
      </c>
      <c r="O190" s="635">
        <v>3</v>
      </c>
      <c r="P190" s="634">
        <v>4</v>
      </c>
      <c r="Q190" s="634">
        <v>7</v>
      </c>
      <c r="R190" s="635">
        <v>19</v>
      </c>
      <c r="S190" s="634">
        <v>60</v>
      </c>
      <c r="T190" s="634">
        <v>79</v>
      </c>
      <c r="U190" s="635">
        <v>13</v>
      </c>
      <c r="V190" s="634">
        <v>165</v>
      </c>
      <c r="W190" s="634">
        <v>178</v>
      </c>
      <c r="X190" s="635">
        <v>11</v>
      </c>
      <c r="Y190" s="634">
        <v>21</v>
      </c>
      <c r="Z190" s="634">
        <v>32</v>
      </c>
    </row>
    <row r="191" spans="1:26" x14ac:dyDescent="0.3">
      <c r="A191" s="593">
        <v>187</v>
      </c>
      <c r="B191" s="291" t="s">
        <v>249</v>
      </c>
      <c r="C191" s="635">
        <v>425</v>
      </c>
      <c r="D191" s="634">
        <v>265</v>
      </c>
      <c r="E191" s="634">
        <v>690</v>
      </c>
      <c r="F191" s="635">
        <v>38</v>
      </c>
      <c r="G191" s="634">
        <v>47</v>
      </c>
      <c r="H191" s="634">
        <v>85</v>
      </c>
      <c r="I191" s="635">
        <v>15</v>
      </c>
      <c r="J191" s="634">
        <v>6</v>
      </c>
      <c r="K191" s="634">
        <v>21</v>
      </c>
      <c r="L191" s="635">
        <v>76</v>
      </c>
      <c r="M191" s="634">
        <v>60</v>
      </c>
      <c r="N191" s="634">
        <v>136</v>
      </c>
      <c r="O191" s="635">
        <v>1</v>
      </c>
      <c r="P191" s="634">
        <v>0</v>
      </c>
      <c r="Q191" s="634">
        <v>1</v>
      </c>
      <c r="R191" s="635">
        <v>6</v>
      </c>
      <c r="S191" s="634">
        <v>0</v>
      </c>
      <c r="T191" s="634">
        <v>6</v>
      </c>
      <c r="U191" s="635">
        <v>1</v>
      </c>
      <c r="V191" s="634">
        <v>7</v>
      </c>
      <c r="W191" s="634">
        <v>8</v>
      </c>
      <c r="X191" s="635">
        <v>8</v>
      </c>
      <c r="Y191" s="634">
        <v>2</v>
      </c>
      <c r="Z191" s="634">
        <v>10</v>
      </c>
    </row>
    <row r="192" spans="1:26" ht="26" x14ac:dyDescent="0.3">
      <c r="A192" s="593">
        <v>188</v>
      </c>
      <c r="B192" s="291" t="s">
        <v>878</v>
      </c>
      <c r="C192" s="635">
        <v>59</v>
      </c>
      <c r="D192" s="634">
        <v>18</v>
      </c>
      <c r="E192" s="634">
        <v>77</v>
      </c>
      <c r="F192" s="635">
        <v>5</v>
      </c>
      <c r="G192" s="634">
        <v>2</v>
      </c>
      <c r="H192" s="634">
        <v>7</v>
      </c>
      <c r="I192" s="635">
        <v>4</v>
      </c>
      <c r="J192" s="634">
        <v>0</v>
      </c>
      <c r="K192" s="634">
        <v>4</v>
      </c>
      <c r="L192" s="635">
        <v>13</v>
      </c>
      <c r="M192" s="634">
        <v>5</v>
      </c>
      <c r="N192" s="634">
        <v>18</v>
      </c>
      <c r="O192" s="635">
        <v>0</v>
      </c>
      <c r="P192" s="634">
        <v>0</v>
      </c>
      <c r="Q192" s="634">
        <v>0</v>
      </c>
      <c r="R192" s="635">
        <v>2</v>
      </c>
      <c r="S192" s="634">
        <v>0</v>
      </c>
      <c r="T192" s="634">
        <v>2</v>
      </c>
      <c r="U192" s="635">
        <v>3</v>
      </c>
      <c r="V192" s="634">
        <v>0</v>
      </c>
      <c r="W192" s="634">
        <v>3</v>
      </c>
      <c r="X192" s="635">
        <v>1</v>
      </c>
      <c r="Y192" s="634">
        <v>0</v>
      </c>
      <c r="Z192" s="634">
        <v>1</v>
      </c>
    </row>
    <row r="193" spans="1:26" ht="15" customHeight="1" x14ac:dyDescent="0.3">
      <c r="A193" s="593">
        <v>189</v>
      </c>
      <c r="B193" s="612" t="s">
        <v>250</v>
      </c>
      <c r="C193" s="635">
        <v>5</v>
      </c>
      <c r="D193" s="634">
        <v>17</v>
      </c>
      <c r="E193" s="634">
        <v>22</v>
      </c>
      <c r="F193" s="635">
        <v>2</v>
      </c>
      <c r="G193" s="634">
        <v>1</v>
      </c>
      <c r="H193" s="634">
        <v>3</v>
      </c>
      <c r="I193" s="635">
        <v>0</v>
      </c>
      <c r="J193" s="634">
        <v>0</v>
      </c>
      <c r="K193" s="634">
        <v>0</v>
      </c>
      <c r="L193" s="635">
        <v>1</v>
      </c>
      <c r="M193" s="634">
        <v>6</v>
      </c>
      <c r="N193" s="634">
        <v>7</v>
      </c>
      <c r="O193" s="635">
        <v>0</v>
      </c>
      <c r="P193" s="634">
        <v>0</v>
      </c>
      <c r="Q193" s="634">
        <v>0</v>
      </c>
      <c r="R193" s="635">
        <v>0</v>
      </c>
      <c r="S193" s="634">
        <v>2</v>
      </c>
      <c r="T193" s="634">
        <v>2</v>
      </c>
      <c r="U193" s="635">
        <v>0</v>
      </c>
      <c r="V193" s="634">
        <v>0</v>
      </c>
      <c r="W193" s="634">
        <v>0</v>
      </c>
      <c r="X193" s="635">
        <v>0</v>
      </c>
      <c r="Y193" s="634">
        <v>0</v>
      </c>
      <c r="Z193" s="634">
        <v>0</v>
      </c>
    </row>
    <row r="194" spans="1:26" ht="26" x14ac:dyDescent="0.3">
      <c r="A194" s="593">
        <v>190</v>
      </c>
      <c r="B194" s="291" t="s">
        <v>251</v>
      </c>
      <c r="C194" s="635">
        <v>26</v>
      </c>
      <c r="D194" s="634">
        <v>52</v>
      </c>
      <c r="E194" s="634">
        <v>78</v>
      </c>
      <c r="F194" s="635">
        <v>1</v>
      </c>
      <c r="G194" s="634">
        <v>4</v>
      </c>
      <c r="H194" s="634">
        <v>5</v>
      </c>
      <c r="I194" s="635">
        <v>0</v>
      </c>
      <c r="J194" s="634">
        <v>2</v>
      </c>
      <c r="K194" s="634">
        <v>2</v>
      </c>
      <c r="L194" s="635">
        <v>15</v>
      </c>
      <c r="M194" s="634">
        <v>16</v>
      </c>
      <c r="N194" s="634">
        <v>31</v>
      </c>
      <c r="O194" s="635">
        <v>0</v>
      </c>
      <c r="P194" s="634">
        <v>0</v>
      </c>
      <c r="Q194" s="634">
        <v>0</v>
      </c>
      <c r="R194" s="635">
        <v>2</v>
      </c>
      <c r="S194" s="634">
        <v>7</v>
      </c>
      <c r="T194" s="634">
        <v>9</v>
      </c>
      <c r="U194" s="635">
        <v>0</v>
      </c>
      <c r="V194" s="634">
        <v>0</v>
      </c>
      <c r="W194" s="634">
        <v>0</v>
      </c>
      <c r="X194" s="635">
        <v>0</v>
      </c>
      <c r="Y194" s="634">
        <v>1</v>
      </c>
      <c r="Z194" s="634">
        <v>1</v>
      </c>
    </row>
    <row r="195" spans="1:26" ht="26" x14ac:dyDescent="0.3">
      <c r="A195" s="593">
        <v>191</v>
      </c>
      <c r="B195" s="291" t="s">
        <v>252</v>
      </c>
      <c r="C195" s="635">
        <v>125</v>
      </c>
      <c r="D195" s="634">
        <v>175</v>
      </c>
      <c r="E195" s="634">
        <v>300</v>
      </c>
      <c r="F195" s="635">
        <v>22</v>
      </c>
      <c r="G195" s="634">
        <v>18</v>
      </c>
      <c r="H195" s="634">
        <v>40</v>
      </c>
      <c r="I195" s="635">
        <v>0</v>
      </c>
      <c r="J195" s="634">
        <v>1</v>
      </c>
      <c r="K195" s="634">
        <v>1</v>
      </c>
      <c r="L195" s="635">
        <v>31</v>
      </c>
      <c r="M195" s="634">
        <v>56</v>
      </c>
      <c r="N195" s="634">
        <v>87</v>
      </c>
      <c r="O195" s="635">
        <v>0</v>
      </c>
      <c r="P195" s="634">
        <v>0</v>
      </c>
      <c r="Q195" s="634">
        <v>0</v>
      </c>
      <c r="R195" s="635">
        <v>3</v>
      </c>
      <c r="S195" s="634">
        <v>10</v>
      </c>
      <c r="T195" s="634">
        <v>13</v>
      </c>
      <c r="U195" s="635">
        <v>0</v>
      </c>
      <c r="V195" s="634">
        <v>10</v>
      </c>
      <c r="W195" s="634">
        <v>10</v>
      </c>
      <c r="X195" s="635">
        <v>2</v>
      </c>
      <c r="Y195" s="634">
        <v>12</v>
      </c>
      <c r="Z195" s="634">
        <v>14</v>
      </c>
    </row>
    <row r="196" spans="1:26" ht="26" x14ac:dyDescent="0.3">
      <c r="A196" s="593">
        <v>192</v>
      </c>
      <c r="B196" s="291" t="s">
        <v>879</v>
      </c>
      <c r="C196" s="635">
        <v>6</v>
      </c>
      <c r="D196" s="634">
        <v>9</v>
      </c>
      <c r="E196" s="634">
        <v>15</v>
      </c>
      <c r="F196" s="635">
        <v>1</v>
      </c>
      <c r="G196" s="634">
        <v>0</v>
      </c>
      <c r="H196" s="634">
        <v>1</v>
      </c>
      <c r="I196" s="635">
        <v>0</v>
      </c>
      <c r="J196" s="634">
        <v>0</v>
      </c>
      <c r="K196" s="634">
        <v>0</v>
      </c>
      <c r="L196" s="635">
        <v>1</v>
      </c>
      <c r="M196" s="634">
        <v>5</v>
      </c>
      <c r="N196" s="634">
        <v>6</v>
      </c>
      <c r="O196" s="635">
        <v>0</v>
      </c>
      <c r="P196" s="634">
        <v>0</v>
      </c>
      <c r="Q196" s="634">
        <v>0</v>
      </c>
      <c r="R196" s="635">
        <v>0</v>
      </c>
      <c r="S196" s="634">
        <v>1</v>
      </c>
      <c r="T196" s="634">
        <v>1</v>
      </c>
      <c r="U196" s="635">
        <v>0</v>
      </c>
      <c r="V196" s="634">
        <v>0</v>
      </c>
      <c r="W196" s="634">
        <v>0</v>
      </c>
      <c r="X196" s="635">
        <v>0</v>
      </c>
      <c r="Y196" s="634">
        <v>0</v>
      </c>
      <c r="Z196" s="634">
        <v>0</v>
      </c>
    </row>
    <row r="197" spans="1:26" ht="15" customHeight="1" x14ac:dyDescent="0.3">
      <c r="A197" s="593">
        <v>193</v>
      </c>
      <c r="B197" s="612" t="s">
        <v>253</v>
      </c>
      <c r="C197" s="635">
        <v>26</v>
      </c>
      <c r="D197" s="634">
        <v>25</v>
      </c>
      <c r="E197" s="634">
        <v>51</v>
      </c>
      <c r="F197" s="635">
        <v>3</v>
      </c>
      <c r="G197" s="634">
        <v>2</v>
      </c>
      <c r="H197" s="634">
        <v>5</v>
      </c>
      <c r="I197" s="635">
        <v>2</v>
      </c>
      <c r="J197" s="634">
        <v>0</v>
      </c>
      <c r="K197" s="634">
        <v>2</v>
      </c>
      <c r="L197" s="635">
        <v>3</v>
      </c>
      <c r="M197" s="634">
        <v>4</v>
      </c>
      <c r="N197" s="634">
        <v>7</v>
      </c>
      <c r="O197" s="635">
        <v>0</v>
      </c>
      <c r="P197" s="634">
        <v>0</v>
      </c>
      <c r="Q197" s="634">
        <v>0</v>
      </c>
      <c r="R197" s="635">
        <v>4</v>
      </c>
      <c r="S197" s="634">
        <v>1</v>
      </c>
      <c r="T197" s="634">
        <v>5</v>
      </c>
      <c r="U197" s="635">
        <v>5</v>
      </c>
      <c r="V197" s="634">
        <v>0</v>
      </c>
      <c r="W197" s="634">
        <v>5</v>
      </c>
      <c r="X197" s="635">
        <v>0</v>
      </c>
      <c r="Y197" s="634">
        <v>1</v>
      </c>
      <c r="Z197" s="634">
        <v>1</v>
      </c>
    </row>
    <row r="198" spans="1:26" x14ac:dyDescent="0.3">
      <c r="A198" s="593">
        <v>194</v>
      </c>
      <c r="B198" s="291" t="s">
        <v>880</v>
      </c>
      <c r="C198" s="635">
        <v>14</v>
      </c>
      <c r="D198" s="634">
        <v>23</v>
      </c>
      <c r="E198" s="634">
        <v>37</v>
      </c>
      <c r="F198" s="635">
        <v>0</v>
      </c>
      <c r="G198" s="634">
        <v>4</v>
      </c>
      <c r="H198" s="634">
        <v>4</v>
      </c>
      <c r="I198" s="635">
        <v>3</v>
      </c>
      <c r="J198" s="634">
        <v>1</v>
      </c>
      <c r="K198" s="634">
        <v>4</v>
      </c>
      <c r="L198" s="635">
        <v>8</v>
      </c>
      <c r="M198" s="634">
        <v>8</v>
      </c>
      <c r="N198" s="634">
        <v>16</v>
      </c>
      <c r="O198" s="635">
        <v>0</v>
      </c>
      <c r="P198" s="634">
        <v>0</v>
      </c>
      <c r="Q198" s="634">
        <v>0</v>
      </c>
      <c r="R198" s="635">
        <v>0</v>
      </c>
      <c r="S198" s="634">
        <v>0</v>
      </c>
      <c r="T198" s="634">
        <v>0</v>
      </c>
      <c r="U198" s="635">
        <v>0</v>
      </c>
      <c r="V198" s="634">
        <v>0</v>
      </c>
      <c r="W198" s="634">
        <v>0</v>
      </c>
      <c r="X198" s="635">
        <v>0</v>
      </c>
      <c r="Y198" s="634">
        <v>0</v>
      </c>
      <c r="Z198" s="634">
        <v>0</v>
      </c>
    </row>
    <row r="199" spans="1:26" x14ac:dyDescent="0.3">
      <c r="A199" s="593">
        <v>195</v>
      </c>
      <c r="B199" s="291" t="s">
        <v>254</v>
      </c>
      <c r="C199" s="635">
        <v>135128</v>
      </c>
      <c r="D199" s="634">
        <v>220456</v>
      </c>
      <c r="E199" s="634">
        <v>355584</v>
      </c>
      <c r="F199" s="635">
        <v>17088</v>
      </c>
      <c r="G199" s="634">
        <v>24865</v>
      </c>
      <c r="H199" s="634">
        <v>41953</v>
      </c>
      <c r="I199" s="635">
        <v>6854</v>
      </c>
      <c r="J199" s="634">
        <v>9994</v>
      </c>
      <c r="K199" s="634">
        <v>16848</v>
      </c>
      <c r="L199" s="635">
        <v>51940</v>
      </c>
      <c r="M199" s="634">
        <v>91556</v>
      </c>
      <c r="N199" s="634">
        <v>143496</v>
      </c>
      <c r="O199" s="635">
        <v>141</v>
      </c>
      <c r="P199" s="634">
        <v>148</v>
      </c>
      <c r="Q199" s="634">
        <v>289</v>
      </c>
      <c r="R199" s="635">
        <v>3685</v>
      </c>
      <c r="S199" s="634">
        <v>6875</v>
      </c>
      <c r="T199" s="634">
        <v>10560</v>
      </c>
      <c r="U199" s="635">
        <v>2207</v>
      </c>
      <c r="V199" s="634">
        <v>6110</v>
      </c>
      <c r="W199" s="634">
        <v>8317</v>
      </c>
      <c r="X199" s="635">
        <v>3109</v>
      </c>
      <c r="Y199" s="634">
        <v>4058</v>
      </c>
      <c r="Z199" s="634">
        <v>7167</v>
      </c>
    </row>
    <row r="200" spans="1:26" x14ac:dyDescent="0.3">
      <c r="A200" s="593">
        <v>196</v>
      </c>
      <c r="B200" s="291" t="s">
        <v>255</v>
      </c>
      <c r="C200" s="635">
        <v>621</v>
      </c>
      <c r="D200" s="634">
        <v>527</v>
      </c>
      <c r="E200" s="634">
        <v>1148</v>
      </c>
      <c r="F200" s="635">
        <v>62</v>
      </c>
      <c r="G200" s="634">
        <v>48</v>
      </c>
      <c r="H200" s="634">
        <v>110</v>
      </c>
      <c r="I200" s="635">
        <v>15</v>
      </c>
      <c r="J200" s="634">
        <v>23</v>
      </c>
      <c r="K200" s="634">
        <v>38</v>
      </c>
      <c r="L200" s="635">
        <v>252</v>
      </c>
      <c r="M200" s="634">
        <v>179</v>
      </c>
      <c r="N200" s="634">
        <v>431</v>
      </c>
      <c r="O200" s="635">
        <v>7</v>
      </c>
      <c r="P200" s="634">
        <v>1</v>
      </c>
      <c r="Q200" s="634">
        <v>8</v>
      </c>
      <c r="R200" s="635">
        <v>22</v>
      </c>
      <c r="S200" s="634">
        <v>28</v>
      </c>
      <c r="T200" s="634">
        <v>50</v>
      </c>
      <c r="U200" s="635">
        <v>13</v>
      </c>
      <c r="V200" s="634">
        <v>30</v>
      </c>
      <c r="W200" s="634">
        <v>43</v>
      </c>
      <c r="X200" s="635">
        <v>3</v>
      </c>
      <c r="Y200" s="634">
        <v>1</v>
      </c>
      <c r="Z200" s="634">
        <v>4</v>
      </c>
    </row>
    <row r="201" spans="1:26" x14ac:dyDescent="0.3">
      <c r="A201" s="593">
        <v>197</v>
      </c>
      <c r="B201" s="291" t="s">
        <v>256</v>
      </c>
      <c r="C201" s="635">
        <v>33776</v>
      </c>
      <c r="D201" s="634">
        <v>16129</v>
      </c>
      <c r="E201" s="634">
        <v>49905</v>
      </c>
      <c r="F201" s="635">
        <v>3585</v>
      </c>
      <c r="G201" s="634">
        <v>1689</v>
      </c>
      <c r="H201" s="634">
        <v>5274</v>
      </c>
      <c r="I201" s="635">
        <v>1105</v>
      </c>
      <c r="J201" s="634">
        <v>520</v>
      </c>
      <c r="K201" s="634">
        <v>1625</v>
      </c>
      <c r="L201" s="635">
        <v>9588</v>
      </c>
      <c r="M201" s="634">
        <v>4899</v>
      </c>
      <c r="N201" s="634">
        <v>14487</v>
      </c>
      <c r="O201" s="635">
        <v>58</v>
      </c>
      <c r="P201" s="634">
        <v>12</v>
      </c>
      <c r="Q201" s="634">
        <v>70</v>
      </c>
      <c r="R201" s="635">
        <v>1443</v>
      </c>
      <c r="S201" s="634">
        <v>782</v>
      </c>
      <c r="T201" s="634">
        <v>2225</v>
      </c>
      <c r="U201" s="635">
        <v>776</v>
      </c>
      <c r="V201" s="634">
        <v>563</v>
      </c>
      <c r="W201" s="634">
        <v>1339</v>
      </c>
      <c r="X201" s="635">
        <v>1334</v>
      </c>
      <c r="Y201" s="634">
        <v>395</v>
      </c>
      <c r="Z201" s="634">
        <v>1729</v>
      </c>
    </row>
    <row r="202" spans="1:26" x14ac:dyDescent="0.3">
      <c r="A202" s="593">
        <v>198</v>
      </c>
      <c r="B202" s="291" t="s">
        <v>881</v>
      </c>
      <c r="C202" s="635">
        <v>11</v>
      </c>
      <c r="D202" s="634">
        <v>10</v>
      </c>
      <c r="E202" s="634">
        <v>21</v>
      </c>
      <c r="F202" s="635">
        <v>2</v>
      </c>
      <c r="G202" s="634">
        <v>2</v>
      </c>
      <c r="H202" s="634">
        <v>4</v>
      </c>
      <c r="I202" s="635">
        <v>0</v>
      </c>
      <c r="J202" s="634">
        <v>0</v>
      </c>
      <c r="K202" s="634">
        <v>0</v>
      </c>
      <c r="L202" s="635">
        <v>4</v>
      </c>
      <c r="M202" s="634">
        <v>5</v>
      </c>
      <c r="N202" s="634">
        <v>9</v>
      </c>
      <c r="O202" s="635">
        <v>0</v>
      </c>
      <c r="P202" s="634">
        <v>0</v>
      </c>
      <c r="Q202" s="634">
        <v>0</v>
      </c>
      <c r="R202" s="635">
        <v>0</v>
      </c>
      <c r="S202" s="634">
        <v>0</v>
      </c>
      <c r="T202" s="634">
        <v>0</v>
      </c>
      <c r="U202" s="635">
        <v>0</v>
      </c>
      <c r="V202" s="634">
        <v>0</v>
      </c>
      <c r="W202" s="634">
        <v>0</v>
      </c>
      <c r="X202" s="635">
        <v>0</v>
      </c>
      <c r="Y202" s="634">
        <v>0</v>
      </c>
      <c r="Z202" s="634">
        <v>0</v>
      </c>
    </row>
    <row r="203" spans="1:26" x14ac:dyDescent="0.3">
      <c r="A203" s="593">
        <v>199</v>
      </c>
      <c r="B203" s="291" t="s">
        <v>882</v>
      </c>
      <c r="C203" s="635">
        <v>22</v>
      </c>
      <c r="D203" s="634">
        <v>23</v>
      </c>
      <c r="E203" s="634">
        <v>45</v>
      </c>
      <c r="F203" s="635">
        <v>3</v>
      </c>
      <c r="G203" s="634">
        <v>2</v>
      </c>
      <c r="H203" s="634">
        <v>5</v>
      </c>
      <c r="I203" s="635">
        <v>0</v>
      </c>
      <c r="J203" s="634">
        <v>0</v>
      </c>
      <c r="K203" s="634">
        <v>0</v>
      </c>
      <c r="L203" s="635">
        <v>4</v>
      </c>
      <c r="M203" s="634">
        <v>1</v>
      </c>
      <c r="N203" s="634">
        <v>5</v>
      </c>
      <c r="O203" s="635">
        <v>0</v>
      </c>
      <c r="P203" s="634">
        <v>0</v>
      </c>
      <c r="Q203" s="634">
        <v>0</v>
      </c>
      <c r="R203" s="635">
        <v>0</v>
      </c>
      <c r="S203" s="634">
        <v>0</v>
      </c>
      <c r="T203" s="634">
        <v>0</v>
      </c>
      <c r="U203" s="635">
        <v>1</v>
      </c>
      <c r="V203" s="634">
        <v>0</v>
      </c>
      <c r="W203" s="634">
        <v>1</v>
      </c>
      <c r="X203" s="635">
        <v>0</v>
      </c>
      <c r="Y203" s="634">
        <v>0</v>
      </c>
      <c r="Z203" s="634">
        <v>0</v>
      </c>
    </row>
    <row r="204" spans="1:26" x14ac:dyDescent="0.3">
      <c r="A204" s="593">
        <v>200</v>
      </c>
      <c r="B204" s="291" t="s">
        <v>257</v>
      </c>
      <c r="C204" s="635">
        <v>132</v>
      </c>
      <c r="D204" s="634">
        <v>115</v>
      </c>
      <c r="E204" s="634">
        <v>247</v>
      </c>
      <c r="F204" s="635">
        <v>20</v>
      </c>
      <c r="G204" s="634">
        <v>5</v>
      </c>
      <c r="H204" s="634">
        <v>25</v>
      </c>
      <c r="I204" s="635">
        <v>7</v>
      </c>
      <c r="J204" s="634">
        <v>2</v>
      </c>
      <c r="K204" s="634">
        <v>9</v>
      </c>
      <c r="L204" s="635">
        <v>29</v>
      </c>
      <c r="M204" s="634">
        <v>24</v>
      </c>
      <c r="N204" s="634">
        <v>53</v>
      </c>
      <c r="O204" s="635">
        <v>0</v>
      </c>
      <c r="P204" s="634">
        <v>0</v>
      </c>
      <c r="Q204" s="634">
        <v>0</v>
      </c>
      <c r="R204" s="635">
        <v>1</v>
      </c>
      <c r="S204" s="634">
        <v>0</v>
      </c>
      <c r="T204" s="634">
        <v>1</v>
      </c>
      <c r="U204" s="635">
        <v>0</v>
      </c>
      <c r="V204" s="634">
        <v>0</v>
      </c>
      <c r="W204" s="634">
        <v>0</v>
      </c>
      <c r="X204" s="635">
        <v>1</v>
      </c>
      <c r="Y204" s="634">
        <v>3</v>
      </c>
      <c r="Z204" s="634">
        <v>4</v>
      </c>
    </row>
    <row r="205" spans="1:26" x14ac:dyDescent="0.3">
      <c r="A205" s="593">
        <v>201</v>
      </c>
      <c r="B205" s="291" t="s">
        <v>883</v>
      </c>
      <c r="C205" s="635">
        <v>844</v>
      </c>
      <c r="D205" s="634">
        <v>721</v>
      </c>
      <c r="E205" s="634">
        <v>1565</v>
      </c>
      <c r="F205" s="635">
        <v>95</v>
      </c>
      <c r="G205" s="634">
        <v>83</v>
      </c>
      <c r="H205" s="634">
        <v>178</v>
      </c>
      <c r="I205" s="635">
        <v>56</v>
      </c>
      <c r="J205" s="634">
        <v>61</v>
      </c>
      <c r="K205" s="634">
        <v>117</v>
      </c>
      <c r="L205" s="635">
        <v>240</v>
      </c>
      <c r="M205" s="634">
        <v>239</v>
      </c>
      <c r="N205" s="634">
        <v>479</v>
      </c>
      <c r="O205" s="635">
        <v>1</v>
      </c>
      <c r="P205" s="634">
        <v>1</v>
      </c>
      <c r="Q205" s="634">
        <v>2</v>
      </c>
      <c r="R205" s="635">
        <v>25</v>
      </c>
      <c r="S205" s="634">
        <v>19</v>
      </c>
      <c r="T205" s="634">
        <v>44</v>
      </c>
      <c r="U205" s="635">
        <v>9</v>
      </c>
      <c r="V205" s="634">
        <v>15</v>
      </c>
      <c r="W205" s="634">
        <v>24</v>
      </c>
      <c r="X205" s="635">
        <v>43</v>
      </c>
      <c r="Y205" s="634">
        <v>12</v>
      </c>
      <c r="Z205" s="634">
        <v>55</v>
      </c>
    </row>
    <row r="206" spans="1:26" x14ac:dyDescent="0.3">
      <c r="A206" s="593">
        <v>202</v>
      </c>
      <c r="B206" s="291" t="s">
        <v>258</v>
      </c>
      <c r="C206" s="635">
        <v>228</v>
      </c>
      <c r="D206" s="634">
        <v>317</v>
      </c>
      <c r="E206" s="634">
        <v>545</v>
      </c>
      <c r="F206" s="635">
        <v>16</v>
      </c>
      <c r="G206" s="634">
        <v>22</v>
      </c>
      <c r="H206" s="634">
        <v>38</v>
      </c>
      <c r="I206" s="635">
        <v>6</v>
      </c>
      <c r="J206" s="634">
        <v>6</v>
      </c>
      <c r="K206" s="634">
        <v>12</v>
      </c>
      <c r="L206" s="635">
        <v>89</v>
      </c>
      <c r="M206" s="634">
        <v>115</v>
      </c>
      <c r="N206" s="634">
        <v>204</v>
      </c>
      <c r="O206" s="635">
        <v>0</v>
      </c>
      <c r="P206" s="634">
        <v>0</v>
      </c>
      <c r="Q206" s="634">
        <v>0</v>
      </c>
      <c r="R206" s="635">
        <v>21</v>
      </c>
      <c r="S206" s="634">
        <v>39</v>
      </c>
      <c r="T206" s="634">
        <v>60</v>
      </c>
      <c r="U206" s="635">
        <v>26</v>
      </c>
      <c r="V206" s="634">
        <v>23</v>
      </c>
      <c r="W206" s="634">
        <v>49</v>
      </c>
      <c r="X206" s="635">
        <v>6</v>
      </c>
      <c r="Y206" s="634">
        <v>5</v>
      </c>
      <c r="Z206" s="634">
        <v>11</v>
      </c>
    </row>
    <row r="207" spans="1:26" ht="26" x14ac:dyDescent="0.3">
      <c r="A207" s="593">
        <v>203</v>
      </c>
      <c r="B207" s="291" t="s">
        <v>884</v>
      </c>
      <c r="C207" s="635">
        <v>14</v>
      </c>
      <c r="D207" s="634">
        <v>15</v>
      </c>
      <c r="E207" s="634">
        <v>29</v>
      </c>
      <c r="F207" s="635">
        <v>4</v>
      </c>
      <c r="G207" s="634">
        <v>0</v>
      </c>
      <c r="H207" s="634">
        <v>4</v>
      </c>
      <c r="I207" s="635">
        <v>0</v>
      </c>
      <c r="J207" s="634">
        <v>0</v>
      </c>
      <c r="K207" s="634">
        <v>0</v>
      </c>
      <c r="L207" s="635">
        <v>5</v>
      </c>
      <c r="M207" s="634">
        <v>6</v>
      </c>
      <c r="N207" s="634">
        <v>11</v>
      </c>
      <c r="O207" s="635">
        <v>0</v>
      </c>
      <c r="P207" s="634">
        <v>0</v>
      </c>
      <c r="Q207" s="634">
        <v>0</v>
      </c>
      <c r="R207" s="635">
        <v>0</v>
      </c>
      <c r="S207" s="634">
        <v>0</v>
      </c>
      <c r="T207" s="634">
        <v>0</v>
      </c>
      <c r="U207" s="635">
        <v>0</v>
      </c>
      <c r="V207" s="634">
        <v>0</v>
      </c>
      <c r="W207" s="634">
        <v>0</v>
      </c>
      <c r="X207" s="635">
        <v>0</v>
      </c>
      <c r="Y207" s="634">
        <v>0</v>
      </c>
      <c r="Z207" s="634">
        <v>0</v>
      </c>
    </row>
    <row r="208" spans="1:26" x14ac:dyDescent="0.3">
      <c r="A208" s="593">
        <v>204</v>
      </c>
      <c r="B208" s="291" t="s">
        <v>259</v>
      </c>
      <c r="C208" s="635">
        <v>151</v>
      </c>
      <c r="D208" s="634">
        <v>210</v>
      </c>
      <c r="E208" s="634">
        <v>361</v>
      </c>
      <c r="F208" s="635">
        <v>20</v>
      </c>
      <c r="G208" s="634">
        <v>15</v>
      </c>
      <c r="H208" s="634">
        <v>35</v>
      </c>
      <c r="I208" s="635">
        <v>16</v>
      </c>
      <c r="J208" s="634">
        <v>5</v>
      </c>
      <c r="K208" s="634">
        <v>21</v>
      </c>
      <c r="L208" s="635">
        <v>43</v>
      </c>
      <c r="M208" s="634">
        <v>85</v>
      </c>
      <c r="N208" s="634">
        <v>128</v>
      </c>
      <c r="O208" s="635">
        <v>0</v>
      </c>
      <c r="P208" s="634">
        <v>0</v>
      </c>
      <c r="Q208" s="634">
        <v>0</v>
      </c>
      <c r="R208" s="635">
        <v>2</v>
      </c>
      <c r="S208" s="634">
        <v>10</v>
      </c>
      <c r="T208" s="634">
        <v>12</v>
      </c>
      <c r="U208" s="635">
        <v>25</v>
      </c>
      <c r="V208" s="634">
        <v>59</v>
      </c>
      <c r="W208" s="634">
        <v>84</v>
      </c>
      <c r="X208" s="635">
        <v>8</v>
      </c>
      <c r="Y208" s="634">
        <v>7</v>
      </c>
      <c r="Z208" s="634">
        <v>15</v>
      </c>
    </row>
    <row r="209" spans="1:26" x14ac:dyDescent="0.3">
      <c r="A209" s="593">
        <v>205</v>
      </c>
      <c r="B209" s="291" t="s">
        <v>260</v>
      </c>
      <c r="C209" s="635">
        <v>755</v>
      </c>
      <c r="D209" s="634">
        <v>514</v>
      </c>
      <c r="E209" s="634">
        <v>1269</v>
      </c>
      <c r="F209" s="635">
        <v>85</v>
      </c>
      <c r="G209" s="634">
        <v>41</v>
      </c>
      <c r="H209" s="634">
        <v>126</v>
      </c>
      <c r="I209" s="635">
        <v>48</v>
      </c>
      <c r="J209" s="634">
        <v>60</v>
      </c>
      <c r="K209" s="634">
        <v>108</v>
      </c>
      <c r="L209" s="635">
        <v>111</v>
      </c>
      <c r="M209" s="634">
        <v>92</v>
      </c>
      <c r="N209" s="634">
        <v>203</v>
      </c>
      <c r="O209" s="635">
        <v>2</v>
      </c>
      <c r="P209" s="634">
        <v>0</v>
      </c>
      <c r="Q209" s="634">
        <v>2</v>
      </c>
      <c r="R209" s="635">
        <v>24</v>
      </c>
      <c r="S209" s="634">
        <v>12</v>
      </c>
      <c r="T209" s="634">
        <v>36</v>
      </c>
      <c r="U209" s="635">
        <v>9</v>
      </c>
      <c r="V209" s="634">
        <v>16</v>
      </c>
      <c r="W209" s="634">
        <v>25</v>
      </c>
      <c r="X209" s="635">
        <v>15</v>
      </c>
      <c r="Y209" s="634">
        <v>10</v>
      </c>
      <c r="Z209" s="634">
        <v>25</v>
      </c>
    </row>
    <row r="210" spans="1:26" x14ac:dyDescent="0.3">
      <c r="A210" s="593">
        <v>206</v>
      </c>
      <c r="B210" s="291" t="s">
        <v>885</v>
      </c>
      <c r="C210" s="635">
        <v>152</v>
      </c>
      <c r="D210" s="634">
        <v>85</v>
      </c>
      <c r="E210" s="634">
        <v>237</v>
      </c>
      <c r="F210" s="635">
        <v>27</v>
      </c>
      <c r="G210" s="634">
        <v>9</v>
      </c>
      <c r="H210" s="634">
        <v>36</v>
      </c>
      <c r="I210" s="635">
        <v>7</v>
      </c>
      <c r="J210" s="634">
        <v>4</v>
      </c>
      <c r="K210" s="634">
        <v>11</v>
      </c>
      <c r="L210" s="635">
        <v>37</v>
      </c>
      <c r="M210" s="634">
        <v>18</v>
      </c>
      <c r="N210" s="634">
        <v>55</v>
      </c>
      <c r="O210" s="635">
        <v>1</v>
      </c>
      <c r="P210" s="634">
        <v>0</v>
      </c>
      <c r="Q210" s="634">
        <v>1</v>
      </c>
      <c r="R210" s="635">
        <v>6</v>
      </c>
      <c r="S210" s="634">
        <v>0</v>
      </c>
      <c r="T210" s="634">
        <v>6</v>
      </c>
      <c r="U210" s="635">
        <v>2</v>
      </c>
      <c r="V210" s="634">
        <v>4</v>
      </c>
      <c r="W210" s="634">
        <v>6</v>
      </c>
      <c r="X210" s="635">
        <v>4</v>
      </c>
      <c r="Y210" s="634">
        <v>1</v>
      </c>
      <c r="Z210" s="634">
        <v>5</v>
      </c>
    </row>
    <row r="211" spans="1:26" x14ac:dyDescent="0.3">
      <c r="A211" s="593">
        <v>207</v>
      </c>
      <c r="B211" s="291" t="s">
        <v>886</v>
      </c>
      <c r="C211" s="635">
        <v>0</v>
      </c>
      <c r="D211" s="634">
        <v>0</v>
      </c>
      <c r="E211" s="634">
        <v>0</v>
      </c>
      <c r="F211" s="635">
        <v>0</v>
      </c>
      <c r="G211" s="634">
        <v>0</v>
      </c>
      <c r="H211" s="634">
        <v>0</v>
      </c>
      <c r="I211" s="635">
        <v>0</v>
      </c>
      <c r="J211" s="634">
        <v>0</v>
      </c>
      <c r="K211" s="634">
        <v>0</v>
      </c>
      <c r="L211" s="635">
        <v>0</v>
      </c>
      <c r="M211" s="634">
        <v>0</v>
      </c>
      <c r="N211" s="634">
        <v>0</v>
      </c>
      <c r="O211" s="635">
        <v>0</v>
      </c>
      <c r="P211" s="634">
        <v>0</v>
      </c>
      <c r="Q211" s="634">
        <v>0</v>
      </c>
      <c r="R211" s="635">
        <v>0</v>
      </c>
      <c r="S211" s="634">
        <v>0</v>
      </c>
      <c r="T211" s="634">
        <v>0</v>
      </c>
      <c r="U211" s="635">
        <v>0</v>
      </c>
      <c r="V211" s="634">
        <v>0</v>
      </c>
      <c r="W211" s="634">
        <v>0</v>
      </c>
      <c r="X211" s="635">
        <v>0</v>
      </c>
      <c r="Y211" s="634">
        <v>0</v>
      </c>
      <c r="Z211" s="634">
        <v>0</v>
      </c>
    </row>
    <row r="212" spans="1:26" x14ac:dyDescent="0.3">
      <c r="A212" s="593">
        <v>208</v>
      </c>
      <c r="B212" s="291" t="s">
        <v>887</v>
      </c>
      <c r="C212" s="635">
        <v>31</v>
      </c>
      <c r="D212" s="634">
        <v>30</v>
      </c>
      <c r="E212" s="634">
        <v>61</v>
      </c>
      <c r="F212" s="635">
        <v>0</v>
      </c>
      <c r="G212" s="634">
        <v>0</v>
      </c>
      <c r="H212" s="634">
        <v>0</v>
      </c>
      <c r="I212" s="635">
        <v>0</v>
      </c>
      <c r="J212" s="634">
        <v>0</v>
      </c>
      <c r="K212" s="634">
        <v>0</v>
      </c>
      <c r="L212" s="635">
        <v>0</v>
      </c>
      <c r="M212" s="634">
        <v>0</v>
      </c>
      <c r="N212" s="634">
        <v>0</v>
      </c>
      <c r="O212" s="635">
        <v>0</v>
      </c>
      <c r="P212" s="634">
        <v>0</v>
      </c>
      <c r="Q212" s="634">
        <v>0</v>
      </c>
      <c r="R212" s="635">
        <v>0</v>
      </c>
      <c r="S212" s="634">
        <v>0</v>
      </c>
      <c r="T212" s="634">
        <v>0</v>
      </c>
      <c r="U212" s="635">
        <v>0</v>
      </c>
      <c r="V212" s="634">
        <v>0</v>
      </c>
      <c r="W212" s="634">
        <v>0</v>
      </c>
      <c r="X212" s="635">
        <v>0</v>
      </c>
      <c r="Y212" s="634">
        <v>0</v>
      </c>
      <c r="Z212" s="634">
        <v>0</v>
      </c>
    </row>
    <row r="213" spans="1:26" x14ac:dyDescent="0.3">
      <c r="A213" s="593">
        <v>209</v>
      </c>
      <c r="B213" s="291" t="s">
        <v>888</v>
      </c>
      <c r="C213" s="635">
        <v>4822</v>
      </c>
      <c r="D213" s="634">
        <v>3253</v>
      </c>
      <c r="E213" s="634">
        <v>8075</v>
      </c>
      <c r="F213" s="635">
        <v>240</v>
      </c>
      <c r="G213" s="634">
        <v>161</v>
      </c>
      <c r="H213" s="634">
        <v>401</v>
      </c>
      <c r="I213" s="635">
        <v>133</v>
      </c>
      <c r="J213" s="634">
        <v>120</v>
      </c>
      <c r="K213" s="634">
        <v>253</v>
      </c>
      <c r="L213" s="635">
        <v>994</v>
      </c>
      <c r="M213" s="634">
        <v>575</v>
      </c>
      <c r="N213" s="634">
        <v>1569</v>
      </c>
      <c r="O213" s="635">
        <v>0</v>
      </c>
      <c r="P213" s="634">
        <v>1</v>
      </c>
      <c r="Q213" s="634">
        <v>1</v>
      </c>
      <c r="R213" s="635">
        <v>117</v>
      </c>
      <c r="S213" s="634">
        <v>72</v>
      </c>
      <c r="T213" s="634">
        <v>189</v>
      </c>
      <c r="U213" s="635">
        <v>171</v>
      </c>
      <c r="V213" s="634">
        <v>172</v>
      </c>
      <c r="W213" s="634">
        <v>343</v>
      </c>
      <c r="X213" s="635">
        <v>39</v>
      </c>
      <c r="Y213" s="634">
        <v>15</v>
      </c>
      <c r="Z213" s="634">
        <v>54</v>
      </c>
    </row>
    <row r="214" spans="1:26" x14ac:dyDescent="0.3">
      <c r="A214" s="593">
        <v>210</v>
      </c>
      <c r="B214" s="291" t="s">
        <v>262</v>
      </c>
      <c r="C214" s="635">
        <v>932</v>
      </c>
      <c r="D214" s="634">
        <v>405</v>
      </c>
      <c r="E214" s="634">
        <v>1337</v>
      </c>
      <c r="F214" s="635">
        <v>152</v>
      </c>
      <c r="G214" s="634">
        <v>48</v>
      </c>
      <c r="H214" s="634">
        <v>200</v>
      </c>
      <c r="I214" s="635">
        <v>87</v>
      </c>
      <c r="J214" s="634">
        <v>23</v>
      </c>
      <c r="K214" s="634">
        <v>110</v>
      </c>
      <c r="L214" s="635">
        <v>232</v>
      </c>
      <c r="M214" s="634">
        <v>76</v>
      </c>
      <c r="N214" s="634">
        <v>308</v>
      </c>
      <c r="O214" s="635">
        <v>7</v>
      </c>
      <c r="P214" s="634">
        <v>3</v>
      </c>
      <c r="Q214" s="634">
        <v>10</v>
      </c>
      <c r="R214" s="635">
        <v>2</v>
      </c>
      <c r="S214" s="634">
        <v>0</v>
      </c>
      <c r="T214" s="634">
        <v>2</v>
      </c>
      <c r="U214" s="635">
        <v>1</v>
      </c>
      <c r="V214" s="634">
        <v>0</v>
      </c>
      <c r="W214" s="634">
        <v>1</v>
      </c>
      <c r="X214" s="635">
        <v>32</v>
      </c>
      <c r="Y214" s="634">
        <v>2</v>
      </c>
      <c r="Z214" s="634">
        <v>34</v>
      </c>
    </row>
    <row r="215" spans="1:26" x14ac:dyDescent="0.3">
      <c r="A215" s="593">
        <v>211</v>
      </c>
      <c r="B215" s="291" t="s">
        <v>263</v>
      </c>
      <c r="C215" s="635">
        <v>70929</v>
      </c>
      <c r="D215" s="634">
        <v>74607</v>
      </c>
      <c r="E215" s="634">
        <v>145536</v>
      </c>
      <c r="F215" s="635">
        <v>8480</v>
      </c>
      <c r="G215" s="634">
        <v>8503</v>
      </c>
      <c r="H215" s="634">
        <v>16983</v>
      </c>
      <c r="I215" s="635">
        <v>4540</v>
      </c>
      <c r="J215" s="634">
        <v>4929</v>
      </c>
      <c r="K215" s="634">
        <v>9469</v>
      </c>
      <c r="L215" s="635">
        <v>20168</v>
      </c>
      <c r="M215" s="634">
        <v>21423</v>
      </c>
      <c r="N215" s="634">
        <v>41591</v>
      </c>
      <c r="O215" s="635">
        <v>132</v>
      </c>
      <c r="P215" s="634">
        <v>87</v>
      </c>
      <c r="Q215" s="634">
        <v>219</v>
      </c>
      <c r="R215" s="635">
        <v>898</v>
      </c>
      <c r="S215" s="634">
        <v>950</v>
      </c>
      <c r="T215" s="634">
        <v>1848</v>
      </c>
      <c r="U215" s="635">
        <v>906</v>
      </c>
      <c r="V215" s="634">
        <v>1178</v>
      </c>
      <c r="W215" s="634">
        <v>2084</v>
      </c>
      <c r="X215" s="635">
        <v>912</v>
      </c>
      <c r="Y215" s="634">
        <v>681</v>
      </c>
      <c r="Z215" s="634">
        <v>1593</v>
      </c>
    </row>
    <row r="216" spans="1:26" x14ac:dyDescent="0.3">
      <c r="A216" s="593">
        <v>212</v>
      </c>
      <c r="B216" s="291" t="s">
        <v>889</v>
      </c>
      <c r="C216" s="635">
        <v>8</v>
      </c>
      <c r="D216" s="634">
        <v>23</v>
      </c>
      <c r="E216" s="634">
        <v>31</v>
      </c>
      <c r="F216" s="635">
        <v>1</v>
      </c>
      <c r="G216" s="634">
        <v>1</v>
      </c>
      <c r="H216" s="634">
        <v>2</v>
      </c>
      <c r="I216" s="635">
        <v>0</v>
      </c>
      <c r="J216" s="634">
        <v>3</v>
      </c>
      <c r="K216" s="634">
        <v>3</v>
      </c>
      <c r="L216" s="635">
        <v>0</v>
      </c>
      <c r="M216" s="634">
        <v>1</v>
      </c>
      <c r="N216" s="634">
        <v>1</v>
      </c>
      <c r="O216" s="635">
        <v>0</v>
      </c>
      <c r="P216" s="634">
        <v>0</v>
      </c>
      <c r="Q216" s="634">
        <v>0</v>
      </c>
      <c r="R216" s="635">
        <v>0</v>
      </c>
      <c r="S216" s="634">
        <v>1</v>
      </c>
      <c r="T216" s="634">
        <v>1</v>
      </c>
      <c r="U216" s="635">
        <v>0</v>
      </c>
      <c r="V216" s="634">
        <v>2</v>
      </c>
      <c r="W216" s="634">
        <v>2</v>
      </c>
      <c r="X216" s="635">
        <v>0</v>
      </c>
      <c r="Y216" s="634">
        <v>0</v>
      </c>
      <c r="Z216" s="634">
        <v>0</v>
      </c>
    </row>
    <row r="217" spans="1:26" x14ac:dyDescent="0.3">
      <c r="A217" s="593">
        <v>213</v>
      </c>
      <c r="B217" s="291" t="s">
        <v>264</v>
      </c>
      <c r="C217" s="635">
        <v>15585</v>
      </c>
      <c r="D217" s="634">
        <v>14105</v>
      </c>
      <c r="E217" s="634">
        <v>29690</v>
      </c>
      <c r="F217" s="635">
        <v>1636</v>
      </c>
      <c r="G217" s="634">
        <v>1124</v>
      </c>
      <c r="H217" s="634">
        <v>2760</v>
      </c>
      <c r="I217" s="635">
        <v>538</v>
      </c>
      <c r="J217" s="634">
        <v>455</v>
      </c>
      <c r="K217" s="634">
        <v>993</v>
      </c>
      <c r="L217" s="635">
        <v>3486</v>
      </c>
      <c r="M217" s="634">
        <v>3228</v>
      </c>
      <c r="N217" s="634">
        <v>6714</v>
      </c>
      <c r="O217" s="635">
        <v>13</v>
      </c>
      <c r="P217" s="634">
        <v>15</v>
      </c>
      <c r="Q217" s="634">
        <v>28</v>
      </c>
      <c r="R217" s="635">
        <v>502</v>
      </c>
      <c r="S217" s="634">
        <v>393</v>
      </c>
      <c r="T217" s="634">
        <v>895</v>
      </c>
      <c r="U217" s="635">
        <v>271</v>
      </c>
      <c r="V217" s="634">
        <v>394</v>
      </c>
      <c r="W217" s="634">
        <v>665</v>
      </c>
      <c r="X217" s="635">
        <v>149</v>
      </c>
      <c r="Y217" s="634">
        <v>156</v>
      </c>
      <c r="Z217" s="634">
        <v>305</v>
      </c>
    </row>
    <row r="218" spans="1:26" x14ac:dyDescent="0.3">
      <c r="A218" s="593">
        <v>214</v>
      </c>
      <c r="B218" s="291" t="s">
        <v>265</v>
      </c>
      <c r="C218" s="635">
        <v>1874</v>
      </c>
      <c r="D218" s="634">
        <v>3448</v>
      </c>
      <c r="E218" s="634">
        <v>5322</v>
      </c>
      <c r="F218" s="635">
        <v>146</v>
      </c>
      <c r="G218" s="634">
        <v>287</v>
      </c>
      <c r="H218" s="634">
        <v>433</v>
      </c>
      <c r="I218" s="635">
        <v>62</v>
      </c>
      <c r="J218" s="634">
        <v>98</v>
      </c>
      <c r="K218" s="634">
        <v>160</v>
      </c>
      <c r="L218" s="635">
        <v>801</v>
      </c>
      <c r="M218" s="634">
        <v>1502</v>
      </c>
      <c r="N218" s="634">
        <v>2303</v>
      </c>
      <c r="O218" s="635">
        <v>2</v>
      </c>
      <c r="P218" s="634">
        <v>2</v>
      </c>
      <c r="Q218" s="634">
        <v>4</v>
      </c>
      <c r="R218" s="635">
        <v>166</v>
      </c>
      <c r="S218" s="634">
        <v>297</v>
      </c>
      <c r="T218" s="634">
        <v>463</v>
      </c>
      <c r="U218" s="635">
        <v>87</v>
      </c>
      <c r="V218" s="634">
        <v>152</v>
      </c>
      <c r="W218" s="634">
        <v>239</v>
      </c>
      <c r="X218" s="635">
        <v>9</v>
      </c>
      <c r="Y218" s="634">
        <v>24</v>
      </c>
      <c r="Z218" s="634">
        <v>33</v>
      </c>
    </row>
    <row r="219" spans="1:26" x14ac:dyDescent="0.3">
      <c r="A219" s="593">
        <v>215</v>
      </c>
      <c r="B219" s="291" t="s">
        <v>890</v>
      </c>
      <c r="C219" s="635">
        <v>33</v>
      </c>
      <c r="D219" s="634">
        <v>25</v>
      </c>
      <c r="E219" s="634">
        <v>58</v>
      </c>
      <c r="F219" s="635">
        <v>6</v>
      </c>
      <c r="G219" s="634">
        <v>7</v>
      </c>
      <c r="H219" s="634">
        <v>13</v>
      </c>
      <c r="I219" s="635">
        <v>7</v>
      </c>
      <c r="J219" s="634">
        <v>5</v>
      </c>
      <c r="K219" s="634">
        <v>12</v>
      </c>
      <c r="L219" s="635">
        <v>16</v>
      </c>
      <c r="M219" s="634">
        <v>10</v>
      </c>
      <c r="N219" s="634">
        <v>26</v>
      </c>
      <c r="O219" s="635">
        <v>0</v>
      </c>
      <c r="P219" s="634">
        <v>0</v>
      </c>
      <c r="Q219" s="634">
        <v>0</v>
      </c>
      <c r="R219" s="635">
        <v>0</v>
      </c>
      <c r="S219" s="634">
        <v>0</v>
      </c>
      <c r="T219" s="634">
        <v>0</v>
      </c>
      <c r="U219" s="635">
        <v>0</v>
      </c>
      <c r="V219" s="634">
        <v>0</v>
      </c>
      <c r="W219" s="634">
        <v>0</v>
      </c>
      <c r="X219" s="635">
        <v>0</v>
      </c>
      <c r="Y219" s="634">
        <v>0</v>
      </c>
      <c r="Z219" s="634">
        <v>0</v>
      </c>
    </row>
    <row r="220" spans="1:26" x14ac:dyDescent="0.3">
      <c r="A220" s="593">
        <v>216</v>
      </c>
      <c r="B220" s="291" t="s">
        <v>891</v>
      </c>
      <c r="C220" s="635">
        <v>65</v>
      </c>
      <c r="D220" s="634">
        <v>0</v>
      </c>
      <c r="E220" s="634">
        <v>65</v>
      </c>
      <c r="F220" s="635">
        <v>14</v>
      </c>
      <c r="G220" s="634">
        <v>0</v>
      </c>
      <c r="H220" s="634">
        <v>14</v>
      </c>
      <c r="I220" s="635">
        <v>0</v>
      </c>
      <c r="J220" s="634">
        <v>0</v>
      </c>
      <c r="K220" s="634">
        <v>0</v>
      </c>
      <c r="L220" s="635">
        <v>45</v>
      </c>
      <c r="M220" s="634">
        <v>0</v>
      </c>
      <c r="N220" s="634">
        <v>45</v>
      </c>
      <c r="O220" s="635">
        <v>0</v>
      </c>
      <c r="P220" s="634">
        <v>0</v>
      </c>
      <c r="Q220" s="634">
        <v>0</v>
      </c>
      <c r="R220" s="635">
        <v>0</v>
      </c>
      <c r="S220" s="634">
        <v>0</v>
      </c>
      <c r="T220" s="634">
        <v>0</v>
      </c>
      <c r="U220" s="635">
        <v>0</v>
      </c>
      <c r="V220" s="634">
        <v>0</v>
      </c>
      <c r="W220" s="634">
        <v>0</v>
      </c>
      <c r="X220" s="635">
        <v>0</v>
      </c>
      <c r="Y220" s="634">
        <v>0</v>
      </c>
      <c r="Z220" s="634">
        <v>0</v>
      </c>
    </row>
    <row r="221" spans="1:26" x14ac:dyDescent="0.3">
      <c r="A221" s="593">
        <v>217</v>
      </c>
      <c r="B221" s="291" t="s">
        <v>266</v>
      </c>
      <c r="C221" s="635">
        <v>8797</v>
      </c>
      <c r="D221" s="634">
        <v>4553</v>
      </c>
      <c r="E221" s="634">
        <v>13350</v>
      </c>
      <c r="F221" s="635">
        <v>709</v>
      </c>
      <c r="G221" s="634">
        <v>777</v>
      </c>
      <c r="H221" s="634">
        <v>1486</v>
      </c>
      <c r="I221" s="635">
        <v>300</v>
      </c>
      <c r="J221" s="634">
        <v>336</v>
      </c>
      <c r="K221" s="634">
        <v>636</v>
      </c>
      <c r="L221" s="635">
        <v>1711</v>
      </c>
      <c r="M221" s="634">
        <v>1694</v>
      </c>
      <c r="N221" s="634">
        <v>3405</v>
      </c>
      <c r="O221" s="635">
        <v>11</v>
      </c>
      <c r="P221" s="634">
        <v>18</v>
      </c>
      <c r="Q221" s="634">
        <v>29</v>
      </c>
      <c r="R221" s="635">
        <v>23</v>
      </c>
      <c r="S221" s="634">
        <v>24</v>
      </c>
      <c r="T221" s="634">
        <v>47</v>
      </c>
      <c r="U221" s="635">
        <v>87</v>
      </c>
      <c r="V221" s="634">
        <v>9</v>
      </c>
      <c r="W221" s="634">
        <v>96</v>
      </c>
      <c r="X221" s="635">
        <v>72</v>
      </c>
      <c r="Y221" s="634">
        <v>61</v>
      </c>
      <c r="Z221" s="634">
        <v>133</v>
      </c>
    </row>
    <row r="222" spans="1:26" x14ac:dyDescent="0.3">
      <c r="A222" s="593">
        <v>218</v>
      </c>
      <c r="B222" s="291" t="s">
        <v>892</v>
      </c>
      <c r="C222" s="635">
        <v>68</v>
      </c>
      <c r="D222" s="634">
        <v>34</v>
      </c>
      <c r="E222" s="634">
        <v>102</v>
      </c>
      <c r="F222" s="635">
        <v>5</v>
      </c>
      <c r="G222" s="634">
        <v>2</v>
      </c>
      <c r="H222" s="634">
        <v>7</v>
      </c>
      <c r="I222" s="635">
        <v>0</v>
      </c>
      <c r="J222" s="634">
        <v>0</v>
      </c>
      <c r="K222" s="634">
        <v>0</v>
      </c>
      <c r="L222" s="635">
        <v>26</v>
      </c>
      <c r="M222" s="634">
        <v>12</v>
      </c>
      <c r="N222" s="634">
        <v>38</v>
      </c>
      <c r="O222" s="635">
        <v>0</v>
      </c>
      <c r="P222" s="634">
        <v>0</v>
      </c>
      <c r="Q222" s="634">
        <v>0</v>
      </c>
      <c r="R222" s="635">
        <v>1</v>
      </c>
      <c r="S222" s="634">
        <v>0</v>
      </c>
      <c r="T222" s="634">
        <v>1</v>
      </c>
      <c r="U222" s="635">
        <v>0</v>
      </c>
      <c r="V222" s="634">
        <v>0</v>
      </c>
      <c r="W222" s="634">
        <v>0</v>
      </c>
      <c r="X222" s="635">
        <v>4</v>
      </c>
      <c r="Y222" s="634">
        <v>0</v>
      </c>
      <c r="Z222" s="634">
        <v>4</v>
      </c>
    </row>
    <row r="223" spans="1:26" x14ac:dyDescent="0.3">
      <c r="A223" s="593">
        <v>219</v>
      </c>
      <c r="B223" s="291" t="s">
        <v>893</v>
      </c>
      <c r="C223" s="635">
        <v>1084</v>
      </c>
      <c r="D223" s="634">
        <v>1224</v>
      </c>
      <c r="E223" s="634">
        <v>2308</v>
      </c>
      <c r="F223" s="635">
        <v>148</v>
      </c>
      <c r="G223" s="634">
        <v>200</v>
      </c>
      <c r="H223" s="634">
        <v>348</v>
      </c>
      <c r="I223" s="635">
        <v>115</v>
      </c>
      <c r="J223" s="634">
        <v>187</v>
      </c>
      <c r="K223" s="634">
        <v>302</v>
      </c>
      <c r="L223" s="635">
        <v>287</v>
      </c>
      <c r="M223" s="634">
        <v>484</v>
      </c>
      <c r="N223" s="634">
        <v>771</v>
      </c>
      <c r="O223" s="635">
        <v>0</v>
      </c>
      <c r="P223" s="634">
        <v>1</v>
      </c>
      <c r="Q223" s="634">
        <v>1</v>
      </c>
      <c r="R223" s="635">
        <v>2</v>
      </c>
      <c r="S223" s="634">
        <v>0</v>
      </c>
      <c r="T223" s="634">
        <v>2</v>
      </c>
      <c r="U223" s="635">
        <v>0</v>
      </c>
      <c r="V223" s="634">
        <v>1</v>
      </c>
      <c r="W223" s="634">
        <v>1</v>
      </c>
      <c r="X223" s="635">
        <v>67</v>
      </c>
      <c r="Y223" s="634">
        <v>39</v>
      </c>
      <c r="Z223" s="634">
        <v>106</v>
      </c>
    </row>
    <row r="224" spans="1:26" x14ac:dyDescent="0.3">
      <c r="A224" s="593">
        <v>220</v>
      </c>
      <c r="B224" s="291" t="s">
        <v>894</v>
      </c>
      <c r="C224" s="635">
        <v>188</v>
      </c>
      <c r="D224" s="634">
        <v>381</v>
      </c>
      <c r="E224" s="634">
        <v>569</v>
      </c>
      <c r="F224" s="635">
        <v>11</v>
      </c>
      <c r="G224" s="634">
        <v>23</v>
      </c>
      <c r="H224" s="634">
        <v>34</v>
      </c>
      <c r="I224" s="635">
        <v>7</v>
      </c>
      <c r="J224" s="634">
        <v>7</v>
      </c>
      <c r="K224" s="634">
        <v>14</v>
      </c>
      <c r="L224" s="635">
        <v>59</v>
      </c>
      <c r="M224" s="634">
        <v>120</v>
      </c>
      <c r="N224" s="634">
        <v>179</v>
      </c>
      <c r="O224" s="635">
        <v>1</v>
      </c>
      <c r="P224" s="634">
        <v>0</v>
      </c>
      <c r="Q224" s="634">
        <v>1</v>
      </c>
      <c r="R224" s="635">
        <v>5</v>
      </c>
      <c r="S224" s="634">
        <v>5</v>
      </c>
      <c r="T224" s="634">
        <v>10</v>
      </c>
      <c r="U224" s="635">
        <v>1</v>
      </c>
      <c r="V224" s="634">
        <v>4</v>
      </c>
      <c r="W224" s="634">
        <v>5</v>
      </c>
      <c r="X224" s="635">
        <v>0</v>
      </c>
      <c r="Y224" s="634">
        <v>0</v>
      </c>
      <c r="Z224" s="634">
        <v>0</v>
      </c>
    </row>
    <row r="225" spans="1:26" x14ac:dyDescent="0.3">
      <c r="A225" s="593">
        <v>221</v>
      </c>
      <c r="B225" s="291" t="s">
        <v>895</v>
      </c>
      <c r="C225" s="635">
        <v>25</v>
      </c>
      <c r="D225" s="634">
        <v>0</v>
      </c>
      <c r="E225" s="634">
        <v>25</v>
      </c>
      <c r="F225" s="635">
        <v>0</v>
      </c>
      <c r="G225" s="634">
        <v>0</v>
      </c>
      <c r="H225" s="634">
        <v>0</v>
      </c>
      <c r="I225" s="635">
        <v>0</v>
      </c>
      <c r="J225" s="634">
        <v>0</v>
      </c>
      <c r="K225" s="634">
        <v>0</v>
      </c>
      <c r="L225" s="635">
        <v>3</v>
      </c>
      <c r="M225" s="634">
        <v>0</v>
      </c>
      <c r="N225" s="634">
        <v>3</v>
      </c>
      <c r="O225" s="635">
        <v>0</v>
      </c>
      <c r="P225" s="634">
        <v>0</v>
      </c>
      <c r="Q225" s="634">
        <v>0</v>
      </c>
      <c r="R225" s="635">
        <v>0</v>
      </c>
      <c r="S225" s="634">
        <v>0</v>
      </c>
      <c r="T225" s="634">
        <v>0</v>
      </c>
      <c r="U225" s="635">
        <v>0</v>
      </c>
      <c r="V225" s="634">
        <v>0</v>
      </c>
      <c r="W225" s="634">
        <v>0</v>
      </c>
      <c r="X225" s="635">
        <v>0</v>
      </c>
      <c r="Y225" s="634">
        <v>0</v>
      </c>
      <c r="Z225" s="634">
        <v>0</v>
      </c>
    </row>
    <row r="226" spans="1:26" x14ac:dyDescent="0.3">
      <c r="A226" s="593">
        <v>222</v>
      </c>
      <c r="B226" s="291" t="s">
        <v>896</v>
      </c>
      <c r="C226" s="635">
        <v>0</v>
      </c>
      <c r="D226" s="634">
        <v>0</v>
      </c>
      <c r="E226" s="634">
        <v>0</v>
      </c>
      <c r="F226" s="635">
        <v>0</v>
      </c>
      <c r="G226" s="634">
        <v>0</v>
      </c>
      <c r="H226" s="634">
        <v>0</v>
      </c>
      <c r="I226" s="635">
        <v>0</v>
      </c>
      <c r="J226" s="634">
        <v>0</v>
      </c>
      <c r="K226" s="634">
        <v>0</v>
      </c>
      <c r="L226" s="635">
        <v>0</v>
      </c>
      <c r="M226" s="634">
        <v>0</v>
      </c>
      <c r="N226" s="634">
        <v>0</v>
      </c>
      <c r="O226" s="635">
        <v>0</v>
      </c>
      <c r="P226" s="634">
        <v>0</v>
      </c>
      <c r="Q226" s="634">
        <v>0</v>
      </c>
      <c r="R226" s="635">
        <v>0</v>
      </c>
      <c r="S226" s="634">
        <v>0</v>
      </c>
      <c r="T226" s="634">
        <v>0</v>
      </c>
      <c r="U226" s="635">
        <v>0</v>
      </c>
      <c r="V226" s="634">
        <v>0</v>
      </c>
      <c r="W226" s="634">
        <v>0</v>
      </c>
      <c r="X226" s="635">
        <v>0</v>
      </c>
      <c r="Y226" s="634">
        <v>0</v>
      </c>
      <c r="Z226" s="634">
        <v>0</v>
      </c>
    </row>
    <row r="227" spans="1:26" x14ac:dyDescent="0.3">
      <c r="A227" s="593">
        <v>223</v>
      </c>
      <c r="B227" s="291" t="s">
        <v>267</v>
      </c>
      <c r="C227" s="635">
        <v>90</v>
      </c>
      <c r="D227" s="634">
        <v>24</v>
      </c>
      <c r="E227" s="634">
        <v>114</v>
      </c>
      <c r="F227" s="635">
        <v>8</v>
      </c>
      <c r="G227" s="634">
        <v>2</v>
      </c>
      <c r="H227" s="634">
        <v>10</v>
      </c>
      <c r="I227" s="635">
        <v>0</v>
      </c>
      <c r="J227" s="634">
        <v>0</v>
      </c>
      <c r="K227" s="634">
        <v>0</v>
      </c>
      <c r="L227" s="635">
        <v>7</v>
      </c>
      <c r="M227" s="634">
        <v>7</v>
      </c>
      <c r="N227" s="634">
        <v>14</v>
      </c>
      <c r="O227" s="635">
        <v>2</v>
      </c>
      <c r="P227" s="634">
        <v>0</v>
      </c>
      <c r="Q227" s="634">
        <v>2</v>
      </c>
      <c r="R227" s="635">
        <v>0</v>
      </c>
      <c r="S227" s="634">
        <v>0</v>
      </c>
      <c r="T227" s="634">
        <v>0</v>
      </c>
      <c r="U227" s="635">
        <v>0</v>
      </c>
      <c r="V227" s="634">
        <v>0</v>
      </c>
      <c r="W227" s="634">
        <v>0</v>
      </c>
      <c r="X227" s="635">
        <v>7</v>
      </c>
      <c r="Y227" s="634">
        <v>1</v>
      </c>
      <c r="Z227" s="634">
        <v>8</v>
      </c>
    </row>
    <row r="228" spans="1:26" x14ac:dyDescent="0.3">
      <c r="A228" s="593">
        <v>224</v>
      </c>
      <c r="B228" s="291" t="s">
        <v>897</v>
      </c>
      <c r="C228" s="635">
        <v>47</v>
      </c>
      <c r="D228" s="634">
        <v>26</v>
      </c>
      <c r="E228" s="634">
        <v>73</v>
      </c>
      <c r="F228" s="635">
        <v>15</v>
      </c>
      <c r="G228" s="634">
        <v>12</v>
      </c>
      <c r="H228" s="634">
        <v>27</v>
      </c>
      <c r="I228" s="635">
        <v>0</v>
      </c>
      <c r="J228" s="634">
        <v>1</v>
      </c>
      <c r="K228" s="634">
        <v>1</v>
      </c>
      <c r="L228" s="635">
        <v>27</v>
      </c>
      <c r="M228" s="634">
        <v>9</v>
      </c>
      <c r="N228" s="634">
        <v>36</v>
      </c>
      <c r="O228" s="635">
        <v>0</v>
      </c>
      <c r="P228" s="634">
        <v>0</v>
      </c>
      <c r="Q228" s="634">
        <v>0</v>
      </c>
      <c r="R228" s="635">
        <v>0</v>
      </c>
      <c r="S228" s="634">
        <v>0</v>
      </c>
      <c r="T228" s="634">
        <v>0</v>
      </c>
      <c r="U228" s="635">
        <v>0</v>
      </c>
      <c r="V228" s="634">
        <v>0</v>
      </c>
      <c r="W228" s="634">
        <v>0</v>
      </c>
      <c r="X228" s="635">
        <v>3</v>
      </c>
      <c r="Y228" s="634">
        <v>1</v>
      </c>
      <c r="Z228" s="634">
        <v>4</v>
      </c>
    </row>
    <row r="229" spans="1:26" x14ac:dyDescent="0.3">
      <c r="A229" s="593">
        <v>225</v>
      </c>
      <c r="B229" s="291" t="s">
        <v>898</v>
      </c>
      <c r="C229" s="635">
        <v>1</v>
      </c>
      <c r="D229" s="634">
        <v>2</v>
      </c>
      <c r="E229" s="634">
        <v>3</v>
      </c>
      <c r="F229" s="635">
        <v>0</v>
      </c>
      <c r="G229" s="634">
        <v>0</v>
      </c>
      <c r="H229" s="634">
        <v>0</v>
      </c>
      <c r="I229" s="635">
        <v>0</v>
      </c>
      <c r="J229" s="634">
        <v>0</v>
      </c>
      <c r="K229" s="634">
        <v>0</v>
      </c>
      <c r="L229" s="635">
        <v>0</v>
      </c>
      <c r="M229" s="634">
        <v>0</v>
      </c>
      <c r="N229" s="634">
        <v>0</v>
      </c>
      <c r="O229" s="635">
        <v>0</v>
      </c>
      <c r="P229" s="634">
        <v>0</v>
      </c>
      <c r="Q229" s="634">
        <v>0</v>
      </c>
      <c r="R229" s="635">
        <v>0</v>
      </c>
      <c r="S229" s="634">
        <v>0</v>
      </c>
      <c r="T229" s="634">
        <v>0</v>
      </c>
      <c r="U229" s="635">
        <v>0</v>
      </c>
      <c r="V229" s="634">
        <v>0</v>
      </c>
      <c r="W229" s="634">
        <v>0</v>
      </c>
      <c r="X229" s="635">
        <v>0</v>
      </c>
      <c r="Y229" s="634">
        <v>0</v>
      </c>
      <c r="Z229" s="634">
        <v>0</v>
      </c>
    </row>
    <row r="230" spans="1:26" x14ac:dyDescent="0.3">
      <c r="A230" s="593"/>
      <c r="B230" s="291" t="s">
        <v>12</v>
      </c>
      <c r="C230" s="640">
        <v>5310689</v>
      </c>
      <c r="D230" s="636">
        <v>5634882</v>
      </c>
      <c r="E230" s="636">
        <v>10945571</v>
      </c>
      <c r="F230" s="640">
        <v>739976</v>
      </c>
      <c r="G230" s="636">
        <v>798969</v>
      </c>
      <c r="H230" s="636">
        <v>1538945</v>
      </c>
      <c r="I230" s="640">
        <v>307160</v>
      </c>
      <c r="J230" s="636">
        <v>357143</v>
      </c>
      <c r="K230" s="636">
        <v>664303</v>
      </c>
      <c r="L230" s="640">
        <v>1985698</v>
      </c>
      <c r="M230" s="636">
        <v>2134169</v>
      </c>
      <c r="N230" s="636">
        <v>4119867</v>
      </c>
      <c r="O230" s="640">
        <v>7165</v>
      </c>
      <c r="P230" s="636">
        <v>5546</v>
      </c>
      <c r="Q230" s="636">
        <v>12711</v>
      </c>
      <c r="R230" s="640">
        <v>190002</v>
      </c>
      <c r="S230" s="636">
        <v>208600</v>
      </c>
      <c r="T230" s="636">
        <v>398602</v>
      </c>
      <c r="U230" s="640">
        <v>77045</v>
      </c>
      <c r="V230" s="636">
        <v>109577</v>
      </c>
      <c r="W230" s="636">
        <v>186622</v>
      </c>
      <c r="X230" s="640">
        <v>62032</v>
      </c>
      <c r="Y230" s="636">
        <v>63421</v>
      </c>
      <c r="Z230" s="636">
        <v>125453</v>
      </c>
    </row>
  </sheetData>
  <mergeCells count="15">
    <mergeCell ref="O2:Q2"/>
    <mergeCell ref="R2:T2"/>
    <mergeCell ref="U2:W2"/>
    <mergeCell ref="X2:Z2"/>
    <mergeCell ref="A1:B1"/>
    <mergeCell ref="C1:H1"/>
    <mergeCell ref="I1:N1"/>
    <mergeCell ref="A2:A3"/>
    <mergeCell ref="B2:B3"/>
    <mergeCell ref="C2:E2"/>
    <mergeCell ref="F2:H2"/>
    <mergeCell ref="I2:K2"/>
    <mergeCell ref="L2:N2"/>
    <mergeCell ref="O1:T1"/>
    <mergeCell ref="U1:Z1"/>
  </mergeCells>
  <pageMargins left="0.47244094488188981" right="0.19685039370078741" top="0.39370078740157483" bottom="0.39370078740157483" header="0.31496062992125984" footer="0.19685039370078741"/>
  <pageSetup paperSize="9" scale="68" orientation="portrait" r:id="rId1"/>
  <headerFooter>
    <oddFooter>&amp;L&amp;"Arial,Italic"&amp;9AISHE 2022-23&amp;RT-34a</oddFooter>
  </headerFooter>
  <rowBreaks count="1" manualBreakCount="1">
    <brk id="150" max="25" man="1"/>
  </rowBreaks>
  <colBreaks count="3" manualBreakCount="3">
    <brk id="8" max="229" man="1"/>
    <brk id="14" max="229" man="1"/>
    <brk id="20" max="229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0B87-DCF4-4DE9-88C8-1BA77F5A3C79}">
  <sheetPr codeName="Sheet47">
    <tabColor rgb="FF92D050"/>
  </sheetPr>
  <dimension ref="A1:F107"/>
  <sheetViews>
    <sheetView view="pageBreakPreview" zoomScale="145" zoomScaleNormal="100" zoomScaleSheetLayoutView="145" workbookViewId="0">
      <pane xSplit="1" ySplit="2" topLeftCell="B94" activePane="bottomRight" state="frozen"/>
      <selection activeCell="S20" sqref="S20"/>
      <selection pane="topRight" activeCell="S20" sqref="S20"/>
      <selection pane="bottomLeft" activeCell="S20" sqref="S20"/>
      <selection pane="bottomRight" activeCell="C4" sqref="C4:F107"/>
    </sheetView>
  </sheetViews>
  <sheetFormatPr defaultColWidth="8.81640625" defaultRowHeight="14" x14ac:dyDescent="0.3"/>
  <cols>
    <col min="1" max="1" width="5.7265625" style="595" customWidth="1"/>
    <col min="2" max="2" width="26" style="595" customWidth="1"/>
    <col min="3" max="3" width="31.1796875" style="595" bestFit="1" customWidth="1"/>
    <col min="4" max="6" width="14.7265625" style="595" customWidth="1"/>
    <col min="7" max="16384" width="8.81640625" style="595"/>
  </cols>
  <sheetData>
    <row r="1" spans="1:6" x14ac:dyDescent="0.3">
      <c r="A1" s="103"/>
      <c r="B1" s="920" t="s">
        <v>999</v>
      </c>
      <c r="C1" s="920"/>
      <c r="D1" s="920"/>
      <c r="E1" s="920"/>
      <c r="F1" s="920"/>
    </row>
    <row r="2" spans="1:6" x14ac:dyDescent="0.3">
      <c r="A2" s="117" t="s">
        <v>268</v>
      </c>
      <c r="B2" s="790" t="s">
        <v>269</v>
      </c>
      <c r="C2" s="790"/>
      <c r="D2" s="117" t="s">
        <v>93</v>
      </c>
      <c r="E2" s="117" t="s">
        <v>94</v>
      </c>
      <c r="F2" s="117" t="s">
        <v>54</v>
      </c>
    </row>
    <row r="3" spans="1:6" x14ac:dyDescent="0.3">
      <c r="A3" s="596">
        <v>1</v>
      </c>
      <c r="B3" s="596">
        <v>2</v>
      </c>
      <c r="C3" s="596">
        <v>3</v>
      </c>
      <c r="D3" s="596">
        <v>4</v>
      </c>
      <c r="E3" s="596">
        <v>5</v>
      </c>
      <c r="F3" s="596">
        <v>6</v>
      </c>
    </row>
    <row r="4" spans="1:6" x14ac:dyDescent="0.3">
      <c r="A4" s="293">
        <v>1</v>
      </c>
      <c r="B4" s="295" t="s">
        <v>270</v>
      </c>
      <c r="C4" s="628"/>
      <c r="D4" s="644">
        <v>48106</v>
      </c>
      <c r="E4" s="647">
        <v>21815</v>
      </c>
      <c r="F4" s="647">
        <v>69921</v>
      </c>
    </row>
    <row r="5" spans="1:6" ht="28" x14ac:dyDescent="0.3">
      <c r="A5" s="293">
        <v>2</v>
      </c>
      <c r="B5" s="295" t="s">
        <v>273</v>
      </c>
      <c r="C5" s="626"/>
      <c r="D5" s="644">
        <v>7</v>
      </c>
      <c r="E5" s="647">
        <v>3</v>
      </c>
      <c r="F5" s="647">
        <v>10</v>
      </c>
    </row>
    <row r="6" spans="1:6" x14ac:dyDescent="0.3">
      <c r="A6" s="293">
        <v>3</v>
      </c>
      <c r="B6" s="295" t="s">
        <v>274</v>
      </c>
      <c r="C6" s="626"/>
      <c r="D6" s="644">
        <v>3985</v>
      </c>
      <c r="E6" s="647">
        <v>4396</v>
      </c>
      <c r="F6" s="647">
        <v>8381</v>
      </c>
    </row>
    <row r="7" spans="1:6" x14ac:dyDescent="0.3">
      <c r="A7" s="293">
        <v>4</v>
      </c>
      <c r="B7" s="295" t="s">
        <v>275</v>
      </c>
      <c r="C7" s="626"/>
      <c r="D7" s="644">
        <v>1176740</v>
      </c>
      <c r="E7" s="647">
        <v>1388294</v>
      </c>
      <c r="F7" s="647">
        <v>2565034</v>
      </c>
    </row>
    <row r="8" spans="1:6" ht="28" x14ac:dyDescent="0.3">
      <c r="A8" s="293">
        <v>5</v>
      </c>
      <c r="B8" s="295" t="s">
        <v>276</v>
      </c>
      <c r="C8" s="626"/>
      <c r="D8" s="644">
        <v>75</v>
      </c>
      <c r="E8" s="647">
        <v>60</v>
      </c>
      <c r="F8" s="647">
        <v>135</v>
      </c>
    </row>
    <row r="9" spans="1:6" x14ac:dyDescent="0.3">
      <c r="A9" s="293">
        <v>6</v>
      </c>
      <c r="B9" s="295" t="s">
        <v>277</v>
      </c>
      <c r="C9" s="626"/>
      <c r="D9" s="644">
        <v>540027</v>
      </c>
      <c r="E9" s="647">
        <v>546348</v>
      </c>
      <c r="F9" s="647">
        <v>1086375</v>
      </c>
    </row>
    <row r="10" spans="1:6" x14ac:dyDescent="0.3">
      <c r="A10" s="293">
        <v>7</v>
      </c>
      <c r="B10" s="295" t="s">
        <v>278</v>
      </c>
      <c r="C10" s="626"/>
      <c r="D10" s="644">
        <v>73</v>
      </c>
      <c r="E10" s="647">
        <v>29</v>
      </c>
      <c r="F10" s="647">
        <v>102</v>
      </c>
    </row>
    <row r="11" spans="1:6" ht="28" x14ac:dyDescent="0.3">
      <c r="A11" s="293">
        <v>8</v>
      </c>
      <c r="B11" s="295" t="s">
        <v>279</v>
      </c>
      <c r="C11" s="626"/>
      <c r="D11" s="644">
        <v>218</v>
      </c>
      <c r="E11" s="647">
        <v>256</v>
      </c>
      <c r="F11" s="647">
        <v>474</v>
      </c>
    </row>
    <row r="12" spans="1:6" x14ac:dyDescent="0.3">
      <c r="A12" s="293">
        <v>9</v>
      </c>
      <c r="B12" s="295" t="s">
        <v>281</v>
      </c>
      <c r="C12" s="626"/>
      <c r="D12" s="644">
        <v>729</v>
      </c>
      <c r="E12" s="647">
        <v>768</v>
      </c>
      <c r="F12" s="647">
        <v>1497</v>
      </c>
    </row>
    <row r="13" spans="1:6" x14ac:dyDescent="0.3">
      <c r="A13" s="293">
        <v>10</v>
      </c>
      <c r="B13" s="295" t="s">
        <v>282</v>
      </c>
      <c r="C13" s="626"/>
      <c r="D13" s="644">
        <v>290</v>
      </c>
      <c r="E13" s="647">
        <v>177</v>
      </c>
      <c r="F13" s="647">
        <v>467</v>
      </c>
    </row>
    <row r="14" spans="1:6" x14ac:dyDescent="0.3">
      <c r="A14" s="293">
        <v>11</v>
      </c>
      <c r="B14" s="295" t="s">
        <v>283</v>
      </c>
      <c r="C14" s="626"/>
      <c r="D14" s="644">
        <v>2214</v>
      </c>
      <c r="E14" s="647">
        <v>5820</v>
      </c>
      <c r="F14" s="647">
        <v>8034</v>
      </c>
    </row>
    <row r="15" spans="1:6" x14ac:dyDescent="0.3">
      <c r="A15" s="293">
        <v>12</v>
      </c>
      <c r="B15" s="295" t="s">
        <v>284</v>
      </c>
      <c r="C15" s="626"/>
      <c r="D15" s="644">
        <v>264919</v>
      </c>
      <c r="E15" s="647">
        <v>480352</v>
      </c>
      <c r="F15" s="647">
        <v>745271</v>
      </c>
    </row>
    <row r="16" spans="1:6" x14ac:dyDescent="0.3">
      <c r="A16" s="293">
        <v>13</v>
      </c>
      <c r="B16" s="295" t="s">
        <v>285</v>
      </c>
      <c r="C16" s="997" t="s">
        <v>286</v>
      </c>
      <c r="D16" s="644">
        <v>3260</v>
      </c>
      <c r="E16" s="647">
        <v>993</v>
      </c>
      <c r="F16" s="647">
        <v>4253</v>
      </c>
    </row>
    <row r="17" spans="1:6" x14ac:dyDescent="0.3">
      <c r="A17" s="293">
        <v>14</v>
      </c>
      <c r="B17" s="294"/>
      <c r="C17" s="997" t="s">
        <v>287</v>
      </c>
      <c r="D17" s="644">
        <v>3035</v>
      </c>
      <c r="E17" s="647">
        <v>1696</v>
      </c>
      <c r="F17" s="647">
        <v>4731</v>
      </c>
    </row>
    <row r="18" spans="1:6" x14ac:dyDescent="0.3">
      <c r="A18" s="293">
        <v>15</v>
      </c>
      <c r="B18" s="294"/>
      <c r="C18" s="997" t="s">
        <v>288</v>
      </c>
      <c r="D18" s="644">
        <v>61</v>
      </c>
      <c r="E18" s="647">
        <v>0</v>
      </c>
      <c r="F18" s="647">
        <v>61</v>
      </c>
    </row>
    <row r="19" spans="1:6" x14ac:dyDescent="0.3">
      <c r="A19" s="293">
        <v>16</v>
      </c>
      <c r="B19" s="294"/>
      <c r="C19" s="997" t="s">
        <v>289</v>
      </c>
      <c r="D19" s="644">
        <v>6249</v>
      </c>
      <c r="E19" s="647">
        <v>7244</v>
      </c>
      <c r="F19" s="647">
        <v>13493</v>
      </c>
    </row>
    <row r="20" spans="1:6" x14ac:dyDescent="0.3">
      <c r="A20" s="293">
        <v>17</v>
      </c>
      <c r="B20" s="294"/>
      <c r="C20" s="997" t="s">
        <v>290</v>
      </c>
      <c r="D20" s="644">
        <v>15</v>
      </c>
      <c r="E20" s="647">
        <v>6</v>
      </c>
      <c r="F20" s="647">
        <v>21</v>
      </c>
    </row>
    <row r="21" spans="1:6" ht="28" x14ac:dyDescent="0.3">
      <c r="A21" s="293">
        <v>18</v>
      </c>
      <c r="B21" s="294"/>
      <c r="C21" s="997" t="s">
        <v>291</v>
      </c>
      <c r="D21" s="644">
        <v>450</v>
      </c>
      <c r="E21" s="647">
        <v>185</v>
      </c>
      <c r="F21" s="647">
        <v>635</v>
      </c>
    </row>
    <row r="22" spans="1:6" ht="28" x14ac:dyDescent="0.3">
      <c r="A22" s="293">
        <v>19</v>
      </c>
      <c r="B22" s="294"/>
      <c r="C22" s="997" t="s">
        <v>292</v>
      </c>
      <c r="D22" s="644">
        <v>446</v>
      </c>
      <c r="E22" s="647">
        <v>213</v>
      </c>
      <c r="F22" s="647">
        <v>659</v>
      </c>
    </row>
    <row r="23" spans="1:6" x14ac:dyDescent="0.3">
      <c r="A23" s="293">
        <v>20</v>
      </c>
      <c r="B23" s="294"/>
      <c r="C23" s="997" t="s">
        <v>293</v>
      </c>
      <c r="D23" s="644">
        <v>65</v>
      </c>
      <c r="E23" s="647">
        <v>5</v>
      </c>
      <c r="F23" s="647">
        <v>70</v>
      </c>
    </row>
    <row r="24" spans="1:6" x14ac:dyDescent="0.3">
      <c r="A24" s="293">
        <v>21</v>
      </c>
      <c r="B24" s="294"/>
      <c r="C24" s="997" t="s">
        <v>294</v>
      </c>
      <c r="D24" s="644">
        <v>1031</v>
      </c>
      <c r="E24" s="647">
        <v>27</v>
      </c>
      <c r="F24" s="647">
        <v>1058</v>
      </c>
    </row>
    <row r="25" spans="1:6" x14ac:dyDescent="0.3">
      <c r="A25" s="293">
        <v>22</v>
      </c>
      <c r="B25" s="294"/>
      <c r="C25" s="997" t="s">
        <v>295</v>
      </c>
      <c r="D25" s="644">
        <v>60</v>
      </c>
      <c r="E25" s="647">
        <v>0</v>
      </c>
      <c r="F25" s="647">
        <v>60</v>
      </c>
    </row>
    <row r="26" spans="1:6" x14ac:dyDescent="0.3">
      <c r="A26" s="293">
        <v>23</v>
      </c>
      <c r="B26" s="294"/>
      <c r="C26" s="997" t="s">
        <v>296</v>
      </c>
      <c r="D26" s="644">
        <v>10234</v>
      </c>
      <c r="E26" s="647">
        <v>3362</v>
      </c>
      <c r="F26" s="647">
        <v>13596</v>
      </c>
    </row>
    <row r="27" spans="1:6" x14ac:dyDescent="0.3">
      <c r="A27" s="293">
        <v>24</v>
      </c>
      <c r="B27" s="294"/>
      <c r="C27" s="997" t="s">
        <v>297</v>
      </c>
      <c r="D27" s="644">
        <v>47</v>
      </c>
      <c r="E27" s="647">
        <v>26</v>
      </c>
      <c r="F27" s="647">
        <v>73</v>
      </c>
    </row>
    <row r="28" spans="1:6" x14ac:dyDescent="0.3">
      <c r="A28" s="293">
        <v>25</v>
      </c>
      <c r="B28" s="294"/>
      <c r="C28" s="997" t="s">
        <v>298</v>
      </c>
      <c r="D28" s="644">
        <v>77028</v>
      </c>
      <c r="E28" s="647">
        <v>24061</v>
      </c>
      <c r="F28" s="647">
        <v>101089</v>
      </c>
    </row>
    <row r="29" spans="1:6" x14ac:dyDescent="0.3">
      <c r="A29" s="293">
        <v>26</v>
      </c>
      <c r="B29" s="294"/>
      <c r="C29" s="997" t="s">
        <v>299</v>
      </c>
      <c r="D29" s="644">
        <v>146537</v>
      </c>
      <c r="E29" s="647">
        <v>85759</v>
      </c>
      <c r="F29" s="647">
        <v>232296</v>
      </c>
    </row>
    <row r="30" spans="1:6" x14ac:dyDescent="0.3">
      <c r="A30" s="293">
        <v>27</v>
      </c>
      <c r="B30" s="294"/>
      <c r="C30" s="997" t="s">
        <v>300</v>
      </c>
      <c r="D30" s="644">
        <v>100</v>
      </c>
      <c r="E30" s="647">
        <v>29</v>
      </c>
      <c r="F30" s="647">
        <v>129</v>
      </c>
    </row>
    <row r="31" spans="1:6" x14ac:dyDescent="0.3">
      <c r="A31" s="293">
        <v>28</v>
      </c>
      <c r="B31" s="294"/>
      <c r="C31" s="997" t="s">
        <v>301</v>
      </c>
      <c r="D31" s="644">
        <v>629</v>
      </c>
      <c r="E31" s="647">
        <v>289</v>
      </c>
      <c r="F31" s="647">
        <v>918</v>
      </c>
    </row>
    <row r="32" spans="1:6" x14ac:dyDescent="0.3">
      <c r="A32" s="293">
        <v>29</v>
      </c>
      <c r="B32" s="294"/>
      <c r="C32" s="997" t="s">
        <v>302</v>
      </c>
      <c r="D32" s="644">
        <v>274</v>
      </c>
      <c r="E32" s="647">
        <v>59</v>
      </c>
      <c r="F32" s="647">
        <v>333</v>
      </c>
    </row>
    <row r="33" spans="1:6" x14ac:dyDescent="0.3">
      <c r="A33" s="293">
        <v>30</v>
      </c>
      <c r="B33" s="294"/>
      <c r="C33" s="997" t="s">
        <v>303</v>
      </c>
      <c r="D33" s="644">
        <v>50</v>
      </c>
      <c r="E33" s="647">
        <v>19</v>
      </c>
      <c r="F33" s="647">
        <v>69</v>
      </c>
    </row>
    <row r="34" spans="1:6" ht="28" x14ac:dyDescent="0.3">
      <c r="A34" s="293">
        <v>31</v>
      </c>
      <c r="B34" s="294"/>
      <c r="C34" s="997" t="s">
        <v>304</v>
      </c>
      <c r="D34" s="644">
        <v>2901</v>
      </c>
      <c r="E34" s="647">
        <v>1043</v>
      </c>
      <c r="F34" s="647">
        <v>3944</v>
      </c>
    </row>
    <row r="35" spans="1:6" x14ac:dyDescent="0.3">
      <c r="A35" s="293">
        <v>32</v>
      </c>
      <c r="B35" s="294"/>
      <c r="C35" s="997" t="s">
        <v>305</v>
      </c>
      <c r="D35" s="644">
        <v>56154</v>
      </c>
      <c r="E35" s="647">
        <v>21133</v>
      </c>
      <c r="F35" s="647">
        <v>77287</v>
      </c>
    </row>
    <row r="36" spans="1:6" ht="28" x14ac:dyDescent="0.3">
      <c r="A36" s="293">
        <v>33</v>
      </c>
      <c r="B36" s="294"/>
      <c r="C36" s="997" t="s">
        <v>900</v>
      </c>
      <c r="D36" s="644">
        <v>9821</v>
      </c>
      <c r="E36" s="647">
        <v>5993</v>
      </c>
      <c r="F36" s="647">
        <v>15814</v>
      </c>
    </row>
    <row r="37" spans="1:6" x14ac:dyDescent="0.3">
      <c r="A37" s="293">
        <v>34</v>
      </c>
      <c r="B37" s="294"/>
      <c r="C37" s="997" t="s">
        <v>307</v>
      </c>
      <c r="D37" s="644">
        <v>70117</v>
      </c>
      <c r="E37" s="647">
        <v>48595</v>
      </c>
      <c r="F37" s="647">
        <v>118712</v>
      </c>
    </row>
    <row r="38" spans="1:6" x14ac:dyDescent="0.3">
      <c r="A38" s="293">
        <v>35</v>
      </c>
      <c r="B38" s="294"/>
      <c r="C38" s="997" t="s">
        <v>285</v>
      </c>
      <c r="D38" s="644">
        <v>581</v>
      </c>
      <c r="E38" s="647">
        <v>259</v>
      </c>
      <c r="F38" s="647">
        <v>840</v>
      </c>
    </row>
    <row r="39" spans="1:6" x14ac:dyDescent="0.3">
      <c r="A39" s="293">
        <v>36</v>
      </c>
      <c r="B39" s="294"/>
      <c r="C39" s="997" t="s">
        <v>310</v>
      </c>
      <c r="D39" s="644">
        <v>2490</v>
      </c>
      <c r="E39" s="647">
        <v>2357</v>
      </c>
      <c r="F39" s="647">
        <v>4847</v>
      </c>
    </row>
    <row r="40" spans="1:6" x14ac:dyDescent="0.3">
      <c r="A40" s="293">
        <v>37</v>
      </c>
      <c r="B40" s="294"/>
      <c r="C40" s="997" t="s">
        <v>313</v>
      </c>
      <c r="D40" s="644">
        <v>2222</v>
      </c>
      <c r="E40" s="647">
        <v>100</v>
      </c>
      <c r="F40" s="647">
        <v>2322</v>
      </c>
    </row>
    <row r="41" spans="1:6" ht="28" x14ac:dyDescent="0.3">
      <c r="A41" s="293">
        <v>38</v>
      </c>
      <c r="B41" s="294"/>
      <c r="C41" s="997" t="s">
        <v>314</v>
      </c>
      <c r="D41" s="644">
        <v>193</v>
      </c>
      <c r="E41" s="647">
        <v>18</v>
      </c>
      <c r="F41" s="647">
        <v>211</v>
      </c>
    </row>
    <row r="42" spans="1:6" x14ac:dyDescent="0.3">
      <c r="A42" s="293">
        <v>39</v>
      </c>
      <c r="B42" s="294"/>
      <c r="C42" s="997" t="s">
        <v>315</v>
      </c>
      <c r="D42" s="644">
        <v>125771</v>
      </c>
      <c r="E42" s="647">
        <v>9829</v>
      </c>
      <c r="F42" s="647">
        <v>135600</v>
      </c>
    </row>
    <row r="43" spans="1:6" x14ac:dyDescent="0.3">
      <c r="A43" s="293">
        <v>40</v>
      </c>
      <c r="B43" s="294"/>
      <c r="C43" s="997" t="s">
        <v>316</v>
      </c>
      <c r="D43" s="644">
        <v>1146</v>
      </c>
      <c r="E43" s="647">
        <v>191</v>
      </c>
      <c r="F43" s="647">
        <v>1337</v>
      </c>
    </row>
    <row r="44" spans="1:6" x14ac:dyDescent="0.3">
      <c r="A44" s="293">
        <v>41</v>
      </c>
      <c r="B44" s="294"/>
      <c r="C44" s="997" t="s">
        <v>317</v>
      </c>
      <c r="D44" s="644">
        <v>20</v>
      </c>
      <c r="E44" s="647">
        <v>13</v>
      </c>
      <c r="F44" s="647">
        <v>33</v>
      </c>
    </row>
    <row r="45" spans="1:6" x14ac:dyDescent="0.3">
      <c r="A45" s="293">
        <v>42</v>
      </c>
      <c r="B45" s="294"/>
      <c r="C45" s="997" t="s">
        <v>318</v>
      </c>
      <c r="D45" s="644">
        <v>1919</v>
      </c>
      <c r="E45" s="647">
        <v>626</v>
      </c>
      <c r="F45" s="647">
        <v>2545</v>
      </c>
    </row>
    <row r="46" spans="1:6" x14ac:dyDescent="0.3">
      <c r="A46" s="293">
        <v>43</v>
      </c>
      <c r="B46" s="294"/>
      <c r="C46" s="997" t="s">
        <v>319</v>
      </c>
      <c r="D46" s="644">
        <v>1875</v>
      </c>
      <c r="E46" s="647">
        <v>114</v>
      </c>
      <c r="F46" s="647">
        <v>1989</v>
      </c>
    </row>
    <row r="47" spans="1:6" x14ac:dyDescent="0.3">
      <c r="A47" s="293">
        <v>44</v>
      </c>
      <c r="B47" s="294"/>
      <c r="C47" s="997" t="s">
        <v>320</v>
      </c>
      <c r="D47" s="644">
        <v>5</v>
      </c>
      <c r="E47" s="647">
        <v>1</v>
      </c>
      <c r="F47" s="647">
        <v>6</v>
      </c>
    </row>
    <row r="48" spans="1:6" x14ac:dyDescent="0.3">
      <c r="A48" s="293">
        <v>45</v>
      </c>
      <c r="B48" s="294"/>
      <c r="C48" s="997" t="s">
        <v>321</v>
      </c>
      <c r="D48" s="644">
        <v>29296</v>
      </c>
      <c r="E48" s="647">
        <v>15703</v>
      </c>
      <c r="F48" s="647">
        <v>44999</v>
      </c>
    </row>
    <row r="49" spans="1:6" x14ac:dyDescent="0.3">
      <c r="A49" s="293">
        <v>46</v>
      </c>
      <c r="B49" s="294"/>
      <c r="C49" s="997" t="s">
        <v>322</v>
      </c>
      <c r="D49" s="644">
        <v>148</v>
      </c>
      <c r="E49" s="647">
        <v>29</v>
      </c>
      <c r="F49" s="647">
        <v>177</v>
      </c>
    </row>
    <row r="50" spans="1:6" x14ac:dyDescent="0.3">
      <c r="A50" s="293">
        <v>47</v>
      </c>
      <c r="B50" s="294"/>
      <c r="C50" s="997" t="s">
        <v>323</v>
      </c>
      <c r="D50" s="644">
        <v>150</v>
      </c>
      <c r="E50" s="647">
        <v>133</v>
      </c>
      <c r="F50" s="647">
        <v>283</v>
      </c>
    </row>
    <row r="51" spans="1:6" x14ac:dyDescent="0.3">
      <c r="A51" s="293">
        <v>48</v>
      </c>
      <c r="B51" s="294"/>
      <c r="C51" s="997" t="s">
        <v>901</v>
      </c>
      <c r="D51" s="644">
        <v>21</v>
      </c>
      <c r="E51" s="647">
        <v>6</v>
      </c>
      <c r="F51" s="647">
        <v>27</v>
      </c>
    </row>
    <row r="52" spans="1:6" x14ac:dyDescent="0.3">
      <c r="A52" s="293">
        <v>49</v>
      </c>
      <c r="B52" s="294" t="s">
        <v>325</v>
      </c>
      <c r="C52" s="997"/>
      <c r="D52" s="644">
        <v>554401</v>
      </c>
      <c r="E52" s="647">
        <v>230116</v>
      </c>
      <c r="F52" s="647">
        <v>784517</v>
      </c>
    </row>
    <row r="53" spans="1:6" x14ac:dyDescent="0.3">
      <c r="A53" s="293">
        <v>50</v>
      </c>
      <c r="B53" s="294" t="s">
        <v>326</v>
      </c>
      <c r="C53" s="997"/>
      <c r="D53" s="644">
        <v>25</v>
      </c>
      <c r="E53" s="647">
        <v>6</v>
      </c>
      <c r="F53" s="647">
        <v>31</v>
      </c>
    </row>
    <row r="54" spans="1:6" x14ac:dyDescent="0.3">
      <c r="A54" s="293">
        <v>51</v>
      </c>
      <c r="B54" s="294" t="s">
        <v>327</v>
      </c>
      <c r="C54" s="997"/>
      <c r="D54" s="644">
        <v>13</v>
      </c>
      <c r="E54" s="647">
        <v>126</v>
      </c>
      <c r="F54" s="647">
        <v>139</v>
      </c>
    </row>
    <row r="55" spans="1:6" x14ac:dyDescent="0.3">
      <c r="A55" s="293">
        <v>52</v>
      </c>
      <c r="B55" s="294" t="s">
        <v>328</v>
      </c>
      <c r="C55" s="997"/>
      <c r="D55" s="644">
        <v>1470</v>
      </c>
      <c r="E55" s="647">
        <v>4153</v>
      </c>
      <c r="F55" s="647">
        <v>5623</v>
      </c>
    </row>
    <row r="56" spans="1:6" x14ac:dyDescent="0.3">
      <c r="A56" s="293">
        <v>53</v>
      </c>
      <c r="B56" s="294" t="s">
        <v>329</v>
      </c>
      <c r="C56" s="997"/>
      <c r="D56" s="644">
        <v>4755</v>
      </c>
      <c r="E56" s="647">
        <v>5956</v>
      </c>
      <c r="F56" s="647">
        <v>10711</v>
      </c>
    </row>
    <row r="57" spans="1:6" x14ac:dyDescent="0.3">
      <c r="A57" s="293">
        <v>54</v>
      </c>
      <c r="B57" s="294" t="s">
        <v>330</v>
      </c>
      <c r="C57" s="997"/>
      <c r="D57" s="644">
        <v>860</v>
      </c>
      <c r="E57" s="647">
        <v>778</v>
      </c>
      <c r="F57" s="647">
        <v>1638</v>
      </c>
    </row>
    <row r="58" spans="1:6" x14ac:dyDescent="0.3">
      <c r="A58" s="293">
        <v>55</v>
      </c>
      <c r="B58" s="294" t="s">
        <v>331</v>
      </c>
      <c r="C58" s="997"/>
      <c r="D58" s="644">
        <v>82</v>
      </c>
      <c r="E58" s="647">
        <v>13</v>
      </c>
      <c r="F58" s="647">
        <v>95</v>
      </c>
    </row>
    <row r="59" spans="1:6" x14ac:dyDescent="0.3">
      <c r="A59" s="293">
        <v>56</v>
      </c>
      <c r="B59" s="294" t="s">
        <v>332</v>
      </c>
      <c r="C59" s="997"/>
      <c r="D59" s="644">
        <v>213</v>
      </c>
      <c r="E59" s="647">
        <v>262</v>
      </c>
      <c r="F59" s="647">
        <v>475</v>
      </c>
    </row>
    <row r="60" spans="1:6" x14ac:dyDescent="0.3">
      <c r="A60" s="293">
        <v>57</v>
      </c>
      <c r="B60" s="294" t="s">
        <v>333</v>
      </c>
      <c r="C60" s="997"/>
      <c r="D60" s="644">
        <v>17513</v>
      </c>
      <c r="E60" s="647">
        <v>24706</v>
      </c>
      <c r="F60" s="647">
        <v>42219</v>
      </c>
    </row>
    <row r="61" spans="1:6" x14ac:dyDescent="0.3">
      <c r="A61" s="293">
        <v>58</v>
      </c>
      <c r="B61" s="294" t="s">
        <v>334</v>
      </c>
      <c r="C61" s="997"/>
      <c r="D61" s="644">
        <v>62</v>
      </c>
      <c r="E61" s="647">
        <v>117</v>
      </c>
      <c r="F61" s="647">
        <v>179</v>
      </c>
    </row>
    <row r="62" spans="1:6" x14ac:dyDescent="0.3">
      <c r="A62" s="293">
        <v>59</v>
      </c>
      <c r="B62" s="294" t="s">
        <v>335</v>
      </c>
      <c r="C62" s="997"/>
      <c r="D62" s="644">
        <v>1046</v>
      </c>
      <c r="E62" s="647">
        <v>18188</v>
      </c>
      <c r="F62" s="647">
        <v>19234</v>
      </c>
    </row>
    <row r="63" spans="1:6" x14ac:dyDescent="0.3">
      <c r="A63" s="293">
        <v>60</v>
      </c>
      <c r="B63" s="294" t="s">
        <v>336</v>
      </c>
      <c r="C63" s="997"/>
      <c r="D63" s="644">
        <v>4645</v>
      </c>
      <c r="E63" s="647">
        <v>1644</v>
      </c>
      <c r="F63" s="647">
        <v>6289</v>
      </c>
    </row>
    <row r="64" spans="1:6" x14ac:dyDescent="0.3">
      <c r="A64" s="293">
        <v>61</v>
      </c>
      <c r="B64" s="294" t="s">
        <v>337</v>
      </c>
      <c r="C64" s="997"/>
      <c r="D64" s="644">
        <v>24651</v>
      </c>
      <c r="E64" s="647">
        <v>50601</v>
      </c>
      <c r="F64" s="647">
        <v>75252</v>
      </c>
    </row>
    <row r="65" spans="1:6" x14ac:dyDescent="0.3">
      <c r="A65" s="293">
        <v>62</v>
      </c>
      <c r="B65" s="294" t="s">
        <v>311</v>
      </c>
      <c r="C65" s="997"/>
      <c r="D65" s="644">
        <v>148</v>
      </c>
      <c r="E65" s="647">
        <v>141</v>
      </c>
      <c r="F65" s="647">
        <v>289</v>
      </c>
    </row>
    <row r="66" spans="1:6" x14ac:dyDescent="0.3">
      <c r="A66" s="293">
        <v>63</v>
      </c>
      <c r="B66" s="294" t="s">
        <v>338</v>
      </c>
      <c r="C66" s="997"/>
      <c r="D66" s="644">
        <v>153386</v>
      </c>
      <c r="E66" s="647">
        <v>107380</v>
      </c>
      <c r="F66" s="647">
        <v>260766</v>
      </c>
    </row>
    <row r="67" spans="1:6" x14ac:dyDescent="0.3">
      <c r="A67" s="293">
        <v>64</v>
      </c>
      <c r="B67" s="294" t="s">
        <v>339</v>
      </c>
      <c r="C67" s="997"/>
      <c r="D67" s="644">
        <v>4262</v>
      </c>
      <c r="E67" s="647">
        <v>5002</v>
      </c>
      <c r="F67" s="647">
        <v>9264</v>
      </c>
    </row>
    <row r="68" spans="1:6" x14ac:dyDescent="0.3">
      <c r="A68" s="293">
        <v>65</v>
      </c>
      <c r="B68" s="294" t="s">
        <v>340</v>
      </c>
      <c r="C68" s="997"/>
      <c r="D68" s="644">
        <v>78963</v>
      </c>
      <c r="E68" s="647">
        <v>37819</v>
      </c>
      <c r="F68" s="647">
        <v>116782</v>
      </c>
    </row>
    <row r="69" spans="1:6" x14ac:dyDescent="0.3">
      <c r="A69" s="293">
        <v>66</v>
      </c>
      <c r="B69" s="294" t="s">
        <v>341</v>
      </c>
      <c r="C69" s="997"/>
      <c r="D69" s="644">
        <v>15982</v>
      </c>
      <c r="E69" s="647">
        <v>14403</v>
      </c>
      <c r="F69" s="647">
        <v>30385</v>
      </c>
    </row>
    <row r="70" spans="1:6" x14ac:dyDescent="0.3">
      <c r="A70" s="293">
        <v>67</v>
      </c>
      <c r="B70" s="294" t="s">
        <v>343</v>
      </c>
      <c r="C70" s="997"/>
      <c r="D70" s="644">
        <v>664</v>
      </c>
      <c r="E70" s="647">
        <v>1503</v>
      </c>
      <c r="F70" s="647">
        <v>2167</v>
      </c>
    </row>
    <row r="71" spans="1:6" x14ac:dyDescent="0.3">
      <c r="A71" s="293">
        <v>68</v>
      </c>
      <c r="B71" s="294" t="s">
        <v>344</v>
      </c>
      <c r="C71" s="997"/>
      <c r="D71" s="644">
        <v>127458</v>
      </c>
      <c r="E71" s="647">
        <v>84522</v>
      </c>
      <c r="F71" s="647">
        <v>211980</v>
      </c>
    </row>
    <row r="72" spans="1:6" x14ac:dyDescent="0.3">
      <c r="A72" s="293">
        <v>69</v>
      </c>
      <c r="B72" s="294" t="s">
        <v>346</v>
      </c>
      <c r="C72" s="997"/>
      <c r="D72" s="644">
        <v>301</v>
      </c>
      <c r="E72" s="647">
        <v>12</v>
      </c>
      <c r="F72" s="647">
        <v>313</v>
      </c>
    </row>
    <row r="73" spans="1:6" x14ac:dyDescent="0.3">
      <c r="A73" s="293">
        <v>70</v>
      </c>
      <c r="B73" s="294" t="s">
        <v>348</v>
      </c>
      <c r="C73" s="997" t="s">
        <v>350</v>
      </c>
      <c r="D73" s="644">
        <v>6352</v>
      </c>
      <c r="E73" s="647">
        <v>10145</v>
      </c>
      <c r="F73" s="647">
        <v>16497</v>
      </c>
    </row>
    <row r="74" spans="1:6" x14ac:dyDescent="0.3">
      <c r="A74" s="293">
        <v>71</v>
      </c>
      <c r="B74" s="294"/>
      <c r="C74" s="997" t="s">
        <v>351</v>
      </c>
      <c r="D74" s="644">
        <v>137</v>
      </c>
      <c r="E74" s="647">
        <v>217</v>
      </c>
      <c r="F74" s="647">
        <v>354</v>
      </c>
    </row>
    <row r="75" spans="1:6" x14ac:dyDescent="0.3">
      <c r="A75" s="293">
        <v>72</v>
      </c>
      <c r="B75" s="294"/>
      <c r="C75" s="997" t="s">
        <v>495</v>
      </c>
      <c r="D75" s="644">
        <v>622</v>
      </c>
      <c r="E75" s="647">
        <v>1227</v>
      </c>
      <c r="F75" s="647">
        <v>1849</v>
      </c>
    </row>
    <row r="76" spans="1:6" x14ac:dyDescent="0.3">
      <c r="A76" s="293">
        <v>73</v>
      </c>
      <c r="B76" s="294"/>
      <c r="C76" s="997" t="s">
        <v>352</v>
      </c>
      <c r="D76" s="644">
        <v>4982</v>
      </c>
      <c r="E76" s="647">
        <v>15079</v>
      </c>
      <c r="F76" s="647">
        <v>20061</v>
      </c>
    </row>
    <row r="77" spans="1:6" x14ac:dyDescent="0.3">
      <c r="A77" s="293">
        <v>74</v>
      </c>
      <c r="B77" s="294"/>
      <c r="C77" s="997" t="s">
        <v>355</v>
      </c>
      <c r="D77" s="644">
        <v>29218</v>
      </c>
      <c r="E77" s="647">
        <v>30647</v>
      </c>
      <c r="F77" s="647">
        <v>59865</v>
      </c>
    </row>
    <row r="78" spans="1:6" x14ac:dyDescent="0.3">
      <c r="A78" s="293">
        <v>75</v>
      </c>
      <c r="B78" s="294"/>
      <c r="C78" s="997" t="s">
        <v>356</v>
      </c>
      <c r="D78" s="644">
        <v>207</v>
      </c>
      <c r="E78" s="647">
        <v>533</v>
      </c>
      <c r="F78" s="647">
        <v>740</v>
      </c>
    </row>
    <row r="79" spans="1:6" x14ac:dyDescent="0.3">
      <c r="A79" s="293">
        <v>76</v>
      </c>
      <c r="B79" s="294"/>
      <c r="C79" s="997" t="s">
        <v>357</v>
      </c>
      <c r="D79" s="644">
        <v>103</v>
      </c>
      <c r="E79" s="647">
        <v>113</v>
      </c>
      <c r="F79" s="647">
        <v>216</v>
      </c>
    </row>
    <row r="80" spans="1:6" x14ac:dyDescent="0.3">
      <c r="A80" s="293">
        <v>77</v>
      </c>
      <c r="B80" s="294"/>
      <c r="C80" s="997" t="s">
        <v>358</v>
      </c>
      <c r="D80" s="644">
        <v>3649</v>
      </c>
      <c r="E80" s="647">
        <v>6746</v>
      </c>
      <c r="F80" s="647">
        <v>10395</v>
      </c>
    </row>
    <row r="81" spans="1:6" x14ac:dyDescent="0.3">
      <c r="A81" s="293">
        <v>78</v>
      </c>
      <c r="B81" s="294"/>
      <c r="C81" s="997" t="s">
        <v>360</v>
      </c>
      <c r="D81" s="644">
        <v>43</v>
      </c>
      <c r="E81" s="647">
        <v>60</v>
      </c>
      <c r="F81" s="647">
        <v>103</v>
      </c>
    </row>
    <row r="82" spans="1:6" x14ac:dyDescent="0.3">
      <c r="A82" s="293">
        <v>79</v>
      </c>
      <c r="B82" s="294"/>
      <c r="C82" s="997" t="s">
        <v>361</v>
      </c>
      <c r="D82" s="644">
        <v>233</v>
      </c>
      <c r="E82" s="647">
        <v>502</v>
      </c>
      <c r="F82" s="647">
        <v>735</v>
      </c>
    </row>
    <row r="83" spans="1:6" x14ac:dyDescent="0.3">
      <c r="A83" s="293">
        <v>80</v>
      </c>
      <c r="B83" s="294"/>
      <c r="C83" s="997" t="s">
        <v>348</v>
      </c>
      <c r="D83" s="644">
        <v>4670</v>
      </c>
      <c r="E83" s="647">
        <v>10140</v>
      </c>
      <c r="F83" s="647">
        <v>14810</v>
      </c>
    </row>
    <row r="84" spans="1:6" x14ac:dyDescent="0.3">
      <c r="A84" s="293">
        <v>81</v>
      </c>
      <c r="B84" s="294"/>
      <c r="C84" s="997" t="s">
        <v>504</v>
      </c>
      <c r="D84" s="644">
        <v>461</v>
      </c>
      <c r="E84" s="647">
        <v>772</v>
      </c>
      <c r="F84" s="647">
        <v>1233</v>
      </c>
    </row>
    <row r="85" spans="1:6" x14ac:dyDescent="0.3">
      <c r="A85" s="293">
        <v>82</v>
      </c>
      <c r="B85" s="294"/>
      <c r="C85" s="997" t="s">
        <v>108</v>
      </c>
      <c r="D85" s="644">
        <v>21159</v>
      </c>
      <c r="E85" s="647">
        <v>78878</v>
      </c>
      <c r="F85" s="647">
        <v>100037</v>
      </c>
    </row>
    <row r="86" spans="1:6" x14ac:dyDescent="0.3">
      <c r="A86" s="293">
        <v>83</v>
      </c>
      <c r="B86" s="294"/>
      <c r="C86" s="997" t="s">
        <v>362</v>
      </c>
      <c r="D86" s="644">
        <v>236</v>
      </c>
      <c r="E86" s="647">
        <v>472</v>
      </c>
      <c r="F86" s="647">
        <v>708</v>
      </c>
    </row>
    <row r="87" spans="1:6" x14ac:dyDescent="0.3">
      <c r="A87" s="293">
        <v>84</v>
      </c>
      <c r="B87" s="294"/>
      <c r="C87" s="997" t="s">
        <v>363</v>
      </c>
      <c r="D87" s="644">
        <v>654</v>
      </c>
      <c r="E87" s="647">
        <v>1084</v>
      </c>
      <c r="F87" s="647">
        <v>1738</v>
      </c>
    </row>
    <row r="88" spans="1:6" x14ac:dyDescent="0.3">
      <c r="A88" s="293">
        <v>85</v>
      </c>
      <c r="B88" s="294"/>
      <c r="C88" s="997" t="s">
        <v>364</v>
      </c>
      <c r="D88" s="644">
        <v>373</v>
      </c>
      <c r="E88" s="647">
        <v>718</v>
      </c>
      <c r="F88" s="647">
        <v>1091</v>
      </c>
    </row>
    <row r="89" spans="1:6" x14ac:dyDescent="0.3">
      <c r="A89" s="293">
        <v>86</v>
      </c>
      <c r="B89" s="294"/>
      <c r="C89" s="997" t="s">
        <v>365</v>
      </c>
      <c r="D89" s="644">
        <v>164</v>
      </c>
      <c r="E89" s="647">
        <v>538</v>
      </c>
      <c r="F89" s="647">
        <v>702</v>
      </c>
    </row>
    <row r="90" spans="1:6" x14ac:dyDescent="0.3">
      <c r="A90" s="293">
        <v>87</v>
      </c>
      <c r="B90" s="294"/>
      <c r="C90" s="997" t="s">
        <v>366</v>
      </c>
      <c r="D90" s="644">
        <v>103</v>
      </c>
      <c r="E90" s="647">
        <v>113</v>
      </c>
      <c r="F90" s="647">
        <v>216</v>
      </c>
    </row>
    <row r="91" spans="1:6" x14ac:dyDescent="0.3">
      <c r="A91" s="293">
        <v>88</v>
      </c>
      <c r="B91" s="294"/>
      <c r="C91" s="997" t="s">
        <v>367</v>
      </c>
      <c r="D91" s="644">
        <v>46825</v>
      </c>
      <c r="E91" s="647">
        <v>33927</v>
      </c>
      <c r="F91" s="647">
        <v>80752</v>
      </c>
    </row>
    <row r="92" spans="1:6" x14ac:dyDescent="0.3">
      <c r="A92" s="293">
        <v>89</v>
      </c>
      <c r="B92" s="294"/>
      <c r="C92" s="997" t="s">
        <v>368</v>
      </c>
      <c r="D92" s="644">
        <v>5293</v>
      </c>
      <c r="E92" s="647">
        <v>11429</v>
      </c>
      <c r="F92" s="647">
        <v>16722</v>
      </c>
    </row>
    <row r="93" spans="1:6" x14ac:dyDescent="0.3">
      <c r="A93" s="293">
        <v>90</v>
      </c>
      <c r="B93" s="294"/>
      <c r="C93" s="997" t="s">
        <v>369</v>
      </c>
      <c r="D93" s="644">
        <v>25</v>
      </c>
      <c r="E93" s="647">
        <v>36</v>
      </c>
      <c r="F93" s="647">
        <v>61</v>
      </c>
    </row>
    <row r="94" spans="1:6" x14ac:dyDescent="0.3">
      <c r="A94" s="293">
        <v>91</v>
      </c>
      <c r="B94" s="294"/>
      <c r="C94" s="997" t="s">
        <v>371</v>
      </c>
      <c r="D94" s="644">
        <v>1014</v>
      </c>
      <c r="E94" s="647">
        <v>940</v>
      </c>
      <c r="F94" s="647">
        <v>1954</v>
      </c>
    </row>
    <row r="95" spans="1:6" x14ac:dyDescent="0.3">
      <c r="A95" s="293">
        <v>92</v>
      </c>
      <c r="B95" s="294" t="s">
        <v>372</v>
      </c>
      <c r="C95" s="997"/>
      <c r="D95" s="644">
        <v>126523</v>
      </c>
      <c r="E95" s="647">
        <v>204316</v>
      </c>
      <c r="F95" s="647">
        <v>330839</v>
      </c>
    </row>
    <row r="96" spans="1:6" x14ac:dyDescent="0.3">
      <c r="A96" s="293">
        <v>93</v>
      </c>
      <c r="B96" s="294" t="s">
        <v>373</v>
      </c>
      <c r="C96" s="997"/>
      <c r="D96" s="644">
        <v>9268</v>
      </c>
      <c r="E96" s="647">
        <v>5119</v>
      </c>
      <c r="F96" s="647">
        <v>14387</v>
      </c>
    </row>
    <row r="97" spans="1:6" x14ac:dyDescent="0.3">
      <c r="A97" s="293">
        <v>94</v>
      </c>
      <c r="B97" s="294" t="s">
        <v>374</v>
      </c>
      <c r="C97" s="997"/>
      <c r="D97" s="644">
        <v>6331</v>
      </c>
      <c r="E97" s="647">
        <v>5873</v>
      </c>
      <c r="F97" s="647">
        <v>12204</v>
      </c>
    </row>
    <row r="98" spans="1:6" x14ac:dyDescent="0.3">
      <c r="A98" s="293">
        <v>95</v>
      </c>
      <c r="B98" s="294" t="s">
        <v>375</v>
      </c>
      <c r="C98" s="997"/>
      <c r="D98" s="644">
        <v>18454</v>
      </c>
      <c r="E98" s="647">
        <v>8312</v>
      </c>
      <c r="F98" s="647">
        <v>26766</v>
      </c>
    </row>
    <row r="99" spans="1:6" x14ac:dyDescent="0.3">
      <c r="A99" s="293">
        <v>96</v>
      </c>
      <c r="B99" s="294" t="s">
        <v>376</v>
      </c>
      <c r="C99" s="997"/>
      <c r="D99" s="644">
        <v>565</v>
      </c>
      <c r="E99" s="647">
        <v>543</v>
      </c>
      <c r="F99" s="647">
        <v>1108</v>
      </c>
    </row>
    <row r="100" spans="1:6" x14ac:dyDescent="0.3">
      <c r="A100" s="293">
        <v>97</v>
      </c>
      <c r="B100" s="294" t="s">
        <v>378</v>
      </c>
      <c r="C100" s="997"/>
      <c r="D100" s="644">
        <v>52</v>
      </c>
      <c r="E100" s="647">
        <v>5</v>
      </c>
      <c r="F100" s="647">
        <v>57</v>
      </c>
    </row>
    <row r="101" spans="1:6" x14ac:dyDescent="0.3">
      <c r="A101" s="293">
        <v>98</v>
      </c>
      <c r="B101" s="294" t="s">
        <v>379</v>
      </c>
      <c r="C101" s="997"/>
      <c r="D101" s="644">
        <v>539263</v>
      </c>
      <c r="E101" s="647">
        <v>641972</v>
      </c>
      <c r="F101" s="647">
        <v>1181235</v>
      </c>
    </row>
    <row r="102" spans="1:6" x14ac:dyDescent="0.3">
      <c r="A102" s="293">
        <v>99</v>
      </c>
      <c r="B102" s="294" t="s">
        <v>380</v>
      </c>
      <c r="C102" s="997"/>
      <c r="D102" s="644">
        <v>39</v>
      </c>
      <c r="E102" s="647">
        <v>44</v>
      </c>
      <c r="F102" s="647">
        <v>83</v>
      </c>
    </row>
    <row r="103" spans="1:6" x14ac:dyDescent="0.3">
      <c r="A103" s="293">
        <v>100</v>
      </c>
      <c r="B103" s="294" t="s">
        <v>381</v>
      </c>
      <c r="C103" s="997"/>
      <c r="D103" s="644">
        <v>129568</v>
      </c>
      <c r="E103" s="647">
        <v>142921</v>
      </c>
      <c r="F103" s="647">
        <v>272489</v>
      </c>
    </row>
    <row r="104" spans="1:6" x14ac:dyDescent="0.3">
      <c r="A104" s="293">
        <v>101</v>
      </c>
      <c r="B104" s="597" t="s">
        <v>382</v>
      </c>
      <c r="C104" s="998"/>
      <c r="D104" s="644">
        <v>2954</v>
      </c>
      <c r="E104" s="644">
        <v>3382</v>
      </c>
      <c r="F104" s="644">
        <v>6336</v>
      </c>
    </row>
    <row r="105" spans="1:6" x14ac:dyDescent="0.3">
      <c r="A105" s="293">
        <v>102</v>
      </c>
      <c r="B105" s="597" t="s">
        <v>383</v>
      </c>
      <c r="C105" s="998"/>
      <c r="D105" s="644">
        <v>2695</v>
      </c>
      <c r="E105" s="644">
        <v>1994</v>
      </c>
      <c r="F105" s="644">
        <v>4689</v>
      </c>
    </row>
    <row r="106" spans="1:6" x14ac:dyDescent="0.3">
      <c r="A106" s="293">
        <v>103</v>
      </c>
      <c r="B106" s="597" t="s">
        <v>384</v>
      </c>
      <c r="C106" s="998"/>
      <c r="D106" s="644">
        <v>0</v>
      </c>
      <c r="E106" s="644">
        <v>149</v>
      </c>
      <c r="F106" s="644">
        <v>149</v>
      </c>
    </row>
    <row r="107" spans="1:6" x14ac:dyDescent="0.3">
      <c r="A107" s="597"/>
      <c r="B107" s="598" t="s">
        <v>12</v>
      </c>
      <c r="C107" s="999"/>
      <c r="D107" s="649">
        <v>3863995</v>
      </c>
      <c r="E107" s="649">
        <v>4050396</v>
      </c>
      <c r="F107" s="649">
        <v>7914391</v>
      </c>
    </row>
  </sheetData>
  <mergeCells count="2">
    <mergeCell ref="B1:F1"/>
    <mergeCell ref="B2:C2"/>
  </mergeCells>
  <pageMargins left="0.59055118110236227" right="0.35433070866141736" top="0.39370078740157483" bottom="0.39370078740157483" header="0.31496062992125984" footer="0.19685039370078741"/>
  <pageSetup paperSize="9" scale="85" orientation="portrait" r:id="rId1"/>
  <headerFooter>
    <oddFooter>&amp;L&amp;"Arial,Italic"&amp;9AISHE 2022-23&amp;RT-35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4A61-E87B-48D5-B3FB-BAA1728EF777}">
  <sheetPr codeName="Sheet48">
    <tabColor rgb="FF92D050"/>
  </sheetPr>
  <dimension ref="A1:L251"/>
  <sheetViews>
    <sheetView view="pageBreakPreview" zoomScale="112" zoomScaleNormal="100" zoomScaleSheetLayoutView="112" workbookViewId="0">
      <selection activeCell="D5" sqref="D5:L250"/>
    </sheetView>
  </sheetViews>
  <sheetFormatPr defaultColWidth="9.26953125" defaultRowHeight="14" x14ac:dyDescent="0.35"/>
  <cols>
    <col min="1" max="1" width="5.81640625" style="134" bestFit="1" customWidth="1"/>
    <col min="2" max="2" width="20.81640625" style="305" customWidth="1"/>
    <col min="3" max="3" width="28.7265625" style="106" bestFit="1" customWidth="1"/>
    <col min="4" max="12" width="9.453125" style="134" customWidth="1"/>
    <col min="13" max="16384" width="9.26953125" style="104"/>
  </cols>
  <sheetData>
    <row r="1" spans="1:12" ht="35.25" customHeight="1" x14ac:dyDescent="0.35">
      <c r="A1" s="131"/>
      <c r="B1" s="921" t="s">
        <v>1000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</row>
    <row r="2" spans="1:12" s="296" customFormat="1" ht="17.649999999999999" customHeight="1" x14ac:dyDescent="0.35">
      <c r="A2" s="922" t="s">
        <v>268</v>
      </c>
      <c r="B2" s="923" t="s">
        <v>269</v>
      </c>
      <c r="C2" s="923"/>
      <c r="D2" s="922" t="s">
        <v>85</v>
      </c>
      <c r="E2" s="922"/>
      <c r="F2" s="922"/>
      <c r="G2" s="922" t="s">
        <v>86</v>
      </c>
      <c r="H2" s="922"/>
      <c r="I2" s="922"/>
      <c r="J2" s="922" t="s">
        <v>87</v>
      </c>
      <c r="K2" s="922"/>
      <c r="L2" s="922"/>
    </row>
    <row r="3" spans="1:12" s="296" customFormat="1" ht="17.649999999999999" customHeight="1" x14ac:dyDescent="0.35">
      <c r="A3" s="922"/>
      <c r="B3" s="923"/>
      <c r="C3" s="923"/>
      <c r="D3" s="297" t="s">
        <v>93</v>
      </c>
      <c r="E3" s="297" t="s">
        <v>94</v>
      </c>
      <c r="F3" s="297" t="s">
        <v>54</v>
      </c>
      <c r="G3" s="297" t="s">
        <v>93</v>
      </c>
      <c r="H3" s="297" t="s">
        <v>94</v>
      </c>
      <c r="I3" s="297" t="s">
        <v>54</v>
      </c>
      <c r="J3" s="297" t="s">
        <v>93</v>
      </c>
      <c r="K3" s="297" t="s">
        <v>94</v>
      </c>
      <c r="L3" s="297" t="s">
        <v>54</v>
      </c>
    </row>
    <row r="4" spans="1:12" s="300" customFormat="1" ht="11.25" customHeight="1" x14ac:dyDescent="0.35">
      <c r="A4" s="298">
        <v>1</v>
      </c>
      <c r="B4" s="299">
        <v>2</v>
      </c>
      <c r="C4" s="298">
        <v>3</v>
      </c>
      <c r="D4" s="298">
        <v>4</v>
      </c>
      <c r="E4" s="298">
        <v>5</v>
      </c>
      <c r="F4" s="298">
        <v>6</v>
      </c>
      <c r="G4" s="298">
        <v>7</v>
      </c>
      <c r="H4" s="298">
        <v>8</v>
      </c>
      <c r="I4" s="298">
        <v>9</v>
      </c>
      <c r="J4" s="298">
        <v>10</v>
      </c>
      <c r="K4" s="298">
        <v>11</v>
      </c>
      <c r="L4" s="298">
        <v>12</v>
      </c>
    </row>
    <row r="5" spans="1:12" x14ac:dyDescent="0.35">
      <c r="A5" s="131">
        <v>1</v>
      </c>
      <c r="B5" s="924" t="s">
        <v>270</v>
      </c>
      <c r="C5" s="302" t="s">
        <v>270</v>
      </c>
      <c r="D5" s="647">
        <v>957</v>
      </c>
      <c r="E5" s="654">
        <v>867</v>
      </c>
      <c r="F5" s="654">
        <v>1824</v>
      </c>
      <c r="G5" s="647">
        <v>0</v>
      </c>
      <c r="H5" s="654"/>
      <c r="I5" s="654"/>
      <c r="J5" s="647">
        <v>7997</v>
      </c>
      <c r="K5" s="654">
        <v>5215</v>
      </c>
      <c r="L5" s="654">
        <v>13212</v>
      </c>
    </row>
    <row r="6" spans="1:12" x14ac:dyDescent="0.35">
      <c r="A6" s="131">
        <v>2</v>
      </c>
      <c r="B6" s="925"/>
      <c r="C6" s="302" t="s">
        <v>385</v>
      </c>
      <c r="D6" s="647">
        <v>25</v>
      </c>
      <c r="E6" s="654">
        <v>36</v>
      </c>
      <c r="F6" s="654">
        <v>61</v>
      </c>
      <c r="G6" s="647">
        <v>0</v>
      </c>
      <c r="H6" s="654"/>
      <c r="I6" s="654"/>
      <c r="J6" s="647">
        <v>256</v>
      </c>
      <c r="K6" s="654">
        <v>226</v>
      </c>
      <c r="L6" s="654">
        <v>482</v>
      </c>
    </row>
    <row r="7" spans="1:12" x14ac:dyDescent="0.35">
      <c r="A7" s="131">
        <v>3</v>
      </c>
      <c r="B7" s="925"/>
      <c r="C7" s="302" t="s">
        <v>386</v>
      </c>
      <c r="D7" s="647">
        <v>162</v>
      </c>
      <c r="E7" s="654">
        <v>181</v>
      </c>
      <c r="F7" s="654">
        <v>343</v>
      </c>
      <c r="G7" s="647">
        <v>0</v>
      </c>
      <c r="H7" s="654"/>
      <c r="I7" s="654"/>
      <c r="J7" s="647">
        <v>1527</v>
      </c>
      <c r="K7" s="654">
        <v>954</v>
      </c>
      <c r="L7" s="654">
        <v>2481</v>
      </c>
    </row>
    <row r="8" spans="1:12" x14ac:dyDescent="0.35">
      <c r="A8" s="131">
        <v>4</v>
      </c>
      <c r="B8" s="926"/>
      <c r="C8" s="302" t="s">
        <v>387</v>
      </c>
      <c r="D8" s="647">
        <v>2</v>
      </c>
      <c r="E8" s="654">
        <v>4</v>
      </c>
      <c r="F8" s="654">
        <v>6</v>
      </c>
      <c r="G8" s="647">
        <v>0</v>
      </c>
      <c r="H8" s="654"/>
      <c r="I8" s="654"/>
      <c r="J8" s="647">
        <v>15</v>
      </c>
      <c r="K8" s="654">
        <v>20</v>
      </c>
      <c r="L8" s="654">
        <v>35</v>
      </c>
    </row>
    <row r="9" spans="1:12" x14ac:dyDescent="0.35">
      <c r="A9" s="131">
        <v>5</v>
      </c>
      <c r="B9" s="301" t="s">
        <v>388</v>
      </c>
      <c r="C9" s="302"/>
      <c r="D9" s="647">
        <v>1146</v>
      </c>
      <c r="E9" s="654">
        <v>1088</v>
      </c>
      <c r="F9" s="654">
        <v>2234</v>
      </c>
      <c r="G9" s="647">
        <v>0</v>
      </c>
      <c r="H9" s="654"/>
      <c r="I9" s="654"/>
      <c r="J9" s="647">
        <v>9795</v>
      </c>
      <c r="K9" s="654">
        <v>6415</v>
      </c>
      <c r="L9" s="654">
        <v>16210</v>
      </c>
    </row>
    <row r="10" spans="1:12" ht="15.5" x14ac:dyDescent="0.35">
      <c r="A10" s="131">
        <v>6</v>
      </c>
      <c r="B10" s="301" t="s">
        <v>274</v>
      </c>
      <c r="C10" s="419" t="s">
        <v>274</v>
      </c>
      <c r="D10" s="647">
        <v>602</v>
      </c>
      <c r="E10" s="654">
        <v>705</v>
      </c>
      <c r="F10" s="654">
        <v>1307</v>
      </c>
      <c r="G10" s="647">
        <v>33</v>
      </c>
      <c r="H10" s="654">
        <v>55</v>
      </c>
      <c r="I10" s="654">
        <v>88</v>
      </c>
      <c r="J10" s="647">
        <v>15062</v>
      </c>
      <c r="K10" s="654">
        <v>23301</v>
      </c>
      <c r="L10" s="654">
        <v>38363</v>
      </c>
    </row>
    <row r="11" spans="1:12" x14ac:dyDescent="0.35">
      <c r="A11" s="131">
        <v>7</v>
      </c>
      <c r="B11" s="301" t="s">
        <v>391</v>
      </c>
      <c r="C11" s="302"/>
      <c r="D11" s="647">
        <v>602</v>
      </c>
      <c r="E11" s="654">
        <v>705</v>
      </c>
      <c r="F11" s="654">
        <v>1307</v>
      </c>
      <c r="G11" s="647">
        <v>33</v>
      </c>
      <c r="H11" s="654">
        <v>55</v>
      </c>
      <c r="I11" s="654">
        <v>88</v>
      </c>
      <c r="J11" s="647">
        <v>15062</v>
      </c>
      <c r="K11" s="654">
        <v>23301</v>
      </c>
      <c r="L11" s="654">
        <v>38363</v>
      </c>
    </row>
    <row r="12" spans="1:12" x14ac:dyDescent="0.35">
      <c r="A12" s="131">
        <v>8</v>
      </c>
      <c r="B12" s="301" t="s">
        <v>275</v>
      </c>
      <c r="C12" s="302" t="s">
        <v>275</v>
      </c>
      <c r="D12" s="647">
        <v>0</v>
      </c>
      <c r="E12" s="654"/>
      <c r="F12" s="654"/>
      <c r="G12" s="647">
        <v>0</v>
      </c>
      <c r="H12" s="654"/>
      <c r="I12" s="654"/>
      <c r="J12" s="647">
        <v>11540</v>
      </c>
      <c r="K12" s="654">
        <v>16004</v>
      </c>
      <c r="L12" s="654">
        <v>27544</v>
      </c>
    </row>
    <row r="13" spans="1:12" x14ac:dyDescent="0.35">
      <c r="A13" s="131">
        <v>9</v>
      </c>
      <c r="B13" s="301" t="s">
        <v>395</v>
      </c>
      <c r="C13" s="302"/>
      <c r="D13" s="647">
        <v>0</v>
      </c>
      <c r="E13" s="654"/>
      <c r="F13" s="654"/>
      <c r="G13" s="647">
        <v>0</v>
      </c>
      <c r="H13" s="654"/>
      <c r="I13" s="654"/>
      <c r="J13" s="647">
        <v>11540</v>
      </c>
      <c r="K13" s="654">
        <v>16004</v>
      </c>
      <c r="L13" s="654">
        <v>27544</v>
      </c>
    </row>
    <row r="14" spans="1:12" x14ac:dyDescent="0.35">
      <c r="A14" s="131">
        <v>10</v>
      </c>
      <c r="B14" s="924" t="s">
        <v>277</v>
      </c>
      <c r="C14" s="302" t="s">
        <v>277</v>
      </c>
      <c r="D14" s="647">
        <v>437</v>
      </c>
      <c r="E14" s="654">
        <v>535</v>
      </c>
      <c r="F14" s="654">
        <v>972</v>
      </c>
      <c r="G14" s="647">
        <v>79</v>
      </c>
      <c r="H14" s="654">
        <v>147</v>
      </c>
      <c r="I14" s="654">
        <v>226</v>
      </c>
      <c r="J14" s="647">
        <v>74899</v>
      </c>
      <c r="K14" s="654">
        <v>125892</v>
      </c>
      <c r="L14" s="654">
        <v>200791</v>
      </c>
    </row>
    <row r="15" spans="1:12" x14ac:dyDescent="0.35">
      <c r="A15" s="131">
        <v>11</v>
      </c>
      <c r="B15" s="927"/>
      <c r="C15" s="302" t="s">
        <v>397</v>
      </c>
      <c r="D15" s="647">
        <v>4</v>
      </c>
      <c r="E15" s="654">
        <v>0</v>
      </c>
      <c r="F15" s="654">
        <v>4</v>
      </c>
      <c r="G15" s="647">
        <v>0</v>
      </c>
      <c r="H15" s="654"/>
      <c r="I15" s="654"/>
      <c r="J15" s="647">
        <v>0</v>
      </c>
      <c r="K15" s="654"/>
      <c r="L15" s="654"/>
    </row>
    <row r="16" spans="1:12" x14ac:dyDescent="0.35">
      <c r="A16" s="131">
        <v>12</v>
      </c>
      <c r="B16" s="301" t="s">
        <v>399</v>
      </c>
      <c r="C16" s="302"/>
      <c r="D16" s="647">
        <v>441</v>
      </c>
      <c r="E16" s="654">
        <v>535</v>
      </c>
      <c r="F16" s="654">
        <v>976</v>
      </c>
      <c r="G16" s="647">
        <v>79</v>
      </c>
      <c r="H16" s="654">
        <v>147</v>
      </c>
      <c r="I16" s="654">
        <v>226</v>
      </c>
      <c r="J16" s="647">
        <v>74899</v>
      </c>
      <c r="K16" s="654">
        <v>125892</v>
      </c>
      <c r="L16" s="654">
        <v>200791</v>
      </c>
    </row>
    <row r="17" spans="1:12" x14ac:dyDescent="0.35">
      <c r="A17" s="131">
        <v>13</v>
      </c>
      <c r="B17" s="301" t="s">
        <v>278</v>
      </c>
      <c r="C17" s="302" t="s">
        <v>400</v>
      </c>
      <c r="D17" s="647">
        <v>0</v>
      </c>
      <c r="E17" s="654"/>
      <c r="F17" s="654"/>
      <c r="G17" s="647">
        <v>0</v>
      </c>
      <c r="H17" s="654"/>
      <c r="I17" s="654"/>
      <c r="J17" s="647">
        <v>12</v>
      </c>
      <c r="K17" s="654">
        <v>2</v>
      </c>
      <c r="L17" s="654">
        <v>14</v>
      </c>
    </row>
    <row r="18" spans="1:12" x14ac:dyDescent="0.35">
      <c r="A18" s="131">
        <v>14</v>
      </c>
      <c r="B18" s="301" t="s">
        <v>401</v>
      </c>
      <c r="C18" s="302"/>
      <c r="D18" s="647">
        <v>0</v>
      </c>
      <c r="E18" s="654"/>
      <c r="F18" s="654"/>
      <c r="G18" s="647">
        <v>0</v>
      </c>
      <c r="H18" s="654"/>
      <c r="I18" s="654"/>
      <c r="J18" s="647">
        <v>12</v>
      </c>
      <c r="K18" s="654">
        <v>2</v>
      </c>
      <c r="L18" s="654">
        <v>14</v>
      </c>
    </row>
    <row r="19" spans="1:12" ht="28" x14ac:dyDescent="0.35">
      <c r="A19" s="131">
        <v>15</v>
      </c>
      <c r="B19" s="301" t="s">
        <v>279</v>
      </c>
      <c r="C19" s="302" t="s">
        <v>279</v>
      </c>
      <c r="D19" s="647">
        <v>2</v>
      </c>
      <c r="E19" s="654">
        <v>5</v>
      </c>
      <c r="F19" s="654">
        <v>7</v>
      </c>
      <c r="G19" s="647">
        <v>0</v>
      </c>
      <c r="H19" s="654"/>
      <c r="I19" s="654"/>
      <c r="J19" s="647">
        <v>329</v>
      </c>
      <c r="K19" s="654">
        <v>339</v>
      </c>
      <c r="L19" s="654">
        <v>668</v>
      </c>
    </row>
    <row r="20" spans="1:12" ht="32.25" customHeight="1" x14ac:dyDescent="0.35">
      <c r="A20" s="131">
        <v>16</v>
      </c>
      <c r="B20" s="301" t="s">
        <v>402</v>
      </c>
      <c r="C20" s="302"/>
      <c r="D20" s="647">
        <v>2</v>
      </c>
      <c r="E20" s="654">
        <v>5</v>
      </c>
      <c r="F20" s="654">
        <v>7</v>
      </c>
      <c r="G20" s="647">
        <v>0</v>
      </c>
      <c r="H20" s="654"/>
      <c r="I20" s="654"/>
      <c r="J20" s="647">
        <v>329</v>
      </c>
      <c r="K20" s="654">
        <v>339</v>
      </c>
      <c r="L20" s="654">
        <v>668</v>
      </c>
    </row>
    <row r="21" spans="1:12" x14ac:dyDescent="0.35">
      <c r="A21" s="131">
        <v>17</v>
      </c>
      <c r="B21" s="301" t="s">
        <v>281</v>
      </c>
      <c r="C21" s="302" t="s">
        <v>281</v>
      </c>
      <c r="D21" s="647">
        <v>19</v>
      </c>
      <c r="E21" s="654">
        <v>38</v>
      </c>
      <c r="F21" s="654">
        <v>57</v>
      </c>
      <c r="G21" s="647">
        <v>8</v>
      </c>
      <c r="H21" s="654">
        <v>9</v>
      </c>
      <c r="I21" s="654">
        <v>17</v>
      </c>
      <c r="J21" s="647">
        <v>1739</v>
      </c>
      <c r="K21" s="654">
        <v>3386</v>
      </c>
      <c r="L21" s="654">
        <v>5125</v>
      </c>
    </row>
    <row r="22" spans="1:12" x14ac:dyDescent="0.35">
      <c r="A22" s="131">
        <v>18</v>
      </c>
      <c r="B22" s="301" t="s">
        <v>403</v>
      </c>
      <c r="C22" s="302"/>
      <c r="D22" s="647">
        <v>19</v>
      </c>
      <c r="E22" s="654">
        <v>38</v>
      </c>
      <c r="F22" s="654">
        <v>57</v>
      </c>
      <c r="G22" s="647">
        <v>8</v>
      </c>
      <c r="H22" s="654">
        <v>9</v>
      </c>
      <c r="I22" s="654">
        <v>17</v>
      </c>
      <c r="J22" s="647">
        <v>1739</v>
      </c>
      <c r="K22" s="654">
        <v>3386</v>
      </c>
      <c r="L22" s="654">
        <v>5125</v>
      </c>
    </row>
    <row r="23" spans="1:12" x14ac:dyDescent="0.35">
      <c r="A23" s="131">
        <v>19</v>
      </c>
      <c r="B23" s="924" t="s">
        <v>404</v>
      </c>
      <c r="C23" s="302" t="s">
        <v>404</v>
      </c>
      <c r="D23" s="647">
        <v>0</v>
      </c>
      <c r="E23" s="654"/>
      <c r="F23" s="654"/>
      <c r="G23" s="647">
        <v>0</v>
      </c>
      <c r="H23" s="654"/>
      <c r="I23" s="654"/>
      <c r="J23" s="647">
        <v>54</v>
      </c>
      <c r="K23" s="654">
        <v>19</v>
      </c>
      <c r="L23" s="654">
        <v>73</v>
      </c>
    </row>
    <row r="24" spans="1:12" x14ac:dyDescent="0.35">
      <c r="A24" s="131">
        <v>20</v>
      </c>
      <c r="B24" s="926"/>
      <c r="C24" s="302" t="s">
        <v>405</v>
      </c>
      <c r="D24" s="647">
        <v>0</v>
      </c>
      <c r="E24" s="654"/>
      <c r="F24" s="654"/>
      <c r="G24" s="647">
        <v>0</v>
      </c>
      <c r="H24" s="654"/>
      <c r="I24" s="654"/>
      <c r="J24" s="647">
        <v>292</v>
      </c>
      <c r="K24" s="654">
        <v>134</v>
      </c>
      <c r="L24" s="654">
        <v>426</v>
      </c>
    </row>
    <row r="25" spans="1:12" x14ac:dyDescent="0.35">
      <c r="A25" s="131">
        <v>21</v>
      </c>
      <c r="B25" s="301" t="s">
        <v>406</v>
      </c>
      <c r="C25" s="302"/>
      <c r="D25" s="647">
        <v>0</v>
      </c>
      <c r="E25" s="654"/>
      <c r="F25" s="654"/>
      <c r="G25" s="647">
        <v>0</v>
      </c>
      <c r="H25" s="654"/>
      <c r="I25" s="654"/>
      <c r="J25" s="647">
        <v>346</v>
      </c>
      <c r="K25" s="654">
        <v>153</v>
      </c>
      <c r="L25" s="654">
        <v>499</v>
      </c>
    </row>
    <row r="26" spans="1:12" x14ac:dyDescent="0.35">
      <c r="A26" s="131">
        <v>22</v>
      </c>
      <c r="B26" s="301" t="s">
        <v>282</v>
      </c>
      <c r="C26" s="302" t="s">
        <v>282</v>
      </c>
      <c r="D26" s="647">
        <v>30</v>
      </c>
      <c r="E26" s="654">
        <v>10</v>
      </c>
      <c r="F26" s="654">
        <v>40</v>
      </c>
      <c r="G26" s="647">
        <v>0</v>
      </c>
      <c r="H26" s="654"/>
      <c r="I26" s="654"/>
      <c r="J26" s="647">
        <v>738</v>
      </c>
      <c r="K26" s="654">
        <v>290</v>
      </c>
      <c r="L26" s="654">
        <v>1028</v>
      </c>
    </row>
    <row r="27" spans="1:12" x14ac:dyDescent="0.35">
      <c r="A27" s="131">
        <v>23</v>
      </c>
      <c r="B27" s="301" t="s">
        <v>407</v>
      </c>
      <c r="C27" s="302"/>
      <c r="D27" s="647">
        <v>30</v>
      </c>
      <c r="E27" s="654">
        <v>10</v>
      </c>
      <c r="F27" s="654">
        <v>40</v>
      </c>
      <c r="G27" s="647">
        <v>0</v>
      </c>
      <c r="H27" s="654"/>
      <c r="I27" s="654"/>
      <c r="J27" s="647">
        <v>738</v>
      </c>
      <c r="K27" s="654">
        <v>290</v>
      </c>
      <c r="L27" s="654">
        <v>1028</v>
      </c>
    </row>
    <row r="28" spans="1:12" x14ac:dyDescent="0.35">
      <c r="A28" s="131">
        <v>24</v>
      </c>
      <c r="B28" s="924" t="s">
        <v>283</v>
      </c>
      <c r="C28" s="302" t="s">
        <v>283</v>
      </c>
      <c r="D28" s="647">
        <v>45</v>
      </c>
      <c r="E28" s="654">
        <v>28</v>
      </c>
      <c r="F28" s="654">
        <v>73</v>
      </c>
      <c r="G28" s="647">
        <v>0</v>
      </c>
      <c r="H28" s="654"/>
      <c r="I28" s="654"/>
      <c r="J28" s="647">
        <v>621</v>
      </c>
      <c r="K28" s="654">
        <v>868</v>
      </c>
      <c r="L28" s="654">
        <v>1489</v>
      </c>
    </row>
    <row r="29" spans="1:12" x14ac:dyDescent="0.35">
      <c r="A29" s="131">
        <v>25</v>
      </c>
      <c r="B29" s="926"/>
      <c r="C29" s="302" t="s">
        <v>408</v>
      </c>
      <c r="D29" s="647">
        <v>0</v>
      </c>
      <c r="E29" s="654"/>
      <c r="F29" s="654"/>
      <c r="G29" s="647">
        <v>0</v>
      </c>
      <c r="H29" s="654"/>
      <c r="I29" s="654"/>
      <c r="J29" s="647">
        <v>43</v>
      </c>
      <c r="K29" s="654">
        <v>231</v>
      </c>
      <c r="L29" s="654">
        <v>274</v>
      </c>
    </row>
    <row r="30" spans="1:12" x14ac:dyDescent="0.35">
      <c r="A30" s="131">
        <v>26</v>
      </c>
      <c r="B30" s="301" t="s">
        <v>409</v>
      </c>
      <c r="C30" s="302"/>
      <c r="D30" s="647">
        <v>45</v>
      </c>
      <c r="E30" s="654">
        <v>28</v>
      </c>
      <c r="F30" s="654">
        <v>73</v>
      </c>
      <c r="G30" s="647">
        <v>0</v>
      </c>
      <c r="H30" s="654"/>
      <c r="I30" s="654"/>
      <c r="J30" s="647">
        <v>664</v>
      </c>
      <c r="K30" s="654">
        <v>1099</v>
      </c>
      <c r="L30" s="654">
        <v>1763</v>
      </c>
    </row>
    <row r="31" spans="1:12" ht="28" x14ac:dyDescent="0.35">
      <c r="A31" s="131">
        <v>27</v>
      </c>
      <c r="B31" s="301" t="s">
        <v>902</v>
      </c>
      <c r="C31" s="302" t="s">
        <v>410</v>
      </c>
      <c r="D31" s="647">
        <v>0</v>
      </c>
      <c r="E31" s="654"/>
      <c r="F31" s="654"/>
      <c r="G31" s="647">
        <v>1</v>
      </c>
      <c r="H31" s="654">
        <v>4</v>
      </c>
      <c r="I31" s="654">
        <v>5</v>
      </c>
      <c r="J31" s="647">
        <v>66</v>
      </c>
      <c r="K31" s="654">
        <v>64</v>
      </c>
      <c r="L31" s="654">
        <v>130</v>
      </c>
    </row>
    <row r="32" spans="1:12" ht="28" x14ac:dyDescent="0.35">
      <c r="A32" s="131">
        <v>28</v>
      </c>
      <c r="B32" s="301" t="s">
        <v>903</v>
      </c>
      <c r="C32" s="302"/>
      <c r="D32" s="647">
        <v>0</v>
      </c>
      <c r="E32" s="654"/>
      <c r="F32" s="654"/>
      <c r="G32" s="647">
        <v>1</v>
      </c>
      <c r="H32" s="654">
        <v>4</v>
      </c>
      <c r="I32" s="654">
        <v>5</v>
      </c>
      <c r="J32" s="647">
        <v>66</v>
      </c>
      <c r="K32" s="654">
        <v>64</v>
      </c>
      <c r="L32" s="654">
        <v>130</v>
      </c>
    </row>
    <row r="33" spans="1:12" x14ac:dyDescent="0.35">
      <c r="A33" s="131">
        <v>29</v>
      </c>
      <c r="B33" s="301" t="s">
        <v>284</v>
      </c>
      <c r="C33" s="302" t="s">
        <v>284</v>
      </c>
      <c r="D33" s="647">
        <v>426</v>
      </c>
      <c r="E33" s="654">
        <v>572</v>
      </c>
      <c r="F33" s="654">
        <v>998</v>
      </c>
      <c r="G33" s="647">
        <v>49</v>
      </c>
      <c r="H33" s="654">
        <v>51</v>
      </c>
      <c r="I33" s="654">
        <v>100</v>
      </c>
      <c r="J33" s="647">
        <v>32258</v>
      </c>
      <c r="K33" s="654">
        <v>59270</v>
      </c>
      <c r="L33" s="654">
        <v>91528</v>
      </c>
    </row>
    <row r="34" spans="1:12" x14ac:dyDescent="0.35">
      <c r="A34" s="131">
        <v>30</v>
      </c>
      <c r="B34" s="301" t="s">
        <v>412</v>
      </c>
      <c r="C34" s="302"/>
      <c r="D34" s="647">
        <v>426</v>
      </c>
      <c r="E34" s="654">
        <v>572</v>
      </c>
      <c r="F34" s="654">
        <v>998</v>
      </c>
      <c r="G34" s="647">
        <v>49</v>
      </c>
      <c r="H34" s="654">
        <v>51</v>
      </c>
      <c r="I34" s="654">
        <v>100</v>
      </c>
      <c r="J34" s="647">
        <v>32258</v>
      </c>
      <c r="K34" s="654">
        <v>59270</v>
      </c>
      <c r="L34" s="654">
        <v>91528</v>
      </c>
    </row>
    <row r="35" spans="1:12" ht="28.5" customHeight="1" x14ac:dyDescent="0.35">
      <c r="A35" s="131">
        <v>31</v>
      </c>
      <c r="B35" s="924" t="s">
        <v>285</v>
      </c>
      <c r="C35" s="302" t="s">
        <v>286</v>
      </c>
      <c r="D35" s="647">
        <v>52</v>
      </c>
      <c r="E35" s="654">
        <v>14</v>
      </c>
      <c r="F35" s="654">
        <v>66</v>
      </c>
      <c r="G35" s="647">
        <v>0</v>
      </c>
      <c r="H35" s="654"/>
      <c r="I35" s="654"/>
      <c r="J35" s="647">
        <v>284</v>
      </c>
      <c r="K35" s="654">
        <v>60</v>
      </c>
      <c r="L35" s="654">
        <v>344</v>
      </c>
    </row>
    <row r="36" spans="1:12" x14ac:dyDescent="0.35">
      <c r="A36" s="131">
        <v>32</v>
      </c>
      <c r="B36" s="925"/>
      <c r="C36" s="302" t="s">
        <v>287</v>
      </c>
      <c r="D36" s="647">
        <v>56</v>
      </c>
      <c r="E36" s="654">
        <v>32</v>
      </c>
      <c r="F36" s="654">
        <v>88</v>
      </c>
      <c r="G36" s="647">
        <v>0</v>
      </c>
      <c r="H36" s="654"/>
      <c r="I36" s="654"/>
      <c r="J36" s="647">
        <v>339</v>
      </c>
      <c r="K36" s="654">
        <v>228</v>
      </c>
      <c r="L36" s="654">
        <v>567</v>
      </c>
    </row>
    <row r="37" spans="1:12" x14ac:dyDescent="0.35">
      <c r="A37" s="131">
        <v>33</v>
      </c>
      <c r="B37" s="925"/>
      <c r="C37" s="302" t="s">
        <v>289</v>
      </c>
      <c r="D37" s="647">
        <v>47</v>
      </c>
      <c r="E37" s="654">
        <v>43</v>
      </c>
      <c r="F37" s="654">
        <v>90</v>
      </c>
      <c r="G37" s="647">
        <v>0</v>
      </c>
      <c r="H37" s="654"/>
      <c r="I37" s="654"/>
      <c r="J37" s="647">
        <v>682</v>
      </c>
      <c r="K37" s="654">
        <v>945</v>
      </c>
      <c r="L37" s="654">
        <v>1627</v>
      </c>
    </row>
    <row r="38" spans="1:12" x14ac:dyDescent="0.35">
      <c r="A38" s="131">
        <v>34</v>
      </c>
      <c r="B38" s="925"/>
      <c r="C38" s="302" t="s">
        <v>290</v>
      </c>
      <c r="D38" s="647">
        <v>0</v>
      </c>
      <c r="E38" s="654"/>
      <c r="F38" s="654"/>
      <c r="G38" s="647">
        <v>0</v>
      </c>
      <c r="H38" s="654"/>
      <c r="I38" s="654"/>
      <c r="J38" s="647">
        <v>9</v>
      </c>
      <c r="K38" s="654">
        <v>6</v>
      </c>
      <c r="L38" s="654">
        <v>15</v>
      </c>
    </row>
    <row r="39" spans="1:12" x14ac:dyDescent="0.35">
      <c r="A39" s="131">
        <v>35</v>
      </c>
      <c r="B39" s="925"/>
      <c r="C39" s="302" t="s">
        <v>296</v>
      </c>
      <c r="D39" s="647">
        <v>96</v>
      </c>
      <c r="E39" s="654">
        <v>61</v>
      </c>
      <c r="F39" s="654">
        <v>157</v>
      </c>
      <c r="G39" s="647">
        <v>0</v>
      </c>
      <c r="H39" s="654"/>
      <c r="I39" s="654"/>
      <c r="J39" s="647">
        <v>738</v>
      </c>
      <c r="K39" s="654">
        <v>385</v>
      </c>
      <c r="L39" s="654">
        <v>1123</v>
      </c>
    </row>
    <row r="40" spans="1:12" x14ac:dyDescent="0.35">
      <c r="A40" s="131">
        <v>36</v>
      </c>
      <c r="B40" s="925"/>
      <c r="C40" s="302" t="s">
        <v>298</v>
      </c>
      <c r="D40" s="647">
        <v>281</v>
      </c>
      <c r="E40" s="654">
        <v>137</v>
      </c>
      <c r="F40" s="654">
        <v>418</v>
      </c>
      <c r="G40" s="647">
        <v>0</v>
      </c>
      <c r="H40" s="654"/>
      <c r="I40" s="654"/>
      <c r="J40" s="647">
        <v>9728</v>
      </c>
      <c r="K40" s="654">
        <v>4025</v>
      </c>
      <c r="L40" s="654">
        <v>13753</v>
      </c>
    </row>
    <row r="41" spans="1:12" x14ac:dyDescent="0.35">
      <c r="A41" s="131">
        <v>37</v>
      </c>
      <c r="B41" s="925"/>
      <c r="C41" s="302" t="s">
        <v>299</v>
      </c>
      <c r="D41" s="647">
        <v>423</v>
      </c>
      <c r="E41" s="654">
        <v>323</v>
      </c>
      <c r="F41" s="654">
        <v>746</v>
      </c>
      <c r="G41" s="647">
        <v>0</v>
      </c>
      <c r="H41" s="654"/>
      <c r="I41" s="654"/>
      <c r="J41" s="647">
        <v>6396</v>
      </c>
      <c r="K41" s="654">
        <v>5346</v>
      </c>
      <c r="L41" s="654">
        <v>11742</v>
      </c>
    </row>
    <row r="42" spans="1:12" x14ac:dyDescent="0.35">
      <c r="A42" s="131">
        <v>38</v>
      </c>
      <c r="B42" s="925"/>
      <c r="C42" s="302" t="s">
        <v>301</v>
      </c>
      <c r="D42" s="647">
        <v>1</v>
      </c>
      <c r="E42" s="654">
        <v>5</v>
      </c>
      <c r="F42" s="654">
        <v>6</v>
      </c>
      <c r="G42" s="647">
        <v>0</v>
      </c>
      <c r="H42" s="654"/>
      <c r="I42" s="654"/>
      <c r="J42" s="647">
        <v>37</v>
      </c>
      <c r="K42" s="654">
        <v>26</v>
      </c>
      <c r="L42" s="654">
        <v>63</v>
      </c>
    </row>
    <row r="43" spans="1:12" ht="28" x14ac:dyDescent="0.35">
      <c r="A43" s="131">
        <v>39</v>
      </c>
      <c r="B43" s="925"/>
      <c r="C43" s="302" t="s">
        <v>304</v>
      </c>
      <c r="D43" s="647">
        <v>0</v>
      </c>
      <c r="E43" s="654">
        <v>1</v>
      </c>
      <c r="F43" s="654">
        <v>1</v>
      </c>
      <c r="G43" s="647">
        <v>0</v>
      </c>
      <c r="H43" s="654"/>
      <c r="I43" s="654"/>
      <c r="J43" s="647">
        <v>0</v>
      </c>
      <c r="K43" s="654"/>
      <c r="L43" s="654"/>
    </row>
    <row r="44" spans="1:12" x14ac:dyDescent="0.35">
      <c r="A44" s="131">
        <v>40</v>
      </c>
      <c r="B44" s="925"/>
      <c r="C44" s="302" t="s">
        <v>305</v>
      </c>
      <c r="D44" s="647">
        <v>370</v>
      </c>
      <c r="E44" s="654">
        <v>154</v>
      </c>
      <c r="F44" s="654">
        <v>524</v>
      </c>
      <c r="G44" s="647">
        <v>0</v>
      </c>
      <c r="H44" s="654"/>
      <c r="I44" s="654"/>
      <c r="J44" s="647">
        <v>3966</v>
      </c>
      <c r="K44" s="654">
        <v>2071</v>
      </c>
      <c r="L44" s="654">
        <v>6037</v>
      </c>
    </row>
    <row r="45" spans="1:12" ht="28" x14ac:dyDescent="0.35">
      <c r="A45" s="131">
        <v>41</v>
      </c>
      <c r="B45" s="925"/>
      <c r="C45" s="302" t="s">
        <v>900</v>
      </c>
      <c r="D45" s="647">
        <v>1</v>
      </c>
      <c r="E45" s="654">
        <v>1</v>
      </c>
      <c r="F45" s="654">
        <v>2</v>
      </c>
      <c r="G45" s="647">
        <v>0</v>
      </c>
      <c r="H45" s="654"/>
      <c r="I45" s="654"/>
      <c r="J45" s="647">
        <v>0</v>
      </c>
      <c r="K45" s="654"/>
      <c r="L45" s="654"/>
    </row>
    <row r="46" spans="1:12" x14ac:dyDescent="0.35">
      <c r="A46" s="131">
        <v>42</v>
      </c>
      <c r="B46" s="925"/>
      <c r="C46" s="302" t="s">
        <v>307</v>
      </c>
      <c r="D46" s="647">
        <v>366</v>
      </c>
      <c r="E46" s="654">
        <v>215</v>
      </c>
      <c r="F46" s="654">
        <v>581</v>
      </c>
      <c r="G46" s="647">
        <v>0</v>
      </c>
      <c r="H46" s="654"/>
      <c r="I46" s="654"/>
      <c r="J46" s="647">
        <v>4006</v>
      </c>
      <c r="K46" s="654">
        <v>3651</v>
      </c>
      <c r="L46" s="654">
        <v>7657</v>
      </c>
    </row>
    <row r="47" spans="1:12" x14ac:dyDescent="0.35">
      <c r="A47" s="131">
        <v>43</v>
      </c>
      <c r="B47" s="925"/>
      <c r="C47" s="302" t="s">
        <v>285</v>
      </c>
      <c r="D47" s="647">
        <v>0</v>
      </c>
      <c r="E47" s="654"/>
      <c r="F47" s="654"/>
      <c r="G47" s="647">
        <v>0</v>
      </c>
      <c r="H47" s="654"/>
      <c r="I47" s="654"/>
      <c r="J47" s="647">
        <v>112</v>
      </c>
      <c r="K47" s="654">
        <v>72</v>
      </c>
      <c r="L47" s="654">
        <v>184</v>
      </c>
    </row>
    <row r="48" spans="1:12" x14ac:dyDescent="0.35">
      <c r="A48" s="131">
        <v>44</v>
      </c>
      <c r="B48" s="925"/>
      <c r="C48" s="302" t="s">
        <v>310</v>
      </c>
      <c r="D48" s="647">
        <v>13</v>
      </c>
      <c r="E48" s="654">
        <v>26</v>
      </c>
      <c r="F48" s="654">
        <v>39</v>
      </c>
      <c r="G48" s="647">
        <v>0</v>
      </c>
      <c r="H48" s="654"/>
      <c r="I48" s="654"/>
      <c r="J48" s="647">
        <v>332</v>
      </c>
      <c r="K48" s="654">
        <v>494</v>
      </c>
      <c r="L48" s="654">
        <v>826</v>
      </c>
    </row>
    <row r="49" spans="1:12" x14ac:dyDescent="0.35">
      <c r="A49" s="131">
        <v>45</v>
      </c>
      <c r="B49" s="925"/>
      <c r="C49" s="302" t="s">
        <v>313</v>
      </c>
      <c r="D49" s="647">
        <v>19</v>
      </c>
      <c r="E49" s="654">
        <v>7</v>
      </c>
      <c r="F49" s="654">
        <v>26</v>
      </c>
      <c r="G49" s="647">
        <v>0</v>
      </c>
      <c r="H49" s="654"/>
      <c r="I49" s="654"/>
      <c r="J49" s="647">
        <v>74</v>
      </c>
      <c r="K49" s="654">
        <v>22</v>
      </c>
      <c r="L49" s="654">
        <v>96</v>
      </c>
    </row>
    <row r="50" spans="1:12" ht="28" x14ac:dyDescent="0.35">
      <c r="A50" s="131">
        <v>46</v>
      </c>
      <c r="B50" s="925"/>
      <c r="C50" s="302" t="s">
        <v>314</v>
      </c>
      <c r="D50" s="647">
        <v>16</v>
      </c>
      <c r="E50" s="654">
        <v>0</v>
      </c>
      <c r="F50" s="654">
        <v>16</v>
      </c>
      <c r="G50" s="647">
        <v>0</v>
      </c>
      <c r="H50" s="654"/>
      <c r="I50" s="654"/>
      <c r="J50" s="647">
        <v>0</v>
      </c>
      <c r="K50" s="654"/>
      <c r="L50" s="654"/>
    </row>
    <row r="51" spans="1:12" x14ac:dyDescent="0.35">
      <c r="A51" s="131">
        <v>47</v>
      </c>
      <c r="B51" s="925"/>
      <c r="C51" s="302" t="s">
        <v>315</v>
      </c>
      <c r="D51" s="647">
        <v>674</v>
      </c>
      <c r="E51" s="654">
        <v>70</v>
      </c>
      <c r="F51" s="654">
        <v>744</v>
      </c>
      <c r="G51" s="647">
        <v>0</v>
      </c>
      <c r="H51" s="654"/>
      <c r="I51" s="654"/>
      <c r="J51" s="647">
        <v>7643</v>
      </c>
      <c r="K51" s="654">
        <v>889</v>
      </c>
      <c r="L51" s="654">
        <v>8532</v>
      </c>
    </row>
    <row r="52" spans="1:12" x14ac:dyDescent="0.35">
      <c r="A52" s="131">
        <v>48</v>
      </c>
      <c r="B52" s="925"/>
      <c r="C52" s="302" t="s">
        <v>316</v>
      </c>
      <c r="D52" s="647">
        <v>0</v>
      </c>
      <c r="E52" s="654"/>
      <c r="F52" s="654"/>
      <c r="G52" s="647">
        <v>0</v>
      </c>
      <c r="H52" s="654"/>
      <c r="I52" s="654"/>
      <c r="J52" s="647">
        <v>1</v>
      </c>
      <c r="K52" s="654">
        <v>0</v>
      </c>
      <c r="L52" s="654">
        <v>1</v>
      </c>
    </row>
    <row r="53" spans="1:12" x14ac:dyDescent="0.35">
      <c r="A53" s="131">
        <v>49</v>
      </c>
      <c r="B53" s="925"/>
      <c r="C53" s="302" t="s">
        <v>318</v>
      </c>
      <c r="D53" s="647">
        <v>94</v>
      </c>
      <c r="E53" s="654">
        <v>28</v>
      </c>
      <c r="F53" s="654">
        <v>122</v>
      </c>
      <c r="G53" s="647">
        <v>0</v>
      </c>
      <c r="H53" s="654"/>
      <c r="I53" s="654"/>
      <c r="J53" s="647">
        <v>476</v>
      </c>
      <c r="K53" s="654">
        <v>105</v>
      </c>
      <c r="L53" s="654">
        <v>581</v>
      </c>
    </row>
    <row r="54" spans="1:12" x14ac:dyDescent="0.35">
      <c r="A54" s="131">
        <v>50</v>
      </c>
      <c r="B54" s="925"/>
      <c r="C54" s="302" t="s">
        <v>319</v>
      </c>
      <c r="D54" s="647">
        <v>30</v>
      </c>
      <c r="E54" s="654">
        <v>6</v>
      </c>
      <c r="F54" s="654">
        <v>36</v>
      </c>
      <c r="G54" s="647">
        <v>0</v>
      </c>
      <c r="H54" s="654"/>
      <c r="I54" s="654"/>
      <c r="J54" s="647">
        <v>129</v>
      </c>
      <c r="K54" s="654">
        <v>22</v>
      </c>
      <c r="L54" s="654">
        <v>151</v>
      </c>
    </row>
    <row r="55" spans="1:12" x14ac:dyDescent="0.35">
      <c r="A55" s="131">
        <v>51</v>
      </c>
      <c r="B55" s="925"/>
      <c r="C55" s="302" t="s">
        <v>321</v>
      </c>
      <c r="D55" s="647">
        <v>936</v>
      </c>
      <c r="E55" s="654">
        <v>557</v>
      </c>
      <c r="F55" s="654">
        <v>1493</v>
      </c>
      <c r="G55" s="647">
        <v>0</v>
      </c>
      <c r="H55" s="654"/>
      <c r="I55" s="654"/>
      <c r="J55" s="647">
        <v>6129</v>
      </c>
      <c r="K55" s="654">
        <v>2876</v>
      </c>
      <c r="L55" s="654">
        <v>9005</v>
      </c>
    </row>
    <row r="56" spans="1:12" x14ac:dyDescent="0.35">
      <c r="A56" s="131">
        <v>52</v>
      </c>
      <c r="B56" s="925"/>
      <c r="C56" s="302" t="s">
        <v>323</v>
      </c>
      <c r="D56" s="647">
        <v>3</v>
      </c>
      <c r="E56" s="654">
        <v>0</v>
      </c>
      <c r="F56" s="654">
        <v>3</v>
      </c>
      <c r="G56" s="647">
        <v>0</v>
      </c>
      <c r="H56" s="654"/>
      <c r="I56" s="654"/>
      <c r="J56" s="647">
        <v>421</v>
      </c>
      <c r="K56" s="654">
        <v>488</v>
      </c>
      <c r="L56" s="654">
        <v>909</v>
      </c>
    </row>
    <row r="57" spans="1:12" x14ac:dyDescent="0.35">
      <c r="A57" s="131">
        <v>53</v>
      </c>
      <c r="B57" s="926"/>
      <c r="C57" s="302" t="s">
        <v>415</v>
      </c>
      <c r="D57" s="647">
        <v>0</v>
      </c>
      <c r="E57" s="654"/>
      <c r="F57" s="654"/>
      <c r="G57" s="647">
        <v>0</v>
      </c>
      <c r="H57" s="654"/>
      <c r="I57" s="654"/>
      <c r="J57" s="647">
        <v>22</v>
      </c>
      <c r="K57" s="654">
        <v>23</v>
      </c>
      <c r="L57" s="654">
        <v>45</v>
      </c>
    </row>
    <row r="58" spans="1:12" ht="28" x14ac:dyDescent="0.35">
      <c r="A58" s="131">
        <v>54</v>
      </c>
      <c r="B58" s="301" t="s">
        <v>325</v>
      </c>
      <c r="C58" s="302"/>
      <c r="D58" s="647">
        <v>3478</v>
      </c>
      <c r="E58" s="654">
        <v>1680</v>
      </c>
      <c r="F58" s="654">
        <v>5158</v>
      </c>
      <c r="G58" s="647">
        <v>0</v>
      </c>
      <c r="H58" s="654"/>
      <c r="I58" s="654"/>
      <c r="J58" s="647">
        <v>41524</v>
      </c>
      <c r="K58" s="654">
        <v>21734</v>
      </c>
      <c r="L58" s="654">
        <v>63258</v>
      </c>
    </row>
    <row r="59" spans="1:12" x14ac:dyDescent="0.35">
      <c r="A59" s="131">
        <v>55</v>
      </c>
      <c r="B59" s="301" t="s">
        <v>326</v>
      </c>
      <c r="C59" s="302" t="s">
        <v>416</v>
      </c>
      <c r="D59" s="647">
        <v>0</v>
      </c>
      <c r="E59" s="654">
        <v>3</v>
      </c>
      <c r="F59" s="654">
        <v>3</v>
      </c>
      <c r="G59" s="647">
        <v>0</v>
      </c>
      <c r="H59" s="654"/>
      <c r="I59" s="654"/>
      <c r="J59" s="647">
        <v>0</v>
      </c>
      <c r="K59" s="654"/>
      <c r="L59" s="654"/>
    </row>
    <row r="60" spans="1:12" ht="28" x14ac:dyDescent="0.35">
      <c r="A60" s="131">
        <v>56</v>
      </c>
      <c r="B60" s="301" t="s">
        <v>417</v>
      </c>
      <c r="C60" s="302"/>
      <c r="D60" s="647">
        <v>0</v>
      </c>
      <c r="E60" s="654">
        <v>3</v>
      </c>
      <c r="F60" s="654">
        <v>3</v>
      </c>
      <c r="G60" s="647">
        <v>0</v>
      </c>
      <c r="H60" s="654"/>
      <c r="I60" s="654"/>
      <c r="J60" s="647">
        <v>0</v>
      </c>
      <c r="K60" s="654"/>
      <c r="L60" s="654"/>
    </row>
    <row r="61" spans="1:12" x14ac:dyDescent="0.35">
      <c r="A61" s="131">
        <v>57</v>
      </c>
      <c r="B61" s="301" t="s">
        <v>328</v>
      </c>
      <c r="C61" s="302" t="s">
        <v>328</v>
      </c>
      <c r="D61" s="647">
        <v>3</v>
      </c>
      <c r="E61" s="654">
        <v>3</v>
      </c>
      <c r="F61" s="654">
        <v>6</v>
      </c>
      <c r="G61" s="647">
        <v>0</v>
      </c>
      <c r="H61" s="654">
        <v>4</v>
      </c>
      <c r="I61" s="654">
        <v>4</v>
      </c>
      <c r="J61" s="647">
        <v>161</v>
      </c>
      <c r="K61" s="654">
        <v>784</v>
      </c>
      <c r="L61" s="654">
        <v>945</v>
      </c>
    </row>
    <row r="62" spans="1:12" ht="28" x14ac:dyDescent="0.35">
      <c r="A62" s="131">
        <v>58</v>
      </c>
      <c r="B62" s="301" t="s">
        <v>418</v>
      </c>
      <c r="C62" s="302"/>
      <c r="D62" s="647">
        <v>3</v>
      </c>
      <c r="E62" s="654">
        <v>3</v>
      </c>
      <c r="F62" s="654">
        <v>6</v>
      </c>
      <c r="G62" s="647">
        <v>0</v>
      </c>
      <c r="H62" s="654">
        <v>4</v>
      </c>
      <c r="I62" s="654">
        <v>4</v>
      </c>
      <c r="J62" s="647">
        <v>161</v>
      </c>
      <c r="K62" s="654">
        <v>784</v>
      </c>
      <c r="L62" s="654">
        <v>945</v>
      </c>
    </row>
    <row r="63" spans="1:12" x14ac:dyDescent="0.35">
      <c r="A63" s="131">
        <v>59</v>
      </c>
      <c r="B63" s="924" t="s">
        <v>329</v>
      </c>
      <c r="C63" s="302" t="s">
        <v>329</v>
      </c>
      <c r="D63" s="647">
        <v>36</v>
      </c>
      <c r="E63" s="654">
        <v>22</v>
      </c>
      <c r="F63" s="654">
        <v>58</v>
      </c>
      <c r="G63" s="647">
        <v>3</v>
      </c>
      <c r="H63" s="654">
        <v>6</v>
      </c>
      <c r="I63" s="654">
        <v>9</v>
      </c>
      <c r="J63" s="647">
        <v>597</v>
      </c>
      <c r="K63" s="654">
        <v>759</v>
      </c>
      <c r="L63" s="654">
        <v>1356</v>
      </c>
    </row>
    <row r="64" spans="1:12" x14ac:dyDescent="0.35">
      <c r="A64" s="131">
        <v>60</v>
      </c>
      <c r="B64" s="925"/>
      <c r="C64" s="302" t="s">
        <v>419</v>
      </c>
      <c r="D64" s="647">
        <v>34</v>
      </c>
      <c r="E64" s="654">
        <v>29</v>
      </c>
      <c r="F64" s="654">
        <v>63</v>
      </c>
      <c r="G64" s="647">
        <v>12</v>
      </c>
      <c r="H64" s="654">
        <v>11</v>
      </c>
      <c r="I64" s="654">
        <v>23</v>
      </c>
      <c r="J64" s="647">
        <v>289</v>
      </c>
      <c r="K64" s="654">
        <v>395</v>
      </c>
      <c r="L64" s="654">
        <v>684</v>
      </c>
    </row>
    <row r="65" spans="1:12" x14ac:dyDescent="0.35">
      <c r="A65" s="131">
        <v>61</v>
      </c>
      <c r="B65" s="925"/>
      <c r="C65" s="302" t="s">
        <v>420</v>
      </c>
      <c r="D65" s="647">
        <v>7</v>
      </c>
      <c r="E65" s="654">
        <v>6</v>
      </c>
      <c r="F65" s="654">
        <v>13</v>
      </c>
      <c r="G65" s="647">
        <v>8</v>
      </c>
      <c r="H65" s="654">
        <v>4</v>
      </c>
      <c r="I65" s="654">
        <v>12</v>
      </c>
      <c r="J65" s="647">
        <v>748</v>
      </c>
      <c r="K65" s="654">
        <v>843</v>
      </c>
      <c r="L65" s="654">
        <v>1591</v>
      </c>
    </row>
    <row r="66" spans="1:12" x14ac:dyDescent="0.35">
      <c r="A66" s="131">
        <v>62</v>
      </c>
      <c r="B66" s="926"/>
      <c r="C66" s="302" t="s">
        <v>421</v>
      </c>
      <c r="D66" s="647">
        <v>6</v>
      </c>
      <c r="E66" s="654">
        <v>1</v>
      </c>
      <c r="F66" s="654">
        <v>7</v>
      </c>
      <c r="G66" s="647">
        <v>0</v>
      </c>
      <c r="H66" s="654"/>
      <c r="I66" s="654"/>
      <c r="J66" s="647">
        <v>281</v>
      </c>
      <c r="K66" s="654">
        <v>289</v>
      </c>
      <c r="L66" s="654">
        <v>570</v>
      </c>
    </row>
    <row r="67" spans="1:12" x14ac:dyDescent="0.35">
      <c r="A67" s="131">
        <v>63</v>
      </c>
      <c r="B67" s="301" t="s">
        <v>422</v>
      </c>
      <c r="C67" s="302"/>
      <c r="D67" s="647">
        <v>83</v>
      </c>
      <c r="E67" s="654">
        <v>58</v>
      </c>
      <c r="F67" s="654">
        <v>141</v>
      </c>
      <c r="G67" s="647">
        <v>23</v>
      </c>
      <c r="H67" s="654">
        <v>21</v>
      </c>
      <c r="I67" s="654">
        <v>44</v>
      </c>
      <c r="J67" s="647">
        <v>1915</v>
      </c>
      <c r="K67" s="654">
        <v>2286</v>
      </c>
      <c r="L67" s="654">
        <v>4201</v>
      </c>
    </row>
    <row r="68" spans="1:12" x14ac:dyDescent="0.35">
      <c r="A68" s="131">
        <v>64</v>
      </c>
      <c r="B68" s="301" t="s">
        <v>330</v>
      </c>
      <c r="C68" s="302" t="s">
        <v>330</v>
      </c>
      <c r="D68" s="647">
        <v>88</v>
      </c>
      <c r="E68" s="654">
        <v>65</v>
      </c>
      <c r="F68" s="654">
        <v>153</v>
      </c>
      <c r="G68" s="647">
        <v>0</v>
      </c>
      <c r="H68" s="654"/>
      <c r="I68" s="654"/>
      <c r="J68" s="647">
        <v>400</v>
      </c>
      <c r="K68" s="654">
        <v>420</v>
      </c>
      <c r="L68" s="654">
        <v>820</v>
      </c>
    </row>
    <row r="69" spans="1:12" x14ac:dyDescent="0.35">
      <c r="A69" s="131">
        <v>65</v>
      </c>
      <c r="B69" s="301" t="s">
        <v>423</v>
      </c>
      <c r="C69" s="302"/>
      <c r="D69" s="647">
        <v>88</v>
      </c>
      <c r="E69" s="654">
        <v>65</v>
      </c>
      <c r="F69" s="654">
        <v>153</v>
      </c>
      <c r="G69" s="647">
        <v>0</v>
      </c>
      <c r="H69" s="654"/>
      <c r="I69" s="654"/>
      <c r="J69" s="647">
        <v>400</v>
      </c>
      <c r="K69" s="654">
        <v>420</v>
      </c>
      <c r="L69" s="654">
        <v>820</v>
      </c>
    </row>
    <row r="70" spans="1:12" x14ac:dyDescent="0.35">
      <c r="A70" s="131">
        <v>66</v>
      </c>
      <c r="B70" s="924" t="s">
        <v>332</v>
      </c>
      <c r="C70" s="302" t="s">
        <v>413</v>
      </c>
      <c r="D70" s="647">
        <v>0</v>
      </c>
      <c r="E70" s="654"/>
      <c r="F70" s="654"/>
      <c r="G70" s="647">
        <v>0</v>
      </c>
      <c r="H70" s="654"/>
      <c r="I70" s="654"/>
      <c r="J70" s="647">
        <v>4</v>
      </c>
      <c r="K70" s="654">
        <v>1</v>
      </c>
      <c r="L70" s="654">
        <v>5</v>
      </c>
    </row>
    <row r="71" spans="1:12" x14ac:dyDescent="0.35">
      <c r="A71" s="131">
        <v>67</v>
      </c>
      <c r="B71" s="925"/>
      <c r="C71" s="302" t="s">
        <v>424</v>
      </c>
      <c r="D71" s="647">
        <v>0</v>
      </c>
      <c r="E71" s="654"/>
      <c r="F71" s="654"/>
      <c r="G71" s="647">
        <v>0</v>
      </c>
      <c r="H71" s="654"/>
      <c r="I71" s="654"/>
      <c r="J71" s="647">
        <v>6</v>
      </c>
      <c r="K71" s="654">
        <v>12</v>
      </c>
      <c r="L71" s="654">
        <v>18</v>
      </c>
    </row>
    <row r="72" spans="1:12" x14ac:dyDescent="0.35">
      <c r="A72" s="131">
        <v>68</v>
      </c>
      <c r="B72" s="926"/>
      <c r="C72" s="302" t="s">
        <v>425</v>
      </c>
      <c r="D72" s="647">
        <v>0</v>
      </c>
      <c r="E72" s="654"/>
      <c r="F72" s="654"/>
      <c r="G72" s="647">
        <v>0</v>
      </c>
      <c r="H72" s="654"/>
      <c r="I72" s="654"/>
      <c r="J72" s="647">
        <v>3</v>
      </c>
      <c r="K72" s="654">
        <v>12</v>
      </c>
      <c r="L72" s="654">
        <v>15</v>
      </c>
    </row>
    <row r="73" spans="1:12" ht="28" x14ac:dyDescent="0.35">
      <c r="A73" s="131">
        <v>69</v>
      </c>
      <c r="B73" s="301" t="s">
        <v>426</v>
      </c>
      <c r="C73" s="302"/>
      <c r="D73" s="647">
        <v>0</v>
      </c>
      <c r="E73" s="654"/>
      <c r="F73" s="654"/>
      <c r="G73" s="647">
        <v>0</v>
      </c>
      <c r="H73" s="654"/>
      <c r="I73" s="654"/>
      <c r="J73" s="647">
        <v>13</v>
      </c>
      <c r="K73" s="654">
        <v>25</v>
      </c>
      <c r="L73" s="654">
        <v>38</v>
      </c>
    </row>
    <row r="74" spans="1:12" x14ac:dyDescent="0.35">
      <c r="A74" s="131">
        <v>70</v>
      </c>
      <c r="B74" s="924" t="s">
        <v>333</v>
      </c>
      <c r="C74" s="302" t="s">
        <v>427</v>
      </c>
      <c r="D74" s="647">
        <v>252</v>
      </c>
      <c r="E74" s="654">
        <v>369</v>
      </c>
      <c r="F74" s="654">
        <v>621</v>
      </c>
      <c r="G74" s="647">
        <v>45</v>
      </c>
      <c r="H74" s="654">
        <v>484</v>
      </c>
      <c r="I74" s="654">
        <v>529</v>
      </c>
      <c r="J74" s="647">
        <v>32243</v>
      </c>
      <c r="K74" s="654">
        <v>60430</v>
      </c>
      <c r="L74" s="654">
        <v>92673</v>
      </c>
    </row>
    <row r="75" spans="1:12" x14ac:dyDescent="0.35">
      <c r="A75" s="131">
        <v>71</v>
      </c>
      <c r="B75" s="925"/>
      <c r="C75" s="302" t="s">
        <v>428</v>
      </c>
      <c r="D75" s="647">
        <v>1</v>
      </c>
      <c r="E75" s="654">
        <v>2</v>
      </c>
      <c r="F75" s="654">
        <v>3</v>
      </c>
      <c r="G75" s="647">
        <v>0</v>
      </c>
      <c r="H75" s="654"/>
      <c r="I75" s="654"/>
      <c r="J75" s="647">
        <v>36</v>
      </c>
      <c r="K75" s="654">
        <v>124</v>
      </c>
      <c r="L75" s="654">
        <v>160</v>
      </c>
    </row>
    <row r="76" spans="1:12" x14ac:dyDescent="0.35">
      <c r="A76" s="131">
        <v>72</v>
      </c>
      <c r="B76" s="925"/>
      <c r="C76" s="302" t="s">
        <v>429</v>
      </c>
      <c r="D76" s="647">
        <v>0</v>
      </c>
      <c r="E76" s="654"/>
      <c r="F76" s="654"/>
      <c r="G76" s="647">
        <v>0</v>
      </c>
      <c r="H76" s="654"/>
      <c r="I76" s="654"/>
      <c r="J76" s="647">
        <v>32</v>
      </c>
      <c r="K76" s="654">
        <v>46</v>
      </c>
      <c r="L76" s="654">
        <v>78</v>
      </c>
    </row>
    <row r="77" spans="1:12" x14ac:dyDescent="0.35">
      <c r="A77" s="131">
        <v>73</v>
      </c>
      <c r="B77" s="925"/>
      <c r="C77" s="302" t="s">
        <v>430</v>
      </c>
      <c r="D77" s="647">
        <v>45</v>
      </c>
      <c r="E77" s="654">
        <v>28</v>
      </c>
      <c r="F77" s="654">
        <v>73</v>
      </c>
      <c r="G77" s="647">
        <v>4</v>
      </c>
      <c r="H77" s="654">
        <v>11</v>
      </c>
      <c r="I77" s="654">
        <v>15</v>
      </c>
      <c r="J77" s="647">
        <v>912</v>
      </c>
      <c r="K77" s="654">
        <v>986</v>
      </c>
      <c r="L77" s="654">
        <v>1898</v>
      </c>
    </row>
    <row r="78" spans="1:12" x14ac:dyDescent="0.35">
      <c r="A78" s="131">
        <v>74</v>
      </c>
      <c r="B78" s="926"/>
      <c r="C78" s="302" t="s">
        <v>431</v>
      </c>
      <c r="D78" s="647">
        <v>1</v>
      </c>
      <c r="E78" s="654">
        <v>0</v>
      </c>
      <c r="F78" s="654">
        <v>1</v>
      </c>
      <c r="G78" s="647">
        <v>0</v>
      </c>
      <c r="H78" s="654"/>
      <c r="I78" s="654"/>
      <c r="J78" s="647">
        <v>8</v>
      </c>
      <c r="K78" s="654">
        <v>7</v>
      </c>
      <c r="L78" s="654">
        <v>15</v>
      </c>
    </row>
    <row r="79" spans="1:12" ht="28" x14ac:dyDescent="0.35">
      <c r="A79" s="131">
        <v>75</v>
      </c>
      <c r="B79" s="301" t="s">
        <v>432</v>
      </c>
      <c r="C79" s="302"/>
      <c r="D79" s="647">
        <v>299</v>
      </c>
      <c r="E79" s="654">
        <v>399</v>
      </c>
      <c r="F79" s="654">
        <v>698</v>
      </c>
      <c r="G79" s="647">
        <v>49</v>
      </c>
      <c r="H79" s="654">
        <v>495</v>
      </c>
      <c r="I79" s="654">
        <v>544</v>
      </c>
      <c r="J79" s="647">
        <v>33231</v>
      </c>
      <c r="K79" s="654">
        <v>61593</v>
      </c>
      <c r="L79" s="654">
        <v>94824</v>
      </c>
    </row>
    <row r="80" spans="1:12" x14ac:dyDescent="0.35">
      <c r="A80" s="131">
        <v>76</v>
      </c>
      <c r="B80" s="301" t="s">
        <v>433</v>
      </c>
      <c r="C80" s="302" t="s">
        <v>434</v>
      </c>
      <c r="D80" s="647">
        <v>0</v>
      </c>
      <c r="E80" s="654"/>
      <c r="F80" s="654"/>
      <c r="G80" s="647">
        <v>0</v>
      </c>
      <c r="H80" s="654"/>
      <c r="I80" s="654"/>
      <c r="J80" s="647">
        <v>121</v>
      </c>
      <c r="K80" s="654">
        <v>298</v>
      </c>
      <c r="L80" s="654">
        <v>419</v>
      </c>
    </row>
    <row r="81" spans="1:12" x14ac:dyDescent="0.35">
      <c r="A81" s="131">
        <v>77</v>
      </c>
      <c r="B81" s="301" t="s">
        <v>435</v>
      </c>
      <c r="C81" s="302"/>
      <c r="D81" s="647">
        <v>0</v>
      </c>
      <c r="E81" s="654"/>
      <c r="F81" s="654"/>
      <c r="G81" s="647">
        <v>0</v>
      </c>
      <c r="H81" s="654"/>
      <c r="I81" s="654"/>
      <c r="J81" s="647">
        <v>121</v>
      </c>
      <c r="K81" s="654">
        <v>298</v>
      </c>
      <c r="L81" s="654">
        <v>419</v>
      </c>
    </row>
    <row r="82" spans="1:12" x14ac:dyDescent="0.35">
      <c r="A82" s="131">
        <v>78</v>
      </c>
      <c r="B82" s="301" t="s">
        <v>334</v>
      </c>
      <c r="C82" s="302" t="s">
        <v>334</v>
      </c>
      <c r="D82" s="647">
        <v>12</v>
      </c>
      <c r="E82" s="654">
        <v>3</v>
      </c>
      <c r="F82" s="654">
        <v>15</v>
      </c>
      <c r="G82" s="647">
        <v>0</v>
      </c>
      <c r="H82" s="654"/>
      <c r="I82" s="654"/>
      <c r="J82" s="647">
        <v>149</v>
      </c>
      <c r="K82" s="654">
        <v>171</v>
      </c>
      <c r="L82" s="654">
        <v>320</v>
      </c>
    </row>
    <row r="83" spans="1:12" ht="28" x14ac:dyDescent="0.35">
      <c r="A83" s="131">
        <v>79</v>
      </c>
      <c r="B83" s="301" t="s">
        <v>438</v>
      </c>
      <c r="C83" s="302"/>
      <c r="D83" s="647">
        <v>12</v>
      </c>
      <c r="E83" s="654">
        <v>3</v>
      </c>
      <c r="F83" s="654">
        <v>15</v>
      </c>
      <c r="G83" s="647">
        <v>0</v>
      </c>
      <c r="H83" s="654"/>
      <c r="I83" s="654"/>
      <c r="J83" s="647">
        <v>149</v>
      </c>
      <c r="K83" s="654">
        <v>171</v>
      </c>
      <c r="L83" s="654">
        <v>320</v>
      </c>
    </row>
    <row r="84" spans="1:12" x14ac:dyDescent="0.35">
      <c r="A84" s="131">
        <v>80</v>
      </c>
      <c r="B84" s="924" t="s">
        <v>335</v>
      </c>
      <c r="C84" s="302" t="s">
        <v>439</v>
      </c>
      <c r="D84" s="647">
        <v>0</v>
      </c>
      <c r="E84" s="654"/>
      <c r="F84" s="654"/>
      <c r="G84" s="647">
        <v>0</v>
      </c>
      <c r="H84" s="654"/>
      <c r="I84" s="654"/>
      <c r="J84" s="647">
        <v>52</v>
      </c>
      <c r="K84" s="654">
        <v>65</v>
      </c>
      <c r="L84" s="654">
        <v>117</v>
      </c>
    </row>
    <row r="85" spans="1:12" x14ac:dyDescent="0.35">
      <c r="A85" s="131">
        <v>81</v>
      </c>
      <c r="B85" s="925"/>
      <c r="C85" s="302" t="s">
        <v>335</v>
      </c>
      <c r="D85" s="647">
        <v>7</v>
      </c>
      <c r="E85" s="654">
        <v>134</v>
      </c>
      <c r="F85" s="654">
        <v>141</v>
      </c>
      <c r="G85" s="647">
        <v>0</v>
      </c>
      <c r="H85" s="654">
        <v>5</v>
      </c>
      <c r="I85" s="654">
        <v>5</v>
      </c>
      <c r="J85" s="647">
        <v>165</v>
      </c>
      <c r="K85" s="654">
        <v>4694</v>
      </c>
      <c r="L85" s="654">
        <v>4859</v>
      </c>
    </row>
    <row r="86" spans="1:12" x14ac:dyDescent="0.35">
      <c r="A86" s="131">
        <v>82</v>
      </c>
      <c r="B86" s="926"/>
      <c r="C86" s="302" t="s">
        <v>440</v>
      </c>
      <c r="D86" s="647">
        <v>1</v>
      </c>
      <c r="E86" s="654">
        <v>6</v>
      </c>
      <c r="F86" s="654">
        <v>7</v>
      </c>
      <c r="G86" s="647">
        <v>0</v>
      </c>
      <c r="H86" s="654">
        <v>1</v>
      </c>
      <c r="I86" s="654">
        <v>1</v>
      </c>
      <c r="J86" s="647">
        <v>189</v>
      </c>
      <c r="K86" s="654">
        <v>1670</v>
      </c>
      <c r="L86" s="654">
        <v>1859</v>
      </c>
    </row>
    <row r="87" spans="1:12" x14ac:dyDescent="0.35">
      <c r="A87" s="131">
        <v>83</v>
      </c>
      <c r="B87" s="301" t="s">
        <v>441</v>
      </c>
      <c r="C87" s="302"/>
      <c r="D87" s="647">
        <v>8</v>
      </c>
      <c r="E87" s="654">
        <v>140</v>
      </c>
      <c r="F87" s="654">
        <v>148</v>
      </c>
      <c r="G87" s="647">
        <v>0</v>
      </c>
      <c r="H87" s="654">
        <v>6</v>
      </c>
      <c r="I87" s="654">
        <v>6</v>
      </c>
      <c r="J87" s="647">
        <v>406</v>
      </c>
      <c r="K87" s="654">
        <v>6429</v>
      </c>
      <c r="L87" s="654">
        <v>6835</v>
      </c>
    </row>
    <row r="88" spans="1:12" ht="28" x14ac:dyDescent="0.35">
      <c r="A88" s="131">
        <v>84</v>
      </c>
      <c r="B88" s="301" t="s">
        <v>336</v>
      </c>
      <c r="C88" s="302" t="s">
        <v>443</v>
      </c>
      <c r="D88" s="647">
        <v>0</v>
      </c>
      <c r="E88" s="654"/>
      <c r="F88" s="654"/>
      <c r="G88" s="647">
        <v>0</v>
      </c>
      <c r="H88" s="654"/>
      <c r="I88" s="654"/>
      <c r="J88" s="647">
        <v>114</v>
      </c>
      <c r="K88" s="654">
        <v>111</v>
      </c>
      <c r="L88" s="654">
        <v>225</v>
      </c>
    </row>
    <row r="89" spans="1:12" ht="28" x14ac:dyDescent="0.35">
      <c r="A89" s="131">
        <v>85</v>
      </c>
      <c r="B89" s="301" t="s">
        <v>444</v>
      </c>
      <c r="C89" s="302"/>
      <c r="D89" s="647">
        <v>0</v>
      </c>
      <c r="E89" s="654"/>
      <c r="F89" s="654"/>
      <c r="G89" s="647">
        <v>0</v>
      </c>
      <c r="H89" s="654"/>
      <c r="I89" s="654"/>
      <c r="J89" s="647">
        <v>114</v>
      </c>
      <c r="K89" s="654">
        <v>111</v>
      </c>
      <c r="L89" s="654">
        <v>225</v>
      </c>
    </row>
    <row r="90" spans="1:12" x14ac:dyDescent="0.35">
      <c r="A90" s="131">
        <v>86</v>
      </c>
      <c r="B90" s="924" t="s">
        <v>337</v>
      </c>
      <c r="C90" s="302" t="s">
        <v>445</v>
      </c>
      <c r="D90" s="647">
        <v>67</v>
      </c>
      <c r="E90" s="654">
        <v>32</v>
      </c>
      <c r="F90" s="654">
        <v>99</v>
      </c>
      <c r="G90" s="647">
        <v>0</v>
      </c>
      <c r="H90" s="654"/>
      <c r="I90" s="654"/>
      <c r="J90" s="647">
        <v>3369</v>
      </c>
      <c r="K90" s="654">
        <v>10004</v>
      </c>
      <c r="L90" s="654">
        <v>13373</v>
      </c>
    </row>
    <row r="91" spans="1:12" x14ac:dyDescent="0.35">
      <c r="A91" s="131">
        <v>87</v>
      </c>
      <c r="B91" s="925"/>
      <c r="C91" s="302" t="s">
        <v>446</v>
      </c>
      <c r="D91" s="647">
        <v>233</v>
      </c>
      <c r="E91" s="654">
        <v>320</v>
      </c>
      <c r="F91" s="654">
        <v>553</v>
      </c>
      <c r="G91" s="647">
        <v>13</v>
      </c>
      <c r="H91" s="654">
        <v>11</v>
      </c>
      <c r="I91" s="654">
        <v>24</v>
      </c>
      <c r="J91" s="647">
        <v>27430</v>
      </c>
      <c r="K91" s="654">
        <v>48769</v>
      </c>
      <c r="L91" s="654">
        <v>76199</v>
      </c>
    </row>
    <row r="92" spans="1:12" x14ac:dyDescent="0.35">
      <c r="A92" s="131">
        <v>88</v>
      </c>
      <c r="B92" s="925"/>
      <c r="C92" s="302" t="s">
        <v>447</v>
      </c>
      <c r="D92" s="647">
        <v>32</v>
      </c>
      <c r="E92" s="654">
        <v>17</v>
      </c>
      <c r="F92" s="654">
        <v>49</v>
      </c>
      <c r="G92" s="647">
        <v>0</v>
      </c>
      <c r="H92" s="654"/>
      <c r="I92" s="654"/>
      <c r="J92" s="647">
        <v>1106</v>
      </c>
      <c r="K92" s="654">
        <v>1946</v>
      </c>
      <c r="L92" s="654">
        <v>3052</v>
      </c>
    </row>
    <row r="93" spans="1:12" x14ac:dyDescent="0.35">
      <c r="A93" s="131">
        <v>89</v>
      </c>
      <c r="B93" s="925"/>
      <c r="C93" s="302" t="s">
        <v>448</v>
      </c>
      <c r="D93" s="647">
        <v>12</v>
      </c>
      <c r="E93" s="654">
        <v>21</v>
      </c>
      <c r="F93" s="654">
        <v>33</v>
      </c>
      <c r="G93" s="647">
        <v>0</v>
      </c>
      <c r="H93" s="654"/>
      <c r="I93" s="654"/>
      <c r="J93" s="647">
        <v>821</v>
      </c>
      <c r="K93" s="654">
        <v>1026</v>
      </c>
      <c r="L93" s="654">
        <v>1847</v>
      </c>
    </row>
    <row r="94" spans="1:12" x14ac:dyDescent="0.35">
      <c r="A94" s="131">
        <v>90</v>
      </c>
      <c r="B94" s="925"/>
      <c r="C94" s="302" t="s">
        <v>449</v>
      </c>
      <c r="D94" s="647">
        <v>9</v>
      </c>
      <c r="E94" s="654">
        <v>7</v>
      </c>
      <c r="F94" s="654">
        <v>16</v>
      </c>
      <c r="G94" s="647">
        <v>0</v>
      </c>
      <c r="H94" s="654">
        <v>2</v>
      </c>
      <c r="I94" s="654">
        <v>2</v>
      </c>
      <c r="J94" s="647">
        <v>1972</v>
      </c>
      <c r="K94" s="654">
        <v>4563</v>
      </c>
      <c r="L94" s="654">
        <v>6535</v>
      </c>
    </row>
    <row r="95" spans="1:12" x14ac:dyDescent="0.35">
      <c r="A95" s="131">
        <v>91</v>
      </c>
      <c r="B95" s="925"/>
      <c r="C95" s="302" t="s">
        <v>392</v>
      </c>
      <c r="D95" s="647">
        <v>139</v>
      </c>
      <c r="E95" s="654">
        <v>168</v>
      </c>
      <c r="F95" s="654">
        <v>307</v>
      </c>
      <c r="G95" s="647">
        <v>2</v>
      </c>
      <c r="H95" s="654">
        <v>5</v>
      </c>
      <c r="I95" s="654">
        <v>7</v>
      </c>
      <c r="J95" s="647">
        <v>5551</v>
      </c>
      <c r="K95" s="654">
        <v>10282</v>
      </c>
      <c r="L95" s="654">
        <v>15833</v>
      </c>
    </row>
    <row r="96" spans="1:12" x14ac:dyDescent="0.35">
      <c r="A96" s="131">
        <v>92</v>
      </c>
      <c r="B96" s="925"/>
      <c r="C96" s="302" t="s">
        <v>450</v>
      </c>
      <c r="D96" s="647">
        <v>32</v>
      </c>
      <c r="E96" s="654">
        <v>39</v>
      </c>
      <c r="F96" s="654">
        <v>71</v>
      </c>
      <c r="G96" s="647">
        <v>4</v>
      </c>
      <c r="H96" s="654">
        <v>5</v>
      </c>
      <c r="I96" s="654">
        <v>9</v>
      </c>
      <c r="J96" s="647">
        <v>502</v>
      </c>
      <c r="K96" s="654">
        <v>1622</v>
      </c>
      <c r="L96" s="654">
        <v>2124</v>
      </c>
    </row>
    <row r="97" spans="1:12" x14ac:dyDescent="0.35">
      <c r="A97" s="131">
        <v>93</v>
      </c>
      <c r="B97" s="925"/>
      <c r="C97" s="302" t="s">
        <v>451</v>
      </c>
      <c r="D97" s="647">
        <v>129</v>
      </c>
      <c r="E97" s="654">
        <v>121</v>
      </c>
      <c r="F97" s="654">
        <v>250</v>
      </c>
      <c r="G97" s="647">
        <v>25</v>
      </c>
      <c r="H97" s="654">
        <v>19</v>
      </c>
      <c r="I97" s="654">
        <v>44</v>
      </c>
      <c r="J97" s="647">
        <v>4464</v>
      </c>
      <c r="K97" s="654">
        <v>8351</v>
      </c>
      <c r="L97" s="654">
        <v>12815</v>
      </c>
    </row>
    <row r="98" spans="1:12" x14ac:dyDescent="0.35">
      <c r="A98" s="131">
        <v>94</v>
      </c>
      <c r="B98" s="925"/>
      <c r="C98" s="302" t="s">
        <v>452</v>
      </c>
      <c r="D98" s="647">
        <v>62</v>
      </c>
      <c r="E98" s="654">
        <v>119</v>
      </c>
      <c r="F98" s="654">
        <v>181</v>
      </c>
      <c r="G98" s="647">
        <v>31</v>
      </c>
      <c r="H98" s="654">
        <v>207</v>
      </c>
      <c r="I98" s="654">
        <v>238</v>
      </c>
      <c r="J98" s="647">
        <v>1752</v>
      </c>
      <c r="K98" s="654">
        <v>3953</v>
      </c>
      <c r="L98" s="654">
        <v>5705</v>
      </c>
    </row>
    <row r="99" spans="1:12" x14ac:dyDescent="0.35">
      <c r="A99" s="131">
        <v>95</v>
      </c>
      <c r="B99" s="925"/>
      <c r="C99" s="302" t="s">
        <v>453</v>
      </c>
      <c r="D99" s="647">
        <v>3</v>
      </c>
      <c r="E99" s="654">
        <v>2</v>
      </c>
      <c r="F99" s="654">
        <v>5</v>
      </c>
      <c r="G99" s="647">
        <v>1</v>
      </c>
      <c r="H99" s="654">
        <v>2</v>
      </c>
      <c r="I99" s="654">
        <v>3</v>
      </c>
      <c r="J99" s="647">
        <v>1349</v>
      </c>
      <c r="K99" s="654">
        <v>2166</v>
      </c>
      <c r="L99" s="654">
        <v>3515</v>
      </c>
    </row>
    <row r="100" spans="1:12" x14ac:dyDescent="0.35">
      <c r="A100" s="131">
        <v>96</v>
      </c>
      <c r="B100" s="926"/>
      <c r="C100" s="302" t="s">
        <v>393</v>
      </c>
      <c r="D100" s="647">
        <v>69</v>
      </c>
      <c r="E100" s="654">
        <v>64</v>
      </c>
      <c r="F100" s="654">
        <v>133</v>
      </c>
      <c r="G100" s="647">
        <v>1</v>
      </c>
      <c r="H100" s="654">
        <v>27</v>
      </c>
      <c r="I100" s="654">
        <v>28</v>
      </c>
      <c r="J100" s="647">
        <v>2765</v>
      </c>
      <c r="K100" s="654">
        <v>4641</v>
      </c>
      <c r="L100" s="654">
        <v>7406</v>
      </c>
    </row>
    <row r="101" spans="1:12" x14ac:dyDescent="0.35">
      <c r="A101" s="131">
        <v>97</v>
      </c>
      <c r="B101" s="301" t="s">
        <v>454</v>
      </c>
      <c r="C101" s="302"/>
      <c r="D101" s="647">
        <v>787</v>
      </c>
      <c r="E101" s="654">
        <v>910</v>
      </c>
      <c r="F101" s="654">
        <v>1697</v>
      </c>
      <c r="G101" s="647">
        <v>77</v>
      </c>
      <c r="H101" s="654">
        <v>278</v>
      </c>
      <c r="I101" s="654">
        <v>355</v>
      </c>
      <c r="J101" s="647">
        <v>51081</v>
      </c>
      <c r="K101" s="654">
        <v>97323</v>
      </c>
      <c r="L101" s="654">
        <v>148404</v>
      </c>
    </row>
    <row r="102" spans="1:12" x14ac:dyDescent="0.35">
      <c r="A102" s="131">
        <v>98</v>
      </c>
      <c r="B102" s="924" t="s">
        <v>338</v>
      </c>
      <c r="C102" s="302" t="s">
        <v>457</v>
      </c>
      <c r="D102" s="647">
        <v>0</v>
      </c>
      <c r="E102" s="654"/>
      <c r="F102" s="654"/>
      <c r="G102" s="647">
        <v>0</v>
      </c>
      <c r="H102" s="654"/>
      <c r="I102" s="654"/>
      <c r="J102" s="647">
        <v>9</v>
      </c>
      <c r="K102" s="654">
        <v>14</v>
      </c>
      <c r="L102" s="654">
        <v>23</v>
      </c>
    </row>
    <row r="103" spans="1:12" x14ac:dyDescent="0.35">
      <c r="A103" s="131">
        <v>99</v>
      </c>
      <c r="B103" s="925"/>
      <c r="C103" s="302" t="s">
        <v>458</v>
      </c>
      <c r="D103" s="647">
        <v>112</v>
      </c>
      <c r="E103" s="654">
        <v>108</v>
      </c>
      <c r="F103" s="654">
        <v>220</v>
      </c>
      <c r="G103" s="647">
        <v>0</v>
      </c>
      <c r="H103" s="654">
        <v>1</v>
      </c>
      <c r="I103" s="654">
        <v>1</v>
      </c>
      <c r="J103" s="647">
        <v>33059</v>
      </c>
      <c r="K103" s="654">
        <v>25583</v>
      </c>
      <c r="L103" s="654">
        <v>58642</v>
      </c>
    </row>
    <row r="104" spans="1:12" x14ac:dyDescent="0.35">
      <c r="A104" s="131">
        <v>100</v>
      </c>
      <c r="B104" s="925"/>
      <c r="C104" s="302" t="s">
        <v>459</v>
      </c>
      <c r="D104" s="647">
        <v>228</v>
      </c>
      <c r="E104" s="654">
        <v>247</v>
      </c>
      <c r="F104" s="654">
        <v>475</v>
      </c>
      <c r="G104" s="647">
        <v>21</v>
      </c>
      <c r="H104" s="654">
        <v>69</v>
      </c>
      <c r="I104" s="654">
        <v>90</v>
      </c>
      <c r="J104" s="647">
        <v>7214</v>
      </c>
      <c r="K104" s="654">
        <v>9407</v>
      </c>
      <c r="L104" s="654">
        <v>16621</v>
      </c>
    </row>
    <row r="105" spans="1:12" x14ac:dyDescent="0.35">
      <c r="A105" s="131">
        <v>101</v>
      </c>
      <c r="B105" s="925"/>
      <c r="C105" s="302" t="s">
        <v>311</v>
      </c>
      <c r="D105" s="647">
        <v>52</v>
      </c>
      <c r="E105" s="654">
        <v>46</v>
      </c>
      <c r="F105" s="654">
        <v>98</v>
      </c>
      <c r="G105" s="647">
        <v>0</v>
      </c>
      <c r="H105" s="654"/>
      <c r="I105" s="654"/>
      <c r="J105" s="647">
        <v>2935</v>
      </c>
      <c r="K105" s="654">
        <v>2384</v>
      </c>
      <c r="L105" s="654">
        <v>5319</v>
      </c>
    </row>
    <row r="106" spans="1:12" x14ac:dyDescent="0.35">
      <c r="A106" s="131">
        <v>102</v>
      </c>
      <c r="B106" s="926"/>
      <c r="C106" s="302" t="s">
        <v>460</v>
      </c>
      <c r="D106" s="647">
        <v>0</v>
      </c>
      <c r="E106" s="654"/>
      <c r="F106" s="654"/>
      <c r="G106" s="647">
        <v>0</v>
      </c>
      <c r="H106" s="654"/>
      <c r="I106" s="654"/>
      <c r="J106" s="647">
        <v>15</v>
      </c>
      <c r="K106" s="654">
        <v>19</v>
      </c>
      <c r="L106" s="654">
        <v>34</v>
      </c>
    </row>
    <row r="107" spans="1:12" x14ac:dyDescent="0.35">
      <c r="A107" s="131">
        <v>103</v>
      </c>
      <c r="B107" s="301" t="s">
        <v>461</v>
      </c>
      <c r="C107" s="302"/>
      <c r="D107" s="647">
        <v>392</v>
      </c>
      <c r="E107" s="654">
        <v>401</v>
      </c>
      <c r="F107" s="654">
        <v>793</v>
      </c>
      <c r="G107" s="647">
        <v>21</v>
      </c>
      <c r="H107" s="654">
        <v>70</v>
      </c>
      <c r="I107" s="654">
        <v>91</v>
      </c>
      <c r="J107" s="647">
        <v>43232</v>
      </c>
      <c r="K107" s="654">
        <v>37407</v>
      </c>
      <c r="L107" s="654">
        <v>80639</v>
      </c>
    </row>
    <row r="108" spans="1:12" ht="28" x14ac:dyDescent="0.35">
      <c r="A108" s="131">
        <v>104</v>
      </c>
      <c r="B108" s="301" t="s">
        <v>339</v>
      </c>
      <c r="C108" s="302" t="s">
        <v>339</v>
      </c>
      <c r="D108" s="647">
        <v>40</v>
      </c>
      <c r="E108" s="654">
        <v>37</v>
      </c>
      <c r="F108" s="654">
        <v>77</v>
      </c>
      <c r="G108" s="647">
        <v>0</v>
      </c>
      <c r="H108" s="654">
        <v>1</v>
      </c>
      <c r="I108" s="654">
        <v>1</v>
      </c>
      <c r="J108" s="647">
        <v>3940</v>
      </c>
      <c r="K108" s="654">
        <v>4066</v>
      </c>
      <c r="L108" s="654">
        <v>8006</v>
      </c>
    </row>
    <row r="109" spans="1:12" ht="28" x14ac:dyDescent="0.35">
      <c r="A109" s="131">
        <v>105</v>
      </c>
      <c r="B109" s="301" t="s">
        <v>462</v>
      </c>
      <c r="C109" s="302"/>
      <c r="D109" s="647">
        <v>40</v>
      </c>
      <c r="E109" s="654">
        <v>37</v>
      </c>
      <c r="F109" s="654">
        <v>77</v>
      </c>
      <c r="G109" s="647">
        <v>0</v>
      </c>
      <c r="H109" s="654">
        <v>1</v>
      </c>
      <c r="I109" s="654">
        <v>1</v>
      </c>
      <c r="J109" s="647">
        <v>3940</v>
      </c>
      <c r="K109" s="654">
        <v>4066</v>
      </c>
      <c r="L109" s="654">
        <v>8006</v>
      </c>
    </row>
    <row r="110" spans="1:12" x14ac:dyDescent="0.35">
      <c r="A110" s="131">
        <v>106</v>
      </c>
      <c r="B110" s="924" t="s">
        <v>340</v>
      </c>
      <c r="C110" s="302" t="s">
        <v>463</v>
      </c>
      <c r="D110" s="647">
        <v>0</v>
      </c>
      <c r="E110" s="654"/>
      <c r="F110" s="654"/>
      <c r="G110" s="647">
        <v>0</v>
      </c>
      <c r="H110" s="654"/>
      <c r="I110" s="654"/>
      <c r="J110" s="647">
        <v>83</v>
      </c>
      <c r="K110" s="654">
        <v>46</v>
      </c>
      <c r="L110" s="654">
        <v>129</v>
      </c>
    </row>
    <row r="111" spans="1:12" x14ac:dyDescent="0.35">
      <c r="A111" s="131">
        <v>107</v>
      </c>
      <c r="B111" s="925"/>
      <c r="C111" s="302" t="s">
        <v>464</v>
      </c>
      <c r="D111" s="647">
        <v>0</v>
      </c>
      <c r="E111" s="654"/>
      <c r="F111" s="654"/>
      <c r="G111" s="647">
        <v>0</v>
      </c>
      <c r="H111" s="654"/>
      <c r="I111" s="654"/>
      <c r="J111" s="647">
        <v>592</v>
      </c>
      <c r="K111" s="654">
        <v>415</v>
      </c>
      <c r="L111" s="654">
        <v>1007</v>
      </c>
    </row>
    <row r="112" spans="1:12" x14ac:dyDescent="0.35">
      <c r="A112" s="131">
        <v>108</v>
      </c>
      <c r="B112" s="925"/>
      <c r="C112" s="302" t="s">
        <v>465</v>
      </c>
      <c r="D112" s="647">
        <v>0</v>
      </c>
      <c r="E112" s="654"/>
      <c r="F112" s="654"/>
      <c r="G112" s="647">
        <v>0</v>
      </c>
      <c r="H112" s="654"/>
      <c r="I112" s="654"/>
      <c r="J112" s="647">
        <v>26</v>
      </c>
      <c r="K112" s="654">
        <v>16</v>
      </c>
      <c r="L112" s="654">
        <v>42</v>
      </c>
    </row>
    <row r="113" spans="1:12" x14ac:dyDescent="0.35">
      <c r="A113" s="131">
        <v>109</v>
      </c>
      <c r="B113" s="925"/>
      <c r="C113" s="302" t="s">
        <v>466</v>
      </c>
      <c r="D113" s="647">
        <v>0</v>
      </c>
      <c r="E113" s="654"/>
      <c r="F113" s="654"/>
      <c r="G113" s="647">
        <v>0</v>
      </c>
      <c r="H113" s="654"/>
      <c r="I113" s="654"/>
      <c r="J113" s="647">
        <v>49</v>
      </c>
      <c r="K113" s="654">
        <v>40</v>
      </c>
      <c r="L113" s="654">
        <v>89</v>
      </c>
    </row>
    <row r="114" spans="1:12" x14ac:dyDescent="0.35">
      <c r="A114" s="131">
        <v>110</v>
      </c>
      <c r="B114" s="926"/>
      <c r="C114" s="302" t="s">
        <v>340</v>
      </c>
      <c r="D114" s="647">
        <v>188</v>
      </c>
      <c r="E114" s="654">
        <v>235</v>
      </c>
      <c r="F114" s="654">
        <v>423</v>
      </c>
      <c r="G114" s="647">
        <v>1</v>
      </c>
      <c r="H114" s="654">
        <v>1</v>
      </c>
      <c r="I114" s="654">
        <v>2</v>
      </c>
      <c r="J114" s="647">
        <v>9780</v>
      </c>
      <c r="K114" s="654">
        <v>9090</v>
      </c>
      <c r="L114" s="654">
        <v>18870</v>
      </c>
    </row>
    <row r="115" spans="1:12" x14ac:dyDescent="0.35">
      <c r="A115" s="131">
        <v>111</v>
      </c>
      <c r="B115" s="301" t="s">
        <v>467</v>
      </c>
      <c r="C115" s="302"/>
      <c r="D115" s="647">
        <v>188</v>
      </c>
      <c r="E115" s="654">
        <v>235</v>
      </c>
      <c r="F115" s="654">
        <v>423</v>
      </c>
      <c r="G115" s="647">
        <v>1</v>
      </c>
      <c r="H115" s="654">
        <v>1</v>
      </c>
      <c r="I115" s="654">
        <v>2</v>
      </c>
      <c r="J115" s="647">
        <v>10530</v>
      </c>
      <c r="K115" s="654">
        <v>9607</v>
      </c>
      <c r="L115" s="654">
        <v>20137</v>
      </c>
    </row>
    <row r="116" spans="1:12" ht="28" x14ac:dyDescent="0.35">
      <c r="A116" s="131">
        <v>112</v>
      </c>
      <c r="B116" s="301" t="s">
        <v>341</v>
      </c>
      <c r="C116" s="302" t="s">
        <v>341</v>
      </c>
      <c r="D116" s="647">
        <v>103</v>
      </c>
      <c r="E116" s="654">
        <v>97</v>
      </c>
      <c r="F116" s="654">
        <v>200</v>
      </c>
      <c r="G116" s="647">
        <v>14</v>
      </c>
      <c r="H116" s="654">
        <v>8</v>
      </c>
      <c r="I116" s="654">
        <v>22</v>
      </c>
      <c r="J116" s="647">
        <v>3461</v>
      </c>
      <c r="K116" s="654">
        <v>3904</v>
      </c>
      <c r="L116" s="654">
        <v>7365</v>
      </c>
    </row>
    <row r="117" spans="1:12" ht="28" x14ac:dyDescent="0.35">
      <c r="A117" s="131">
        <v>113</v>
      </c>
      <c r="B117" s="301" t="s">
        <v>468</v>
      </c>
      <c r="C117" s="302"/>
      <c r="D117" s="647">
        <v>103</v>
      </c>
      <c r="E117" s="654">
        <v>97</v>
      </c>
      <c r="F117" s="654">
        <v>200</v>
      </c>
      <c r="G117" s="647">
        <v>14</v>
      </c>
      <c r="H117" s="654">
        <v>8</v>
      </c>
      <c r="I117" s="654">
        <v>22</v>
      </c>
      <c r="J117" s="647">
        <v>3461</v>
      </c>
      <c r="K117" s="654">
        <v>3904</v>
      </c>
      <c r="L117" s="654">
        <v>7365</v>
      </c>
    </row>
    <row r="118" spans="1:12" x14ac:dyDescent="0.35">
      <c r="A118" s="131">
        <v>114</v>
      </c>
      <c r="B118" s="301" t="s">
        <v>343</v>
      </c>
      <c r="C118" s="302" t="s">
        <v>343</v>
      </c>
      <c r="D118" s="647">
        <v>107</v>
      </c>
      <c r="E118" s="654">
        <v>88</v>
      </c>
      <c r="F118" s="654">
        <v>195</v>
      </c>
      <c r="G118" s="647">
        <v>7</v>
      </c>
      <c r="H118" s="654">
        <v>20</v>
      </c>
      <c r="I118" s="654">
        <v>27</v>
      </c>
      <c r="J118" s="647">
        <v>18</v>
      </c>
      <c r="K118" s="654">
        <v>60</v>
      </c>
      <c r="L118" s="654">
        <v>78</v>
      </c>
    </row>
    <row r="119" spans="1:12" x14ac:dyDescent="0.35">
      <c r="A119" s="131">
        <v>115</v>
      </c>
      <c r="B119" s="301" t="s">
        <v>470</v>
      </c>
      <c r="C119" s="302"/>
      <c r="D119" s="647">
        <v>107</v>
      </c>
      <c r="E119" s="654">
        <v>88</v>
      </c>
      <c r="F119" s="654">
        <v>195</v>
      </c>
      <c r="G119" s="647">
        <v>7</v>
      </c>
      <c r="H119" s="654">
        <v>20</v>
      </c>
      <c r="I119" s="654">
        <v>27</v>
      </c>
      <c r="J119" s="647">
        <v>18</v>
      </c>
      <c r="K119" s="654">
        <v>60</v>
      </c>
      <c r="L119" s="654">
        <v>78</v>
      </c>
    </row>
    <row r="120" spans="1:12" x14ac:dyDescent="0.35">
      <c r="A120" s="131">
        <v>116</v>
      </c>
      <c r="B120" s="924" t="s">
        <v>344</v>
      </c>
      <c r="C120" s="302" t="s">
        <v>471</v>
      </c>
      <c r="D120" s="647">
        <v>5</v>
      </c>
      <c r="E120" s="654">
        <v>1</v>
      </c>
      <c r="F120" s="654">
        <v>6</v>
      </c>
      <c r="G120" s="647">
        <v>0</v>
      </c>
      <c r="H120" s="654"/>
      <c r="I120" s="654"/>
      <c r="J120" s="647">
        <v>107</v>
      </c>
      <c r="K120" s="654">
        <v>37</v>
      </c>
      <c r="L120" s="654">
        <v>144</v>
      </c>
    </row>
    <row r="121" spans="1:12" x14ac:dyDescent="0.35">
      <c r="A121" s="131">
        <v>117</v>
      </c>
      <c r="B121" s="925"/>
      <c r="C121" s="302" t="s">
        <v>472</v>
      </c>
      <c r="D121" s="647">
        <v>302</v>
      </c>
      <c r="E121" s="654">
        <v>229</v>
      </c>
      <c r="F121" s="654">
        <v>531</v>
      </c>
      <c r="G121" s="647">
        <v>1</v>
      </c>
      <c r="H121" s="654">
        <v>4</v>
      </c>
      <c r="I121" s="654">
        <v>5</v>
      </c>
      <c r="J121" s="647">
        <v>135737</v>
      </c>
      <c r="K121" s="654">
        <v>107416</v>
      </c>
      <c r="L121" s="654">
        <v>243153</v>
      </c>
    </row>
    <row r="122" spans="1:12" x14ac:dyDescent="0.35">
      <c r="A122" s="131">
        <v>118</v>
      </c>
      <c r="B122" s="925"/>
      <c r="C122" s="302" t="s">
        <v>473</v>
      </c>
      <c r="D122" s="647">
        <v>355</v>
      </c>
      <c r="E122" s="654">
        <v>398</v>
      </c>
      <c r="F122" s="654">
        <v>753</v>
      </c>
      <c r="G122" s="647">
        <v>10</v>
      </c>
      <c r="H122" s="654">
        <v>6</v>
      </c>
      <c r="I122" s="654">
        <v>16</v>
      </c>
      <c r="J122" s="647">
        <v>4695</v>
      </c>
      <c r="K122" s="654">
        <v>2837</v>
      </c>
      <c r="L122" s="654">
        <v>7532</v>
      </c>
    </row>
    <row r="123" spans="1:12" x14ac:dyDescent="0.35">
      <c r="A123" s="131">
        <v>119</v>
      </c>
      <c r="B123" s="925"/>
      <c r="C123" s="302" t="s">
        <v>474</v>
      </c>
      <c r="D123" s="647">
        <v>0</v>
      </c>
      <c r="E123" s="654"/>
      <c r="F123" s="654"/>
      <c r="G123" s="647">
        <v>0</v>
      </c>
      <c r="H123" s="654"/>
      <c r="I123" s="654"/>
      <c r="J123" s="647">
        <v>49</v>
      </c>
      <c r="K123" s="654">
        <v>23</v>
      </c>
      <c r="L123" s="654">
        <v>72</v>
      </c>
    </row>
    <row r="124" spans="1:12" x14ac:dyDescent="0.35">
      <c r="A124" s="131">
        <v>120</v>
      </c>
      <c r="B124" s="925"/>
      <c r="C124" s="302" t="s">
        <v>475</v>
      </c>
      <c r="D124" s="647">
        <v>0</v>
      </c>
      <c r="E124" s="654"/>
      <c r="F124" s="654"/>
      <c r="G124" s="647">
        <v>0</v>
      </c>
      <c r="H124" s="654"/>
      <c r="I124" s="654"/>
      <c r="J124" s="647">
        <v>117</v>
      </c>
      <c r="K124" s="654">
        <v>182</v>
      </c>
      <c r="L124" s="654">
        <v>299</v>
      </c>
    </row>
    <row r="125" spans="1:12" x14ac:dyDescent="0.35">
      <c r="A125" s="131">
        <v>121</v>
      </c>
      <c r="B125" s="925"/>
      <c r="C125" s="302" t="s">
        <v>476</v>
      </c>
      <c r="D125" s="647">
        <v>3</v>
      </c>
      <c r="E125" s="654">
        <v>8</v>
      </c>
      <c r="F125" s="654">
        <v>11</v>
      </c>
      <c r="G125" s="647">
        <v>0</v>
      </c>
      <c r="H125" s="654"/>
      <c r="I125" s="654"/>
      <c r="J125" s="647">
        <v>601</v>
      </c>
      <c r="K125" s="654">
        <v>384</v>
      </c>
      <c r="L125" s="654">
        <v>985</v>
      </c>
    </row>
    <row r="126" spans="1:12" x14ac:dyDescent="0.35">
      <c r="A126" s="131">
        <v>122</v>
      </c>
      <c r="B126" s="925"/>
      <c r="C126" s="302" t="s">
        <v>477</v>
      </c>
      <c r="D126" s="647">
        <v>0</v>
      </c>
      <c r="E126" s="654"/>
      <c r="F126" s="654"/>
      <c r="G126" s="647">
        <v>0</v>
      </c>
      <c r="H126" s="654"/>
      <c r="I126" s="654"/>
      <c r="J126" s="647">
        <v>81</v>
      </c>
      <c r="K126" s="654">
        <v>16</v>
      </c>
      <c r="L126" s="654">
        <v>97</v>
      </c>
    </row>
    <row r="127" spans="1:12" x14ac:dyDescent="0.35">
      <c r="A127" s="131">
        <v>123</v>
      </c>
      <c r="B127" s="925"/>
      <c r="C127" s="302" t="s">
        <v>359</v>
      </c>
      <c r="D127" s="647">
        <v>0</v>
      </c>
      <c r="E127" s="654">
        <v>1</v>
      </c>
      <c r="F127" s="654">
        <v>1</v>
      </c>
      <c r="G127" s="647">
        <v>0</v>
      </c>
      <c r="H127" s="654"/>
      <c r="I127" s="654"/>
      <c r="J127" s="647">
        <v>620</v>
      </c>
      <c r="K127" s="654">
        <v>970</v>
      </c>
      <c r="L127" s="654">
        <v>1590</v>
      </c>
    </row>
    <row r="128" spans="1:12" x14ac:dyDescent="0.35">
      <c r="A128" s="131">
        <v>124</v>
      </c>
      <c r="B128" s="925"/>
      <c r="C128" s="302" t="s">
        <v>478</v>
      </c>
      <c r="D128" s="647">
        <v>24</v>
      </c>
      <c r="E128" s="654">
        <v>13</v>
      </c>
      <c r="F128" s="654">
        <v>37</v>
      </c>
      <c r="G128" s="647">
        <v>0</v>
      </c>
      <c r="H128" s="654">
        <v>0</v>
      </c>
      <c r="I128" s="654">
        <v>0</v>
      </c>
      <c r="J128" s="647">
        <v>10</v>
      </c>
      <c r="K128" s="654">
        <v>4</v>
      </c>
      <c r="L128" s="654">
        <v>14</v>
      </c>
    </row>
    <row r="129" spans="1:12" x14ac:dyDescent="0.35">
      <c r="A129" s="131">
        <v>125</v>
      </c>
      <c r="B129" s="925"/>
      <c r="C129" s="302" t="s">
        <v>479</v>
      </c>
      <c r="D129" s="647">
        <v>13</v>
      </c>
      <c r="E129" s="654">
        <v>16</v>
      </c>
      <c r="F129" s="654">
        <v>29</v>
      </c>
      <c r="G129" s="647">
        <v>0</v>
      </c>
      <c r="H129" s="654"/>
      <c r="I129" s="654"/>
      <c r="J129" s="647">
        <v>394</v>
      </c>
      <c r="K129" s="654">
        <v>485</v>
      </c>
      <c r="L129" s="654">
        <v>879</v>
      </c>
    </row>
    <row r="130" spans="1:12" x14ac:dyDescent="0.35">
      <c r="A130" s="131">
        <v>126</v>
      </c>
      <c r="B130" s="925"/>
      <c r="C130" s="302" t="s">
        <v>480</v>
      </c>
      <c r="D130" s="647">
        <v>0</v>
      </c>
      <c r="E130" s="654"/>
      <c r="F130" s="654"/>
      <c r="G130" s="647">
        <v>0</v>
      </c>
      <c r="H130" s="654"/>
      <c r="I130" s="654"/>
      <c r="J130" s="647">
        <v>225</v>
      </c>
      <c r="K130" s="654">
        <v>172</v>
      </c>
      <c r="L130" s="654">
        <v>397</v>
      </c>
    </row>
    <row r="131" spans="1:12" x14ac:dyDescent="0.35">
      <c r="A131" s="131">
        <v>127</v>
      </c>
      <c r="B131" s="925"/>
      <c r="C131" s="302" t="s">
        <v>344</v>
      </c>
      <c r="D131" s="647">
        <v>2</v>
      </c>
      <c r="E131" s="654">
        <v>1</v>
      </c>
      <c r="F131" s="654">
        <v>3</v>
      </c>
      <c r="G131" s="647">
        <v>0</v>
      </c>
      <c r="H131" s="654"/>
      <c r="I131" s="654"/>
      <c r="J131" s="647">
        <v>10</v>
      </c>
      <c r="K131" s="654">
        <v>13</v>
      </c>
      <c r="L131" s="654">
        <v>23</v>
      </c>
    </row>
    <row r="132" spans="1:12" x14ac:dyDescent="0.35">
      <c r="A132" s="131">
        <v>128</v>
      </c>
      <c r="B132" s="925"/>
      <c r="C132" s="302" t="s">
        <v>481</v>
      </c>
      <c r="D132" s="647">
        <v>0</v>
      </c>
      <c r="E132" s="654"/>
      <c r="F132" s="654"/>
      <c r="G132" s="647">
        <v>0</v>
      </c>
      <c r="H132" s="654"/>
      <c r="I132" s="654"/>
      <c r="J132" s="647">
        <v>365</v>
      </c>
      <c r="K132" s="654">
        <v>216</v>
      </c>
      <c r="L132" s="654">
        <v>581</v>
      </c>
    </row>
    <row r="133" spans="1:12" x14ac:dyDescent="0.35">
      <c r="A133" s="131">
        <v>129</v>
      </c>
      <c r="B133" s="925"/>
      <c r="C133" s="302" t="s">
        <v>482</v>
      </c>
      <c r="D133" s="647">
        <v>5</v>
      </c>
      <c r="E133" s="654">
        <v>3</v>
      </c>
      <c r="F133" s="654">
        <v>8</v>
      </c>
      <c r="G133" s="647">
        <v>5</v>
      </c>
      <c r="H133" s="654">
        <v>4</v>
      </c>
      <c r="I133" s="654">
        <v>9</v>
      </c>
      <c r="J133" s="647">
        <v>192</v>
      </c>
      <c r="K133" s="654">
        <v>105</v>
      </c>
      <c r="L133" s="654">
        <v>297</v>
      </c>
    </row>
    <row r="134" spans="1:12" x14ac:dyDescent="0.35">
      <c r="A134" s="131">
        <v>130</v>
      </c>
      <c r="B134" s="925"/>
      <c r="C134" s="302" t="s">
        <v>483</v>
      </c>
      <c r="D134" s="647">
        <v>153</v>
      </c>
      <c r="E134" s="654">
        <v>130</v>
      </c>
      <c r="F134" s="654">
        <v>283</v>
      </c>
      <c r="G134" s="647">
        <v>0</v>
      </c>
      <c r="H134" s="654"/>
      <c r="I134" s="654"/>
      <c r="J134" s="647">
        <v>1047</v>
      </c>
      <c r="K134" s="654">
        <v>1046</v>
      </c>
      <c r="L134" s="654">
        <v>2093</v>
      </c>
    </row>
    <row r="135" spans="1:12" x14ac:dyDescent="0.35">
      <c r="A135" s="131">
        <v>131</v>
      </c>
      <c r="B135" s="925"/>
      <c r="C135" s="302" t="s">
        <v>484</v>
      </c>
      <c r="D135" s="647">
        <v>0</v>
      </c>
      <c r="E135" s="654"/>
      <c r="F135" s="654"/>
      <c r="G135" s="647">
        <v>0</v>
      </c>
      <c r="H135" s="654"/>
      <c r="I135" s="654"/>
      <c r="J135" s="647">
        <v>95</v>
      </c>
      <c r="K135" s="654">
        <v>72</v>
      </c>
      <c r="L135" s="654">
        <v>167</v>
      </c>
    </row>
    <row r="136" spans="1:12" x14ac:dyDescent="0.35">
      <c r="A136" s="131">
        <v>132</v>
      </c>
      <c r="B136" s="925"/>
      <c r="C136" s="302" t="s">
        <v>485</v>
      </c>
      <c r="D136" s="647">
        <v>0</v>
      </c>
      <c r="E136" s="654"/>
      <c r="F136" s="654"/>
      <c r="G136" s="647">
        <v>0</v>
      </c>
      <c r="H136" s="654"/>
      <c r="I136" s="654"/>
      <c r="J136" s="647">
        <v>228</v>
      </c>
      <c r="K136" s="654">
        <v>114</v>
      </c>
      <c r="L136" s="654">
        <v>342</v>
      </c>
    </row>
    <row r="137" spans="1:12" ht="28" x14ac:dyDescent="0.35">
      <c r="A137" s="131">
        <v>133</v>
      </c>
      <c r="B137" s="925"/>
      <c r="C137" s="302" t="s">
        <v>455</v>
      </c>
      <c r="D137" s="647">
        <v>0</v>
      </c>
      <c r="E137" s="654"/>
      <c r="F137" s="654"/>
      <c r="G137" s="647">
        <v>0</v>
      </c>
      <c r="H137" s="654"/>
      <c r="I137" s="654"/>
      <c r="J137" s="647">
        <v>59</v>
      </c>
      <c r="K137" s="654">
        <v>70</v>
      </c>
      <c r="L137" s="654">
        <v>129</v>
      </c>
    </row>
    <row r="138" spans="1:12" x14ac:dyDescent="0.35">
      <c r="A138" s="131">
        <v>134</v>
      </c>
      <c r="B138" s="925"/>
      <c r="C138" s="302" t="s">
        <v>486</v>
      </c>
      <c r="D138" s="647">
        <v>0</v>
      </c>
      <c r="E138" s="654"/>
      <c r="F138" s="654"/>
      <c r="G138" s="647">
        <v>0</v>
      </c>
      <c r="H138" s="654"/>
      <c r="I138" s="654"/>
      <c r="J138" s="647">
        <v>1553</v>
      </c>
      <c r="K138" s="654">
        <v>1731</v>
      </c>
      <c r="L138" s="654">
        <v>3284</v>
      </c>
    </row>
    <row r="139" spans="1:12" x14ac:dyDescent="0.35">
      <c r="A139" s="131">
        <v>135</v>
      </c>
      <c r="B139" s="926"/>
      <c r="C139" s="302" t="s">
        <v>487</v>
      </c>
      <c r="D139" s="647">
        <v>19</v>
      </c>
      <c r="E139" s="654">
        <v>10</v>
      </c>
      <c r="F139" s="654">
        <v>29</v>
      </c>
      <c r="G139" s="647">
        <v>0</v>
      </c>
      <c r="H139" s="654"/>
      <c r="I139" s="654"/>
      <c r="J139" s="647">
        <v>910</v>
      </c>
      <c r="K139" s="654">
        <v>603</v>
      </c>
      <c r="L139" s="654">
        <v>1513</v>
      </c>
    </row>
    <row r="140" spans="1:12" x14ac:dyDescent="0.35">
      <c r="A140" s="131">
        <v>136</v>
      </c>
      <c r="B140" s="301" t="s">
        <v>488</v>
      </c>
      <c r="C140" s="302"/>
      <c r="D140" s="647">
        <v>881</v>
      </c>
      <c r="E140" s="654">
        <v>810</v>
      </c>
      <c r="F140" s="654">
        <v>1691</v>
      </c>
      <c r="G140" s="647">
        <v>16</v>
      </c>
      <c r="H140" s="654">
        <v>14</v>
      </c>
      <c r="I140" s="654">
        <v>30</v>
      </c>
      <c r="J140" s="647">
        <v>147095</v>
      </c>
      <c r="K140" s="654">
        <v>116496</v>
      </c>
      <c r="L140" s="654">
        <v>263591</v>
      </c>
    </row>
    <row r="141" spans="1:12" ht="28" x14ac:dyDescent="0.35">
      <c r="A141" s="131">
        <v>137</v>
      </c>
      <c r="B141" s="301" t="s">
        <v>346</v>
      </c>
      <c r="C141" s="302" t="s">
        <v>346</v>
      </c>
      <c r="D141" s="647">
        <v>27</v>
      </c>
      <c r="E141" s="654">
        <v>25</v>
      </c>
      <c r="F141" s="654">
        <v>52</v>
      </c>
      <c r="G141" s="647">
        <v>0</v>
      </c>
      <c r="H141" s="654"/>
      <c r="I141" s="654"/>
      <c r="J141" s="647">
        <v>180</v>
      </c>
      <c r="K141" s="654">
        <v>279</v>
      </c>
      <c r="L141" s="654">
        <v>459</v>
      </c>
    </row>
    <row r="142" spans="1:12" ht="28" x14ac:dyDescent="0.35">
      <c r="A142" s="131">
        <v>138</v>
      </c>
      <c r="B142" s="301" t="s">
        <v>489</v>
      </c>
      <c r="C142" s="302"/>
      <c r="D142" s="647">
        <v>27</v>
      </c>
      <c r="E142" s="654">
        <v>25</v>
      </c>
      <c r="F142" s="654">
        <v>52</v>
      </c>
      <c r="G142" s="647">
        <v>0</v>
      </c>
      <c r="H142" s="654"/>
      <c r="I142" s="654"/>
      <c r="J142" s="647">
        <v>180</v>
      </c>
      <c r="K142" s="654">
        <v>279</v>
      </c>
      <c r="L142" s="654">
        <v>459</v>
      </c>
    </row>
    <row r="143" spans="1:12" x14ac:dyDescent="0.35">
      <c r="A143" s="131">
        <v>139</v>
      </c>
      <c r="B143" s="924" t="s">
        <v>348</v>
      </c>
      <c r="C143" s="302" t="s">
        <v>349</v>
      </c>
      <c r="D143" s="647">
        <v>12</v>
      </c>
      <c r="E143" s="654">
        <v>12</v>
      </c>
      <c r="F143" s="654">
        <v>24</v>
      </c>
      <c r="G143" s="647">
        <v>0</v>
      </c>
      <c r="H143" s="654"/>
      <c r="I143" s="654"/>
      <c r="J143" s="647">
        <v>162</v>
      </c>
      <c r="K143" s="654">
        <v>209</v>
      </c>
      <c r="L143" s="654">
        <v>371</v>
      </c>
    </row>
    <row r="144" spans="1:12" x14ac:dyDescent="0.35">
      <c r="A144" s="131">
        <v>140</v>
      </c>
      <c r="B144" s="925"/>
      <c r="C144" s="302" t="s">
        <v>492</v>
      </c>
      <c r="D144" s="647">
        <v>9</v>
      </c>
      <c r="E144" s="654">
        <v>6</v>
      </c>
      <c r="F144" s="654">
        <v>15</v>
      </c>
      <c r="G144" s="647">
        <v>0</v>
      </c>
      <c r="H144" s="654"/>
      <c r="I144" s="654"/>
      <c r="J144" s="647">
        <v>793</v>
      </c>
      <c r="K144" s="654">
        <v>1077</v>
      </c>
      <c r="L144" s="654">
        <v>1870</v>
      </c>
    </row>
    <row r="145" spans="1:12" x14ac:dyDescent="0.35">
      <c r="A145" s="131">
        <v>141</v>
      </c>
      <c r="B145" s="925"/>
      <c r="C145" s="302" t="s">
        <v>350</v>
      </c>
      <c r="D145" s="647">
        <v>25</v>
      </c>
      <c r="E145" s="654">
        <v>15</v>
      </c>
      <c r="F145" s="654">
        <v>40</v>
      </c>
      <c r="G145" s="647">
        <v>0</v>
      </c>
      <c r="H145" s="654"/>
      <c r="I145" s="654"/>
      <c r="J145" s="647">
        <v>815</v>
      </c>
      <c r="K145" s="654">
        <v>1815</v>
      </c>
      <c r="L145" s="654">
        <v>2630</v>
      </c>
    </row>
    <row r="146" spans="1:12" x14ac:dyDescent="0.35">
      <c r="A146" s="131">
        <v>142</v>
      </c>
      <c r="B146" s="925"/>
      <c r="C146" s="302" t="s">
        <v>351</v>
      </c>
      <c r="D146" s="647">
        <v>39</v>
      </c>
      <c r="E146" s="654">
        <v>63</v>
      </c>
      <c r="F146" s="654">
        <v>102</v>
      </c>
      <c r="G146" s="647">
        <v>5</v>
      </c>
      <c r="H146" s="654">
        <v>14</v>
      </c>
      <c r="I146" s="654">
        <v>19</v>
      </c>
      <c r="J146" s="647">
        <v>775</v>
      </c>
      <c r="K146" s="654">
        <v>1881</v>
      </c>
      <c r="L146" s="654">
        <v>2656</v>
      </c>
    </row>
    <row r="147" spans="1:12" x14ac:dyDescent="0.35">
      <c r="A147" s="131">
        <v>143</v>
      </c>
      <c r="B147" s="925"/>
      <c r="C147" s="302" t="s">
        <v>493</v>
      </c>
      <c r="D147" s="647">
        <v>1</v>
      </c>
      <c r="E147" s="654">
        <v>1</v>
      </c>
      <c r="F147" s="654">
        <v>2</v>
      </c>
      <c r="G147" s="647">
        <v>0</v>
      </c>
      <c r="H147" s="654"/>
      <c r="I147" s="654"/>
      <c r="J147" s="647">
        <v>0</v>
      </c>
      <c r="K147" s="654"/>
      <c r="L147" s="654"/>
    </row>
    <row r="148" spans="1:12" x14ac:dyDescent="0.35">
      <c r="A148" s="131">
        <v>144</v>
      </c>
      <c r="B148" s="925"/>
      <c r="C148" s="302" t="s">
        <v>494</v>
      </c>
      <c r="D148" s="647">
        <v>0</v>
      </c>
      <c r="E148" s="654"/>
      <c r="F148" s="654"/>
      <c r="G148" s="647">
        <v>0</v>
      </c>
      <c r="H148" s="654"/>
      <c r="I148" s="654"/>
      <c r="J148" s="647">
        <v>9</v>
      </c>
      <c r="K148" s="654">
        <v>26</v>
      </c>
      <c r="L148" s="654">
        <v>35</v>
      </c>
    </row>
    <row r="149" spans="1:12" x14ac:dyDescent="0.35">
      <c r="A149" s="131">
        <v>145</v>
      </c>
      <c r="B149" s="925"/>
      <c r="C149" s="302" t="s">
        <v>495</v>
      </c>
      <c r="D149" s="647">
        <v>107</v>
      </c>
      <c r="E149" s="654">
        <v>169</v>
      </c>
      <c r="F149" s="654">
        <v>276</v>
      </c>
      <c r="G149" s="647">
        <v>7</v>
      </c>
      <c r="H149" s="654">
        <v>14</v>
      </c>
      <c r="I149" s="654">
        <v>21</v>
      </c>
      <c r="J149" s="647">
        <v>2200</v>
      </c>
      <c r="K149" s="654">
        <v>5407</v>
      </c>
      <c r="L149" s="654">
        <v>7607</v>
      </c>
    </row>
    <row r="150" spans="1:12" x14ac:dyDescent="0.35">
      <c r="A150" s="131">
        <v>146</v>
      </c>
      <c r="B150" s="925"/>
      <c r="C150" s="302" t="s">
        <v>496</v>
      </c>
      <c r="D150" s="647">
        <v>93</v>
      </c>
      <c r="E150" s="654">
        <v>14</v>
      </c>
      <c r="F150" s="654">
        <v>107</v>
      </c>
      <c r="G150" s="647">
        <v>0</v>
      </c>
      <c r="H150" s="654"/>
      <c r="I150" s="654"/>
      <c r="J150" s="647">
        <v>45</v>
      </c>
      <c r="K150" s="654">
        <v>8</v>
      </c>
      <c r="L150" s="654">
        <v>53</v>
      </c>
    </row>
    <row r="151" spans="1:12" x14ac:dyDescent="0.35">
      <c r="A151" s="131">
        <v>147</v>
      </c>
      <c r="B151" s="925"/>
      <c r="C151" s="302" t="s">
        <v>352</v>
      </c>
      <c r="D151" s="647">
        <v>18</v>
      </c>
      <c r="E151" s="654">
        <v>22</v>
      </c>
      <c r="F151" s="654">
        <v>40</v>
      </c>
      <c r="G151" s="647">
        <v>0</v>
      </c>
      <c r="H151" s="654"/>
      <c r="I151" s="654"/>
      <c r="J151" s="647">
        <v>2006</v>
      </c>
      <c r="K151" s="654">
        <v>4412</v>
      </c>
      <c r="L151" s="654">
        <v>6418</v>
      </c>
    </row>
    <row r="152" spans="1:12" x14ac:dyDescent="0.35">
      <c r="A152" s="131">
        <v>148</v>
      </c>
      <c r="B152" s="925"/>
      <c r="C152" s="302" t="s">
        <v>497</v>
      </c>
      <c r="D152" s="647">
        <v>0</v>
      </c>
      <c r="E152" s="654"/>
      <c r="F152" s="654"/>
      <c r="G152" s="647">
        <v>0</v>
      </c>
      <c r="H152" s="654"/>
      <c r="I152" s="654"/>
      <c r="J152" s="647">
        <v>172</v>
      </c>
      <c r="K152" s="654">
        <v>349</v>
      </c>
      <c r="L152" s="654">
        <v>521</v>
      </c>
    </row>
    <row r="153" spans="1:12" x14ac:dyDescent="0.35">
      <c r="A153" s="131">
        <v>149</v>
      </c>
      <c r="B153" s="925"/>
      <c r="C153" s="302" t="s">
        <v>498</v>
      </c>
      <c r="D153" s="647">
        <v>19</v>
      </c>
      <c r="E153" s="654">
        <v>5</v>
      </c>
      <c r="F153" s="654">
        <v>24</v>
      </c>
      <c r="G153" s="647">
        <v>0</v>
      </c>
      <c r="H153" s="654"/>
      <c r="I153" s="654"/>
      <c r="J153" s="647">
        <v>13</v>
      </c>
      <c r="K153" s="654">
        <v>13</v>
      </c>
      <c r="L153" s="654">
        <v>26</v>
      </c>
    </row>
    <row r="154" spans="1:12" x14ac:dyDescent="0.35">
      <c r="A154" s="131">
        <v>150</v>
      </c>
      <c r="B154" s="925"/>
      <c r="C154" s="302" t="s">
        <v>353</v>
      </c>
      <c r="D154" s="647">
        <v>3</v>
      </c>
      <c r="E154" s="654">
        <v>5</v>
      </c>
      <c r="F154" s="654">
        <v>8</v>
      </c>
      <c r="G154" s="647">
        <v>0</v>
      </c>
      <c r="H154" s="654"/>
      <c r="I154" s="654"/>
      <c r="J154" s="647">
        <v>274</v>
      </c>
      <c r="K154" s="654">
        <v>396</v>
      </c>
      <c r="L154" s="654">
        <v>670</v>
      </c>
    </row>
    <row r="155" spans="1:12" x14ac:dyDescent="0.35">
      <c r="A155" s="131">
        <v>151</v>
      </c>
      <c r="B155" s="925"/>
      <c r="C155" s="302" t="s">
        <v>354</v>
      </c>
      <c r="D155" s="647">
        <v>2</v>
      </c>
      <c r="E155" s="654">
        <v>1</v>
      </c>
      <c r="F155" s="654">
        <v>3</v>
      </c>
      <c r="G155" s="647">
        <v>0</v>
      </c>
      <c r="H155" s="654"/>
      <c r="I155" s="654"/>
      <c r="J155" s="647">
        <v>67</v>
      </c>
      <c r="K155" s="654">
        <v>27</v>
      </c>
      <c r="L155" s="654">
        <v>94</v>
      </c>
    </row>
    <row r="156" spans="1:12" x14ac:dyDescent="0.35">
      <c r="A156" s="131">
        <v>152</v>
      </c>
      <c r="B156" s="925"/>
      <c r="C156" s="302" t="s">
        <v>499</v>
      </c>
      <c r="D156" s="647">
        <v>59</v>
      </c>
      <c r="E156" s="654">
        <v>13</v>
      </c>
      <c r="F156" s="654">
        <v>72</v>
      </c>
      <c r="G156" s="647">
        <v>0</v>
      </c>
      <c r="H156" s="654"/>
      <c r="I156" s="654"/>
      <c r="J156" s="647">
        <v>26</v>
      </c>
      <c r="K156" s="654">
        <v>3</v>
      </c>
      <c r="L156" s="654">
        <v>29</v>
      </c>
    </row>
    <row r="157" spans="1:12" x14ac:dyDescent="0.35">
      <c r="A157" s="131">
        <v>153</v>
      </c>
      <c r="B157" s="925"/>
      <c r="C157" s="302" t="s">
        <v>355</v>
      </c>
      <c r="D157" s="647">
        <v>25</v>
      </c>
      <c r="E157" s="654">
        <v>6</v>
      </c>
      <c r="F157" s="654">
        <v>31</v>
      </c>
      <c r="G157" s="647">
        <v>3</v>
      </c>
      <c r="H157" s="654">
        <v>16</v>
      </c>
      <c r="I157" s="654">
        <v>19</v>
      </c>
      <c r="J157" s="647">
        <v>1955</v>
      </c>
      <c r="K157" s="654">
        <v>1231</v>
      </c>
      <c r="L157" s="654">
        <v>3186</v>
      </c>
    </row>
    <row r="158" spans="1:12" x14ac:dyDescent="0.35">
      <c r="A158" s="131">
        <v>154</v>
      </c>
      <c r="B158" s="925"/>
      <c r="C158" s="302" t="s">
        <v>356</v>
      </c>
      <c r="D158" s="647">
        <v>10</v>
      </c>
      <c r="E158" s="654">
        <v>0</v>
      </c>
      <c r="F158" s="654">
        <v>10</v>
      </c>
      <c r="G158" s="647">
        <v>0</v>
      </c>
      <c r="H158" s="654"/>
      <c r="I158" s="654"/>
      <c r="J158" s="647">
        <v>1475</v>
      </c>
      <c r="K158" s="654">
        <v>685</v>
      </c>
      <c r="L158" s="654">
        <v>2160</v>
      </c>
    </row>
    <row r="159" spans="1:12" x14ac:dyDescent="0.35">
      <c r="A159" s="131">
        <v>155</v>
      </c>
      <c r="B159" s="925"/>
      <c r="C159" s="302" t="s">
        <v>357</v>
      </c>
      <c r="D159" s="647">
        <v>1</v>
      </c>
      <c r="E159" s="654">
        <v>6</v>
      </c>
      <c r="F159" s="654">
        <v>7</v>
      </c>
      <c r="G159" s="647">
        <v>0</v>
      </c>
      <c r="H159" s="654"/>
      <c r="I159" s="654"/>
      <c r="J159" s="647">
        <v>168</v>
      </c>
      <c r="K159" s="654">
        <v>1253</v>
      </c>
      <c r="L159" s="654">
        <v>1421</v>
      </c>
    </row>
    <row r="160" spans="1:12" x14ac:dyDescent="0.35">
      <c r="A160" s="131">
        <v>156</v>
      </c>
      <c r="B160" s="925"/>
      <c r="C160" s="302" t="s">
        <v>500</v>
      </c>
      <c r="D160" s="647">
        <v>3</v>
      </c>
      <c r="E160" s="654">
        <v>0</v>
      </c>
      <c r="F160" s="654">
        <v>3</v>
      </c>
      <c r="G160" s="647">
        <v>0</v>
      </c>
      <c r="H160" s="654"/>
      <c r="I160" s="654"/>
      <c r="J160" s="647">
        <v>16</v>
      </c>
      <c r="K160" s="654">
        <v>14</v>
      </c>
      <c r="L160" s="654">
        <v>30</v>
      </c>
    </row>
    <row r="161" spans="1:12" x14ac:dyDescent="0.35">
      <c r="A161" s="131">
        <v>157</v>
      </c>
      <c r="B161" s="925"/>
      <c r="C161" s="302" t="s">
        <v>501</v>
      </c>
      <c r="D161" s="647">
        <v>6</v>
      </c>
      <c r="E161" s="654">
        <v>1</v>
      </c>
      <c r="F161" s="654">
        <v>7</v>
      </c>
      <c r="G161" s="647">
        <v>0</v>
      </c>
      <c r="H161" s="654"/>
      <c r="I161" s="654"/>
      <c r="J161" s="647">
        <v>2</v>
      </c>
      <c r="K161" s="654">
        <v>0</v>
      </c>
      <c r="L161" s="654">
        <v>2</v>
      </c>
    </row>
    <row r="162" spans="1:12" x14ac:dyDescent="0.35">
      <c r="A162" s="131">
        <v>158</v>
      </c>
      <c r="B162" s="925"/>
      <c r="C162" s="302" t="s">
        <v>358</v>
      </c>
      <c r="D162" s="647">
        <v>10</v>
      </c>
      <c r="E162" s="654">
        <v>6</v>
      </c>
      <c r="F162" s="654">
        <v>16</v>
      </c>
      <c r="G162" s="647">
        <v>0</v>
      </c>
      <c r="H162" s="654"/>
      <c r="I162" s="654"/>
      <c r="J162" s="647">
        <v>314</v>
      </c>
      <c r="K162" s="654">
        <v>755</v>
      </c>
      <c r="L162" s="654">
        <v>1069</v>
      </c>
    </row>
    <row r="163" spans="1:12" x14ac:dyDescent="0.35">
      <c r="A163" s="131">
        <v>159</v>
      </c>
      <c r="B163" s="925"/>
      <c r="C163" s="302" t="s">
        <v>360</v>
      </c>
      <c r="D163" s="647">
        <v>2</v>
      </c>
      <c r="E163" s="654">
        <v>6</v>
      </c>
      <c r="F163" s="654">
        <v>8</v>
      </c>
      <c r="G163" s="647">
        <v>0</v>
      </c>
      <c r="H163" s="654"/>
      <c r="I163" s="654"/>
      <c r="J163" s="647">
        <v>124</v>
      </c>
      <c r="K163" s="654">
        <v>267</v>
      </c>
      <c r="L163" s="654">
        <v>391</v>
      </c>
    </row>
    <row r="164" spans="1:12" x14ac:dyDescent="0.35">
      <c r="A164" s="131">
        <v>160</v>
      </c>
      <c r="B164" s="925"/>
      <c r="C164" s="302" t="s">
        <v>502</v>
      </c>
      <c r="D164" s="647">
        <v>0</v>
      </c>
      <c r="E164" s="654">
        <v>2</v>
      </c>
      <c r="F164" s="654">
        <v>2</v>
      </c>
      <c r="G164" s="647">
        <v>0</v>
      </c>
      <c r="H164" s="654"/>
      <c r="I164" s="654"/>
      <c r="J164" s="647">
        <v>22</v>
      </c>
      <c r="K164" s="654">
        <v>66</v>
      </c>
      <c r="L164" s="654">
        <v>88</v>
      </c>
    </row>
    <row r="165" spans="1:12" x14ac:dyDescent="0.35">
      <c r="A165" s="131">
        <v>161</v>
      </c>
      <c r="B165" s="925"/>
      <c r="C165" s="302" t="s">
        <v>503</v>
      </c>
      <c r="D165" s="647">
        <v>2</v>
      </c>
      <c r="E165" s="654">
        <v>1</v>
      </c>
      <c r="F165" s="654">
        <v>3</v>
      </c>
      <c r="G165" s="647">
        <v>0</v>
      </c>
      <c r="H165" s="654"/>
      <c r="I165" s="654"/>
      <c r="J165" s="647">
        <v>20</v>
      </c>
      <c r="K165" s="654">
        <v>18</v>
      </c>
      <c r="L165" s="654">
        <v>38</v>
      </c>
    </row>
    <row r="166" spans="1:12" x14ac:dyDescent="0.35">
      <c r="A166" s="131">
        <v>162</v>
      </c>
      <c r="B166" s="925"/>
      <c r="C166" s="302" t="s">
        <v>348</v>
      </c>
      <c r="D166" s="647">
        <v>0</v>
      </c>
      <c r="E166" s="654"/>
      <c r="F166" s="654"/>
      <c r="G166" s="647">
        <v>0</v>
      </c>
      <c r="H166" s="654"/>
      <c r="I166" s="654"/>
      <c r="J166" s="647">
        <v>340</v>
      </c>
      <c r="K166" s="654">
        <v>603</v>
      </c>
      <c r="L166" s="654">
        <v>943</v>
      </c>
    </row>
    <row r="167" spans="1:12" x14ac:dyDescent="0.35">
      <c r="A167" s="131">
        <v>163</v>
      </c>
      <c r="B167" s="925"/>
      <c r="C167" s="302" t="s">
        <v>504</v>
      </c>
      <c r="D167" s="647">
        <v>60</v>
      </c>
      <c r="E167" s="654">
        <v>83</v>
      </c>
      <c r="F167" s="654">
        <v>143</v>
      </c>
      <c r="G167" s="647">
        <v>3</v>
      </c>
      <c r="H167" s="654">
        <v>10</v>
      </c>
      <c r="I167" s="654">
        <v>13</v>
      </c>
      <c r="J167" s="647">
        <v>2487</v>
      </c>
      <c r="K167" s="654">
        <v>6709</v>
      </c>
      <c r="L167" s="654">
        <v>9196</v>
      </c>
    </row>
    <row r="168" spans="1:12" x14ac:dyDescent="0.35">
      <c r="A168" s="131">
        <v>164</v>
      </c>
      <c r="B168" s="925"/>
      <c r="C168" s="302" t="s">
        <v>505</v>
      </c>
      <c r="D168" s="647">
        <v>28</v>
      </c>
      <c r="E168" s="654">
        <v>11</v>
      </c>
      <c r="F168" s="654">
        <v>39</v>
      </c>
      <c r="G168" s="647">
        <v>0</v>
      </c>
      <c r="H168" s="654"/>
      <c r="I168" s="654"/>
      <c r="J168" s="647">
        <v>22</v>
      </c>
      <c r="K168" s="654">
        <v>7</v>
      </c>
      <c r="L168" s="654">
        <v>29</v>
      </c>
    </row>
    <row r="169" spans="1:12" x14ac:dyDescent="0.35">
      <c r="A169" s="131">
        <v>165</v>
      </c>
      <c r="B169" s="925"/>
      <c r="C169" s="302" t="s">
        <v>506</v>
      </c>
      <c r="D169" s="647">
        <v>133</v>
      </c>
      <c r="E169" s="654">
        <v>34</v>
      </c>
      <c r="F169" s="654">
        <v>167</v>
      </c>
      <c r="G169" s="647">
        <v>0</v>
      </c>
      <c r="H169" s="654"/>
      <c r="I169" s="654"/>
      <c r="J169" s="647">
        <v>37</v>
      </c>
      <c r="K169" s="654">
        <v>26</v>
      </c>
      <c r="L169" s="654">
        <v>63</v>
      </c>
    </row>
    <row r="170" spans="1:12" x14ac:dyDescent="0.35">
      <c r="A170" s="131">
        <v>166</v>
      </c>
      <c r="B170" s="925"/>
      <c r="C170" s="302" t="s">
        <v>507</v>
      </c>
      <c r="D170" s="647">
        <v>1</v>
      </c>
      <c r="E170" s="654">
        <v>1</v>
      </c>
      <c r="F170" s="654">
        <v>2</v>
      </c>
      <c r="G170" s="647">
        <v>0</v>
      </c>
      <c r="H170" s="654"/>
      <c r="I170" s="654"/>
      <c r="J170" s="647">
        <v>24</v>
      </c>
      <c r="K170" s="654">
        <v>28</v>
      </c>
      <c r="L170" s="654">
        <v>52</v>
      </c>
    </row>
    <row r="171" spans="1:12" x14ac:dyDescent="0.35">
      <c r="A171" s="131">
        <v>167</v>
      </c>
      <c r="B171" s="925"/>
      <c r="C171" s="302" t="s">
        <v>108</v>
      </c>
      <c r="D171" s="647">
        <v>37</v>
      </c>
      <c r="E171" s="654">
        <v>83</v>
      </c>
      <c r="F171" s="654">
        <v>120</v>
      </c>
      <c r="G171" s="647">
        <v>0</v>
      </c>
      <c r="H171" s="654">
        <v>4</v>
      </c>
      <c r="I171" s="654">
        <v>4</v>
      </c>
      <c r="J171" s="647">
        <v>1252</v>
      </c>
      <c r="K171" s="654">
        <v>5348</v>
      </c>
      <c r="L171" s="654">
        <v>6600</v>
      </c>
    </row>
    <row r="172" spans="1:12" x14ac:dyDescent="0.35">
      <c r="A172" s="131">
        <v>168</v>
      </c>
      <c r="B172" s="925"/>
      <c r="C172" s="302" t="s">
        <v>362</v>
      </c>
      <c r="D172" s="647">
        <v>0</v>
      </c>
      <c r="E172" s="654">
        <v>3</v>
      </c>
      <c r="F172" s="654">
        <v>3</v>
      </c>
      <c r="G172" s="647">
        <v>0</v>
      </c>
      <c r="H172" s="654"/>
      <c r="I172" s="654"/>
      <c r="J172" s="647">
        <v>53</v>
      </c>
      <c r="K172" s="654">
        <v>147</v>
      </c>
      <c r="L172" s="654">
        <v>200</v>
      </c>
    </row>
    <row r="173" spans="1:12" x14ac:dyDescent="0.35">
      <c r="A173" s="131">
        <v>169</v>
      </c>
      <c r="B173" s="925"/>
      <c r="C173" s="302" t="s">
        <v>508</v>
      </c>
      <c r="D173" s="647">
        <v>80</v>
      </c>
      <c r="E173" s="654">
        <v>20</v>
      </c>
      <c r="F173" s="654">
        <v>100</v>
      </c>
      <c r="G173" s="647">
        <v>0</v>
      </c>
      <c r="H173" s="654"/>
      <c r="I173" s="654"/>
      <c r="J173" s="647">
        <v>26</v>
      </c>
      <c r="K173" s="654">
        <v>22</v>
      </c>
      <c r="L173" s="654">
        <v>48</v>
      </c>
    </row>
    <row r="174" spans="1:12" x14ac:dyDescent="0.35">
      <c r="A174" s="131">
        <v>170</v>
      </c>
      <c r="B174" s="925"/>
      <c r="C174" s="302" t="s">
        <v>363</v>
      </c>
      <c r="D174" s="647">
        <v>1</v>
      </c>
      <c r="E174" s="654">
        <v>0</v>
      </c>
      <c r="F174" s="654">
        <v>1</v>
      </c>
      <c r="G174" s="647">
        <v>0</v>
      </c>
      <c r="H174" s="654"/>
      <c r="I174" s="654"/>
      <c r="J174" s="647">
        <v>310</v>
      </c>
      <c r="K174" s="654">
        <v>775</v>
      </c>
      <c r="L174" s="654">
        <v>1085</v>
      </c>
    </row>
    <row r="175" spans="1:12" x14ac:dyDescent="0.35">
      <c r="A175" s="131">
        <v>171</v>
      </c>
      <c r="B175" s="925"/>
      <c r="C175" s="302" t="s">
        <v>509</v>
      </c>
      <c r="D175" s="647">
        <v>2</v>
      </c>
      <c r="E175" s="654">
        <v>0</v>
      </c>
      <c r="F175" s="654">
        <v>2</v>
      </c>
      <c r="G175" s="647">
        <v>0</v>
      </c>
      <c r="H175" s="654"/>
      <c r="I175" s="654"/>
      <c r="J175" s="647">
        <v>960</v>
      </c>
      <c r="K175" s="654">
        <v>62</v>
      </c>
      <c r="L175" s="654">
        <v>1022</v>
      </c>
    </row>
    <row r="176" spans="1:12" x14ac:dyDescent="0.35">
      <c r="A176" s="131">
        <v>172</v>
      </c>
      <c r="B176" s="925"/>
      <c r="C176" s="302" t="s">
        <v>364</v>
      </c>
      <c r="D176" s="647">
        <v>109</v>
      </c>
      <c r="E176" s="654">
        <v>101</v>
      </c>
      <c r="F176" s="654">
        <v>210</v>
      </c>
      <c r="G176" s="647">
        <v>5</v>
      </c>
      <c r="H176" s="654">
        <v>19</v>
      </c>
      <c r="I176" s="654">
        <v>24</v>
      </c>
      <c r="J176" s="647">
        <v>1384</v>
      </c>
      <c r="K176" s="654">
        <v>1480</v>
      </c>
      <c r="L176" s="654">
        <v>2864</v>
      </c>
    </row>
    <row r="177" spans="1:12" x14ac:dyDescent="0.35">
      <c r="A177" s="131">
        <v>173</v>
      </c>
      <c r="B177" s="925"/>
      <c r="C177" s="302" t="s">
        <v>365</v>
      </c>
      <c r="D177" s="647">
        <v>4</v>
      </c>
      <c r="E177" s="654">
        <v>4</v>
      </c>
      <c r="F177" s="654">
        <v>8</v>
      </c>
      <c r="G177" s="647">
        <v>0</v>
      </c>
      <c r="H177" s="654"/>
      <c r="I177" s="654"/>
      <c r="J177" s="647">
        <v>252</v>
      </c>
      <c r="K177" s="654">
        <v>803</v>
      </c>
      <c r="L177" s="654">
        <v>1055</v>
      </c>
    </row>
    <row r="178" spans="1:12" x14ac:dyDescent="0.35">
      <c r="A178" s="131">
        <v>174</v>
      </c>
      <c r="B178" s="925"/>
      <c r="C178" s="302" t="s">
        <v>366</v>
      </c>
      <c r="D178" s="647">
        <v>39</v>
      </c>
      <c r="E178" s="654">
        <v>12</v>
      </c>
      <c r="F178" s="654">
        <v>51</v>
      </c>
      <c r="G178" s="647">
        <v>0</v>
      </c>
      <c r="H178" s="654"/>
      <c r="I178" s="654"/>
      <c r="J178" s="647">
        <v>638</v>
      </c>
      <c r="K178" s="654">
        <v>729</v>
      </c>
      <c r="L178" s="654">
        <v>1367</v>
      </c>
    </row>
    <row r="179" spans="1:12" x14ac:dyDescent="0.35">
      <c r="A179" s="131">
        <v>175</v>
      </c>
      <c r="B179" s="925"/>
      <c r="C179" s="302" t="s">
        <v>367</v>
      </c>
      <c r="D179" s="647">
        <v>318</v>
      </c>
      <c r="E179" s="654">
        <v>291</v>
      </c>
      <c r="F179" s="654">
        <v>609</v>
      </c>
      <c r="G179" s="647">
        <v>0</v>
      </c>
      <c r="H179" s="654"/>
      <c r="I179" s="654"/>
      <c r="J179" s="647">
        <v>9974</v>
      </c>
      <c r="K179" s="654">
        <v>12637</v>
      </c>
      <c r="L179" s="654">
        <v>22611</v>
      </c>
    </row>
    <row r="180" spans="1:12" x14ac:dyDescent="0.35">
      <c r="A180" s="131">
        <v>176</v>
      </c>
      <c r="B180" s="925"/>
      <c r="C180" s="302" t="s">
        <v>510</v>
      </c>
      <c r="D180" s="647">
        <v>11</v>
      </c>
      <c r="E180" s="654">
        <v>10</v>
      </c>
      <c r="F180" s="654">
        <v>21</v>
      </c>
      <c r="G180" s="647">
        <v>0</v>
      </c>
      <c r="H180" s="654"/>
      <c r="I180" s="654"/>
      <c r="J180" s="647">
        <v>85</v>
      </c>
      <c r="K180" s="654">
        <v>112</v>
      </c>
      <c r="L180" s="654">
        <v>197</v>
      </c>
    </row>
    <row r="181" spans="1:12" x14ac:dyDescent="0.35">
      <c r="A181" s="131">
        <v>177</v>
      </c>
      <c r="B181" s="925"/>
      <c r="C181" s="302" t="s">
        <v>368</v>
      </c>
      <c r="D181" s="647">
        <v>15</v>
      </c>
      <c r="E181" s="654">
        <v>18</v>
      </c>
      <c r="F181" s="654">
        <v>33</v>
      </c>
      <c r="G181" s="647">
        <v>0</v>
      </c>
      <c r="H181" s="654"/>
      <c r="I181" s="654"/>
      <c r="J181" s="647">
        <v>961</v>
      </c>
      <c r="K181" s="654">
        <v>2413</v>
      </c>
      <c r="L181" s="654">
        <v>3374</v>
      </c>
    </row>
    <row r="182" spans="1:12" x14ac:dyDescent="0.35">
      <c r="A182" s="131">
        <v>178</v>
      </c>
      <c r="B182" s="925"/>
      <c r="C182" s="302" t="s">
        <v>511</v>
      </c>
      <c r="D182" s="647">
        <v>31</v>
      </c>
      <c r="E182" s="654">
        <v>22</v>
      </c>
      <c r="F182" s="654">
        <v>53</v>
      </c>
      <c r="G182" s="647">
        <v>0</v>
      </c>
      <c r="H182" s="654"/>
      <c r="I182" s="654"/>
      <c r="J182" s="647">
        <v>13</v>
      </c>
      <c r="K182" s="654">
        <v>6</v>
      </c>
      <c r="L182" s="654">
        <v>19</v>
      </c>
    </row>
    <row r="183" spans="1:12" x14ac:dyDescent="0.35">
      <c r="A183" s="131">
        <v>179</v>
      </c>
      <c r="B183" s="925"/>
      <c r="C183" s="302" t="s">
        <v>369</v>
      </c>
      <c r="D183" s="647">
        <v>0</v>
      </c>
      <c r="E183" s="654"/>
      <c r="F183" s="654"/>
      <c r="G183" s="647">
        <v>0</v>
      </c>
      <c r="H183" s="654"/>
      <c r="I183" s="654"/>
      <c r="J183" s="647">
        <v>8</v>
      </c>
      <c r="K183" s="654">
        <v>9</v>
      </c>
      <c r="L183" s="654">
        <v>17</v>
      </c>
    </row>
    <row r="184" spans="1:12" x14ac:dyDescent="0.35">
      <c r="A184" s="131">
        <v>180</v>
      </c>
      <c r="B184" s="925"/>
      <c r="C184" s="302" t="s">
        <v>512</v>
      </c>
      <c r="D184" s="647">
        <v>10</v>
      </c>
      <c r="E184" s="654">
        <v>12</v>
      </c>
      <c r="F184" s="654">
        <v>22</v>
      </c>
      <c r="G184" s="647">
        <v>2</v>
      </c>
      <c r="H184" s="654">
        <v>49</v>
      </c>
      <c r="I184" s="654">
        <v>51</v>
      </c>
      <c r="J184" s="647">
        <v>209</v>
      </c>
      <c r="K184" s="654">
        <v>324</v>
      </c>
      <c r="L184" s="654">
        <v>533</v>
      </c>
    </row>
    <row r="185" spans="1:12" x14ac:dyDescent="0.35">
      <c r="A185" s="131">
        <v>181</v>
      </c>
      <c r="B185" s="925"/>
      <c r="C185" s="302" t="s">
        <v>370</v>
      </c>
      <c r="D185" s="647">
        <v>4</v>
      </c>
      <c r="E185" s="654">
        <v>2</v>
      </c>
      <c r="F185" s="654">
        <v>6</v>
      </c>
      <c r="G185" s="647">
        <v>0</v>
      </c>
      <c r="H185" s="654"/>
      <c r="I185" s="654"/>
      <c r="J185" s="647">
        <v>439</v>
      </c>
      <c r="K185" s="654">
        <v>765</v>
      </c>
      <c r="L185" s="654">
        <v>1204</v>
      </c>
    </row>
    <row r="186" spans="1:12" x14ac:dyDescent="0.35">
      <c r="A186" s="131">
        <v>182</v>
      </c>
      <c r="B186" s="925"/>
      <c r="C186" s="302" t="s">
        <v>513</v>
      </c>
      <c r="D186" s="647">
        <v>11</v>
      </c>
      <c r="E186" s="654">
        <v>1</v>
      </c>
      <c r="F186" s="654">
        <v>12</v>
      </c>
      <c r="G186" s="647">
        <v>0</v>
      </c>
      <c r="H186" s="654"/>
      <c r="I186" s="654"/>
      <c r="J186" s="647">
        <v>593</v>
      </c>
      <c r="K186" s="654">
        <v>467</v>
      </c>
      <c r="L186" s="654">
        <v>1060</v>
      </c>
    </row>
    <row r="187" spans="1:12" x14ac:dyDescent="0.35">
      <c r="A187" s="131">
        <v>183</v>
      </c>
      <c r="B187" s="925"/>
      <c r="C187" s="302" t="s">
        <v>514</v>
      </c>
      <c r="D187" s="647">
        <v>0</v>
      </c>
      <c r="E187" s="654"/>
      <c r="F187" s="654"/>
      <c r="G187" s="647">
        <v>0</v>
      </c>
      <c r="H187" s="654"/>
      <c r="I187" s="654"/>
      <c r="J187" s="647">
        <v>63</v>
      </c>
      <c r="K187" s="654">
        <v>79</v>
      </c>
      <c r="L187" s="654">
        <v>142</v>
      </c>
    </row>
    <row r="188" spans="1:12" x14ac:dyDescent="0.35">
      <c r="A188" s="131">
        <v>184</v>
      </c>
      <c r="B188" s="925"/>
      <c r="C188" s="302" t="s">
        <v>371</v>
      </c>
      <c r="D188" s="647">
        <v>0</v>
      </c>
      <c r="E188" s="654"/>
      <c r="F188" s="654"/>
      <c r="G188" s="647">
        <v>0</v>
      </c>
      <c r="H188" s="654"/>
      <c r="I188" s="654"/>
      <c r="J188" s="647">
        <v>58</v>
      </c>
      <c r="K188" s="654">
        <v>142</v>
      </c>
      <c r="L188" s="654">
        <v>200</v>
      </c>
    </row>
    <row r="189" spans="1:12" x14ac:dyDescent="0.35">
      <c r="A189" s="131">
        <v>185</v>
      </c>
      <c r="B189" s="926"/>
      <c r="C189" s="302" t="s">
        <v>515</v>
      </c>
      <c r="D189" s="647">
        <v>69</v>
      </c>
      <c r="E189" s="654">
        <v>1</v>
      </c>
      <c r="F189" s="654">
        <v>70</v>
      </c>
      <c r="G189" s="647">
        <v>0</v>
      </c>
      <c r="H189" s="654"/>
      <c r="I189" s="654"/>
      <c r="J189" s="647">
        <v>20</v>
      </c>
      <c r="K189" s="654">
        <v>2</v>
      </c>
      <c r="L189" s="654">
        <v>22</v>
      </c>
    </row>
    <row r="190" spans="1:12" ht="18" customHeight="1" x14ac:dyDescent="0.35">
      <c r="A190" s="131">
        <v>186</v>
      </c>
      <c r="B190" s="301" t="s">
        <v>372</v>
      </c>
      <c r="C190" s="302"/>
      <c r="D190" s="647">
        <v>1409</v>
      </c>
      <c r="E190" s="654">
        <v>1063</v>
      </c>
      <c r="F190" s="654">
        <v>2472</v>
      </c>
      <c r="G190" s="647">
        <v>25</v>
      </c>
      <c r="H190" s="654">
        <v>126</v>
      </c>
      <c r="I190" s="654">
        <v>151</v>
      </c>
      <c r="J190" s="647">
        <v>31661</v>
      </c>
      <c r="K190" s="654">
        <v>53607</v>
      </c>
      <c r="L190" s="654">
        <v>85268</v>
      </c>
    </row>
    <row r="191" spans="1:12" x14ac:dyDescent="0.35">
      <c r="A191" s="131">
        <v>187</v>
      </c>
      <c r="B191" s="924" t="s">
        <v>373</v>
      </c>
      <c r="C191" s="302" t="s">
        <v>516</v>
      </c>
      <c r="D191" s="647">
        <v>14</v>
      </c>
      <c r="E191" s="654">
        <v>2</v>
      </c>
      <c r="F191" s="654">
        <v>16</v>
      </c>
      <c r="G191" s="647">
        <v>0</v>
      </c>
      <c r="H191" s="654"/>
      <c r="I191" s="654"/>
      <c r="J191" s="647">
        <v>184</v>
      </c>
      <c r="K191" s="654">
        <v>30</v>
      </c>
      <c r="L191" s="654">
        <v>214</v>
      </c>
    </row>
    <row r="192" spans="1:12" x14ac:dyDescent="0.35">
      <c r="A192" s="131">
        <v>188</v>
      </c>
      <c r="B192" s="925"/>
      <c r="C192" s="302" t="s">
        <v>517</v>
      </c>
      <c r="D192" s="647">
        <v>0</v>
      </c>
      <c r="E192" s="654"/>
      <c r="F192" s="654"/>
      <c r="G192" s="647">
        <v>0</v>
      </c>
      <c r="H192" s="654"/>
      <c r="I192" s="654"/>
      <c r="J192" s="647">
        <v>7</v>
      </c>
      <c r="K192" s="654">
        <v>0</v>
      </c>
      <c r="L192" s="654">
        <v>7</v>
      </c>
    </row>
    <row r="193" spans="1:12" x14ac:dyDescent="0.35">
      <c r="A193" s="131">
        <v>189</v>
      </c>
      <c r="B193" s="925"/>
      <c r="C193" s="302" t="s">
        <v>904</v>
      </c>
      <c r="D193" s="647">
        <v>119</v>
      </c>
      <c r="E193" s="654">
        <v>37</v>
      </c>
      <c r="F193" s="654">
        <v>156</v>
      </c>
      <c r="G193" s="647">
        <v>0</v>
      </c>
      <c r="H193" s="654"/>
      <c r="I193" s="654"/>
      <c r="J193" s="647">
        <v>6732</v>
      </c>
      <c r="K193" s="654">
        <v>4194</v>
      </c>
      <c r="L193" s="654">
        <v>10926</v>
      </c>
    </row>
    <row r="194" spans="1:12" x14ac:dyDescent="0.35">
      <c r="A194" s="131">
        <v>190</v>
      </c>
      <c r="B194" s="926"/>
      <c r="C194" s="302" t="s">
        <v>518</v>
      </c>
      <c r="D194" s="647">
        <v>19</v>
      </c>
      <c r="E194" s="654">
        <v>2</v>
      </c>
      <c r="F194" s="654">
        <v>21</v>
      </c>
      <c r="G194" s="647">
        <v>0</v>
      </c>
      <c r="H194" s="654"/>
      <c r="I194" s="654"/>
      <c r="J194" s="647">
        <v>110</v>
      </c>
      <c r="K194" s="654">
        <v>28</v>
      </c>
      <c r="L194" s="654">
        <v>138</v>
      </c>
    </row>
    <row r="195" spans="1:12" ht="15.75" customHeight="1" x14ac:dyDescent="0.35">
      <c r="A195" s="131">
        <v>191</v>
      </c>
      <c r="B195" s="301" t="s">
        <v>519</v>
      </c>
      <c r="C195" s="302"/>
      <c r="D195" s="647">
        <v>152</v>
      </c>
      <c r="E195" s="654">
        <v>41</v>
      </c>
      <c r="F195" s="654">
        <v>193</v>
      </c>
      <c r="G195" s="647">
        <v>0</v>
      </c>
      <c r="H195" s="654"/>
      <c r="I195" s="654"/>
      <c r="J195" s="647">
        <v>7033</v>
      </c>
      <c r="K195" s="654">
        <v>4252</v>
      </c>
      <c r="L195" s="654">
        <v>11285</v>
      </c>
    </row>
    <row r="196" spans="1:12" x14ac:dyDescent="0.35">
      <c r="A196" s="131">
        <v>192</v>
      </c>
      <c r="B196" s="301" t="s">
        <v>374</v>
      </c>
      <c r="C196" s="302" t="s">
        <v>433</v>
      </c>
      <c r="D196" s="647">
        <v>0</v>
      </c>
      <c r="E196" s="654"/>
      <c r="F196" s="654"/>
      <c r="G196" s="647">
        <v>0</v>
      </c>
      <c r="H196" s="654"/>
      <c r="I196" s="654"/>
      <c r="J196" s="647">
        <v>87</v>
      </c>
      <c r="K196" s="654">
        <v>200</v>
      </c>
      <c r="L196" s="654">
        <v>287</v>
      </c>
    </row>
    <row r="197" spans="1:12" x14ac:dyDescent="0.35">
      <c r="A197" s="131">
        <v>193</v>
      </c>
      <c r="B197" s="301"/>
      <c r="C197" s="302" t="s">
        <v>520</v>
      </c>
      <c r="D197" s="647">
        <v>0</v>
      </c>
      <c r="E197" s="654"/>
      <c r="F197" s="654"/>
      <c r="G197" s="647">
        <v>0</v>
      </c>
      <c r="H197" s="654"/>
      <c r="I197" s="654"/>
      <c r="J197" s="647">
        <v>340</v>
      </c>
      <c r="K197" s="654">
        <v>596</v>
      </c>
      <c r="L197" s="654">
        <v>936</v>
      </c>
    </row>
    <row r="198" spans="1:12" ht="28" x14ac:dyDescent="0.35">
      <c r="A198" s="131">
        <v>194</v>
      </c>
      <c r="B198" s="301" t="s">
        <v>521</v>
      </c>
      <c r="C198" s="302"/>
      <c r="D198" s="647">
        <v>0</v>
      </c>
      <c r="E198" s="654"/>
      <c r="F198" s="654"/>
      <c r="G198" s="647">
        <v>0</v>
      </c>
      <c r="H198" s="654"/>
      <c r="I198" s="654"/>
      <c r="J198" s="647">
        <v>427</v>
      </c>
      <c r="K198" s="654">
        <v>796</v>
      </c>
      <c r="L198" s="654">
        <v>1223</v>
      </c>
    </row>
    <row r="199" spans="1:12" x14ac:dyDescent="0.35">
      <c r="A199" s="131">
        <v>195</v>
      </c>
      <c r="B199" s="301" t="s">
        <v>375</v>
      </c>
      <c r="C199" s="302" t="s">
        <v>375</v>
      </c>
      <c r="D199" s="647">
        <v>191</v>
      </c>
      <c r="E199" s="654">
        <v>89</v>
      </c>
      <c r="F199" s="654">
        <v>280</v>
      </c>
      <c r="G199" s="647">
        <v>23</v>
      </c>
      <c r="H199" s="654">
        <v>8</v>
      </c>
      <c r="I199" s="654">
        <v>31</v>
      </c>
      <c r="J199" s="647">
        <v>3646</v>
      </c>
      <c r="K199" s="654">
        <v>1782</v>
      </c>
      <c r="L199" s="654">
        <v>5428</v>
      </c>
    </row>
    <row r="200" spans="1:12" x14ac:dyDescent="0.35">
      <c r="A200" s="131">
        <v>196</v>
      </c>
      <c r="B200" s="301"/>
      <c r="C200" s="302" t="s">
        <v>394</v>
      </c>
      <c r="D200" s="647">
        <v>18</v>
      </c>
      <c r="E200" s="654">
        <v>18</v>
      </c>
      <c r="F200" s="654">
        <v>36</v>
      </c>
      <c r="G200" s="647">
        <v>0</v>
      </c>
      <c r="H200" s="654"/>
      <c r="I200" s="654"/>
      <c r="J200" s="647">
        <v>1154</v>
      </c>
      <c r="K200" s="654">
        <v>2422</v>
      </c>
      <c r="L200" s="654">
        <v>3576</v>
      </c>
    </row>
    <row r="201" spans="1:12" ht="28" x14ac:dyDescent="0.35">
      <c r="A201" s="131">
        <v>197</v>
      </c>
      <c r="B201" s="301" t="s">
        <v>522</v>
      </c>
      <c r="C201" s="302"/>
      <c r="D201" s="647">
        <v>209</v>
      </c>
      <c r="E201" s="654">
        <v>107</v>
      </c>
      <c r="F201" s="654">
        <v>316</v>
      </c>
      <c r="G201" s="647">
        <v>23</v>
      </c>
      <c r="H201" s="654">
        <v>8</v>
      </c>
      <c r="I201" s="654">
        <v>31</v>
      </c>
      <c r="J201" s="647">
        <v>4800</v>
      </c>
      <c r="K201" s="654">
        <v>4204</v>
      </c>
      <c r="L201" s="654">
        <v>9004</v>
      </c>
    </row>
    <row r="202" spans="1:12" x14ac:dyDescent="0.35">
      <c r="A202" s="131">
        <v>198</v>
      </c>
      <c r="B202" s="924" t="s">
        <v>376</v>
      </c>
      <c r="C202" s="302" t="s">
        <v>525</v>
      </c>
      <c r="D202" s="647">
        <v>22</v>
      </c>
      <c r="E202" s="654">
        <v>23</v>
      </c>
      <c r="F202" s="654">
        <v>45</v>
      </c>
      <c r="G202" s="647">
        <v>6</v>
      </c>
      <c r="H202" s="654">
        <v>14</v>
      </c>
      <c r="I202" s="654">
        <v>20</v>
      </c>
      <c r="J202" s="647">
        <v>86</v>
      </c>
      <c r="K202" s="654">
        <v>62</v>
      </c>
      <c r="L202" s="654">
        <v>148</v>
      </c>
    </row>
    <row r="203" spans="1:12" x14ac:dyDescent="0.35">
      <c r="A203" s="131">
        <v>199</v>
      </c>
      <c r="B203" s="925"/>
      <c r="C203" s="302" t="s">
        <v>526</v>
      </c>
      <c r="D203" s="647">
        <v>0</v>
      </c>
      <c r="E203" s="654"/>
      <c r="F203" s="654"/>
      <c r="G203" s="647">
        <v>0</v>
      </c>
      <c r="H203" s="654"/>
      <c r="I203" s="654"/>
      <c r="J203" s="647">
        <v>25</v>
      </c>
      <c r="K203" s="654">
        <v>4</v>
      </c>
      <c r="L203" s="654">
        <v>29</v>
      </c>
    </row>
    <row r="204" spans="1:12" x14ac:dyDescent="0.35">
      <c r="A204" s="131">
        <v>200</v>
      </c>
      <c r="B204" s="925"/>
      <c r="C204" s="302" t="s">
        <v>527</v>
      </c>
      <c r="D204" s="647">
        <v>11</v>
      </c>
      <c r="E204" s="654">
        <v>3</v>
      </c>
      <c r="F204" s="654">
        <v>14</v>
      </c>
      <c r="G204" s="647">
        <v>0</v>
      </c>
      <c r="H204" s="654"/>
      <c r="I204" s="654"/>
      <c r="J204" s="647">
        <v>233</v>
      </c>
      <c r="K204" s="654">
        <v>179</v>
      </c>
      <c r="L204" s="654">
        <v>412</v>
      </c>
    </row>
    <row r="205" spans="1:12" x14ac:dyDescent="0.35">
      <c r="A205" s="131">
        <v>201</v>
      </c>
      <c r="B205" s="925"/>
      <c r="C205" s="302" t="s">
        <v>528</v>
      </c>
      <c r="D205" s="647">
        <v>0</v>
      </c>
      <c r="E205" s="654">
        <v>0</v>
      </c>
      <c r="F205" s="654">
        <v>0</v>
      </c>
      <c r="G205" s="647">
        <v>0</v>
      </c>
      <c r="H205" s="654"/>
      <c r="I205" s="654"/>
      <c r="J205" s="647">
        <v>32</v>
      </c>
      <c r="K205" s="654">
        <v>38</v>
      </c>
      <c r="L205" s="654">
        <v>70</v>
      </c>
    </row>
    <row r="206" spans="1:12" x14ac:dyDescent="0.35">
      <c r="A206" s="131">
        <v>202</v>
      </c>
      <c r="B206" s="925"/>
      <c r="C206" s="302" t="s">
        <v>905</v>
      </c>
      <c r="D206" s="647">
        <v>11</v>
      </c>
      <c r="E206" s="654">
        <v>7</v>
      </c>
      <c r="F206" s="654">
        <v>18</v>
      </c>
      <c r="G206" s="647">
        <v>0</v>
      </c>
      <c r="H206" s="654"/>
      <c r="I206" s="654"/>
      <c r="J206" s="647">
        <v>581</v>
      </c>
      <c r="K206" s="654">
        <v>663</v>
      </c>
      <c r="L206" s="654">
        <v>1244</v>
      </c>
    </row>
    <row r="207" spans="1:12" x14ac:dyDescent="0.35">
      <c r="A207" s="131">
        <v>203</v>
      </c>
      <c r="B207" s="926"/>
      <c r="C207" s="302" t="s">
        <v>529</v>
      </c>
      <c r="D207" s="647">
        <v>3</v>
      </c>
      <c r="E207" s="654">
        <v>0</v>
      </c>
      <c r="F207" s="654">
        <v>3</v>
      </c>
      <c r="G207" s="647">
        <v>0</v>
      </c>
      <c r="H207" s="654"/>
      <c r="I207" s="654"/>
      <c r="J207" s="647">
        <v>98</v>
      </c>
      <c r="K207" s="654">
        <v>43</v>
      </c>
      <c r="L207" s="654">
        <v>141</v>
      </c>
    </row>
    <row r="208" spans="1:12" ht="18" customHeight="1" x14ac:dyDescent="0.35">
      <c r="A208" s="131">
        <v>204</v>
      </c>
      <c r="B208" s="301" t="s">
        <v>530</v>
      </c>
      <c r="C208" s="302"/>
      <c r="D208" s="647">
        <v>47</v>
      </c>
      <c r="E208" s="654">
        <v>33</v>
      </c>
      <c r="F208" s="654">
        <v>80</v>
      </c>
      <c r="G208" s="647">
        <v>6</v>
      </c>
      <c r="H208" s="654">
        <v>14</v>
      </c>
      <c r="I208" s="654">
        <v>20</v>
      </c>
      <c r="J208" s="647">
        <v>1055</v>
      </c>
      <c r="K208" s="654">
        <v>989</v>
      </c>
      <c r="L208" s="654">
        <v>2044</v>
      </c>
    </row>
    <row r="209" spans="1:12" x14ac:dyDescent="0.35">
      <c r="A209" s="131">
        <v>205</v>
      </c>
      <c r="B209" s="924" t="s">
        <v>379</v>
      </c>
      <c r="C209" s="302" t="s">
        <v>533</v>
      </c>
      <c r="D209" s="647">
        <v>0</v>
      </c>
      <c r="E209" s="654"/>
      <c r="F209" s="654"/>
      <c r="G209" s="647">
        <v>0</v>
      </c>
      <c r="H209" s="654"/>
      <c r="I209" s="654"/>
      <c r="J209" s="647">
        <v>2699</v>
      </c>
      <c r="K209" s="654">
        <v>731</v>
      </c>
      <c r="L209" s="654">
        <v>3430</v>
      </c>
    </row>
    <row r="210" spans="1:12" x14ac:dyDescent="0.35">
      <c r="A210" s="131">
        <v>206</v>
      </c>
      <c r="B210" s="925"/>
      <c r="C210" s="302" t="s">
        <v>534</v>
      </c>
      <c r="D210" s="647">
        <v>112</v>
      </c>
      <c r="E210" s="654">
        <v>185</v>
      </c>
      <c r="F210" s="654">
        <v>297</v>
      </c>
      <c r="G210" s="647">
        <v>1</v>
      </c>
      <c r="H210" s="654">
        <v>5</v>
      </c>
      <c r="I210" s="654">
        <v>6</v>
      </c>
      <c r="J210" s="647">
        <v>2518</v>
      </c>
      <c r="K210" s="654">
        <v>6250</v>
      </c>
      <c r="L210" s="654">
        <v>8768</v>
      </c>
    </row>
    <row r="211" spans="1:12" x14ac:dyDescent="0.35">
      <c r="A211" s="131">
        <v>207</v>
      </c>
      <c r="B211" s="925"/>
      <c r="C211" s="302" t="s">
        <v>535</v>
      </c>
      <c r="D211" s="647">
        <v>186</v>
      </c>
      <c r="E211" s="654">
        <v>252</v>
      </c>
      <c r="F211" s="654">
        <v>438</v>
      </c>
      <c r="G211" s="647">
        <v>13</v>
      </c>
      <c r="H211" s="654">
        <v>49</v>
      </c>
      <c r="I211" s="654">
        <v>62</v>
      </c>
      <c r="J211" s="647">
        <v>7064</v>
      </c>
      <c r="K211" s="654">
        <v>19637</v>
      </c>
      <c r="L211" s="654">
        <v>26701</v>
      </c>
    </row>
    <row r="212" spans="1:12" x14ac:dyDescent="0.35">
      <c r="A212" s="131">
        <v>208</v>
      </c>
      <c r="B212" s="925"/>
      <c r="C212" s="302" t="s">
        <v>536</v>
      </c>
      <c r="D212" s="647">
        <v>763</v>
      </c>
      <c r="E212" s="654">
        <v>634</v>
      </c>
      <c r="F212" s="654">
        <v>1397</v>
      </c>
      <c r="G212" s="647">
        <v>23</v>
      </c>
      <c r="H212" s="654">
        <v>87</v>
      </c>
      <c r="I212" s="654">
        <v>110</v>
      </c>
      <c r="J212" s="647">
        <v>29093</v>
      </c>
      <c r="K212" s="654">
        <v>36692</v>
      </c>
      <c r="L212" s="654">
        <v>65785</v>
      </c>
    </row>
    <row r="213" spans="1:12" x14ac:dyDescent="0.35">
      <c r="A213" s="131">
        <v>209</v>
      </c>
      <c r="B213" s="925"/>
      <c r="C213" s="302" t="s">
        <v>537</v>
      </c>
      <c r="D213" s="647">
        <v>1</v>
      </c>
      <c r="E213" s="654">
        <v>2</v>
      </c>
      <c r="F213" s="654">
        <v>3</v>
      </c>
      <c r="G213" s="647">
        <v>0</v>
      </c>
      <c r="H213" s="654"/>
      <c r="I213" s="654"/>
      <c r="J213" s="647">
        <v>0</v>
      </c>
      <c r="K213" s="654"/>
      <c r="L213" s="654"/>
    </row>
    <row r="214" spans="1:12" x14ac:dyDescent="0.35">
      <c r="A214" s="131">
        <v>210</v>
      </c>
      <c r="B214" s="925"/>
      <c r="C214" s="302" t="s">
        <v>538</v>
      </c>
      <c r="D214" s="647">
        <v>38</v>
      </c>
      <c r="E214" s="654">
        <v>26</v>
      </c>
      <c r="F214" s="654">
        <v>64</v>
      </c>
      <c r="G214" s="647">
        <v>3</v>
      </c>
      <c r="H214" s="654">
        <v>3</v>
      </c>
      <c r="I214" s="654">
        <v>6</v>
      </c>
      <c r="J214" s="647">
        <v>772</v>
      </c>
      <c r="K214" s="654">
        <v>600</v>
      </c>
      <c r="L214" s="654">
        <v>1372</v>
      </c>
    </row>
    <row r="215" spans="1:12" x14ac:dyDescent="0.35">
      <c r="A215" s="131">
        <v>211</v>
      </c>
      <c r="B215" s="925"/>
      <c r="C215" s="302" t="s">
        <v>539</v>
      </c>
      <c r="D215" s="647">
        <v>90</v>
      </c>
      <c r="E215" s="654">
        <v>107</v>
      </c>
      <c r="F215" s="654">
        <v>197</v>
      </c>
      <c r="G215" s="647">
        <v>0</v>
      </c>
      <c r="H215" s="654"/>
      <c r="I215" s="654"/>
      <c r="J215" s="647">
        <v>1720</v>
      </c>
      <c r="K215" s="654">
        <v>2325</v>
      </c>
      <c r="L215" s="654">
        <v>4045</v>
      </c>
    </row>
    <row r="216" spans="1:12" x14ac:dyDescent="0.35">
      <c r="A216" s="131">
        <v>212</v>
      </c>
      <c r="B216" s="925"/>
      <c r="C216" s="302" t="s">
        <v>540</v>
      </c>
      <c r="D216" s="647">
        <v>11</v>
      </c>
      <c r="E216" s="654">
        <v>19</v>
      </c>
      <c r="F216" s="654">
        <v>30</v>
      </c>
      <c r="G216" s="647">
        <v>2</v>
      </c>
      <c r="H216" s="654">
        <v>5</v>
      </c>
      <c r="I216" s="654">
        <v>7</v>
      </c>
      <c r="J216" s="647">
        <v>104</v>
      </c>
      <c r="K216" s="654">
        <v>444</v>
      </c>
      <c r="L216" s="654">
        <v>548</v>
      </c>
    </row>
    <row r="217" spans="1:12" x14ac:dyDescent="0.35">
      <c r="A217" s="131">
        <v>213</v>
      </c>
      <c r="B217" s="925"/>
      <c r="C217" s="302" t="s">
        <v>541</v>
      </c>
      <c r="D217" s="647">
        <v>120</v>
      </c>
      <c r="E217" s="654">
        <v>72</v>
      </c>
      <c r="F217" s="654">
        <v>192</v>
      </c>
      <c r="G217" s="647">
        <v>2</v>
      </c>
      <c r="H217" s="654">
        <v>2</v>
      </c>
      <c r="I217" s="654">
        <v>4</v>
      </c>
      <c r="J217" s="647">
        <v>2133</v>
      </c>
      <c r="K217" s="654">
        <v>2091</v>
      </c>
      <c r="L217" s="654">
        <v>4224</v>
      </c>
    </row>
    <row r="218" spans="1:12" x14ac:dyDescent="0.35">
      <c r="A218" s="131">
        <v>214</v>
      </c>
      <c r="B218" s="925"/>
      <c r="C218" s="302" t="s">
        <v>542</v>
      </c>
      <c r="D218" s="647">
        <v>12</v>
      </c>
      <c r="E218" s="654">
        <v>3</v>
      </c>
      <c r="F218" s="654">
        <v>15</v>
      </c>
      <c r="G218" s="647">
        <v>0</v>
      </c>
      <c r="H218" s="654"/>
      <c r="I218" s="654"/>
      <c r="J218" s="647">
        <v>217</v>
      </c>
      <c r="K218" s="654">
        <v>112</v>
      </c>
      <c r="L218" s="654">
        <v>329</v>
      </c>
    </row>
    <row r="219" spans="1:12" x14ac:dyDescent="0.35">
      <c r="A219" s="131">
        <v>215</v>
      </c>
      <c r="B219" s="925"/>
      <c r="C219" s="302" t="s">
        <v>543</v>
      </c>
      <c r="D219" s="647">
        <v>120</v>
      </c>
      <c r="E219" s="654">
        <v>179</v>
      </c>
      <c r="F219" s="654">
        <v>299</v>
      </c>
      <c r="G219" s="647">
        <v>13</v>
      </c>
      <c r="H219" s="654">
        <v>19</v>
      </c>
      <c r="I219" s="654">
        <v>32</v>
      </c>
      <c r="J219" s="647">
        <v>2544</v>
      </c>
      <c r="K219" s="654">
        <v>6016</v>
      </c>
      <c r="L219" s="654">
        <v>8560</v>
      </c>
    </row>
    <row r="220" spans="1:12" ht="16.5" customHeight="1" x14ac:dyDescent="0.35">
      <c r="A220" s="131">
        <v>216</v>
      </c>
      <c r="B220" s="925"/>
      <c r="C220" s="302" t="s">
        <v>906</v>
      </c>
      <c r="D220" s="647">
        <v>0</v>
      </c>
      <c r="E220" s="654">
        <v>0</v>
      </c>
      <c r="F220" s="654">
        <v>0</v>
      </c>
      <c r="G220" s="647">
        <v>0</v>
      </c>
      <c r="H220" s="654">
        <v>0</v>
      </c>
      <c r="I220" s="654">
        <v>0</v>
      </c>
      <c r="J220" s="647">
        <v>114</v>
      </c>
      <c r="K220" s="654">
        <v>235</v>
      </c>
      <c r="L220" s="654">
        <v>349</v>
      </c>
    </row>
    <row r="221" spans="1:12" ht="16.5" customHeight="1" x14ac:dyDescent="0.35">
      <c r="A221" s="131">
        <v>217</v>
      </c>
      <c r="B221" s="925"/>
      <c r="C221" s="302" t="s">
        <v>545</v>
      </c>
      <c r="D221" s="647">
        <v>681</v>
      </c>
      <c r="E221" s="654">
        <v>676</v>
      </c>
      <c r="F221" s="654">
        <v>1357</v>
      </c>
      <c r="G221" s="647">
        <v>21</v>
      </c>
      <c r="H221" s="654">
        <v>24</v>
      </c>
      <c r="I221" s="654">
        <v>45</v>
      </c>
      <c r="J221" s="647">
        <v>14399</v>
      </c>
      <c r="K221" s="654">
        <v>22402</v>
      </c>
      <c r="L221" s="654">
        <v>36801</v>
      </c>
    </row>
    <row r="222" spans="1:12" ht="16.5" customHeight="1" x14ac:dyDescent="0.35">
      <c r="A222" s="131">
        <v>218</v>
      </c>
      <c r="B222" s="925"/>
      <c r="C222" s="302" t="s">
        <v>546</v>
      </c>
      <c r="D222" s="647">
        <v>626</v>
      </c>
      <c r="E222" s="654">
        <v>461</v>
      </c>
      <c r="F222" s="654">
        <v>1087</v>
      </c>
      <c r="G222" s="647">
        <v>27</v>
      </c>
      <c r="H222" s="654">
        <v>137</v>
      </c>
      <c r="I222" s="654">
        <v>164</v>
      </c>
      <c r="J222" s="647">
        <v>16978</v>
      </c>
      <c r="K222" s="654">
        <v>21659</v>
      </c>
      <c r="L222" s="654">
        <v>38637</v>
      </c>
    </row>
    <row r="223" spans="1:12" ht="16.5" customHeight="1" x14ac:dyDescent="0.35">
      <c r="A223" s="131">
        <v>219</v>
      </c>
      <c r="B223" s="925"/>
      <c r="C223" s="302" t="s">
        <v>379</v>
      </c>
      <c r="D223" s="647">
        <v>340</v>
      </c>
      <c r="E223" s="654">
        <v>134</v>
      </c>
      <c r="F223" s="654">
        <v>474</v>
      </c>
      <c r="G223" s="647">
        <v>0</v>
      </c>
      <c r="H223" s="654"/>
      <c r="I223" s="654"/>
      <c r="J223" s="647">
        <v>110</v>
      </c>
      <c r="K223" s="654">
        <v>278</v>
      </c>
      <c r="L223" s="654">
        <v>388</v>
      </c>
    </row>
    <row r="224" spans="1:12" ht="16.5" customHeight="1" x14ac:dyDescent="0.35">
      <c r="A224" s="131">
        <v>220</v>
      </c>
      <c r="B224" s="926"/>
      <c r="C224" s="302" t="s">
        <v>547</v>
      </c>
      <c r="D224" s="647">
        <v>153</v>
      </c>
      <c r="E224" s="654">
        <v>210</v>
      </c>
      <c r="F224" s="654">
        <v>363</v>
      </c>
      <c r="G224" s="647">
        <v>15</v>
      </c>
      <c r="H224" s="654">
        <v>25</v>
      </c>
      <c r="I224" s="654">
        <v>40</v>
      </c>
      <c r="J224" s="647">
        <v>8356</v>
      </c>
      <c r="K224" s="654">
        <v>22401</v>
      </c>
      <c r="L224" s="654">
        <v>30757</v>
      </c>
    </row>
    <row r="225" spans="1:12" ht="16.5" customHeight="1" x14ac:dyDescent="0.35">
      <c r="A225" s="131">
        <v>221</v>
      </c>
      <c r="B225" s="301" t="s">
        <v>548</v>
      </c>
      <c r="C225" s="302"/>
      <c r="D225" s="647">
        <v>3253</v>
      </c>
      <c r="E225" s="654">
        <v>2960</v>
      </c>
      <c r="F225" s="654">
        <v>6213</v>
      </c>
      <c r="G225" s="647">
        <v>120</v>
      </c>
      <c r="H225" s="654">
        <v>356</v>
      </c>
      <c r="I225" s="654">
        <v>476</v>
      </c>
      <c r="J225" s="647">
        <v>88821</v>
      </c>
      <c r="K225" s="654">
        <v>141873</v>
      </c>
      <c r="L225" s="654">
        <v>230694</v>
      </c>
    </row>
    <row r="226" spans="1:12" ht="16.5" customHeight="1" x14ac:dyDescent="0.35">
      <c r="A226" s="131">
        <v>222</v>
      </c>
      <c r="B226" s="924" t="s">
        <v>381</v>
      </c>
      <c r="C226" s="302" t="s">
        <v>549</v>
      </c>
      <c r="D226" s="647">
        <v>14</v>
      </c>
      <c r="E226" s="654">
        <v>18</v>
      </c>
      <c r="F226" s="654">
        <v>32</v>
      </c>
      <c r="G226" s="647">
        <v>1</v>
      </c>
      <c r="H226" s="654">
        <v>1</v>
      </c>
      <c r="I226" s="654">
        <v>2</v>
      </c>
      <c r="J226" s="647">
        <v>340</v>
      </c>
      <c r="K226" s="654">
        <v>548</v>
      </c>
      <c r="L226" s="654">
        <v>888</v>
      </c>
    </row>
    <row r="227" spans="1:12" ht="16.5" customHeight="1" x14ac:dyDescent="0.35">
      <c r="A227" s="131">
        <v>223</v>
      </c>
      <c r="B227" s="925"/>
      <c r="C227" s="302" t="s">
        <v>550</v>
      </c>
      <c r="D227" s="647">
        <v>0</v>
      </c>
      <c r="E227" s="654"/>
      <c r="F227" s="654"/>
      <c r="G227" s="647">
        <v>0</v>
      </c>
      <c r="H227" s="654"/>
      <c r="I227" s="654"/>
      <c r="J227" s="647">
        <v>0</v>
      </c>
      <c r="K227" s="654">
        <v>0</v>
      </c>
      <c r="L227" s="654">
        <v>0</v>
      </c>
    </row>
    <row r="228" spans="1:12" ht="16.5" customHeight="1" x14ac:dyDescent="0.35">
      <c r="A228" s="131">
        <v>224</v>
      </c>
      <c r="B228" s="925"/>
      <c r="C228" s="302" t="s">
        <v>551</v>
      </c>
      <c r="D228" s="647">
        <v>264</v>
      </c>
      <c r="E228" s="654">
        <v>226</v>
      </c>
      <c r="F228" s="654">
        <v>490</v>
      </c>
      <c r="G228" s="647">
        <v>24</v>
      </c>
      <c r="H228" s="654">
        <v>76</v>
      </c>
      <c r="I228" s="654">
        <v>100</v>
      </c>
      <c r="J228" s="647">
        <v>17224</v>
      </c>
      <c r="K228" s="654">
        <v>25757</v>
      </c>
      <c r="L228" s="654">
        <v>42981</v>
      </c>
    </row>
    <row r="229" spans="1:12" ht="16.5" customHeight="1" x14ac:dyDescent="0.35">
      <c r="A229" s="131">
        <v>225</v>
      </c>
      <c r="B229" s="925"/>
      <c r="C229" s="302" t="s">
        <v>552</v>
      </c>
      <c r="D229" s="647">
        <v>180</v>
      </c>
      <c r="E229" s="654">
        <v>107</v>
      </c>
      <c r="F229" s="654">
        <v>287</v>
      </c>
      <c r="G229" s="647">
        <v>3</v>
      </c>
      <c r="H229" s="654">
        <v>38</v>
      </c>
      <c r="I229" s="654">
        <v>41</v>
      </c>
      <c r="J229" s="647">
        <v>13176</v>
      </c>
      <c r="K229" s="654">
        <v>17271</v>
      </c>
      <c r="L229" s="654">
        <v>30447</v>
      </c>
    </row>
    <row r="230" spans="1:12" ht="16.5" customHeight="1" x14ac:dyDescent="0.35">
      <c r="A230" s="131">
        <v>226</v>
      </c>
      <c r="B230" s="925"/>
      <c r="C230" s="302" t="s">
        <v>553</v>
      </c>
      <c r="D230" s="647">
        <v>241</v>
      </c>
      <c r="E230" s="654">
        <v>150</v>
      </c>
      <c r="F230" s="654">
        <v>391</v>
      </c>
      <c r="G230" s="647">
        <v>30</v>
      </c>
      <c r="H230" s="654">
        <v>197</v>
      </c>
      <c r="I230" s="654">
        <v>227</v>
      </c>
      <c r="J230" s="647">
        <v>36480</v>
      </c>
      <c r="K230" s="654">
        <v>40716</v>
      </c>
      <c r="L230" s="654">
        <v>77196</v>
      </c>
    </row>
    <row r="231" spans="1:12" ht="16.5" customHeight="1" x14ac:dyDescent="0.35">
      <c r="A231" s="131">
        <v>227</v>
      </c>
      <c r="B231" s="925"/>
      <c r="C231" s="302" t="s">
        <v>469</v>
      </c>
      <c r="D231" s="647">
        <v>53</v>
      </c>
      <c r="E231" s="654">
        <v>104</v>
      </c>
      <c r="F231" s="654">
        <v>157</v>
      </c>
      <c r="G231" s="647">
        <v>0</v>
      </c>
      <c r="H231" s="654"/>
      <c r="I231" s="654"/>
      <c r="J231" s="647">
        <v>0</v>
      </c>
      <c r="K231" s="654"/>
      <c r="L231" s="654"/>
    </row>
    <row r="232" spans="1:12" ht="16.5" customHeight="1" x14ac:dyDescent="0.35">
      <c r="A232" s="131">
        <v>228</v>
      </c>
      <c r="B232" s="925"/>
      <c r="C232" s="302" t="s">
        <v>544</v>
      </c>
      <c r="D232" s="647">
        <v>416</v>
      </c>
      <c r="E232" s="654">
        <v>452</v>
      </c>
      <c r="F232" s="654">
        <v>868</v>
      </c>
      <c r="G232" s="647">
        <v>39</v>
      </c>
      <c r="H232" s="654">
        <v>290</v>
      </c>
      <c r="I232" s="654">
        <v>329</v>
      </c>
      <c r="J232" s="647">
        <v>20556</v>
      </c>
      <c r="K232" s="654">
        <v>35048</v>
      </c>
      <c r="L232" s="654">
        <v>55604</v>
      </c>
    </row>
    <row r="233" spans="1:12" ht="16.5" customHeight="1" x14ac:dyDescent="0.35">
      <c r="A233" s="131">
        <v>229</v>
      </c>
      <c r="B233" s="925"/>
      <c r="C233" s="302" t="s">
        <v>554</v>
      </c>
      <c r="D233" s="647">
        <v>324</v>
      </c>
      <c r="E233" s="654">
        <v>295</v>
      </c>
      <c r="F233" s="654">
        <v>619</v>
      </c>
      <c r="G233" s="647">
        <v>18</v>
      </c>
      <c r="H233" s="654">
        <v>42</v>
      </c>
      <c r="I233" s="654">
        <v>60</v>
      </c>
      <c r="J233" s="647">
        <v>9886</v>
      </c>
      <c r="K233" s="654">
        <v>19389</v>
      </c>
      <c r="L233" s="654">
        <v>29275</v>
      </c>
    </row>
    <row r="234" spans="1:12" ht="16.5" customHeight="1" x14ac:dyDescent="0.35">
      <c r="A234" s="131">
        <v>230</v>
      </c>
      <c r="B234" s="925"/>
      <c r="C234" s="302" t="s">
        <v>555</v>
      </c>
      <c r="D234" s="647">
        <v>165</v>
      </c>
      <c r="E234" s="654">
        <v>170</v>
      </c>
      <c r="F234" s="654">
        <v>335</v>
      </c>
      <c r="G234" s="647">
        <v>9</v>
      </c>
      <c r="H234" s="654">
        <v>21</v>
      </c>
      <c r="I234" s="654">
        <v>30</v>
      </c>
      <c r="J234" s="647">
        <v>1780</v>
      </c>
      <c r="K234" s="654">
        <v>2079</v>
      </c>
      <c r="L234" s="654">
        <v>3859</v>
      </c>
    </row>
    <row r="235" spans="1:12" ht="16.5" customHeight="1" x14ac:dyDescent="0.35">
      <c r="A235" s="131">
        <v>231</v>
      </c>
      <c r="B235" s="925"/>
      <c r="C235" s="302" t="s">
        <v>556</v>
      </c>
      <c r="D235" s="647">
        <v>207</v>
      </c>
      <c r="E235" s="654">
        <v>140</v>
      </c>
      <c r="F235" s="654">
        <v>347</v>
      </c>
      <c r="G235" s="647">
        <v>56</v>
      </c>
      <c r="H235" s="654">
        <v>51</v>
      </c>
      <c r="I235" s="654">
        <v>107</v>
      </c>
      <c r="J235" s="647">
        <v>38001</v>
      </c>
      <c r="K235" s="654">
        <v>47510</v>
      </c>
      <c r="L235" s="654">
        <v>85511</v>
      </c>
    </row>
    <row r="236" spans="1:12" ht="16.5" customHeight="1" x14ac:dyDescent="0.35">
      <c r="A236" s="131">
        <v>232</v>
      </c>
      <c r="B236" s="925"/>
      <c r="C236" s="302" t="s">
        <v>557</v>
      </c>
      <c r="D236" s="647">
        <v>18</v>
      </c>
      <c r="E236" s="654">
        <v>9</v>
      </c>
      <c r="F236" s="654">
        <v>27</v>
      </c>
      <c r="G236" s="647">
        <v>5</v>
      </c>
      <c r="H236" s="654">
        <v>1</v>
      </c>
      <c r="I236" s="654">
        <v>6</v>
      </c>
      <c r="J236" s="647">
        <v>40</v>
      </c>
      <c r="K236" s="654">
        <v>23</v>
      </c>
      <c r="L236" s="654">
        <v>63</v>
      </c>
    </row>
    <row r="237" spans="1:12" ht="16.5" customHeight="1" x14ac:dyDescent="0.35">
      <c r="A237" s="131">
        <v>233</v>
      </c>
      <c r="B237" s="925"/>
      <c r="C237" s="302" t="s">
        <v>523</v>
      </c>
      <c r="D237" s="647">
        <v>94</v>
      </c>
      <c r="E237" s="654">
        <v>128</v>
      </c>
      <c r="F237" s="654">
        <v>222</v>
      </c>
      <c r="G237" s="647">
        <v>30</v>
      </c>
      <c r="H237" s="654">
        <v>149</v>
      </c>
      <c r="I237" s="654">
        <v>179</v>
      </c>
      <c r="J237" s="647">
        <v>3006</v>
      </c>
      <c r="K237" s="654">
        <v>9414</v>
      </c>
      <c r="L237" s="654">
        <v>12420</v>
      </c>
    </row>
    <row r="238" spans="1:12" x14ac:dyDescent="0.35">
      <c r="A238" s="131">
        <v>234</v>
      </c>
      <c r="B238" s="925"/>
      <c r="C238" s="302" t="s">
        <v>558</v>
      </c>
      <c r="D238" s="647">
        <v>20</v>
      </c>
      <c r="E238" s="654">
        <v>19</v>
      </c>
      <c r="F238" s="654">
        <v>39</v>
      </c>
      <c r="G238" s="647">
        <v>0</v>
      </c>
      <c r="H238" s="654">
        <v>1</v>
      </c>
      <c r="I238" s="654">
        <v>1</v>
      </c>
      <c r="J238" s="647">
        <v>5080</v>
      </c>
      <c r="K238" s="654">
        <v>3531</v>
      </c>
      <c r="L238" s="654">
        <v>8611</v>
      </c>
    </row>
    <row r="239" spans="1:12" x14ac:dyDescent="0.35">
      <c r="A239" s="131">
        <v>235</v>
      </c>
      <c r="B239" s="925"/>
      <c r="C239" s="302" t="s">
        <v>381</v>
      </c>
      <c r="D239" s="647">
        <v>1</v>
      </c>
      <c r="E239" s="654">
        <v>4</v>
      </c>
      <c r="F239" s="654">
        <v>5</v>
      </c>
      <c r="G239" s="647">
        <v>0</v>
      </c>
      <c r="H239" s="654">
        <v>0</v>
      </c>
      <c r="I239" s="654">
        <v>0</v>
      </c>
      <c r="J239" s="647">
        <v>17</v>
      </c>
      <c r="K239" s="654">
        <v>25</v>
      </c>
      <c r="L239" s="654">
        <v>42</v>
      </c>
    </row>
    <row r="240" spans="1:12" ht="21.75" customHeight="1" x14ac:dyDescent="0.35">
      <c r="A240" s="131">
        <v>236</v>
      </c>
      <c r="B240" s="925"/>
      <c r="C240" s="302" t="s">
        <v>390</v>
      </c>
      <c r="D240" s="647">
        <v>171</v>
      </c>
      <c r="E240" s="654">
        <v>241</v>
      </c>
      <c r="F240" s="654">
        <v>412</v>
      </c>
      <c r="G240" s="647">
        <v>4</v>
      </c>
      <c r="H240" s="654">
        <v>10</v>
      </c>
      <c r="I240" s="654">
        <v>14</v>
      </c>
      <c r="J240" s="647">
        <v>26088</v>
      </c>
      <c r="K240" s="654">
        <v>46221</v>
      </c>
      <c r="L240" s="654">
        <v>72309</v>
      </c>
    </row>
    <row r="241" spans="1:12" x14ac:dyDescent="0.35">
      <c r="A241" s="131">
        <v>237</v>
      </c>
      <c r="B241" s="926"/>
      <c r="C241" s="302" t="s">
        <v>398</v>
      </c>
      <c r="D241" s="647">
        <v>69</v>
      </c>
      <c r="E241" s="654">
        <v>87</v>
      </c>
      <c r="F241" s="654">
        <v>156</v>
      </c>
      <c r="G241" s="647">
        <v>3</v>
      </c>
      <c r="H241" s="654">
        <v>2</v>
      </c>
      <c r="I241" s="654">
        <v>5</v>
      </c>
      <c r="J241" s="647">
        <v>1964</v>
      </c>
      <c r="K241" s="654">
        <v>2867</v>
      </c>
      <c r="L241" s="654">
        <v>4831</v>
      </c>
    </row>
    <row r="242" spans="1:12" x14ac:dyDescent="0.35">
      <c r="A242" s="131">
        <v>238</v>
      </c>
      <c r="B242" s="301" t="s">
        <v>559</v>
      </c>
      <c r="C242" s="302"/>
      <c r="D242" s="647">
        <v>2237</v>
      </c>
      <c r="E242" s="654">
        <v>2150</v>
      </c>
      <c r="F242" s="654">
        <v>4387</v>
      </c>
      <c r="G242" s="647">
        <v>222</v>
      </c>
      <c r="H242" s="654">
        <v>879</v>
      </c>
      <c r="I242" s="654">
        <v>1101</v>
      </c>
      <c r="J242" s="647">
        <v>173638</v>
      </c>
      <c r="K242" s="654">
        <v>250399</v>
      </c>
      <c r="L242" s="654">
        <v>424037</v>
      </c>
    </row>
    <row r="243" spans="1:12" x14ac:dyDescent="0.35">
      <c r="A243" s="131">
        <v>239</v>
      </c>
      <c r="B243" s="301" t="s">
        <v>382</v>
      </c>
      <c r="C243" s="302" t="s">
        <v>382</v>
      </c>
      <c r="D243" s="647">
        <v>71</v>
      </c>
      <c r="E243" s="654">
        <v>59</v>
      </c>
      <c r="F243" s="654">
        <v>130</v>
      </c>
      <c r="G243" s="647">
        <v>47</v>
      </c>
      <c r="H243" s="654">
        <v>56</v>
      </c>
      <c r="I243" s="654">
        <v>103</v>
      </c>
      <c r="J243" s="647">
        <v>9570</v>
      </c>
      <c r="K243" s="654">
        <v>12356</v>
      </c>
      <c r="L243" s="654">
        <v>21926</v>
      </c>
    </row>
    <row r="244" spans="1:12" x14ac:dyDescent="0.35">
      <c r="A244" s="131">
        <v>240</v>
      </c>
      <c r="B244" s="301" t="s">
        <v>560</v>
      </c>
      <c r="C244" s="302"/>
      <c r="D244" s="647">
        <v>71</v>
      </c>
      <c r="E244" s="654">
        <v>59</v>
      </c>
      <c r="F244" s="654">
        <v>130</v>
      </c>
      <c r="G244" s="647">
        <v>47</v>
      </c>
      <c r="H244" s="654">
        <v>56</v>
      </c>
      <c r="I244" s="654">
        <v>103</v>
      </c>
      <c r="J244" s="647">
        <v>9570</v>
      </c>
      <c r="K244" s="654">
        <v>12356</v>
      </c>
      <c r="L244" s="654">
        <v>21926</v>
      </c>
    </row>
    <row r="245" spans="1:12" x14ac:dyDescent="0.35">
      <c r="A245" s="131">
        <v>241</v>
      </c>
      <c r="B245" s="924" t="s">
        <v>383</v>
      </c>
      <c r="C245" s="302" t="s">
        <v>561</v>
      </c>
      <c r="D245" s="647">
        <v>4</v>
      </c>
      <c r="E245" s="654">
        <v>0</v>
      </c>
      <c r="F245" s="654">
        <v>4</v>
      </c>
      <c r="G245" s="647">
        <v>0</v>
      </c>
      <c r="H245" s="654"/>
      <c r="I245" s="654"/>
      <c r="J245" s="647">
        <v>14</v>
      </c>
      <c r="K245" s="654">
        <v>4</v>
      </c>
      <c r="L245" s="654">
        <v>18</v>
      </c>
    </row>
    <row r="246" spans="1:12" x14ac:dyDescent="0.35">
      <c r="A246" s="131">
        <v>242</v>
      </c>
      <c r="B246" s="926"/>
      <c r="C246" s="304" t="s">
        <v>383</v>
      </c>
      <c r="D246" s="647">
        <v>219</v>
      </c>
      <c r="E246" s="647">
        <v>203</v>
      </c>
      <c r="F246" s="647">
        <v>422</v>
      </c>
      <c r="G246" s="647">
        <v>0</v>
      </c>
      <c r="H246" s="647"/>
      <c r="I246" s="647"/>
      <c r="J246" s="647">
        <v>877</v>
      </c>
      <c r="K246" s="647">
        <v>763</v>
      </c>
      <c r="L246" s="647">
        <v>1640</v>
      </c>
    </row>
    <row r="247" spans="1:12" ht="28" x14ac:dyDescent="0.35">
      <c r="A247" s="131">
        <v>243</v>
      </c>
      <c r="B247" s="303" t="s">
        <v>562</v>
      </c>
      <c r="C247" s="304"/>
      <c r="D247" s="647">
        <v>223</v>
      </c>
      <c r="E247" s="647">
        <v>203</v>
      </c>
      <c r="F247" s="647">
        <v>426</v>
      </c>
      <c r="G247" s="647">
        <v>0</v>
      </c>
      <c r="H247" s="647"/>
      <c r="I247" s="647"/>
      <c r="J247" s="647">
        <v>891</v>
      </c>
      <c r="K247" s="647">
        <v>767</v>
      </c>
      <c r="L247" s="647">
        <v>1658</v>
      </c>
    </row>
    <row r="248" spans="1:12" x14ac:dyDescent="0.35">
      <c r="A248" s="131">
        <v>244</v>
      </c>
      <c r="B248" s="303" t="s">
        <v>384</v>
      </c>
      <c r="C248" s="304" t="s">
        <v>384</v>
      </c>
      <c r="D248" s="647">
        <v>5</v>
      </c>
      <c r="E248" s="647">
        <v>19</v>
      </c>
      <c r="F248" s="647">
        <v>24</v>
      </c>
      <c r="G248" s="647">
        <v>2</v>
      </c>
      <c r="H248" s="647">
        <v>3</v>
      </c>
      <c r="I248" s="647">
        <v>5</v>
      </c>
      <c r="J248" s="647">
        <v>330</v>
      </c>
      <c r="K248" s="647">
        <v>4219</v>
      </c>
      <c r="L248" s="647">
        <v>4549</v>
      </c>
    </row>
    <row r="249" spans="1:12" ht="16.5" customHeight="1" x14ac:dyDescent="0.35">
      <c r="A249" s="131">
        <v>245</v>
      </c>
      <c r="B249" s="303" t="s">
        <v>563</v>
      </c>
      <c r="C249" s="304"/>
      <c r="D249" s="647">
        <v>5</v>
      </c>
      <c r="E249" s="647">
        <v>19</v>
      </c>
      <c r="F249" s="647">
        <v>24</v>
      </c>
      <c r="G249" s="647">
        <v>2</v>
      </c>
      <c r="H249" s="647">
        <v>3</v>
      </c>
      <c r="I249" s="647">
        <v>5</v>
      </c>
      <c r="J249" s="647">
        <v>330</v>
      </c>
      <c r="K249" s="647">
        <v>4219</v>
      </c>
      <c r="L249" s="647">
        <v>4549</v>
      </c>
    </row>
    <row r="250" spans="1:12" x14ac:dyDescent="0.35">
      <c r="A250" s="131"/>
      <c r="B250" s="303" t="s">
        <v>12</v>
      </c>
      <c r="C250" s="304"/>
      <c r="D250" s="647">
        <v>16813</v>
      </c>
      <c r="E250" s="647">
        <v>14570</v>
      </c>
      <c r="F250" s="647">
        <v>31383</v>
      </c>
      <c r="G250" s="647">
        <v>823</v>
      </c>
      <c r="H250" s="647">
        <v>2626</v>
      </c>
      <c r="I250" s="647">
        <v>3449</v>
      </c>
      <c r="J250" s="647">
        <v>803245</v>
      </c>
      <c r="K250" s="647">
        <v>1072670</v>
      </c>
      <c r="L250" s="647">
        <v>1875915</v>
      </c>
    </row>
    <row r="251" spans="1:12" x14ac:dyDescent="0.35">
      <c r="A251" s="131"/>
      <c r="B251" s="303"/>
      <c r="C251" s="304"/>
      <c r="D251" s="131"/>
      <c r="E251" s="131"/>
      <c r="F251" s="131"/>
      <c r="G251" s="131"/>
      <c r="H251" s="131"/>
      <c r="I251" s="131"/>
      <c r="J251" s="131"/>
      <c r="K251" s="131"/>
      <c r="L251" s="131"/>
    </row>
  </sheetData>
  <mergeCells count="25">
    <mergeCell ref="B202:B207"/>
    <mergeCell ref="B209:B224"/>
    <mergeCell ref="B226:B241"/>
    <mergeCell ref="B245:B246"/>
    <mergeCell ref="B102:B106"/>
    <mergeCell ref="B110:B114"/>
    <mergeCell ref="B120:B139"/>
    <mergeCell ref="B143:B189"/>
    <mergeCell ref="B191:B194"/>
    <mergeCell ref="B63:B66"/>
    <mergeCell ref="B70:B72"/>
    <mergeCell ref="B74:B78"/>
    <mergeCell ref="B84:B86"/>
    <mergeCell ref="B90:B100"/>
    <mergeCell ref="B5:B8"/>
    <mergeCell ref="B14:B15"/>
    <mergeCell ref="B23:B24"/>
    <mergeCell ref="B28:B29"/>
    <mergeCell ref="B35:B57"/>
    <mergeCell ref="B1:L1"/>
    <mergeCell ref="A2:A3"/>
    <mergeCell ref="B2:C3"/>
    <mergeCell ref="D2:F2"/>
    <mergeCell ref="G2:I2"/>
    <mergeCell ref="J2:L2"/>
  </mergeCells>
  <pageMargins left="0.37" right="0.11811023622047245" top="0.39370078740157483" bottom="0.39370078740157483" header="0.31496062992125984" footer="0.19685039370078741"/>
  <pageSetup paperSize="9" scale="70" firstPageNumber="105" orientation="portrait" r:id="rId1"/>
  <headerFooter>
    <oddFooter>&amp;L&amp;"Arial,Italic"&amp;9AISHE 2022-23&amp;RT-36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0008-71FA-4395-9995-D57EF3AC164F}">
  <sheetPr codeName="Sheet49">
    <tabColor rgb="FF92D050"/>
  </sheetPr>
  <dimension ref="A1:AN41"/>
  <sheetViews>
    <sheetView view="pageBreakPreview" zoomScale="85" zoomScaleSheetLayoutView="85" workbookViewId="0">
      <pane xSplit="2" ySplit="4" topLeftCell="Y38" activePane="bottomRight" state="frozen"/>
      <selection activeCell="S20" sqref="S20"/>
      <selection pane="topRight" activeCell="S20" sqref="S20"/>
      <selection pane="bottomLeft" activeCell="S20" sqref="S20"/>
      <selection pane="bottomRight" activeCell="C5" sqref="C5:AN41"/>
    </sheetView>
  </sheetViews>
  <sheetFormatPr defaultColWidth="9.26953125" defaultRowHeight="13" x14ac:dyDescent="0.35"/>
  <cols>
    <col min="1" max="1" width="7.26953125" style="364" bestFit="1" customWidth="1"/>
    <col min="2" max="2" width="20" style="366" customWidth="1"/>
    <col min="3" max="3" width="4" style="367" customWidth="1"/>
    <col min="4" max="11" width="9.26953125" style="367" customWidth="1"/>
    <col min="12" max="12" width="12.7265625" style="364" customWidth="1"/>
    <col min="13" max="20" width="10.54296875" style="364" customWidth="1"/>
    <col min="21" max="21" width="12.81640625" style="364" customWidth="1"/>
    <col min="22" max="22" width="11.54296875" style="364" customWidth="1"/>
    <col min="23" max="23" width="10.26953125" style="364" customWidth="1"/>
    <col min="24" max="24" width="9.453125" style="364" customWidth="1"/>
    <col min="25" max="25" width="11.7265625" style="364" customWidth="1"/>
    <col min="26" max="26" width="9.81640625" style="364" customWidth="1"/>
    <col min="27" max="27" width="9.26953125" style="364" customWidth="1"/>
    <col min="28" max="28" width="10" style="364" customWidth="1"/>
    <col min="29" max="29" width="12.7265625" style="364" customWidth="1"/>
    <col min="30" max="30" width="10.81640625" style="364" customWidth="1"/>
    <col min="31" max="31" width="8.54296875" style="364" customWidth="1"/>
    <col min="32" max="32" width="10" style="364" customWidth="1"/>
    <col min="33" max="33" width="10.54296875" style="364" customWidth="1"/>
    <col min="34" max="34" width="10.1796875" style="364" customWidth="1"/>
    <col min="35" max="35" width="9.54296875" style="364" customWidth="1"/>
    <col min="36" max="36" width="9" style="364" customWidth="1"/>
    <col min="37" max="37" width="9.453125" style="364" customWidth="1"/>
    <col min="38" max="38" width="9.81640625" style="364" customWidth="1"/>
    <col min="39" max="39" width="8.54296875" style="364" customWidth="1"/>
    <col min="40" max="16384" width="9.26953125" style="364"/>
  </cols>
  <sheetData>
    <row r="1" spans="1:40" s="356" customFormat="1" ht="24.75" customHeight="1" x14ac:dyDescent="0.35">
      <c r="A1" s="928"/>
      <c r="B1" s="928"/>
      <c r="C1" s="928" t="s">
        <v>1059</v>
      </c>
      <c r="D1" s="928"/>
      <c r="E1" s="928"/>
      <c r="F1" s="928"/>
      <c r="G1" s="928"/>
      <c r="H1" s="928"/>
      <c r="I1" s="928"/>
      <c r="J1" s="928"/>
      <c r="K1" s="928"/>
      <c r="L1" s="928"/>
      <c r="M1" s="928" t="str">
        <f>C1</f>
        <v>Table 37. Number of Various Types of Institutions Affiliated with Universities</v>
      </c>
      <c r="N1" s="928"/>
      <c r="O1" s="928"/>
      <c r="P1" s="928"/>
      <c r="Q1" s="928"/>
      <c r="R1" s="928"/>
      <c r="S1" s="928"/>
      <c r="T1" s="928"/>
      <c r="U1" s="928"/>
      <c r="V1" s="928" t="str">
        <f>M1</f>
        <v>Table 37. Number of Various Types of Institutions Affiliated with Universities</v>
      </c>
      <c r="W1" s="928"/>
      <c r="X1" s="928"/>
      <c r="Y1" s="928"/>
      <c r="Z1" s="928"/>
      <c r="AA1" s="928"/>
      <c r="AB1" s="928"/>
      <c r="AC1" s="928"/>
      <c r="AD1" s="928" t="str">
        <f>V1</f>
        <v>Table 37. Number of Various Types of Institutions Affiliated with Universities</v>
      </c>
      <c r="AE1" s="928"/>
      <c r="AF1" s="928"/>
      <c r="AG1" s="928"/>
      <c r="AH1" s="928"/>
      <c r="AI1" s="928"/>
      <c r="AJ1" s="928"/>
      <c r="AK1" s="928"/>
      <c r="AL1" s="355"/>
      <c r="AM1" s="355"/>
      <c r="AN1" s="355"/>
    </row>
    <row r="2" spans="1:40" s="358" customFormat="1" ht="55.15" customHeight="1" x14ac:dyDescent="0.35">
      <c r="A2" s="931" t="s">
        <v>49</v>
      </c>
      <c r="B2" s="929" t="s">
        <v>50</v>
      </c>
      <c r="C2" s="929" t="s">
        <v>2</v>
      </c>
      <c r="D2" s="929"/>
      <c r="E2" s="929"/>
      <c r="F2" s="929"/>
      <c r="G2" s="929" t="s">
        <v>948</v>
      </c>
      <c r="H2" s="929" t="s">
        <v>5</v>
      </c>
      <c r="I2" s="929"/>
      <c r="J2" s="929"/>
      <c r="K2" s="929"/>
      <c r="L2" s="929"/>
      <c r="M2" s="929" t="s">
        <v>949</v>
      </c>
      <c r="N2" s="929" t="s">
        <v>8</v>
      </c>
      <c r="O2" s="929"/>
      <c r="P2" s="929"/>
      <c r="Q2" s="929"/>
      <c r="R2" s="929" t="s">
        <v>950</v>
      </c>
      <c r="S2" s="929" t="s">
        <v>10</v>
      </c>
      <c r="T2" s="929"/>
      <c r="U2" s="929"/>
      <c r="V2" s="929" t="s">
        <v>951</v>
      </c>
      <c r="W2" s="929" t="s">
        <v>811</v>
      </c>
      <c r="X2" s="929"/>
      <c r="Y2" s="929" t="s">
        <v>952</v>
      </c>
      <c r="Z2" s="929" t="s">
        <v>11</v>
      </c>
      <c r="AA2" s="929"/>
      <c r="AB2" s="929"/>
      <c r="AC2" s="929"/>
      <c r="AD2" s="929" t="s">
        <v>953</v>
      </c>
      <c r="AE2" s="929" t="s">
        <v>4</v>
      </c>
      <c r="AF2" s="929"/>
      <c r="AG2" s="929"/>
      <c r="AH2" s="929" t="s">
        <v>954</v>
      </c>
      <c r="AI2" s="929" t="s">
        <v>6</v>
      </c>
      <c r="AJ2" s="929"/>
      <c r="AK2" s="929"/>
      <c r="AL2" s="929"/>
      <c r="AM2" s="929" t="s">
        <v>955</v>
      </c>
      <c r="AN2" s="929" t="s">
        <v>12</v>
      </c>
    </row>
    <row r="3" spans="1:40" s="339" customFormat="1" ht="180" customHeight="1" x14ac:dyDescent="0.35">
      <c r="A3" s="931"/>
      <c r="B3" s="929"/>
      <c r="C3" s="359" t="s">
        <v>956</v>
      </c>
      <c r="D3" s="359" t="s">
        <v>957</v>
      </c>
      <c r="E3" s="359" t="s">
        <v>958</v>
      </c>
      <c r="F3" s="359" t="s">
        <v>959</v>
      </c>
      <c r="G3" s="929"/>
      <c r="H3" s="359" t="s">
        <v>956</v>
      </c>
      <c r="I3" s="359" t="s">
        <v>960</v>
      </c>
      <c r="J3" s="359" t="s">
        <v>957</v>
      </c>
      <c r="K3" s="359" t="s">
        <v>958</v>
      </c>
      <c r="L3" s="357" t="s">
        <v>959</v>
      </c>
      <c r="M3" s="929"/>
      <c r="N3" s="359" t="s">
        <v>956</v>
      </c>
      <c r="O3" s="359" t="s">
        <v>957</v>
      </c>
      <c r="P3" s="359" t="s">
        <v>958</v>
      </c>
      <c r="Q3" s="357" t="s">
        <v>959</v>
      </c>
      <c r="R3" s="929"/>
      <c r="S3" s="359" t="s">
        <v>957</v>
      </c>
      <c r="T3" s="359" t="s">
        <v>958</v>
      </c>
      <c r="U3" s="357" t="s">
        <v>959</v>
      </c>
      <c r="V3" s="929"/>
      <c r="W3" s="359" t="s">
        <v>957</v>
      </c>
      <c r="X3" s="357" t="s">
        <v>958</v>
      </c>
      <c r="Y3" s="929"/>
      <c r="Z3" s="359" t="s">
        <v>956</v>
      </c>
      <c r="AA3" s="359" t="s">
        <v>957</v>
      </c>
      <c r="AB3" s="359" t="s">
        <v>958</v>
      </c>
      <c r="AC3" s="357" t="s">
        <v>959</v>
      </c>
      <c r="AD3" s="929"/>
      <c r="AE3" s="359" t="s">
        <v>957</v>
      </c>
      <c r="AF3" s="359" t="s">
        <v>958</v>
      </c>
      <c r="AG3" s="357" t="s">
        <v>959</v>
      </c>
      <c r="AH3" s="929"/>
      <c r="AI3" s="359" t="s">
        <v>956</v>
      </c>
      <c r="AJ3" s="359" t="s">
        <v>957</v>
      </c>
      <c r="AK3" s="357" t="s">
        <v>958</v>
      </c>
      <c r="AL3" s="357" t="s">
        <v>959</v>
      </c>
      <c r="AM3" s="929"/>
      <c r="AN3" s="929"/>
    </row>
    <row r="4" spans="1:40" s="358" customFormat="1" x14ac:dyDescent="0.35">
      <c r="A4" s="360">
        <v>1</v>
      </c>
      <c r="B4" s="360">
        <v>2</v>
      </c>
      <c r="C4" s="360">
        <v>3</v>
      </c>
      <c r="D4" s="360">
        <v>4</v>
      </c>
      <c r="E4" s="360">
        <v>5</v>
      </c>
      <c r="F4" s="360">
        <v>6</v>
      </c>
      <c r="G4" s="360">
        <v>7</v>
      </c>
      <c r="H4" s="360">
        <v>8</v>
      </c>
      <c r="I4" s="360">
        <v>9</v>
      </c>
      <c r="J4" s="360">
        <v>10</v>
      </c>
      <c r="K4" s="360">
        <v>11</v>
      </c>
      <c r="L4" s="360">
        <v>12</v>
      </c>
      <c r="M4" s="360">
        <v>13</v>
      </c>
      <c r="N4" s="360">
        <v>14</v>
      </c>
      <c r="O4" s="360">
        <v>15</v>
      </c>
      <c r="P4" s="360">
        <v>16</v>
      </c>
      <c r="Q4" s="360">
        <v>17</v>
      </c>
      <c r="R4" s="360">
        <v>18</v>
      </c>
      <c r="S4" s="360">
        <v>19</v>
      </c>
      <c r="T4" s="360">
        <v>20</v>
      </c>
      <c r="U4" s="360">
        <v>21</v>
      </c>
      <c r="V4" s="360">
        <v>22</v>
      </c>
      <c r="W4" s="360">
        <v>23</v>
      </c>
      <c r="X4" s="360">
        <v>24</v>
      </c>
      <c r="Y4" s="360">
        <v>25</v>
      </c>
      <c r="Z4" s="360">
        <v>26</v>
      </c>
      <c r="AA4" s="360">
        <v>27</v>
      </c>
      <c r="AB4" s="360">
        <v>28</v>
      </c>
      <c r="AC4" s="360">
        <v>29</v>
      </c>
      <c r="AD4" s="360">
        <v>30</v>
      </c>
      <c r="AE4" s="360">
        <v>31</v>
      </c>
      <c r="AF4" s="360">
        <v>32</v>
      </c>
      <c r="AG4" s="360">
        <v>33</v>
      </c>
      <c r="AH4" s="360">
        <v>34</v>
      </c>
      <c r="AI4" s="360">
        <v>35</v>
      </c>
      <c r="AJ4" s="360">
        <v>36</v>
      </c>
      <c r="AK4" s="360">
        <v>37</v>
      </c>
      <c r="AL4" s="361"/>
      <c r="AM4" s="361"/>
      <c r="AN4" s="361"/>
    </row>
    <row r="5" spans="1:40" ht="32.25" customHeight="1" x14ac:dyDescent="0.35">
      <c r="A5" s="362">
        <v>1</v>
      </c>
      <c r="B5" s="363" t="s">
        <v>58</v>
      </c>
      <c r="C5" s="634">
        <v>9</v>
      </c>
      <c r="D5" s="634"/>
      <c r="E5" s="634"/>
      <c r="F5" s="634"/>
      <c r="G5" s="634">
        <v>9</v>
      </c>
      <c r="H5" s="634"/>
      <c r="I5" s="634"/>
      <c r="J5" s="634"/>
      <c r="K5" s="634"/>
      <c r="L5" s="634"/>
      <c r="M5" s="634"/>
      <c r="N5" s="634"/>
      <c r="O5" s="634"/>
      <c r="P5" s="634"/>
      <c r="Q5" s="634"/>
      <c r="R5" s="634"/>
      <c r="S5" s="634"/>
      <c r="T5" s="634"/>
      <c r="U5" s="634"/>
      <c r="V5" s="634"/>
      <c r="W5" s="634"/>
      <c r="X5" s="634"/>
      <c r="Y5" s="634"/>
      <c r="Z5" s="634"/>
      <c r="AA5" s="634"/>
      <c r="AB5" s="634"/>
      <c r="AC5" s="634"/>
      <c r="AD5" s="634"/>
      <c r="AE5" s="634"/>
      <c r="AF5" s="634"/>
      <c r="AG5" s="634"/>
      <c r="AH5" s="634"/>
      <c r="AI5" s="634"/>
      <c r="AJ5" s="634"/>
      <c r="AK5" s="634"/>
      <c r="AL5" s="634"/>
      <c r="AM5" s="634"/>
      <c r="AN5" s="636">
        <f>SUM(G5,M5,R5,V5,Y5,AD5,AH5,AM5)</f>
        <v>9</v>
      </c>
    </row>
    <row r="6" spans="1:40" ht="21" customHeight="1" x14ac:dyDescent="0.35">
      <c r="A6" s="362">
        <v>2</v>
      </c>
      <c r="B6" s="363" t="s">
        <v>13</v>
      </c>
      <c r="C6" s="634"/>
      <c r="D6" s="634">
        <v>1</v>
      </c>
      <c r="E6" s="634">
        <v>1</v>
      </c>
      <c r="F6" s="634"/>
      <c r="G6" s="634">
        <v>2</v>
      </c>
      <c r="H6" s="634">
        <v>2525</v>
      </c>
      <c r="I6" s="634"/>
      <c r="J6" s="634">
        <v>65</v>
      </c>
      <c r="K6" s="634">
        <v>4</v>
      </c>
      <c r="L6" s="634"/>
      <c r="M6" s="634">
        <v>2594</v>
      </c>
      <c r="N6" s="634"/>
      <c r="O6" s="634"/>
      <c r="P6" s="634"/>
      <c r="Q6" s="634"/>
      <c r="R6" s="634"/>
      <c r="S6" s="634"/>
      <c r="T6" s="634"/>
      <c r="U6" s="634"/>
      <c r="V6" s="634"/>
      <c r="W6" s="634"/>
      <c r="X6" s="634"/>
      <c r="Y6" s="634"/>
      <c r="Z6" s="634"/>
      <c r="AA6" s="634"/>
      <c r="AB6" s="634">
        <v>1</v>
      </c>
      <c r="AC6" s="634"/>
      <c r="AD6" s="634">
        <v>1</v>
      </c>
      <c r="AE6" s="634">
        <v>1</v>
      </c>
      <c r="AF6" s="634"/>
      <c r="AG6" s="634"/>
      <c r="AH6" s="634">
        <v>1</v>
      </c>
      <c r="AI6" s="634"/>
      <c r="AJ6" s="634">
        <v>1</v>
      </c>
      <c r="AK6" s="634"/>
      <c r="AL6" s="634"/>
      <c r="AM6" s="634">
        <v>1</v>
      </c>
      <c r="AN6" s="636">
        <f t="shared" ref="AN6:AN41" si="0">SUM(G6,M6,R6,V6,Y6,AD6,AH6,AM6)</f>
        <v>2599</v>
      </c>
    </row>
    <row r="7" spans="1:40" ht="21" customHeight="1" x14ac:dyDescent="0.35">
      <c r="A7" s="362">
        <v>3</v>
      </c>
      <c r="B7" s="363" t="s">
        <v>14</v>
      </c>
      <c r="C7" s="634">
        <v>42</v>
      </c>
      <c r="D7" s="634">
        <v>2</v>
      </c>
      <c r="E7" s="634"/>
      <c r="F7" s="634"/>
      <c r="G7" s="634">
        <v>44</v>
      </c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4"/>
      <c r="T7" s="634"/>
      <c r="U7" s="634"/>
      <c r="V7" s="634"/>
      <c r="W7" s="634"/>
      <c r="X7" s="634"/>
      <c r="Y7" s="634"/>
      <c r="Z7" s="634"/>
      <c r="AA7" s="634"/>
      <c r="AB7" s="634"/>
      <c r="AC7" s="634"/>
      <c r="AD7" s="634"/>
      <c r="AE7" s="634"/>
      <c r="AF7" s="634"/>
      <c r="AG7" s="634"/>
      <c r="AH7" s="634"/>
      <c r="AI7" s="634"/>
      <c r="AJ7" s="634"/>
      <c r="AK7" s="634"/>
      <c r="AL7" s="634"/>
      <c r="AM7" s="634"/>
      <c r="AN7" s="636">
        <f t="shared" si="0"/>
        <v>44</v>
      </c>
    </row>
    <row r="8" spans="1:40" ht="21" customHeight="1" x14ac:dyDescent="0.35">
      <c r="A8" s="362">
        <v>4</v>
      </c>
      <c r="B8" s="363" t="s">
        <v>15</v>
      </c>
      <c r="C8" s="634">
        <v>75</v>
      </c>
      <c r="D8" s="634"/>
      <c r="E8" s="634"/>
      <c r="F8" s="634"/>
      <c r="G8" s="634">
        <v>75</v>
      </c>
      <c r="H8" s="634">
        <v>573</v>
      </c>
      <c r="I8" s="634"/>
      <c r="J8" s="634">
        <v>7</v>
      </c>
      <c r="K8" s="634"/>
      <c r="L8" s="634">
        <v>1</v>
      </c>
      <c r="M8" s="634">
        <v>581</v>
      </c>
      <c r="N8" s="634"/>
      <c r="O8" s="634"/>
      <c r="P8" s="634"/>
      <c r="Q8" s="634"/>
      <c r="R8" s="634"/>
      <c r="S8" s="634"/>
      <c r="T8" s="634">
        <v>1</v>
      </c>
      <c r="U8" s="634"/>
      <c r="V8" s="634">
        <v>1</v>
      </c>
      <c r="W8" s="634"/>
      <c r="X8" s="634">
        <v>1</v>
      </c>
      <c r="Y8" s="634">
        <v>1</v>
      </c>
      <c r="Z8" s="634"/>
      <c r="AA8" s="634"/>
      <c r="AB8" s="634"/>
      <c r="AC8" s="634"/>
      <c r="AD8" s="634"/>
      <c r="AE8" s="634"/>
      <c r="AF8" s="634">
        <v>1</v>
      </c>
      <c r="AG8" s="634"/>
      <c r="AH8" s="634">
        <v>1</v>
      </c>
      <c r="AI8" s="634"/>
      <c r="AJ8" s="634"/>
      <c r="AK8" s="634"/>
      <c r="AL8" s="634"/>
      <c r="AM8" s="634"/>
      <c r="AN8" s="636">
        <f t="shared" si="0"/>
        <v>659</v>
      </c>
    </row>
    <row r="9" spans="1:40" ht="21" customHeight="1" x14ac:dyDescent="0.35">
      <c r="A9" s="362">
        <v>5</v>
      </c>
      <c r="B9" s="363" t="s">
        <v>16</v>
      </c>
      <c r="C9" s="634"/>
      <c r="D9" s="634">
        <v>7</v>
      </c>
      <c r="E9" s="634">
        <v>3</v>
      </c>
      <c r="F9" s="634"/>
      <c r="G9" s="634">
        <v>10</v>
      </c>
      <c r="H9" s="634">
        <v>893</v>
      </c>
      <c r="I9" s="634">
        <v>2</v>
      </c>
      <c r="J9" s="634">
        <v>275</v>
      </c>
      <c r="K9" s="634"/>
      <c r="L9" s="634">
        <v>16</v>
      </c>
      <c r="M9" s="634">
        <v>1186</v>
      </c>
      <c r="N9" s="634">
        <v>1</v>
      </c>
      <c r="O9" s="634">
        <v>4</v>
      </c>
      <c r="P9" s="634"/>
      <c r="Q9" s="634"/>
      <c r="R9" s="634">
        <v>5</v>
      </c>
      <c r="S9" s="634"/>
      <c r="T9" s="634"/>
      <c r="U9" s="634"/>
      <c r="V9" s="634"/>
      <c r="W9" s="634"/>
      <c r="X9" s="634"/>
      <c r="Y9" s="634"/>
      <c r="Z9" s="634"/>
      <c r="AA9" s="634"/>
      <c r="AB9" s="634">
        <v>1</v>
      </c>
      <c r="AC9" s="634"/>
      <c r="AD9" s="634">
        <v>1</v>
      </c>
      <c r="AE9" s="634">
        <v>1</v>
      </c>
      <c r="AF9" s="634">
        <v>1</v>
      </c>
      <c r="AG9" s="634"/>
      <c r="AH9" s="634">
        <v>2</v>
      </c>
      <c r="AI9" s="634"/>
      <c r="AJ9" s="634">
        <v>1</v>
      </c>
      <c r="AK9" s="634"/>
      <c r="AL9" s="634"/>
      <c r="AM9" s="634">
        <v>1</v>
      </c>
      <c r="AN9" s="636">
        <f t="shared" si="0"/>
        <v>1205</v>
      </c>
    </row>
    <row r="10" spans="1:40" ht="21" customHeight="1" x14ac:dyDescent="0.35">
      <c r="A10" s="362">
        <v>6</v>
      </c>
      <c r="B10" s="363" t="s">
        <v>17</v>
      </c>
      <c r="C10" s="634"/>
      <c r="D10" s="634"/>
      <c r="E10" s="634"/>
      <c r="F10" s="634"/>
      <c r="G10" s="634"/>
      <c r="H10" s="634">
        <v>26</v>
      </c>
      <c r="I10" s="634"/>
      <c r="J10" s="634"/>
      <c r="K10" s="634"/>
      <c r="L10" s="634"/>
      <c r="M10" s="634">
        <v>26</v>
      </c>
      <c r="N10" s="634"/>
      <c r="O10" s="634"/>
      <c r="P10" s="634"/>
      <c r="Q10" s="634"/>
      <c r="R10" s="634"/>
      <c r="S10" s="634"/>
      <c r="T10" s="634"/>
      <c r="U10" s="634"/>
      <c r="V10" s="634"/>
      <c r="W10" s="634"/>
      <c r="X10" s="634"/>
      <c r="Y10" s="634"/>
      <c r="Z10" s="634"/>
      <c r="AA10" s="634"/>
      <c r="AB10" s="634"/>
      <c r="AC10" s="634"/>
      <c r="AD10" s="634"/>
      <c r="AE10" s="634"/>
      <c r="AF10" s="634"/>
      <c r="AG10" s="634"/>
      <c r="AH10" s="634"/>
      <c r="AI10" s="634"/>
      <c r="AJ10" s="634"/>
      <c r="AK10" s="634"/>
      <c r="AL10" s="634"/>
      <c r="AM10" s="634"/>
      <c r="AN10" s="636">
        <f t="shared" si="0"/>
        <v>26</v>
      </c>
    </row>
    <row r="11" spans="1:40" ht="21" customHeight="1" x14ac:dyDescent="0.35">
      <c r="A11" s="362">
        <v>7</v>
      </c>
      <c r="B11" s="363" t="s">
        <v>18</v>
      </c>
      <c r="C11" s="632"/>
      <c r="D11" s="634"/>
      <c r="E11" s="634"/>
      <c r="F11" s="634"/>
      <c r="G11" s="634"/>
      <c r="H11" s="634">
        <v>922</v>
      </c>
      <c r="I11" s="634">
        <v>2</v>
      </c>
      <c r="J11" s="634">
        <v>43</v>
      </c>
      <c r="K11" s="634">
        <v>1</v>
      </c>
      <c r="L11" s="634">
        <v>3</v>
      </c>
      <c r="M11" s="634">
        <v>971</v>
      </c>
      <c r="N11" s="634"/>
      <c r="O11" s="634"/>
      <c r="P11" s="634"/>
      <c r="Q11" s="634"/>
      <c r="R11" s="634"/>
      <c r="S11" s="634"/>
      <c r="T11" s="634"/>
      <c r="U11" s="634"/>
      <c r="V11" s="634"/>
      <c r="W11" s="634"/>
      <c r="X11" s="634"/>
      <c r="Y11" s="634"/>
      <c r="Z11" s="634"/>
      <c r="AA11" s="634"/>
      <c r="AB11" s="634"/>
      <c r="AC11" s="634"/>
      <c r="AD11" s="634"/>
      <c r="AE11" s="634"/>
      <c r="AF11" s="634"/>
      <c r="AG11" s="634"/>
      <c r="AH11" s="634"/>
      <c r="AI11" s="634"/>
      <c r="AJ11" s="634"/>
      <c r="AK11" s="634"/>
      <c r="AL11" s="634"/>
      <c r="AM11" s="634"/>
      <c r="AN11" s="636">
        <f t="shared" si="0"/>
        <v>971</v>
      </c>
    </row>
    <row r="12" spans="1:40" ht="21" customHeight="1" x14ac:dyDescent="0.35">
      <c r="A12" s="362">
        <v>8</v>
      </c>
      <c r="B12" s="363" t="s">
        <v>19</v>
      </c>
      <c r="C12" s="634">
        <v>10</v>
      </c>
      <c r="D12" s="634">
        <v>69</v>
      </c>
      <c r="E12" s="634"/>
      <c r="F12" s="634">
        <v>4</v>
      </c>
      <c r="G12" s="634">
        <v>83</v>
      </c>
      <c r="H12" s="634">
        <v>99</v>
      </c>
      <c r="I12" s="634"/>
      <c r="J12" s="634">
        <v>18</v>
      </c>
      <c r="K12" s="634"/>
      <c r="L12" s="634">
        <v>1</v>
      </c>
      <c r="M12" s="634">
        <v>118</v>
      </c>
      <c r="N12" s="634"/>
      <c r="O12" s="634"/>
      <c r="P12" s="634"/>
      <c r="Q12" s="634"/>
      <c r="R12" s="634"/>
      <c r="S12" s="634">
        <v>1</v>
      </c>
      <c r="T12" s="634"/>
      <c r="U12" s="634"/>
      <c r="V12" s="634">
        <v>1</v>
      </c>
      <c r="W12" s="634"/>
      <c r="X12" s="634"/>
      <c r="Y12" s="634"/>
      <c r="Z12" s="634"/>
      <c r="AA12" s="634">
        <v>1</v>
      </c>
      <c r="AB12" s="634"/>
      <c r="AC12" s="634"/>
      <c r="AD12" s="634">
        <v>1</v>
      </c>
      <c r="AE12" s="634"/>
      <c r="AF12" s="634">
        <v>1</v>
      </c>
      <c r="AG12" s="634"/>
      <c r="AH12" s="634">
        <v>1</v>
      </c>
      <c r="AI12" s="634"/>
      <c r="AJ12" s="634"/>
      <c r="AK12" s="634"/>
      <c r="AL12" s="634"/>
      <c r="AM12" s="634"/>
      <c r="AN12" s="636">
        <f t="shared" si="0"/>
        <v>204</v>
      </c>
    </row>
    <row r="13" spans="1:40" ht="21" customHeight="1" x14ac:dyDescent="0.35">
      <c r="A13" s="362">
        <v>9</v>
      </c>
      <c r="B13" s="363" t="s">
        <v>20</v>
      </c>
      <c r="C13" s="634"/>
      <c r="D13" s="634"/>
      <c r="E13" s="634"/>
      <c r="F13" s="634"/>
      <c r="G13" s="634"/>
      <c r="H13" s="634">
        <v>62</v>
      </c>
      <c r="I13" s="634"/>
      <c r="J13" s="634">
        <v>1</v>
      </c>
      <c r="K13" s="634">
        <v>2</v>
      </c>
      <c r="L13" s="634">
        <v>8</v>
      </c>
      <c r="M13" s="634">
        <v>73</v>
      </c>
      <c r="N13" s="634"/>
      <c r="O13" s="634"/>
      <c r="P13" s="634"/>
      <c r="Q13" s="634"/>
      <c r="R13" s="634"/>
      <c r="S13" s="634"/>
      <c r="T13" s="634"/>
      <c r="U13" s="634"/>
      <c r="V13" s="634"/>
      <c r="W13" s="634"/>
      <c r="X13" s="634"/>
      <c r="Y13" s="634"/>
      <c r="Z13" s="634"/>
      <c r="AA13" s="634"/>
      <c r="AB13" s="634">
        <v>1</v>
      </c>
      <c r="AC13" s="634"/>
      <c r="AD13" s="634">
        <v>1</v>
      </c>
      <c r="AE13" s="634"/>
      <c r="AF13" s="634">
        <v>1</v>
      </c>
      <c r="AG13" s="634"/>
      <c r="AH13" s="634">
        <v>1</v>
      </c>
      <c r="AI13" s="634"/>
      <c r="AJ13" s="634"/>
      <c r="AK13" s="634"/>
      <c r="AL13" s="634"/>
      <c r="AM13" s="634"/>
      <c r="AN13" s="636">
        <f t="shared" si="0"/>
        <v>75</v>
      </c>
    </row>
    <row r="14" spans="1:40" ht="21" customHeight="1" x14ac:dyDescent="0.35">
      <c r="A14" s="362">
        <v>10</v>
      </c>
      <c r="B14" s="363" t="s">
        <v>21</v>
      </c>
      <c r="C14" s="634">
        <v>1</v>
      </c>
      <c r="D14" s="634"/>
      <c r="E14" s="634"/>
      <c r="F14" s="634"/>
      <c r="G14" s="634">
        <v>1</v>
      </c>
      <c r="H14" s="634">
        <v>2387</v>
      </c>
      <c r="I14" s="634"/>
      <c r="J14" s="634">
        <v>82</v>
      </c>
      <c r="K14" s="634">
        <v>24</v>
      </c>
      <c r="L14" s="634">
        <v>35</v>
      </c>
      <c r="M14" s="634">
        <v>2528</v>
      </c>
      <c r="N14" s="634">
        <v>3</v>
      </c>
      <c r="O14" s="634">
        <v>366</v>
      </c>
      <c r="P14" s="634">
        <v>1</v>
      </c>
      <c r="Q14" s="634">
        <v>8</v>
      </c>
      <c r="R14" s="634">
        <v>378</v>
      </c>
      <c r="S14" s="634">
        <v>1</v>
      </c>
      <c r="T14" s="634"/>
      <c r="U14" s="634"/>
      <c r="V14" s="634">
        <v>1</v>
      </c>
      <c r="W14" s="634">
        <v>8</v>
      </c>
      <c r="X14" s="634">
        <v>2</v>
      </c>
      <c r="Y14" s="634">
        <v>10</v>
      </c>
      <c r="Z14" s="634"/>
      <c r="AA14" s="634">
        <v>6</v>
      </c>
      <c r="AB14" s="634"/>
      <c r="AC14" s="634"/>
      <c r="AD14" s="634">
        <v>6</v>
      </c>
      <c r="AE14" s="634">
        <v>4</v>
      </c>
      <c r="AF14" s="634">
        <v>1</v>
      </c>
      <c r="AG14" s="634"/>
      <c r="AH14" s="634">
        <v>5</v>
      </c>
      <c r="AI14" s="634"/>
      <c r="AJ14" s="634"/>
      <c r="AK14" s="634"/>
      <c r="AL14" s="634"/>
      <c r="AM14" s="634"/>
      <c r="AN14" s="636">
        <f t="shared" si="0"/>
        <v>2929</v>
      </c>
    </row>
    <row r="15" spans="1:40" ht="21" customHeight="1" x14ac:dyDescent="0.35">
      <c r="A15" s="362">
        <v>11</v>
      </c>
      <c r="B15" s="363" t="s">
        <v>22</v>
      </c>
      <c r="C15" s="634">
        <v>1</v>
      </c>
      <c r="D15" s="634"/>
      <c r="E15" s="634">
        <v>1</v>
      </c>
      <c r="F15" s="634"/>
      <c r="G15" s="634">
        <v>2</v>
      </c>
      <c r="H15" s="634">
        <v>1106</v>
      </c>
      <c r="I15" s="634"/>
      <c r="J15" s="634">
        <v>16</v>
      </c>
      <c r="K15" s="634"/>
      <c r="L15" s="634">
        <v>1</v>
      </c>
      <c r="M15" s="634">
        <v>1123</v>
      </c>
      <c r="N15" s="634"/>
      <c r="O15" s="634">
        <v>4</v>
      </c>
      <c r="P15" s="634"/>
      <c r="Q15" s="634"/>
      <c r="R15" s="634">
        <v>4</v>
      </c>
      <c r="S15" s="634"/>
      <c r="T15" s="634"/>
      <c r="U15" s="634"/>
      <c r="V15" s="634"/>
      <c r="W15" s="634">
        <v>1</v>
      </c>
      <c r="X15" s="634"/>
      <c r="Y15" s="634">
        <v>1</v>
      </c>
      <c r="Z15" s="634"/>
      <c r="AA15" s="634"/>
      <c r="AB15" s="634"/>
      <c r="AC15" s="634"/>
      <c r="AD15" s="634"/>
      <c r="AE15" s="634">
        <v>1</v>
      </c>
      <c r="AF15" s="634">
        <v>1</v>
      </c>
      <c r="AG15" s="634"/>
      <c r="AH15" s="634">
        <v>2</v>
      </c>
      <c r="AI15" s="634"/>
      <c r="AJ15" s="634"/>
      <c r="AK15" s="634"/>
      <c r="AL15" s="634"/>
      <c r="AM15" s="634"/>
      <c r="AN15" s="636">
        <f t="shared" si="0"/>
        <v>1132</v>
      </c>
    </row>
    <row r="16" spans="1:40" ht="21" customHeight="1" x14ac:dyDescent="0.35">
      <c r="A16" s="362">
        <v>12</v>
      </c>
      <c r="B16" s="363" t="s">
        <v>23</v>
      </c>
      <c r="C16" s="634">
        <v>1</v>
      </c>
      <c r="D16" s="634"/>
      <c r="E16" s="634"/>
      <c r="F16" s="634"/>
      <c r="G16" s="634">
        <v>1</v>
      </c>
      <c r="H16" s="634">
        <v>348</v>
      </c>
      <c r="I16" s="634"/>
      <c r="J16" s="634">
        <v>8</v>
      </c>
      <c r="K16" s="634">
        <v>1</v>
      </c>
      <c r="L16" s="634">
        <v>3</v>
      </c>
      <c r="M16" s="634">
        <v>360</v>
      </c>
      <c r="N16" s="634"/>
      <c r="O16" s="634"/>
      <c r="P16" s="634"/>
      <c r="Q16" s="634"/>
      <c r="R16" s="634"/>
      <c r="S16" s="634"/>
      <c r="T16" s="634"/>
      <c r="U16" s="634"/>
      <c r="V16" s="634"/>
      <c r="W16" s="634"/>
      <c r="X16" s="634"/>
      <c r="Y16" s="634"/>
      <c r="Z16" s="634"/>
      <c r="AA16" s="634"/>
      <c r="AB16" s="634"/>
      <c r="AC16" s="634"/>
      <c r="AD16" s="634"/>
      <c r="AE16" s="634"/>
      <c r="AF16" s="634">
        <v>1</v>
      </c>
      <c r="AG16" s="634"/>
      <c r="AH16" s="634">
        <v>1</v>
      </c>
      <c r="AI16" s="634"/>
      <c r="AJ16" s="634"/>
      <c r="AK16" s="634"/>
      <c r="AL16" s="634"/>
      <c r="AM16" s="634"/>
      <c r="AN16" s="636">
        <f t="shared" si="0"/>
        <v>362</v>
      </c>
    </row>
    <row r="17" spans="1:40" x14ac:dyDescent="0.35">
      <c r="A17" s="362">
        <v>13</v>
      </c>
      <c r="B17" s="363" t="s">
        <v>24</v>
      </c>
      <c r="C17" s="634"/>
      <c r="D17" s="634"/>
      <c r="E17" s="634">
        <v>4</v>
      </c>
      <c r="F17" s="634"/>
      <c r="G17" s="634">
        <v>4</v>
      </c>
      <c r="H17" s="634">
        <v>309</v>
      </c>
      <c r="I17" s="634"/>
      <c r="J17" s="634">
        <v>21</v>
      </c>
      <c r="K17" s="634">
        <v>10</v>
      </c>
      <c r="L17" s="634">
        <v>1</v>
      </c>
      <c r="M17" s="634">
        <v>341</v>
      </c>
      <c r="N17" s="634"/>
      <c r="O17" s="634"/>
      <c r="P17" s="634"/>
      <c r="Q17" s="634"/>
      <c r="R17" s="634"/>
      <c r="S17" s="634"/>
      <c r="T17" s="634"/>
      <c r="U17" s="634"/>
      <c r="V17" s="634"/>
      <c r="W17" s="634"/>
      <c r="X17" s="634"/>
      <c r="Y17" s="634"/>
      <c r="Z17" s="634"/>
      <c r="AA17" s="634"/>
      <c r="AB17" s="634"/>
      <c r="AC17" s="634"/>
      <c r="AD17" s="634"/>
      <c r="AE17" s="634"/>
      <c r="AF17" s="634"/>
      <c r="AG17" s="634"/>
      <c r="AH17" s="634"/>
      <c r="AI17" s="634"/>
      <c r="AJ17" s="634"/>
      <c r="AK17" s="634"/>
      <c r="AL17" s="634"/>
      <c r="AM17" s="634"/>
      <c r="AN17" s="636">
        <f t="shared" si="0"/>
        <v>345</v>
      </c>
    </row>
    <row r="18" spans="1:40" ht="21" customHeight="1" x14ac:dyDescent="0.35">
      <c r="A18" s="362">
        <v>14</v>
      </c>
      <c r="B18" s="363" t="s">
        <v>25</v>
      </c>
      <c r="C18" s="634"/>
      <c r="D18" s="634"/>
      <c r="E18" s="634">
        <v>1</v>
      </c>
      <c r="F18" s="634"/>
      <c r="G18" s="634">
        <v>1</v>
      </c>
      <c r="H18" s="634">
        <v>328</v>
      </c>
      <c r="I18" s="634"/>
      <c r="J18" s="634">
        <v>97</v>
      </c>
      <c r="K18" s="634"/>
      <c r="L18" s="634">
        <v>1</v>
      </c>
      <c r="M18" s="634">
        <v>426</v>
      </c>
      <c r="N18" s="634"/>
      <c r="O18" s="634">
        <v>9</v>
      </c>
      <c r="P18" s="634"/>
      <c r="Q18" s="634"/>
      <c r="R18" s="634">
        <v>9</v>
      </c>
      <c r="S18" s="634"/>
      <c r="T18" s="634"/>
      <c r="U18" s="634"/>
      <c r="V18" s="634"/>
      <c r="W18" s="634"/>
      <c r="X18" s="634"/>
      <c r="Y18" s="634"/>
      <c r="Z18" s="634"/>
      <c r="AA18" s="634">
        <v>1</v>
      </c>
      <c r="AB18" s="634">
        <v>3</v>
      </c>
      <c r="AC18" s="634"/>
      <c r="AD18" s="634">
        <v>4</v>
      </c>
      <c r="AE18" s="634"/>
      <c r="AF18" s="634"/>
      <c r="AG18" s="634"/>
      <c r="AH18" s="634"/>
      <c r="AI18" s="634"/>
      <c r="AJ18" s="634"/>
      <c r="AK18" s="634"/>
      <c r="AL18" s="634"/>
      <c r="AM18" s="634"/>
      <c r="AN18" s="636">
        <f t="shared" si="0"/>
        <v>440</v>
      </c>
    </row>
    <row r="19" spans="1:40" ht="21" customHeight="1" x14ac:dyDescent="0.35">
      <c r="A19" s="362">
        <v>15</v>
      </c>
      <c r="B19" s="363" t="s">
        <v>26</v>
      </c>
      <c r="C19" s="634"/>
      <c r="D19" s="634"/>
      <c r="E19" s="634">
        <v>3</v>
      </c>
      <c r="F19" s="634"/>
      <c r="G19" s="634">
        <v>3</v>
      </c>
      <c r="H19" s="634">
        <v>4444</v>
      </c>
      <c r="I19" s="634">
        <v>1</v>
      </c>
      <c r="J19" s="634">
        <v>80</v>
      </c>
      <c r="K19" s="634">
        <v>32</v>
      </c>
      <c r="L19" s="634">
        <v>55</v>
      </c>
      <c r="M19" s="634">
        <v>4612</v>
      </c>
      <c r="N19" s="634"/>
      <c r="O19" s="634">
        <v>10</v>
      </c>
      <c r="P19" s="634">
        <v>2</v>
      </c>
      <c r="Q19" s="634"/>
      <c r="R19" s="634">
        <v>12</v>
      </c>
      <c r="S19" s="634"/>
      <c r="T19" s="634"/>
      <c r="U19" s="634"/>
      <c r="V19" s="634"/>
      <c r="W19" s="634"/>
      <c r="X19" s="634"/>
      <c r="Y19" s="634"/>
      <c r="Z19" s="634"/>
      <c r="AA19" s="634">
        <v>58</v>
      </c>
      <c r="AB19" s="634">
        <v>5</v>
      </c>
      <c r="AC19" s="634"/>
      <c r="AD19" s="634">
        <v>63</v>
      </c>
      <c r="AE19" s="634">
        <v>4</v>
      </c>
      <c r="AF19" s="634">
        <v>1</v>
      </c>
      <c r="AG19" s="634">
        <v>1</v>
      </c>
      <c r="AH19" s="634">
        <v>6</v>
      </c>
      <c r="AI19" s="634"/>
      <c r="AJ19" s="634"/>
      <c r="AK19" s="634"/>
      <c r="AL19" s="634"/>
      <c r="AM19" s="634"/>
      <c r="AN19" s="636">
        <f t="shared" si="0"/>
        <v>4696</v>
      </c>
    </row>
    <row r="20" spans="1:40" ht="21" customHeight="1" x14ac:dyDescent="0.35">
      <c r="A20" s="362">
        <v>16</v>
      </c>
      <c r="B20" s="363" t="s">
        <v>27</v>
      </c>
      <c r="C20" s="634">
        <v>3</v>
      </c>
      <c r="D20" s="634">
        <v>1</v>
      </c>
      <c r="E20" s="634">
        <v>1</v>
      </c>
      <c r="F20" s="634"/>
      <c r="G20" s="634">
        <v>5</v>
      </c>
      <c r="H20" s="634">
        <v>1434</v>
      </c>
      <c r="I20" s="634">
        <v>1</v>
      </c>
      <c r="J20" s="634">
        <v>66</v>
      </c>
      <c r="K20" s="634">
        <v>7</v>
      </c>
      <c r="L20" s="634">
        <v>70</v>
      </c>
      <c r="M20" s="634">
        <v>1578</v>
      </c>
      <c r="N20" s="634"/>
      <c r="O20" s="634"/>
      <c r="P20" s="634"/>
      <c r="Q20" s="634"/>
      <c r="R20" s="634"/>
      <c r="S20" s="634"/>
      <c r="T20" s="634"/>
      <c r="U20" s="634"/>
      <c r="V20" s="634"/>
      <c r="W20" s="634">
        <v>1</v>
      </c>
      <c r="X20" s="634"/>
      <c r="Y20" s="634">
        <v>1</v>
      </c>
      <c r="Z20" s="634"/>
      <c r="AA20" s="634"/>
      <c r="AB20" s="634">
        <v>12</v>
      </c>
      <c r="AC20" s="634"/>
      <c r="AD20" s="634">
        <v>12</v>
      </c>
      <c r="AE20" s="634"/>
      <c r="AF20" s="634">
        <v>1</v>
      </c>
      <c r="AG20" s="634">
        <v>1</v>
      </c>
      <c r="AH20" s="634">
        <v>2</v>
      </c>
      <c r="AI20" s="634"/>
      <c r="AJ20" s="634"/>
      <c r="AK20" s="634"/>
      <c r="AL20" s="634"/>
      <c r="AM20" s="634"/>
      <c r="AN20" s="636">
        <f t="shared" si="0"/>
        <v>1598</v>
      </c>
    </row>
    <row r="21" spans="1:40" ht="21" customHeight="1" x14ac:dyDescent="0.35">
      <c r="A21" s="362">
        <v>17</v>
      </c>
      <c r="B21" s="363" t="s">
        <v>28</v>
      </c>
      <c r="C21" s="634"/>
      <c r="D21" s="634"/>
      <c r="E21" s="634"/>
      <c r="F21" s="634"/>
      <c r="G21" s="634"/>
      <c r="H21" s="634">
        <v>5</v>
      </c>
      <c r="I21" s="634"/>
      <c r="J21" s="634">
        <v>1</v>
      </c>
      <c r="K21" s="634">
        <v>2</v>
      </c>
      <c r="L21" s="634"/>
      <c r="M21" s="634">
        <v>8</v>
      </c>
      <c r="N21" s="634"/>
      <c r="O21" s="634"/>
      <c r="P21" s="634"/>
      <c r="Q21" s="634"/>
      <c r="R21" s="634"/>
      <c r="S21" s="634"/>
      <c r="T21" s="634"/>
      <c r="U21" s="634"/>
      <c r="V21" s="634"/>
      <c r="W21" s="634"/>
      <c r="X21" s="634"/>
      <c r="Y21" s="634"/>
      <c r="Z21" s="634"/>
      <c r="AA21" s="634"/>
      <c r="AB21" s="634"/>
      <c r="AC21" s="634"/>
      <c r="AD21" s="634"/>
      <c r="AE21" s="634"/>
      <c r="AF21" s="634"/>
      <c r="AG21" s="634"/>
      <c r="AH21" s="634"/>
      <c r="AI21" s="634"/>
      <c r="AJ21" s="634"/>
      <c r="AK21" s="634"/>
      <c r="AL21" s="634"/>
      <c r="AM21" s="634"/>
      <c r="AN21" s="636">
        <f t="shared" si="0"/>
        <v>8</v>
      </c>
    </row>
    <row r="22" spans="1:40" ht="21" customHeight="1" x14ac:dyDescent="0.35">
      <c r="A22" s="362">
        <v>18</v>
      </c>
      <c r="B22" s="363" t="s">
        <v>72</v>
      </c>
      <c r="C22" s="634">
        <v>4</v>
      </c>
      <c r="D22" s="634"/>
      <c r="E22" s="634">
        <v>3</v>
      </c>
      <c r="F22" s="634"/>
      <c r="G22" s="634">
        <v>7</v>
      </c>
      <c r="H22" s="634"/>
      <c r="I22" s="634"/>
      <c r="J22" s="634"/>
      <c r="K22" s="634"/>
      <c r="L22" s="634"/>
      <c r="M22" s="634"/>
      <c r="N22" s="634"/>
      <c r="O22" s="634"/>
      <c r="P22" s="634"/>
      <c r="Q22" s="634"/>
      <c r="R22" s="634"/>
      <c r="S22" s="634"/>
      <c r="T22" s="634"/>
      <c r="U22" s="634"/>
      <c r="V22" s="634"/>
      <c r="W22" s="634"/>
      <c r="X22" s="634"/>
      <c r="Y22" s="634"/>
      <c r="Z22" s="634"/>
      <c r="AA22" s="634"/>
      <c r="AB22" s="634"/>
      <c r="AC22" s="634"/>
      <c r="AD22" s="634"/>
      <c r="AE22" s="634"/>
      <c r="AF22" s="634"/>
      <c r="AG22" s="634"/>
      <c r="AH22" s="634"/>
      <c r="AI22" s="634"/>
      <c r="AJ22" s="634"/>
      <c r="AK22" s="634"/>
      <c r="AL22" s="634"/>
      <c r="AM22" s="634"/>
      <c r="AN22" s="636">
        <f t="shared" si="0"/>
        <v>7</v>
      </c>
    </row>
    <row r="23" spans="1:40" ht="21" customHeight="1" x14ac:dyDescent="0.35">
      <c r="A23" s="362">
        <v>19</v>
      </c>
      <c r="B23" s="363" t="s">
        <v>29</v>
      </c>
      <c r="C23" s="634">
        <v>26</v>
      </c>
      <c r="D23" s="634"/>
      <c r="E23" s="634">
        <v>2</v>
      </c>
      <c r="F23" s="634"/>
      <c r="G23" s="634">
        <v>28</v>
      </c>
      <c r="H23" s="634">
        <v>2523</v>
      </c>
      <c r="I23" s="634"/>
      <c r="J23" s="634">
        <v>33</v>
      </c>
      <c r="K23" s="634"/>
      <c r="L23" s="634">
        <v>700</v>
      </c>
      <c r="M23" s="634">
        <v>3256</v>
      </c>
      <c r="N23" s="634">
        <v>2</v>
      </c>
      <c r="O23" s="634">
        <v>78</v>
      </c>
      <c r="P23" s="634"/>
      <c r="Q23" s="634">
        <v>1</v>
      </c>
      <c r="R23" s="634">
        <v>81</v>
      </c>
      <c r="S23" s="634">
        <v>1</v>
      </c>
      <c r="T23" s="634"/>
      <c r="U23" s="634"/>
      <c r="V23" s="634">
        <v>1</v>
      </c>
      <c r="W23" s="634"/>
      <c r="X23" s="634"/>
      <c r="Y23" s="634"/>
      <c r="Z23" s="634"/>
      <c r="AA23" s="634"/>
      <c r="AB23" s="634"/>
      <c r="AC23" s="634"/>
      <c r="AD23" s="634"/>
      <c r="AE23" s="634">
        <v>2</v>
      </c>
      <c r="AF23" s="634">
        <v>1</v>
      </c>
      <c r="AG23" s="634"/>
      <c r="AH23" s="634">
        <v>3</v>
      </c>
      <c r="AI23" s="634"/>
      <c r="AJ23" s="634"/>
      <c r="AK23" s="634"/>
      <c r="AL23" s="634"/>
      <c r="AM23" s="634"/>
      <c r="AN23" s="636">
        <f t="shared" si="0"/>
        <v>3369</v>
      </c>
    </row>
    <row r="24" spans="1:40" ht="21" customHeight="1" x14ac:dyDescent="0.35">
      <c r="A24" s="362">
        <v>20</v>
      </c>
      <c r="B24" s="363" t="s">
        <v>30</v>
      </c>
      <c r="C24" s="634">
        <v>5</v>
      </c>
      <c r="D24" s="634">
        <v>2</v>
      </c>
      <c r="E24" s="634">
        <v>2</v>
      </c>
      <c r="F24" s="634">
        <v>1</v>
      </c>
      <c r="G24" s="634">
        <v>10</v>
      </c>
      <c r="H24" s="634">
        <v>5291</v>
      </c>
      <c r="I24" s="634"/>
      <c r="J24" s="634">
        <v>92</v>
      </c>
      <c r="K24" s="634">
        <v>3</v>
      </c>
      <c r="L24" s="634">
        <v>248</v>
      </c>
      <c r="M24" s="634">
        <v>5634</v>
      </c>
      <c r="N24" s="634"/>
      <c r="O24" s="634"/>
      <c r="P24" s="634"/>
      <c r="Q24" s="634"/>
      <c r="R24" s="634"/>
      <c r="S24" s="634">
        <v>2</v>
      </c>
      <c r="T24" s="634">
        <v>2</v>
      </c>
      <c r="U24" s="634"/>
      <c r="V24" s="634">
        <v>4</v>
      </c>
      <c r="W24" s="634"/>
      <c r="X24" s="634">
        <v>1</v>
      </c>
      <c r="Y24" s="634">
        <v>1</v>
      </c>
      <c r="Z24" s="634"/>
      <c r="AA24" s="634">
        <v>104</v>
      </c>
      <c r="AB24" s="634">
        <v>3</v>
      </c>
      <c r="AC24" s="634">
        <v>3</v>
      </c>
      <c r="AD24" s="634">
        <v>110</v>
      </c>
      <c r="AE24" s="634"/>
      <c r="AF24" s="634">
        <v>1</v>
      </c>
      <c r="AG24" s="634"/>
      <c r="AH24" s="634">
        <v>1</v>
      </c>
      <c r="AI24" s="634"/>
      <c r="AJ24" s="634"/>
      <c r="AK24" s="634"/>
      <c r="AL24" s="634"/>
      <c r="AM24" s="634"/>
      <c r="AN24" s="636">
        <f t="shared" si="0"/>
        <v>5760</v>
      </c>
    </row>
    <row r="25" spans="1:40" ht="21" customHeight="1" x14ac:dyDescent="0.35">
      <c r="A25" s="362">
        <v>21</v>
      </c>
      <c r="B25" s="363" t="s">
        <v>31</v>
      </c>
      <c r="C25" s="634">
        <v>107</v>
      </c>
      <c r="D25" s="634">
        <v>3</v>
      </c>
      <c r="E25" s="634"/>
      <c r="F25" s="634"/>
      <c r="G25" s="634">
        <v>110</v>
      </c>
      <c r="H25" s="634"/>
      <c r="I25" s="634"/>
      <c r="J25" s="634"/>
      <c r="K25" s="634"/>
      <c r="L25" s="634"/>
      <c r="M25" s="634"/>
      <c r="N25" s="634"/>
      <c r="O25" s="634"/>
      <c r="P25" s="634"/>
      <c r="Q25" s="634"/>
      <c r="R25" s="634"/>
      <c r="S25" s="634"/>
      <c r="T25" s="634"/>
      <c r="U25" s="634"/>
      <c r="V25" s="634"/>
      <c r="W25" s="634"/>
      <c r="X25" s="634"/>
      <c r="Y25" s="634"/>
      <c r="Z25" s="634"/>
      <c r="AA25" s="634"/>
      <c r="AB25" s="634"/>
      <c r="AC25" s="634"/>
      <c r="AD25" s="634"/>
      <c r="AE25" s="634"/>
      <c r="AF25" s="634"/>
      <c r="AG25" s="634"/>
      <c r="AH25" s="634"/>
      <c r="AI25" s="634"/>
      <c r="AJ25" s="634"/>
      <c r="AK25" s="634"/>
      <c r="AL25" s="634"/>
      <c r="AM25" s="634"/>
      <c r="AN25" s="636">
        <f t="shared" si="0"/>
        <v>110</v>
      </c>
    </row>
    <row r="26" spans="1:40" ht="21" customHeight="1" x14ac:dyDescent="0.35">
      <c r="A26" s="362">
        <v>22</v>
      </c>
      <c r="B26" s="363" t="s">
        <v>32</v>
      </c>
      <c r="C26" s="634">
        <v>76</v>
      </c>
      <c r="D26" s="634">
        <v>3</v>
      </c>
      <c r="E26" s="634">
        <v>1</v>
      </c>
      <c r="F26" s="634"/>
      <c r="G26" s="634">
        <v>80</v>
      </c>
      <c r="H26" s="634"/>
      <c r="I26" s="634"/>
      <c r="J26" s="634"/>
      <c r="K26" s="634"/>
      <c r="L26" s="634">
        <v>2</v>
      </c>
      <c r="M26" s="634">
        <v>2</v>
      </c>
      <c r="N26" s="634"/>
      <c r="O26" s="634"/>
      <c r="P26" s="634"/>
      <c r="Q26" s="634"/>
      <c r="R26" s="634"/>
      <c r="S26" s="634"/>
      <c r="T26" s="634"/>
      <c r="U26" s="634"/>
      <c r="V26" s="634"/>
      <c r="W26" s="634"/>
      <c r="X26" s="634"/>
      <c r="Y26" s="634"/>
      <c r="Z26" s="634"/>
      <c r="AA26" s="634"/>
      <c r="AB26" s="634"/>
      <c r="AC26" s="634"/>
      <c r="AD26" s="634"/>
      <c r="AE26" s="634"/>
      <c r="AF26" s="634">
        <v>1</v>
      </c>
      <c r="AG26" s="634"/>
      <c r="AH26" s="634">
        <v>1</v>
      </c>
      <c r="AI26" s="634"/>
      <c r="AJ26" s="634"/>
      <c r="AK26" s="634"/>
      <c r="AL26" s="634"/>
      <c r="AM26" s="634"/>
      <c r="AN26" s="636">
        <f t="shared" si="0"/>
        <v>83</v>
      </c>
    </row>
    <row r="27" spans="1:40" ht="21" customHeight="1" x14ac:dyDescent="0.35">
      <c r="A27" s="362">
        <v>23</v>
      </c>
      <c r="B27" s="363" t="s">
        <v>33</v>
      </c>
      <c r="C27" s="634">
        <v>37</v>
      </c>
      <c r="D27" s="634">
        <v>3</v>
      </c>
      <c r="E27" s="634"/>
      <c r="F27" s="634"/>
      <c r="G27" s="634">
        <v>40</v>
      </c>
      <c r="H27" s="634"/>
      <c r="I27" s="634"/>
      <c r="J27" s="634"/>
      <c r="K27" s="634"/>
      <c r="L27" s="634"/>
      <c r="M27" s="634"/>
      <c r="N27" s="634"/>
      <c r="O27" s="634"/>
      <c r="P27" s="634"/>
      <c r="Q27" s="634"/>
      <c r="R27" s="634"/>
      <c r="S27" s="634"/>
      <c r="T27" s="634"/>
      <c r="U27" s="634"/>
      <c r="V27" s="634"/>
      <c r="W27" s="634"/>
      <c r="X27" s="634"/>
      <c r="Y27" s="634"/>
      <c r="Z27" s="634"/>
      <c r="AA27" s="634"/>
      <c r="AB27" s="634"/>
      <c r="AC27" s="634"/>
      <c r="AD27" s="634"/>
      <c r="AE27" s="634"/>
      <c r="AF27" s="634"/>
      <c r="AG27" s="634"/>
      <c r="AH27" s="634"/>
      <c r="AI27" s="634"/>
      <c r="AJ27" s="634"/>
      <c r="AK27" s="634"/>
      <c r="AL27" s="634"/>
      <c r="AM27" s="634"/>
      <c r="AN27" s="636">
        <f t="shared" si="0"/>
        <v>40</v>
      </c>
    </row>
    <row r="28" spans="1:40" ht="21" customHeight="1" x14ac:dyDescent="0.35">
      <c r="A28" s="362">
        <v>24</v>
      </c>
      <c r="B28" s="363" t="s">
        <v>34</v>
      </c>
      <c r="C28" s="634">
        <v>69</v>
      </c>
      <c r="D28" s="634">
        <v>1</v>
      </c>
      <c r="E28" s="634"/>
      <c r="F28" s="634"/>
      <c r="G28" s="634">
        <v>70</v>
      </c>
      <c r="H28" s="634"/>
      <c r="I28" s="634"/>
      <c r="J28" s="634"/>
      <c r="K28" s="634"/>
      <c r="L28" s="634"/>
      <c r="M28" s="634"/>
      <c r="N28" s="634"/>
      <c r="O28" s="634"/>
      <c r="P28" s="634"/>
      <c r="Q28" s="634"/>
      <c r="R28" s="634"/>
      <c r="S28" s="634"/>
      <c r="T28" s="634"/>
      <c r="U28" s="634"/>
      <c r="V28" s="634"/>
      <c r="W28" s="634"/>
      <c r="X28" s="634"/>
      <c r="Y28" s="634"/>
      <c r="Z28" s="634"/>
      <c r="AA28" s="634"/>
      <c r="AB28" s="634"/>
      <c r="AC28" s="634"/>
      <c r="AD28" s="634"/>
      <c r="AE28" s="634"/>
      <c r="AF28" s="634"/>
      <c r="AG28" s="634"/>
      <c r="AH28" s="634"/>
      <c r="AI28" s="634"/>
      <c r="AJ28" s="634"/>
      <c r="AK28" s="634"/>
      <c r="AL28" s="634"/>
      <c r="AM28" s="634"/>
      <c r="AN28" s="636">
        <f t="shared" si="0"/>
        <v>70</v>
      </c>
    </row>
    <row r="29" spans="1:40" ht="21" customHeight="1" x14ac:dyDescent="0.35">
      <c r="A29" s="362">
        <v>25</v>
      </c>
      <c r="B29" s="363" t="s">
        <v>35</v>
      </c>
      <c r="C29" s="634"/>
      <c r="D29" s="634"/>
      <c r="E29" s="634">
        <v>2</v>
      </c>
      <c r="F29" s="634"/>
      <c r="G29" s="634">
        <v>2</v>
      </c>
      <c r="H29" s="634">
        <v>1346</v>
      </c>
      <c r="I29" s="634"/>
      <c r="J29" s="634">
        <v>24</v>
      </c>
      <c r="K29" s="634">
        <v>1</v>
      </c>
      <c r="L29" s="634">
        <v>1</v>
      </c>
      <c r="M29" s="634">
        <v>1372</v>
      </c>
      <c r="N29" s="634"/>
      <c r="O29" s="634">
        <v>7</v>
      </c>
      <c r="P29" s="634"/>
      <c r="Q29" s="634"/>
      <c r="R29" s="634">
        <v>7</v>
      </c>
      <c r="S29" s="634">
        <v>2</v>
      </c>
      <c r="T29" s="634"/>
      <c r="U29" s="634"/>
      <c r="V29" s="634">
        <v>2</v>
      </c>
      <c r="W29" s="634"/>
      <c r="X29" s="634"/>
      <c r="Y29" s="634"/>
      <c r="Z29" s="634"/>
      <c r="AA29" s="634">
        <v>8</v>
      </c>
      <c r="AB29" s="634"/>
      <c r="AC29" s="634">
        <v>1</v>
      </c>
      <c r="AD29" s="634">
        <v>9</v>
      </c>
      <c r="AE29" s="634"/>
      <c r="AF29" s="634">
        <v>1</v>
      </c>
      <c r="AG29" s="634"/>
      <c r="AH29" s="634">
        <v>1</v>
      </c>
      <c r="AI29" s="634"/>
      <c r="AJ29" s="634"/>
      <c r="AK29" s="634"/>
      <c r="AL29" s="634"/>
      <c r="AM29" s="634"/>
      <c r="AN29" s="636">
        <f t="shared" si="0"/>
        <v>1393</v>
      </c>
    </row>
    <row r="30" spans="1:40" ht="21" customHeight="1" x14ac:dyDescent="0.35">
      <c r="A30" s="362">
        <v>26</v>
      </c>
      <c r="B30" s="363" t="s">
        <v>36</v>
      </c>
      <c r="C30" s="634">
        <v>87</v>
      </c>
      <c r="D30" s="634">
        <v>1</v>
      </c>
      <c r="E30" s="634">
        <v>1</v>
      </c>
      <c r="F30" s="634"/>
      <c r="G30" s="634">
        <v>89</v>
      </c>
      <c r="H30" s="634"/>
      <c r="I30" s="634"/>
      <c r="J30" s="634"/>
      <c r="K30" s="634"/>
      <c r="L30" s="634"/>
      <c r="M30" s="634"/>
      <c r="N30" s="634"/>
      <c r="O30" s="634"/>
      <c r="P30" s="634"/>
      <c r="Q30" s="634"/>
      <c r="R30" s="634"/>
      <c r="S30" s="634"/>
      <c r="T30" s="634"/>
      <c r="U30" s="634"/>
      <c r="V30" s="634"/>
      <c r="W30" s="634"/>
      <c r="X30" s="634"/>
      <c r="Y30" s="634"/>
      <c r="Z30" s="634"/>
      <c r="AA30" s="634">
        <v>7</v>
      </c>
      <c r="AB30" s="634">
        <v>1</v>
      </c>
      <c r="AC30" s="634"/>
      <c r="AD30" s="634">
        <v>8</v>
      </c>
      <c r="AE30" s="634"/>
      <c r="AF30" s="634"/>
      <c r="AG30" s="634"/>
      <c r="AH30" s="634"/>
      <c r="AI30" s="634"/>
      <c r="AJ30" s="634"/>
      <c r="AK30" s="634"/>
      <c r="AL30" s="634"/>
      <c r="AM30" s="634"/>
      <c r="AN30" s="636">
        <f t="shared" si="0"/>
        <v>97</v>
      </c>
    </row>
    <row r="31" spans="1:40" ht="21" customHeight="1" x14ac:dyDescent="0.35">
      <c r="A31" s="362">
        <v>27</v>
      </c>
      <c r="B31" s="363" t="s">
        <v>37</v>
      </c>
      <c r="C31" s="634">
        <v>1</v>
      </c>
      <c r="D31" s="634"/>
      <c r="E31" s="634"/>
      <c r="F31" s="634"/>
      <c r="G31" s="634">
        <v>1</v>
      </c>
      <c r="H31" s="634">
        <v>983</v>
      </c>
      <c r="I31" s="634"/>
      <c r="J31" s="634">
        <v>56</v>
      </c>
      <c r="K31" s="634">
        <v>18</v>
      </c>
      <c r="L31" s="634"/>
      <c r="M31" s="634">
        <v>1057</v>
      </c>
      <c r="N31" s="634"/>
      <c r="O31" s="634"/>
      <c r="P31" s="634"/>
      <c r="Q31" s="634"/>
      <c r="R31" s="634"/>
      <c r="S31" s="634"/>
      <c r="T31" s="634"/>
      <c r="U31" s="634"/>
      <c r="V31" s="634"/>
      <c r="W31" s="634"/>
      <c r="X31" s="634"/>
      <c r="Y31" s="634"/>
      <c r="Z31" s="634"/>
      <c r="AA31" s="634"/>
      <c r="AB31" s="634"/>
      <c r="AC31" s="634"/>
      <c r="AD31" s="634"/>
      <c r="AE31" s="634">
        <v>1</v>
      </c>
      <c r="AF31" s="634"/>
      <c r="AG31" s="634"/>
      <c r="AH31" s="634">
        <v>1</v>
      </c>
      <c r="AI31" s="634"/>
      <c r="AJ31" s="634"/>
      <c r="AK31" s="634"/>
      <c r="AL31" s="634"/>
      <c r="AM31" s="634"/>
      <c r="AN31" s="636">
        <f t="shared" si="0"/>
        <v>1059</v>
      </c>
    </row>
    <row r="32" spans="1:40" ht="21" customHeight="1" x14ac:dyDescent="0.35">
      <c r="A32" s="362">
        <v>28</v>
      </c>
      <c r="B32" s="363" t="s">
        <v>38</v>
      </c>
      <c r="C32" s="634"/>
      <c r="D32" s="634"/>
      <c r="E32" s="634">
        <v>1</v>
      </c>
      <c r="F32" s="634"/>
      <c r="G32" s="634">
        <v>1</v>
      </c>
      <c r="H32" s="634">
        <v>3841</v>
      </c>
      <c r="I32" s="634">
        <v>1</v>
      </c>
      <c r="J32" s="634">
        <v>48</v>
      </c>
      <c r="K32" s="634"/>
      <c r="L32" s="634">
        <v>66</v>
      </c>
      <c r="M32" s="634">
        <v>3956</v>
      </c>
      <c r="N32" s="634"/>
      <c r="O32" s="634">
        <v>7</v>
      </c>
      <c r="P32" s="634"/>
      <c r="Q32" s="634"/>
      <c r="R32" s="634">
        <v>7</v>
      </c>
      <c r="S32" s="634"/>
      <c r="T32" s="634"/>
      <c r="U32" s="634"/>
      <c r="V32" s="634"/>
      <c r="W32" s="634"/>
      <c r="X32" s="634"/>
      <c r="Y32" s="634"/>
      <c r="Z32" s="634"/>
      <c r="AA32" s="634">
        <v>1</v>
      </c>
      <c r="AB32" s="634">
        <v>1</v>
      </c>
      <c r="AC32" s="634"/>
      <c r="AD32" s="634">
        <v>2</v>
      </c>
      <c r="AE32" s="634">
        <v>1</v>
      </c>
      <c r="AF32" s="634">
        <v>1</v>
      </c>
      <c r="AG32" s="634"/>
      <c r="AH32" s="634">
        <v>2</v>
      </c>
      <c r="AI32" s="634">
        <v>21</v>
      </c>
      <c r="AJ32" s="634"/>
      <c r="AK32" s="634">
        <v>1</v>
      </c>
      <c r="AL32" s="634">
        <v>1</v>
      </c>
      <c r="AM32" s="634">
        <v>23</v>
      </c>
      <c r="AN32" s="636">
        <f t="shared" si="0"/>
        <v>3991</v>
      </c>
    </row>
    <row r="33" spans="1:40" ht="21" customHeight="1" x14ac:dyDescent="0.35">
      <c r="A33" s="362">
        <v>29</v>
      </c>
      <c r="B33" s="363" t="s">
        <v>39</v>
      </c>
      <c r="C33" s="634">
        <v>19</v>
      </c>
      <c r="D33" s="634">
        <v>2</v>
      </c>
      <c r="E33" s="634"/>
      <c r="F33" s="634"/>
      <c r="G33" s="634">
        <v>21</v>
      </c>
      <c r="H33" s="634">
        <v>3</v>
      </c>
      <c r="I33" s="634"/>
      <c r="J33" s="634"/>
      <c r="K33" s="634"/>
      <c r="L33" s="634"/>
      <c r="M33" s="634">
        <v>3</v>
      </c>
      <c r="N33" s="634"/>
      <c r="O33" s="634">
        <v>7</v>
      </c>
      <c r="P33" s="634"/>
      <c r="Q33" s="634"/>
      <c r="R33" s="634">
        <v>7</v>
      </c>
      <c r="S33" s="634"/>
      <c r="T33" s="634"/>
      <c r="U33" s="634"/>
      <c r="V33" s="634"/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4"/>
      <c r="AJ33" s="634"/>
      <c r="AK33" s="634"/>
      <c r="AL33" s="634"/>
      <c r="AM33" s="634"/>
      <c r="AN33" s="636">
        <f t="shared" si="0"/>
        <v>31</v>
      </c>
    </row>
    <row r="34" spans="1:40" ht="21" customHeight="1" x14ac:dyDescent="0.35">
      <c r="A34" s="362">
        <v>30</v>
      </c>
      <c r="B34" s="363" t="s">
        <v>40</v>
      </c>
      <c r="C34" s="634">
        <v>5</v>
      </c>
      <c r="D34" s="634">
        <v>1</v>
      </c>
      <c r="E34" s="634"/>
      <c r="F34" s="634"/>
      <c r="G34" s="634">
        <v>6</v>
      </c>
      <c r="H34" s="634">
        <v>2823</v>
      </c>
      <c r="I34" s="634">
        <v>1</v>
      </c>
      <c r="J34" s="634">
        <v>84</v>
      </c>
      <c r="K34" s="634">
        <v>5</v>
      </c>
      <c r="L34" s="634">
        <v>1</v>
      </c>
      <c r="M34" s="634">
        <v>2914</v>
      </c>
      <c r="N34" s="634"/>
      <c r="O34" s="634"/>
      <c r="P34" s="634"/>
      <c r="Q34" s="634"/>
      <c r="R34" s="634"/>
      <c r="S34" s="634">
        <v>2</v>
      </c>
      <c r="T34" s="634"/>
      <c r="U34" s="634"/>
      <c r="V34" s="634">
        <v>2</v>
      </c>
      <c r="W34" s="634"/>
      <c r="X34" s="634"/>
      <c r="Y34" s="634"/>
      <c r="Z34" s="634"/>
      <c r="AA34" s="634">
        <v>37</v>
      </c>
      <c r="AB34" s="634">
        <v>7</v>
      </c>
      <c r="AC34" s="634"/>
      <c r="AD34" s="634">
        <v>44</v>
      </c>
      <c r="AE34" s="634">
        <v>2</v>
      </c>
      <c r="AF34" s="634">
        <v>1</v>
      </c>
      <c r="AG34" s="634"/>
      <c r="AH34" s="634">
        <v>3</v>
      </c>
      <c r="AI34" s="634"/>
      <c r="AJ34" s="634"/>
      <c r="AK34" s="634"/>
      <c r="AL34" s="634"/>
      <c r="AM34" s="634"/>
      <c r="AN34" s="636">
        <f t="shared" si="0"/>
        <v>2969</v>
      </c>
    </row>
    <row r="35" spans="1:40" ht="21" customHeight="1" x14ac:dyDescent="0.35">
      <c r="A35" s="362">
        <v>31</v>
      </c>
      <c r="B35" s="363" t="s">
        <v>41</v>
      </c>
      <c r="C35" s="634"/>
      <c r="D35" s="634">
        <v>1</v>
      </c>
      <c r="E35" s="634"/>
      <c r="F35" s="634">
        <v>2</v>
      </c>
      <c r="G35" s="634">
        <v>3</v>
      </c>
      <c r="H35" s="634">
        <v>2058</v>
      </c>
      <c r="I35" s="634">
        <v>3</v>
      </c>
      <c r="J35" s="634">
        <v>41</v>
      </c>
      <c r="K35" s="634">
        <v>5</v>
      </c>
      <c r="L35" s="634"/>
      <c r="M35" s="634">
        <v>2107</v>
      </c>
      <c r="N35" s="634"/>
      <c r="O35" s="634"/>
      <c r="P35" s="634"/>
      <c r="Q35" s="634"/>
      <c r="R35" s="634"/>
      <c r="S35" s="634"/>
      <c r="T35" s="634"/>
      <c r="U35" s="634"/>
      <c r="V35" s="634"/>
      <c r="W35" s="634"/>
      <c r="X35" s="634">
        <v>1</v>
      </c>
      <c r="Y35" s="634">
        <v>1</v>
      </c>
      <c r="Z35" s="634"/>
      <c r="AA35" s="634">
        <v>3</v>
      </c>
      <c r="AB35" s="634">
        <v>3</v>
      </c>
      <c r="AC35" s="634"/>
      <c r="AD35" s="634">
        <v>6</v>
      </c>
      <c r="AE35" s="634">
        <v>2</v>
      </c>
      <c r="AF35" s="634">
        <v>1</v>
      </c>
      <c r="AG35" s="634"/>
      <c r="AH35" s="634">
        <v>3</v>
      </c>
      <c r="AI35" s="634"/>
      <c r="AJ35" s="634"/>
      <c r="AK35" s="634"/>
      <c r="AL35" s="634"/>
      <c r="AM35" s="634"/>
      <c r="AN35" s="636">
        <f t="shared" si="0"/>
        <v>2120</v>
      </c>
    </row>
    <row r="36" spans="1:40" ht="26" x14ac:dyDescent="0.35">
      <c r="A36" s="362">
        <v>32</v>
      </c>
      <c r="B36" s="363" t="s">
        <v>60</v>
      </c>
      <c r="C36" s="634"/>
      <c r="D36" s="634"/>
      <c r="E36" s="634"/>
      <c r="F36" s="634"/>
      <c r="G36" s="634"/>
      <c r="H36" s="634">
        <v>19</v>
      </c>
      <c r="I36" s="634"/>
      <c r="J36" s="634"/>
      <c r="K36" s="634"/>
      <c r="L36" s="634">
        <v>1</v>
      </c>
      <c r="M36" s="634">
        <v>20</v>
      </c>
      <c r="N36" s="634"/>
      <c r="O36" s="634"/>
      <c r="P36" s="634"/>
      <c r="Q36" s="634"/>
      <c r="R36" s="634"/>
      <c r="S36" s="634"/>
      <c r="T36" s="634"/>
      <c r="U36" s="634"/>
      <c r="V36" s="634"/>
      <c r="W36" s="634"/>
      <c r="X36" s="634"/>
      <c r="Y36" s="634"/>
      <c r="Z36" s="634"/>
      <c r="AA36" s="634"/>
      <c r="AB36" s="634"/>
      <c r="AC36" s="634"/>
      <c r="AD36" s="634"/>
      <c r="AE36" s="634">
        <v>1</v>
      </c>
      <c r="AF36" s="634">
        <v>1</v>
      </c>
      <c r="AG36" s="634"/>
      <c r="AH36" s="634">
        <v>2</v>
      </c>
      <c r="AI36" s="634"/>
      <c r="AJ36" s="634"/>
      <c r="AK36" s="634"/>
      <c r="AL36" s="634"/>
      <c r="AM36" s="634"/>
      <c r="AN36" s="636">
        <f t="shared" si="0"/>
        <v>22</v>
      </c>
    </row>
    <row r="37" spans="1:40" ht="21" customHeight="1" x14ac:dyDescent="0.35">
      <c r="A37" s="362">
        <v>33</v>
      </c>
      <c r="B37" s="363" t="s">
        <v>42</v>
      </c>
      <c r="C37" s="634">
        <v>55</v>
      </c>
      <c r="D37" s="634">
        <v>1</v>
      </c>
      <c r="E37" s="634">
        <v>1</v>
      </c>
      <c r="F37" s="634"/>
      <c r="G37" s="634">
        <v>57</v>
      </c>
      <c r="H37" s="634">
        <v>3</v>
      </c>
      <c r="I37" s="634"/>
      <c r="J37" s="634"/>
      <c r="K37" s="634"/>
      <c r="L37" s="634"/>
      <c r="M37" s="634">
        <v>3</v>
      </c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634"/>
      <c r="AB37" s="634"/>
      <c r="AC37" s="634"/>
      <c r="AD37" s="634"/>
      <c r="AE37" s="634"/>
      <c r="AF37" s="634">
        <v>1</v>
      </c>
      <c r="AG37" s="634"/>
      <c r="AH37" s="634">
        <v>1</v>
      </c>
      <c r="AI37" s="634"/>
      <c r="AJ37" s="634"/>
      <c r="AK37" s="634"/>
      <c r="AL37" s="634"/>
      <c r="AM37" s="634"/>
      <c r="AN37" s="636">
        <f t="shared" si="0"/>
        <v>61</v>
      </c>
    </row>
    <row r="38" spans="1:40" ht="21" customHeight="1" x14ac:dyDescent="0.35">
      <c r="A38" s="362">
        <v>34</v>
      </c>
      <c r="B38" s="363" t="s">
        <v>43</v>
      </c>
      <c r="C38" s="634">
        <v>5</v>
      </c>
      <c r="D38" s="634">
        <v>15</v>
      </c>
      <c r="E38" s="634">
        <v>6</v>
      </c>
      <c r="F38" s="634">
        <v>1</v>
      </c>
      <c r="G38" s="634">
        <v>27</v>
      </c>
      <c r="H38" s="634">
        <v>8257</v>
      </c>
      <c r="I38" s="634"/>
      <c r="J38" s="634">
        <v>33</v>
      </c>
      <c r="K38" s="634"/>
      <c r="L38" s="634">
        <v>24</v>
      </c>
      <c r="M38" s="634">
        <v>8314</v>
      </c>
      <c r="N38" s="634"/>
      <c r="O38" s="634">
        <v>11</v>
      </c>
      <c r="P38" s="634">
        <v>2</v>
      </c>
      <c r="Q38" s="634">
        <v>1</v>
      </c>
      <c r="R38" s="634">
        <v>14</v>
      </c>
      <c r="S38" s="634">
        <v>1</v>
      </c>
      <c r="T38" s="634"/>
      <c r="U38" s="634"/>
      <c r="V38" s="634">
        <v>1</v>
      </c>
      <c r="W38" s="634">
        <v>18</v>
      </c>
      <c r="X38" s="634"/>
      <c r="Y38" s="634">
        <v>18</v>
      </c>
      <c r="Z38" s="634"/>
      <c r="AA38" s="634">
        <v>2</v>
      </c>
      <c r="AB38" s="634">
        <v>1</v>
      </c>
      <c r="AC38" s="634"/>
      <c r="AD38" s="634">
        <v>3</v>
      </c>
      <c r="AE38" s="634">
        <v>1</v>
      </c>
      <c r="AF38" s="634">
        <v>2</v>
      </c>
      <c r="AG38" s="634"/>
      <c r="AH38" s="634">
        <v>3</v>
      </c>
      <c r="AI38" s="634"/>
      <c r="AJ38" s="634"/>
      <c r="AK38" s="634"/>
      <c r="AL38" s="634"/>
      <c r="AM38" s="634"/>
      <c r="AN38" s="636">
        <f t="shared" si="0"/>
        <v>8380</v>
      </c>
    </row>
    <row r="39" spans="1:40" ht="21" customHeight="1" x14ac:dyDescent="0.35">
      <c r="A39" s="362">
        <v>35</v>
      </c>
      <c r="B39" s="363" t="s">
        <v>44</v>
      </c>
      <c r="C39" s="634">
        <v>82</v>
      </c>
      <c r="D39" s="634"/>
      <c r="E39" s="634">
        <v>1</v>
      </c>
      <c r="F39" s="634"/>
      <c r="G39" s="634">
        <v>83</v>
      </c>
      <c r="H39" s="634">
        <v>414</v>
      </c>
      <c r="I39" s="634"/>
      <c r="J39" s="634">
        <v>17</v>
      </c>
      <c r="K39" s="634">
        <v>2</v>
      </c>
      <c r="L39" s="634">
        <v>1</v>
      </c>
      <c r="M39" s="634">
        <v>434</v>
      </c>
      <c r="N39" s="634"/>
      <c r="O39" s="634">
        <v>8</v>
      </c>
      <c r="P39" s="634"/>
      <c r="Q39" s="634"/>
      <c r="R39" s="634">
        <v>8</v>
      </c>
      <c r="S39" s="634"/>
      <c r="T39" s="634"/>
      <c r="U39" s="634"/>
      <c r="V39" s="634"/>
      <c r="W39" s="634"/>
      <c r="X39" s="634"/>
      <c r="Y39" s="634"/>
      <c r="Z39" s="634"/>
      <c r="AA39" s="634"/>
      <c r="AB39" s="634"/>
      <c r="AC39" s="634"/>
      <c r="AD39" s="634"/>
      <c r="AE39" s="634"/>
      <c r="AF39" s="634"/>
      <c r="AG39" s="634"/>
      <c r="AH39" s="634"/>
      <c r="AI39" s="634"/>
      <c r="AJ39" s="634"/>
      <c r="AK39" s="634"/>
      <c r="AL39" s="634"/>
      <c r="AM39" s="634"/>
      <c r="AN39" s="636">
        <f t="shared" si="0"/>
        <v>525</v>
      </c>
    </row>
    <row r="40" spans="1:40" ht="21" customHeight="1" x14ac:dyDescent="0.35">
      <c r="A40" s="362">
        <v>36</v>
      </c>
      <c r="B40" s="363" t="s">
        <v>45</v>
      </c>
      <c r="C40" s="634">
        <v>1</v>
      </c>
      <c r="D40" s="634">
        <v>1</v>
      </c>
      <c r="E40" s="634">
        <v>3</v>
      </c>
      <c r="F40" s="634"/>
      <c r="G40" s="634">
        <v>5</v>
      </c>
      <c r="H40" s="634">
        <v>1514</v>
      </c>
      <c r="I40" s="634"/>
      <c r="J40" s="634">
        <v>45</v>
      </c>
      <c r="K40" s="634">
        <v>1</v>
      </c>
      <c r="L40" s="634">
        <v>15</v>
      </c>
      <c r="M40" s="634">
        <v>1575</v>
      </c>
      <c r="N40" s="634"/>
      <c r="O40" s="634">
        <v>1</v>
      </c>
      <c r="P40" s="634"/>
      <c r="Q40" s="634"/>
      <c r="R40" s="634">
        <v>1</v>
      </c>
      <c r="S40" s="634">
        <v>2</v>
      </c>
      <c r="T40" s="634">
        <v>1</v>
      </c>
      <c r="U40" s="634">
        <v>1</v>
      </c>
      <c r="V40" s="634">
        <v>4</v>
      </c>
      <c r="W40" s="634"/>
      <c r="X40" s="634"/>
      <c r="Y40" s="634"/>
      <c r="Z40" s="634">
        <v>2</v>
      </c>
      <c r="AA40" s="634">
        <v>1</v>
      </c>
      <c r="AB40" s="634">
        <v>2</v>
      </c>
      <c r="AC40" s="634"/>
      <c r="AD40" s="634">
        <v>5</v>
      </c>
      <c r="AE40" s="634">
        <v>1</v>
      </c>
      <c r="AF40" s="634">
        <v>1</v>
      </c>
      <c r="AG40" s="634"/>
      <c r="AH40" s="634">
        <v>2</v>
      </c>
      <c r="AI40" s="634"/>
      <c r="AJ40" s="634"/>
      <c r="AK40" s="634"/>
      <c r="AL40" s="634"/>
      <c r="AM40" s="634"/>
      <c r="AN40" s="636">
        <f t="shared" si="0"/>
        <v>1592</v>
      </c>
    </row>
    <row r="41" spans="1:40" s="365" customFormat="1" ht="21" customHeight="1" x14ac:dyDescent="0.35">
      <c r="A41" s="930" t="s">
        <v>12</v>
      </c>
      <c r="B41" s="930"/>
      <c r="C41" s="1000">
        <v>721</v>
      </c>
      <c r="D41" s="1000">
        <v>114</v>
      </c>
      <c r="E41" s="1000">
        <v>37</v>
      </c>
      <c r="F41" s="1000">
        <v>8</v>
      </c>
      <c r="G41" s="1000">
        <v>880</v>
      </c>
      <c r="H41" s="1000">
        <v>44536</v>
      </c>
      <c r="I41" s="1000">
        <v>11</v>
      </c>
      <c r="J41" s="1000">
        <v>1253</v>
      </c>
      <c r="K41" s="1000">
        <v>118</v>
      </c>
      <c r="L41" s="1000">
        <v>1254</v>
      </c>
      <c r="M41" s="1000">
        <v>47172</v>
      </c>
      <c r="N41" s="1000">
        <v>6</v>
      </c>
      <c r="O41" s="1000">
        <v>512</v>
      </c>
      <c r="P41" s="1000">
        <v>5</v>
      </c>
      <c r="Q41" s="1000">
        <v>10</v>
      </c>
      <c r="R41" s="1000">
        <v>533</v>
      </c>
      <c r="S41" s="1000">
        <v>12</v>
      </c>
      <c r="T41" s="1000">
        <v>4</v>
      </c>
      <c r="U41" s="1000">
        <v>1</v>
      </c>
      <c r="V41" s="1000">
        <v>17</v>
      </c>
      <c r="W41" s="1000">
        <v>28</v>
      </c>
      <c r="X41" s="1000">
        <v>5</v>
      </c>
      <c r="Y41" s="1000">
        <v>33</v>
      </c>
      <c r="Z41" s="1000">
        <v>2</v>
      </c>
      <c r="AA41" s="1000">
        <v>229</v>
      </c>
      <c r="AB41" s="1000">
        <v>41</v>
      </c>
      <c r="AC41" s="1000">
        <v>4</v>
      </c>
      <c r="AD41" s="1000">
        <v>276</v>
      </c>
      <c r="AE41" s="1000">
        <v>22</v>
      </c>
      <c r="AF41" s="1000">
        <v>21</v>
      </c>
      <c r="AG41" s="636">
        <v>2</v>
      </c>
      <c r="AH41" s="636">
        <v>45</v>
      </c>
      <c r="AI41" s="636">
        <v>21</v>
      </c>
      <c r="AJ41" s="636">
        <v>2</v>
      </c>
      <c r="AK41" s="636">
        <v>1</v>
      </c>
      <c r="AL41" s="636">
        <v>1</v>
      </c>
      <c r="AM41" s="636">
        <v>25</v>
      </c>
      <c r="AN41" s="636">
        <f t="shared" si="0"/>
        <v>48981</v>
      </c>
    </row>
  </sheetData>
  <mergeCells count="25">
    <mergeCell ref="AM2:AM3"/>
    <mergeCell ref="AN2:AN3"/>
    <mergeCell ref="AH2:AH3"/>
    <mergeCell ref="AI2:AL2"/>
    <mergeCell ref="A41:B41"/>
    <mergeCell ref="Y2:Y3"/>
    <mergeCell ref="Z2:AC2"/>
    <mergeCell ref="AD2:AD3"/>
    <mergeCell ref="AE2:AG2"/>
    <mergeCell ref="M2:M3"/>
    <mergeCell ref="N2:Q2"/>
    <mergeCell ref="R2:R3"/>
    <mergeCell ref="S2:U2"/>
    <mergeCell ref="V2:V3"/>
    <mergeCell ref="W2:X2"/>
    <mergeCell ref="A2:A3"/>
    <mergeCell ref="M1:U1"/>
    <mergeCell ref="V1:AC1"/>
    <mergeCell ref="AD1:AK1"/>
    <mergeCell ref="B2:B3"/>
    <mergeCell ref="C2:F2"/>
    <mergeCell ref="G2:G3"/>
    <mergeCell ref="H2:L2"/>
    <mergeCell ref="A1:B1"/>
    <mergeCell ref="C1:L1"/>
  </mergeCells>
  <pageMargins left="0.59055118110236227" right="0.35433070866141736" top="0.39370078740157483" bottom="0.39370078740157483" header="0.31496062992125984" footer="0.19685039370078741"/>
  <pageSetup paperSize="9" scale="70" firstPageNumber="126" orientation="portrait" r:id="rId1"/>
  <headerFooter>
    <oddFooter>&amp;L&amp;"Arial,Italic"&amp;9AISHE 2022-23&amp;RT-37</oddFooter>
  </headerFooter>
  <colBreaks count="3" manualBreakCount="3">
    <brk id="13" max="40" man="1"/>
    <brk id="22" max="40" man="1"/>
    <brk id="30" max="40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800F-600B-455D-8790-32E127A0B0A6}">
  <sheetPr codeName="Sheet50">
    <tabColor rgb="FF92D050"/>
    <pageSetUpPr fitToPage="1"/>
  </sheetPr>
  <dimension ref="A1:K41"/>
  <sheetViews>
    <sheetView showZeros="0" view="pageBreakPreview" topLeftCell="A28" zoomScale="90" zoomScaleSheetLayoutView="90" workbookViewId="0">
      <selection activeCell="D7" sqref="D7"/>
    </sheetView>
  </sheetViews>
  <sheetFormatPr defaultColWidth="8.7265625" defaultRowHeight="14" x14ac:dyDescent="0.3"/>
  <cols>
    <col min="1" max="1" width="3.81640625" style="332" bestFit="1" customWidth="1"/>
    <col min="2" max="2" width="19.1796875" style="332" bestFit="1" customWidth="1"/>
    <col min="3" max="4" width="11.54296875" style="332" bestFit="1" customWidth="1"/>
    <col min="5" max="5" width="12.54296875" style="332" bestFit="1" customWidth="1"/>
    <col min="6" max="8" width="11.54296875" style="332" bestFit="1" customWidth="1"/>
    <col min="9" max="10" width="10" style="332" bestFit="1" customWidth="1"/>
    <col min="11" max="11" width="11.54296875" style="332" bestFit="1" customWidth="1"/>
    <col min="12" max="16384" width="8.7265625" style="332"/>
  </cols>
  <sheetData>
    <row r="1" spans="1:11" x14ac:dyDescent="0.3">
      <c r="A1" s="933" t="s">
        <v>1001</v>
      </c>
      <c r="B1" s="934"/>
      <c r="C1" s="934"/>
      <c r="D1" s="934"/>
      <c r="E1" s="934"/>
      <c r="F1" s="934"/>
      <c r="G1" s="934"/>
      <c r="H1" s="934"/>
      <c r="I1" s="934"/>
      <c r="J1" s="934"/>
      <c r="K1" s="934"/>
    </row>
    <row r="2" spans="1:11" x14ac:dyDescent="0.3">
      <c r="A2" s="935" t="s">
        <v>73</v>
      </c>
      <c r="B2" s="935" t="s">
        <v>50</v>
      </c>
      <c r="C2" s="937" t="s">
        <v>944</v>
      </c>
      <c r="D2" s="937"/>
      <c r="E2" s="937"/>
      <c r="F2" s="937" t="s">
        <v>747</v>
      </c>
      <c r="G2" s="937"/>
      <c r="H2" s="937"/>
      <c r="I2" s="937" t="s">
        <v>748</v>
      </c>
      <c r="J2" s="937"/>
      <c r="K2" s="938"/>
    </row>
    <row r="3" spans="1:11" x14ac:dyDescent="0.3">
      <c r="A3" s="936"/>
      <c r="B3" s="936"/>
      <c r="C3" s="333" t="s">
        <v>93</v>
      </c>
      <c r="D3" s="333" t="s">
        <v>94</v>
      </c>
      <c r="E3" s="333" t="s">
        <v>54</v>
      </c>
      <c r="F3" s="333" t="s">
        <v>93</v>
      </c>
      <c r="G3" s="333" t="s">
        <v>94</v>
      </c>
      <c r="H3" s="333" t="s">
        <v>54</v>
      </c>
      <c r="I3" s="333" t="s">
        <v>93</v>
      </c>
      <c r="J3" s="333" t="s">
        <v>94</v>
      </c>
      <c r="K3" s="334" t="s">
        <v>54</v>
      </c>
    </row>
    <row r="4" spans="1:11" x14ac:dyDescent="0.3">
      <c r="A4" s="335">
        <v>1</v>
      </c>
      <c r="B4" s="335">
        <v>2</v>
      </c>
      <c r="C4" s="335">
        <v>3</v>
      </c>
      <c r="D4" s="335">
        <v>4</v>
      </c>
      <c r="E4" s="335">
        <v>5</v>
      </c>
      <c r="F4" s="335">
        <v>6</v>
      </c>
      <c r="G4" s="335">
        <v>7</v>
      </c>
      <c r="H4" s="335">
        <v>8</v>
      </c>
      <c r="I4" s="335">
        <v>9</v>
      </c>
      <c r="J4" s="335">
        <v>10</v>
      </c>
      <c r="K4" s="336">
        <v>11</v>
      </c>
    </row>
    <row r="5" spans="1:11" ht="25.5" customHeight="1" x14ac:dyDescent="0.3">
      <c r="A5" s="337">
        <v>1</v>
      </c>
      <c r="B5" s="338" t="s">
        <v>58</v>
      </c>
      <c r="C5" s="626">
        <v>27054</v>
      </c>
      <c r="D5" s="626">
        <v>24575</v>
      </c>
      <c r="E5" s="626">
        <v>51628</v>
      </c>
      <c r="F5" s="626">
        <v>0</v>
      </c>
      <c r="G5" s="626">
        <v>0</v>
      </c>
      <c r="H5" s="626">
        <v>0</v>
      </c>
      <c r="I5" s="626">
        <v>1899</v>
      </c>
      <c r="J5" s="626">
        <v>1790</v>
      </c>
      <c r="K5" s="626">
        <v>3688</v>
      </c>
    </row>
    <row r="6" spans="1:11" ht="25.5" customHeight="1" x14ac:dyDescent="0.3">
      <c r="A6" s="337">
        <v>2</v>
      </c>
      <c r="B6" s="338" t="s">
        <v>13</v>
      </c>
      <c r="C6" s="626">
        <v>2673000</v>
      </c>
      <c r="D6" s="626">
        <v>2508400</v>
      </c>
      <c r="E6" s="626">
        <v>5181200</v>
      </c>
      <c r="F6" s="626">
        <v>489987</v>
      </c>
      <c r="G6" s="626">
        <v>468468</v>
      </c>
      <c r="H6" s="626">
        <v>958455</v>
      </c>
      <c r="I6" s="626">
        <v>137633</v>
      </c>
      <c r="J6" s="626">
        <v>145461</v>
      </c>
      <c r="K6" s="626">
        <v>283094</v>
      </c>
    </row>
    <row r="7" spans="1:11" ht="25.5" customHeight="1" x14ac:dyDescent="0.3">
      <c r="A7" s="337">
        <v>3</v>
      </c>
      <c r="B7" s="338" t="s">
        <v>14</v>
      </c>
      <c r="C7" s="626">
        <v>90847</v>
      </c>
      <c r="D7" s="626">
        <v>86221</v>
      </c>
      <c r="E7" s="626">
        <v>177069</v>
      </c>
      <c r="F7" s="626">
        <v>0</v>
      </c>
      <c r="G7" s="626">
        <v>0</v>
      </c>
      <c r="H7" s="626">
        <v>0</v>
      </c>
      <c r="I7" s="626">
        <v>58580</v>
      </c>
      <c r="J7" s="626">
        <v>62050</v>
      </c>
      <c r="K7" s="626">
        <v>120629</v>
      </c>
    </row>
    <row r="8" spans="1:11" ht="25.5" customHeight="1" x14ac:dyDescent="0.3">
      <c r="A8" s="337">
        <v>4</v>
      </c>
      <c r="B8" s="338" t="s">
        <v>15</v>
      </c>
      <c r="C8" s="626">
        <v>2058800</v>
      </c>
      <c r="D8" s="626">
        <v>1957200</v>
      </c>
      <c r="E8" s="626">
        <v>4016400</v>
      </c>
      <c r="F8" s="626">
        <v>160910</v>
      </c>
      <c r="G8" s="626">
        <v>142791</v>
      </c>
      <c r="H8" s="626">
        <v>303701</v>
      </c>
      <c r="I8" s="626">
        <v>251464</v>
      </c>
      <c r="J8" s="626">
        <v>252062</v>
      </c>
      <c r="K8" s="626">
        <v>503526</v>
      </c>
    </row>
    <row r="9" spans="1:11" ht="25.5" customHeight="1" x14ac:dyDescent="0.3">
      <c r="A9" s="337">
        <v>5</v>
      </c>
      <c r="B9" s="338" t="s">
        <v>16</v>
      </c>
      <c r="C9" s="626">
        <v>8171600</v>
      </c>
      <c r="D9" s="626">
        <v>7330800</v>
      </c>
      <c r="E9" s="626">
        <v>15501800</v>
      </c>
      <c r="F9" s="626">
        <v>1182023</v>
      </c>
      <c r="G9" s="626">
        <v>1147684</v>
      </c>
      <c r="H9" s="626">
        <v>2329707</v>
      </c>
      <c r="I9" s="626">
        <v>96804</v>
      </c>
      <c r="J9" s="626">
        <v>93501</v>
      </c>
      <c r="K9" s="626">
        <v>190306</v>
      </c>
    </row>
    <row r="10" spans="1:11" ht="25.5" customHeight="1" x14ac:dyDescent="0.3">
      <c r="A10" s="337">
        <v>6</v>
      </c>
      <c r="B10" s="338" t="s">
        <v>17</v>
      </c>
      <c r="C10" s="626">
        <v>100130</v>
      </c>
      <c r="D10" s="626">
        <v>74996</v>
      </c>
      <c r="E10" s="626">
        <v>175126</v>
      </c>
      <c r="F10" s="626">
        <v>18432</v>
      </c>
      <c r="G10" s="626">
        <v>15509</v>
      </c>
      <c r="H10" s="626">
        <v>33941</v>
      </c>
      <c r="I10" s="626">
        <v>0</v>
      </c>
      <c r="J10" s="626">
        <v>0</v>
      </c>
      <c r="K10" s="626">
        <v>0</v>
      </c>
    </row>
    <row r="11" spans="1:11" ht="25.5" customHeight="1" x14ac:dyDescent="0.35">
      <c r="A11" s="337">
        <v>7</v>
      </c>
      <c r="B11" s="338" t="s">
        <v>18</v>
      </c>
      <c r="C11" s="627">
        <v>1685400</v>
      </c>
      <c r="D11" s="626">
        <v>1648000</v>
      </c>
      <c r="E11" s="626">
        <v>3333600</v>
      </c>
      <c r="F11" s="626">
        <v>226475</v>
      </c>
      <c r="G11" s="626">
        <v>218044</v>
      </c>
      <c r="H11" s="626">
        <v>444519</v>
      </c>
      <c r="I11" s="626">
        <v>484236</v>
      </c>
      <c r="J11" s="626">
        <v>503581</v>
      </c>
      <c r="K11" s="626">
        <v>987818</v>
      </c>
    </row>
    <row r="12" spans="1:11" ht="25.5" customHeight="1" x14ac:dyDescent="0.3">
      <c r="A12" s="337">
        <v>8</v>
      </c>
      <c r="B12" s="338" t="s">
        <v>19</v>
      </c>
      <c r="C12" s="626">
        <v>1209600</v>
      </c>
      <c r="D12" s="626">
        <v>1127600</v>
      </c>
      <c r="E12" s="626">
        <v>2335600</v>
      </c>
      <c r="F12" s="626">
        <v>221577</v>
      </c>
      <c r="G12" s="626">
        <v>216467</v>
      </c>
      <c r="H12" s="626">
        <v>438043</v>
      </c>
      <c r="I12" s="626">
        <v>0</v>
      </c>
      <c r="J12" s="626">
        <v>0</v>
      </c>
      <c r="K12" s="626">
        <v>0</v>
      </c>
    </row>
    <row r="13" spans="1:11" ht="25.5" customHeight="1" x14ac:dyDescent="0.3">
      <c r="A13" s="337">
        <v>9</v>
      </c>
      <c r="B13" s="338" t="s">
        <v>20</v>
      </c>
      <c r="C13" s="626">
        <v>100983</v>
      </c>
      <c r="D13" s="626">
        <v>85825</v>
      </c>
      <c r="E13" s="626">
        <v>186808</v>
      </c>
      <c r="F13" s="626">
        <v>1860</v>
      </c>
      <c r="G13" s="626">
        <v>1794</v>
      </c>
      <c r="H13" s="626">
        <v>3654</v>
      </c>
      <c r="I13" s="626">
        <v>9120</v>
      </c>
      <c r="J13" s="626">
        <v>8950</v>
      </c>
      <c r="K13" s="626">
        <v>18070</v>
      </c>
    </row>
    <row r="14" spans="1:11" ht="25.5" customHeight="1" x14ac:dyDescent="0.3">
      <c r="A14" s="337">
        <v>10</v>
      </c>
      <c r="B14" s="338" t="s">
        <v>21</v>
      </c>
      <c r="C14" s="626">
        <v>3974200</v>
      </c>
      <c r="D14" s="626">
        <v>3461800</v>
      </c>
      <c r="E14" s="626">
        <v>7437600</v>
      </c>
      <c r="F14" s="626">
        <v>281294</v>
      </c>
      <c r="G14" s="626">
        <v>246431</v>
      </c>
      <c r="H14" s="626">
        <v>527725</v>
      </c>
      <c r="I14" s="626">
        <v>506932</v>
      </c>
      <c r="J14" s="626">
        <v>488417</v>
      </c>
      <c r="K14" s="626">
        <v>995349</v>
      </c>
    </row>
    <row r="15" spans="1:11" ht="25.5" customHeight="1" x14ac:dyDescent="0.3">
      <c r="A15" s="337">
        <v>11</v>
      </c>
      <c r="B15" s="338" t="s">
        <v>22</v>
      </c>
      <c r="C15" s="626">
        <v>1775000</v>
      </c>
      <c r="D15" s="626">
        <v>1513200</v>
      </c>
      <c r="E15" s="626">
        <v>3289200</v>
      </c>
      <c r="F15" s="626">
        <v>377765</v>
      </c>
      <c r="G15" s="626">
        <v>318826</v>
      </c>
      <c r="H15" s="626">
        <v>696592</v>
      </c>
      <c r="I15" s="626">
        <v>0</v>
      </c>
      <c r="J15" s="626">
        <v>0</v>
      </c>
      <c r="K15" s="626">
        <v>0</v>
      </c>
    </row>
    <row r="16" spans="1:11" ht="25.5" customHeight="1" x14ac:dyDescent="0.3">
      <c r="A16" s="337">
        <v>12</v>
      </c>
      <c r="B16" s="338" t="s">
        <v>23</v>
      </c>
      <c r="C16" s="626">
        <v>391400</v>
      </c>
      <c r="D16" s="626">
        <v>343000</v>
      </c>
      <c r="E16" s="626">
        <v>733400</v>
      </c>
      <c r="F16" s="626">
        <v>100843</v>
      </c>
      <c r="G16" s="626">
        <v>90552</v>
      </c>
      <c r="H16" s="626">
        <v>191395</v>
      </c>
      <c r="I16" s="626">
        <v>22164</v>
      </c>
      <c r="J16" s="626">
        <v>20711</v>
      </c>
      <c r="K16" s="626">
        <v>42875</v>
      </c>
    </row>
    <row r="17" spans="1:11" ht="25.5" customHeight="1" x14ac:dyDescent="0.3">
      <c r="A17" s="337">
        <v>13</v>
      </c>
      <c r="B17" s="338" t="s">
        <v>24</v>
      </c>
      <c r="C17" s="626">
        <v>861600</v>
      </c>
      <c r="D17" s="626">
        <v>766200</v>
      </c>
      <c r="E17" s="626">
        <v>1628600</v>
      </c>
      <c r="F17" s="626">
        <v>70490</v>
      </c>
      <c r="G17" s="626">
        <v>62160</v>
      </c>
      <c r="H17" s="626">
        <v>132650</v>
      </c>
      <c r="I17" s="626">
        <v>81485</v>
      </c>
      <c r="J17" s="626">
        <v>71972</v>
      </c>
      <c r="K17" s="626">
        <v>153457</v>
      </c>
    </row>
    <row r="18" spans="1:11" ht="25.5" customHeight="1" x14ac:dyDescent="0.3">
      <c r="A18" s="337">
        <v>14</v>
      </c>
      <c r="B18" s="338" t="s">
        <v>25</v>
      </c>
      <c r="C18" s="626">
        <v>2423000</v>
      </c>
      <c r="D18" s="626">
        <v>2311600</v>
      </c>
      <c r="E18" s="626">
        <v>4734600</v>
      </c>
      <c r="F18" s="626">
        <v>289335</v>
      </c>
      <c r="G18" s="626">
        <v>272893</v>
      </c>
      <c r="H18" s="626">
        <v>562228</v>
      </c>
      <c r="I18" s="626">
        <v>586999</v>
      </c>
      <c r="J18" s="626">
        <v>627532</v>
      </c>
      <c r="K18" s="626">
        <v>1214532</v>
      </c>
    </row>
    <row r="19" spans="1:11" ht="25.5" customHeight="1" x14ac:dyDescent="0.3">
      <c r="A19" s="337">
        <v>15</v>
      </c>
      <c r="B19" s="338" t="s">
        <v>26</v>
      </c>
      <c r="C19" s="626">
        <v>3440600</v>
      </c>
      <c r="D19" s="626">
        <v>3216200</v>
      </c>
      <c r="E19" s="626">
        <v>6655600</v>
      </c>
      <c r="F19" s="626">
        <v>609893</v>
      </c>
      <c r="G19" s="626">
        <v>585288</v>
      </c>
      <c r="H19" s="626">
        <v>1195181</v>
      </c>
      <c r="I19" s="626">
        <v>248069</v>
      </c>
      <c r="J19" s="626">
        <v>234214</v>
      </c>
      <c r="K19" s="626">
        <v>482283</v>
      </c>
    </row>
    <row r="20" spans="1:11" ht="25.5" customHeight="1" x14ac:dyDescent="0.3">
      <c r="A20" s="337">
        <v>16</v>
      </c>
      <c r="B20" s="338" t="s">
        <v>27</v>
      </c>
      <c r="C20" s="626">
        <v>1610600</v>
      </c>
      <c r="D20" s="626">
        <v>1518400</v>
      </c>
      <c r="E20" s="626">
        <v>3128800</v>
      </c>
      <c r="F20" s="626">
        <v>145997</v>
      </c>
      <c r="G20" s="626">
        <v>137353</v>
      </c>
      <c r="H20" s="626">
        <v>283350</v>
      </c>
      <c r="I20" s="626">
        <v>24473</v>
      </c>
      <c r="J20" s="626">
        <v>24487</v>
      </c>
      <c r="K20" s="626">
        <v>48961</v>
      </c>
    </row>
    <row r="21" spans="1:11" ht="25.5" customHeight="1" x14ac:dyDescent="0.3">
      <c r="A21" s="337">
        <v>17</v>
      </c>
      <c r="B21" s="338" t="s">
        <v>28</v>
      </c>
      <c r="C21" s="626">
        <v>21606</v>
      </c>
      <c r="D21" s="626">
        <v>17727</v>
      </c>
      <c r="E21" s="626">
        <v>39333</v>
      </c>
      <c r="F21" s="626">
        <v>91</v>
      </c>
      <c r="G21" s="626">
        <v>6</v>
      </c>
      <c r="H21" s="626">
        <v>97</v>
      </c>
      <c r="I21" s="626">
        <v>15531</v>
      </c>
      <c r="J21" s="626">
        <v>16259</v>
      </c>
      <c r="K21" s="626">
        <v>31789</v>
      </c>
    </row>
    <row r="22" spans="1:11" ht="25.5" customHeight="1" x14ac:dyDescent="0.3">
      <c r="A22" s="337">
        <v>18</v>
      </c>
      <c r="B22" s="338" t="s">
        <v>72</v>
      </c>
      <c r="C22" s="626">
        <v>4292</v>
      </c>
      <c r="D22" s="626">
        <v>3881</v>
      </c>
      <c r="E22" s="626">
        <v>8173</v>
      </c>
      <c r="F22" s="626">
        <v>0</v>
      </c>
      <c r="G22" s="626">
        <v>0</v>
      </c>
      <c r="H22" s="626">
        <v>0</v>
      </c>
      <c r="I22" s="626">
        <v>3899</v>
      </c>
      <c r="J22" s="626">
        <v>3807</v>
      </c>
      <c r="K22" s="626">
        <v>7707</v>
      </c>
    </row>
    <row r="23" spans="1:11" ht="25.5" customHeight="1" x14ac:dyDescent="0.3">
      <c r="A23" s="337">
        <v>19</v>
      </c>
      <c r="B23" s="338" t="s">
        <v>945</v>
      </c>
      <c r="C23" s="626">
        <v>5025400</v>
      </c>
      <c r="D23" s="626">
        <v>4600200</v>
      </c>
      <c r="E23" s="626">
        <v>9626200</v>
      </c>
      <c r="F23" s="626">
        <v>823837</v>
      </c>
      <c r="G23" s="626">
        <v>721730</v>
      </c>
      <c r="H23" s="626">
        <v>1545567</v>
      </c>
      <c r="I23" s="626">
        <v>919781</v>
      </c>
      <c r="J23" s="626">
        <v>959987</v>
      </c>
      <c r="K23" s="626">
        <v>1879769</v>
      </c>
    </row>
    <row r="24" spans="1:11" ht="25.5" customHeight="1" x14ac:dyDescent="0.3">
      <c r="A24" s="337">
        <v>20</v>
      </c>
      <c r="B24" s="338" t="s">
        <v>30</v>
      </c>
      <c r="C24" s="626">
        <v>6790600</v>
      </c>
      <c r="D24" s="626">
        <v>6075000</v>
      </c>
      <c r="E24" s="626">
        <v>12867200</v>
      </c>
      <c r="F24" s="626">
        <v>827348</v>
      </c>
      <c r="G24" s="626">
        <v>764825</v>
      </c>
      <c r="H24" s="626">
        <v>1592173</v>
      </c>
      <c r="I24" s="626">
        <v>591992</v>
      </c>
      <c r="J24" s="626">
        <v>594337</v>
      </c>
      <c r="K24" s="626">
        <v>1186329</v>
      </c>
    </row>
    <row r="25" spans="1:11" ht="25.5" customHeight="1" x14ac:dyDescent="0.3">
      <c r="A25" s="337">
        <v>21</v>
      </c>
      <c r="B25" s="338" t="s">
        <v>31</v>
      </c>
      <c r="C25" s="626">
        <v>186915</v>
      </c>
      <c r="D25" s="626">
        <v>180102</v>
      </c>
      <c r="E25" s="626">
        <v>367017</v>
      </c>
      <c r="F25" s="626">
        <v>6467</v>
      </c>
      <c r="G25" s="626">
        <v>6129</v>
      </c>
      <c r="H25" s="626">
        <v>12596</v>
      </c>
      <c r="I25" s="626">
        <v>101497</v>
      </c>
      <c r="J25" s="626">
        <v>94444</v>
      </c>
      <c r="K25" s="626">
        <v>195941</v>
      </c>
    </row>
    <row r="26" spans="1:11" ht="25.5" customHeight="1" x14ac:dyDescent="0.3">
      <c r="A26" s="337">
        <v>22</v>
      </c>
      <c r="B26" s="338" t="s">
        <v>32</v>
      </c>
      <c r="C26" s="626">
        <v>191164</v>
      </c>
      <c r="D26" s="626">
        <v>187776</v>
      </c>
      <c r="E26" s="626">
        <v>378940</v>
      </c>
      <c r="F26" s="626">
        <v>1287</v>
      </c>
      <c r="G26" s="626">
        <v>1094</v>
      </c>
      <c r="H26" s="626">
        <v>2381</v>
      </c>
      <c r="I26" s="626">
        <v>161827</v>
      </c>
      <c r="J26" s="626">
        <v>163527</v>
      </c>
      <c r="K26" s="626">
        <v>325355</v>
      </c>
    </row>
    <row r="27" spans="1:11" ht="25.5" customHeight="1" x14ac:dyDescent="0.3">
      <c r="A27" s="337">
        <v>23</v>
      </c>
      <c r="B27" s="338" t="s">
        <v>33</v>
      </c>
      <c r="C27" s="626">
        <v>73531</v>
      </c>
      <c r="D27" s="626">
        <v>70866</v>
      </c>
      <c r="E27" s="626">
        <v>144397</v>
      </c>
      <c r="F27" s="626">
        <v>123</v>
      </c>
      <c r="G27" s="626">
        <v>66</v>
      </c>
      <c r="H27" s="626">
        <v>189</v>
      </c>
      <c r="I27" s="626">
        <v>68385</v>
      </c>
      <c r="J27" s="626">
        <v>67774</v>
      </c>
      <c r="K27" s="626">
        <v>136159</v>
      </c>
    </row>
    <row r="28" spans="1:11" ht="25.5" customHeight="1" x14ac:dyDescent="0.3">
      <c r="A28" s="337">
        <v>24</v>
      </c>
      <c r="B28" s="338" t="s">
        <v>34</v>
      </c>
      <c r="C28" s="626">
        <v>141891</v>
      </c>
      <c r="D28" s="626">
        <v>130226</v>
      </c>
      <c r="E28" s="626">
        <v>272117</v>
      </c>
      <c r="F28" s="626">
        <v>0</v>
      </c>
      <c r="G28" s="626">
        <v>0</v>
      </c>
      <c r="H28" s="626">
        <v>0</v>
      </c>
      <c r="I28" s="626">
        <v>121086</v>
      </c>
      <c r="J28" s="626">
        <v>115894</v>
      </c>
      <c r="K28" s="626">
        <v>236980</v>
      </c>
    </row>
    <row r="29" spans="1:11" ht="25.5" customHeight="1" x14ac:dyDescent="0.3">
      <c r="A29" s="337">
        <v>25</v>
      </c>
      <c r="B29" s="338" t="s">
        <v>35</v>
      </c>
      <c r="C29" s="626">
        <v>2454000</v>
      </c>
      <c r="D29" s="626">
        <v>2364000</v>
      </c>
      <c r="E29" s="626">
        <v>4818800</v>
      </c>
      <c r="F29" s="626">
        <v>431830</v>
      </c>
      <c r="G29" s="626">
        <v>416800</v>
      </c>
      <c r="H29" s="626">
        <v>848630</v>
      </c>
      <c r="I29" s="626">
        <v>509514</v>
      </c>
      <c r="J29" s="626">
        <v>535188</v>
      </c>
      <c r="K29" s="626">
        <v>1044702</v>
      </c>
    </row>
    <row r="30" spans="1:11" ht="25.5" customHeight="1" x14ac:dyDescent="0.3">
      <c r="A30" s="337">
        <v>26</v>
      </c>
      <c r="B30" s="338" t="s">
        <v>36</v>
      </c>
      <c r="C30" s="626">
        <v>75611</v>
      </c>
      <c r="D30" s="626">
        <v>81511</v>
      </c>
      <c r="E30" s="626">
        <v>157121</v>
      </c>
      <c r="F30" s="626">
        <v>13179</v>
      </c>
      <c r="G30" s="626">
        <v>14363</v>
      </c>
      <c r="H30" s="626">
        <v>27542</v>
      </c>
      <c r="I30" s="626">
        <v>0</v>
      </c>
      <c r="J30" s="626">
        <v>0</v>
      </c>
      <c r="K30" s="626">
        <v>0</v>
      </c>
    </row>
    <row r="31" spans="1:11" ht="25.5" customHeight="1" x14ac:dyDescent="0.3">
      <c r="A31" s="337">
        <v>27</v>
      </c>
      <c r="B31" s="338" t="s">
        <v>37</v>
      </c>
      <c r="C31" s="626">
        <v>1694200</v>
      </c>
      <c r="D31" s="626">
        <v>1388400</v>
      </c>
      <c r="E31" s="626">
        <v>3082600</v>
      </c>
      <c r="F31" s="626">
        <v>562979</v>
      </c>
      <c r="G31" s="626">
        <v>470882</v>
      </c>
      <c r="H31" s="626">
        <v>1033861</v>
      </c>
      <c r="I31" s="626">
        <v>0</v>
      </c>
      <c r="J31" s="626">
        <v>0</v>
      </c>
      <c r="K31" s="626">
        <v>0</v>
      </c>
    </row>
    <row r="32" spans="1:11" ht="25.5" customHeight="1" x14ac:dyDescent="0.3">
      <c r="A32" s="337">
        <v>28</v>
      </c>
      <c r="B32" s="338" t="s">
        <v>38</v>
      </c>
      <c r="C32" s="626">
        <v>4893600</v>
      </c>
      <c r="D32" s="626">
        <v>4452600</v>
      </c>
      <c r="E32" s="626">
        <v>9345800</v>
      </c>
      <c r="F32" s="626">
        <v>912243</v>
      </c>
      <c r="G32" s="626">
        <v>803216</v>
      </c>
      <c r="H32" s="626">
        <v>1715459</v>
      </c>
      <c r="I32" s="626">
        <v>606196</v>
      </c>
      <c r="J32" s="626">
        <v>588736</v>
      </c>
      <c r="K32" s="626">
        <v>1194932</v>
      </c>
    </row>
    <row r="33" spans="1:11" ht="25.5" customHeight="1" x14ac:dyDescent="0.3">
      <c r="A33" s="337">
        <v>29</v>
      </c>
      <c r="B33" s="338" t="s">
        <v>39</v>
      </c>
      <c r="C33" s="626">
        <v>46142</v>
      </c>
      <c r="D33" s="626">
        <v>41027</v>
      </c>
      <c r="E33" s="626">
        <v>87169</v>
      </c>
      <c r="F33" s="626">
        <v>2089</v>
      </c>
      <c r="G33" s="626">
        <v>2114</v>
      </c>
      <c r="H33" s="626">
        <v>4203</v>
      </c>
      <c r="I33" s="626">
        <v>14660</v>
      </c>
      <c r="J33" s="626">
        <v>14166</v>
      </c>
      <c r="K33" s="626">
        <v>28826</v>
      </c>
    </row>
    <row r="34" spans="1:11" ht="25.5" customHeight="1" x14ac:dyDescent="0.3">
      <c r="A34" s="337">
        <v>30</v>
      </c>
      <c r="B34" s="338" t="s">
        <v>946</v>
      </c>
      <c r="C34" s="626">
        <v>3574800</v>
      </c>
      <c r="D34" s="626">
        <v>3362000</v>
      </c>
      <c r="E34" s="626">
        <v>6937600</v>
      </c>
      <c r="F34" s="626">
        <v>774732</v>
      </c>
      <c r="G34" s="626">
        <v>746646</v>
      </c>
      <c r="H34" s="626">
        <v>1521378</v>
      </c>
      <c r="I34" s="626">
        <v>39705</v>
      </c>
      <c r="J34" s="626">
        <v>39327</v>
      </c>
      <c r="K34" s="626">
        <v>79032</v>
      </c>
    </row>
    <row r="35" spans="1:11" ht="25.5" customHeight="1" x14ac:dyDescent="0.3">
      <c r="A35" s="337">
        <v>31</v>
      </c>
      <c r="B35" s="338" t="s">
        <v>41</v>
      </c>
      <c r="C35" s="626">
        <v>2018200</v>
      </c>
      <c r="D35" s="626">
        <v>1894600</v>
      </c>
      <c r="E35" s="626">
        <v>3914800</v>
      </c>
      <c r="F35" s="626">
        <v>328121</v>
      </c>
      <c r="G35" s="626">
        <v>307553</v>
      </c>
      <c r="H35" s="626">
        <v>635675</v>
      </c>
      <c r="I35" s="626">
        <v>180912</v>
      </c>
      <c r="J35" s="626">
        <v>173673</v>
      </c>
      <c r="K35" s="626">
        <v>354584</v>
      </c>
    </row>
    <row r="36" spans="1:11" ht="30.75" customHeight="1" x14ac:dyDescent="0.3">
      <c r="A36" s="337">
        <v>32</v>
      </c>
      <c r="B36" s="338" t="s">
        <v>60</v>
      </c>
      <c r="C36" s="626">
        <v>79524</v>
      </c>
      <c r="D36" s="626">
        <v>37485</v>
      </c>
      <c r="E36" s="626">
        <v>117009</v>
      </c>
      <c r="F36" s="626">
        <v>1080</v>
      </c>
      <c r="G36" s="626">
        <v>856</v>
      </c>
      <c r="H36" s="626">
        <v>1935</v>
      </c>
      <c r="I36" s="626">
        <v>13749</v>
      </c>
      <c r="J36" s="626">
        <v>14576</v>
      </c>
      <c r="K36" s="626">
        <v>28325</v>
      </c>
    </row>
    <row r="37" spans="1:11" ht="25.5" customHeight="1" x14ac:dyDescent="0.3">
      <c r="A37" s="337">
        <v>33</v>
      </c>
      <c r="B37" s="338" t="s">
        <v>42</v>
      </c>
      <c r="C37" s="626">
        <v>243126</v>
      </c>
      <c r="D37" s="626">
        <v>240381</v>
      </c>
      <c r="E37" s="626">
        <v>483507</v>
      </c>
      <c r="F37" s="626">
        <v>47259</v>
      </c>
      <c r="G37" s="626">
        <v>44576</v>
      </c>
      <c r="H37" s="626">
        <v>91835</v>
      </c>
      <c r="I37" s="626">
        <v>75943</v>
      </c>
      <c r="J37" s="626">
        <v>81416</v>
      </c>
      <c r="K37" s="626">
        <v>157359</v>
      </c>
    </row>
    <row r="38" spans="1:11" ht="25.5" customHeight="1" x14ac:dyDescent="0.3">
      <c r="A38" s="337">
        <v>34</v>
      </c>
      <c r="B38" s="338" t="s">
        <v>43</v>
      </c>
      <c r="C38" s="626">
        <v>15086000</v>
      </c>
      <c r="D38" s="626">
        <v>13359800</v>
      </c>
      <c r="E38" s="626">
        <v>28447400</v>
      </c>
      <c r="F38" s="626">
        <v>3076571</v>
      </c>
      <c r="G38" s="626">
        <v>2638232</v>
      </c>
      <c r="H38" s="626">
        <v>5714803</v>
      </c>
      <c r="I38" s="626">
        <v>72949</v>
      </c>
      <c r="J38" s="626">
        <v>72414</v>
      </c>
      <c r="K38" s="626">
        <v>145363</v>
      </c>
    </row>
    <row r="39" spans="1:11" ht="25.5" customHeight="1" x14ac:dyDescent="0.3">
      <c r="A39" s="337">
        <v>35</v>
      </c>
      <c r="B39" s="338" t="s">
        <v>44</v>
      </c>
      <c r="C39" s="626">
        <v>706200</v>
      </c>
      <c r="D39" s="626">
        <v>635200</v>
      </c>
      <c r="E39" s="626">
        <v>1339400</v>
      </c>
      <c r="F39" s="626">
        <v>133732</v>
      </c>
      <c r="G39" s="626">
        <v>119957</v>
      </c>
      <c r="H39" s="626">
        <v>253689</v>
      </c>
      <c r="I39" s="626">
        <v>21723</v>
      </c>
      <c r="J39" s="626">
        <v>20744</v>
      </c>
      <c r="K39" s="626">
        <v>42467</v>
      </c>
    </row>
    <row r="40" spans="1:11" ht="25.5" customHeight="1" x14ac:dyDescent="0.3">
      <c r="A40" s="337">
        <v>36</v>
      </c>
      <c r="B40" s="338" t="s">
        <v>45</v>
      </c>
      <c r="C40" s="626">
        <v>5210800</v>
      </c>
      <c r="D40" s="626">
        <v>4953800</v>
      </c>
      <c r="E40" s="626">
        <v>10164800</v>
      </c>
      <c r="F40" s="626">
        <v>1129287</v>
      </c>
      <c r="G40" s="626">
        <v>1100160</v>
      </c>
      <c r="H40" s="626">
        <v>2229446</v>
      </c>
      <c r="I40" s="626">
        <v>305200</v>
      </c>
      <c r="J40" s="626">
        <v>308972</v>
      </c>
      <c r="K40" s="626">
        <v>614172</v>
      </c>
    </row>
    <row r="41" spans="1:11" x14ac:dyDescent="0.3">
      <c r="A41" s="932" t="s">
        <v>46</v>
      </c>
      <c r="B41" s="932"/>
      <c r="C41" s="628">
        <v>79111400</v>
      </c>
      <c r="D41" s="628">
        <v>72050600</v>
      </c>
      <c r="E41" s="628">
        <v>151161000</v>
      </c>
      <c r="F41" s="628">
        <v>13249133</v>
      </c>
      <c r="G41" s="628">
        <v>12083468</v>
      </c>
      <c r="H41" s="628">
        <v>25332601</v>
      </c>
      <c r="I41" s="628">
        <v>6334407</v>
      </c>
      <c r="J41" s="628">
        <v>6399970</v>
      </c>
      <c r="K41" s="628">
        <v>12734377</v>
      </c>
    </row>
  </sheetData>
  <mergeCells count="7">
    <mergeCell ref="A41:B41"/>
    <mergeCell ref="A1:K1"/>
    <mergeCell ref="A2:A3"/>
    <mergeCell ref="B2:B3"/>
    <mergeCell ref="C2:E2"/>
    <mergeCell ref="F2:H2"/>
    <mergeCell ref="I2:K2"/>
  </mergeCells>
  <pageMargins left="0.59055118110236227" right="0.35433070866141736" top="0.39370078740157483" bottom="0.39370078740157483" header="0.31496062992125984" footer="0.19685039370078741"/>
  <pageSetup paperSize="9" scale="74" orientation="portrait" r:id="rId1"/>
  <headerFooter>
    <oddFooter>&amp;L&amp;"Arial,Italic"&amp;9AISHE 2022-23&amp;RT-38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4D9A-63EA-4D45-96D6-E1AA43E3BCD1}">
  <sheetPr codeName="Sheet51">
    <tabColor rgb="FF92D050"/>
  </sheetPr>
  <dimension ref="A1:AO41"/>
  <sheetViews>
    <sheetView showZeros="0" view="pageBreakPreview" topLeftCell="A29" zoomScale="85" zoomScaleSheetLayoutView="85" workbookViewId="0">
      <selection activeCell="F2" sqref="F2:H2"/>
    </sheetView>
  </sheetViews>
  <sheetFormatPr defaultColWidth="9.26953125" defaultRowHeight="15.5" x14ac:dyDescent="0.35"/>
  <cols>
    <col min="1" max="1" width="3.81640625" style="25" bestFit="1" customWidth="1"/>
    <col min="2" max="2" width="32.26953125" style="25" bestFit="1" customWidth="1"/>
    <col min="3" max="3" width="7.81640625" style="25" bestFit="1" customWidth="1"/>
    <col min="4" max="7" width="8.26953125" style="25" bestFit="1" customWidth="1"/>
    <col min="8" max="8" width="9.453125" style="25" bestFit="1" customWidth="1"/>
    <col min="9" max="13" width="8.26953125" style="25" bestFit="1" customWidth="1"/>
    <col min="14" max="14" width="13.7265625" style="25" customWidth="1"/>
    <col min="15" max="15" width="9.453125" style="25" bestFit="1" customWidth="1"/>
    <col min="16" max="16" width="8.26953125" style="25" bestFit="1" customWidth="1"/>
    <col min="17" max="17" width="9.453125" style="25" bestFit="1" customWidth="1"/>
    <col min="18" max="18" width="6.7265625" style="25" bestFit="1" customWidth="1"/>
    <col min="19" max="19" width="7.26953125" style="25" bestFit="1" customWidth="1"/>
    <col min="20" max="21" width="6.7265625" style="25" bestFit="1" customWidth="1"/>
    <col min="22" max="22" width="7.26953125" style="25" bestFit="1" customWidth="1"/>
    <col min="23" max="23" width="6.7265625" style="25" bestFit="1" customWidth="1"/>
    <col min="24" max="25" width="9.453125" style="25" bestFit="1" customWidth="1"/>
    <col min="26" max="26" width="14" style="25" customWidth="1"/>
    <col min="27" max="27" width="7" style="25" bestFit="1" customWidth="1"/>
    <col min="28" max="28" width="7.26953125" style="25" bestFit="1" customWidth="1"/>
    <col min="29" max="30" width="7" style="25" bestFit="1" customWidth="1"/>
    <col min="31" max="31" width="7.26953125" style="25" bestFit="1" customWidth="1"/>
    <col min="32" max="32" width="7" style="25" bestFit="1" customWidth="1"/>
    <col min="33" max="35" width="8.26953125" style="25" bestFit="1" customWidth="1"/>
    <col min="36" max="37" width="9.453125" style="25" bestFit="1" customWidth="1"/>
    <col min="38" max="38" width="11" style="25" customWidth="1"/>
    <col min="39" max="16384" width="9.26953125" style="25"/>
  </cols>
  <sheetData>
    <row r="1" spans="1:38" s="66" customFormat="1" ht="40.5" customHeight="1" x14ac:dyDescent="0.35">
      <c r="B1" s="26" t="s">
        <v>907</v>
      </c>
      <c r="C1" s="743" t="s">
        <v>1058</v>
      </c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 t="str">
        <f>C1</f>
        <v>State/UTs-Wise Enrolment by Type in University Teaching Departments and Constituent Units/Off-Campus Centers (Based on Actual Responses)</v>
      </c>
      <c r="P1" s="743"/>
      <c r="Q1" s="743"/>
      <c r="R1" s="743"/>
      <c r="S1" s="743"/>
      <c r="T1" s="743"/>
      <c r="U1" s="743"/>
      <c r="V1" s="743"/>
      <c r="W1" s="743"/>
      <c r="X1" s="743"/>
      <c r="Y1" s="743"/>
      <c r="Z1" s="743"/>
      <c r="AA1" s="743" t="str">
        <f>C1</f>
        <v>State/UTs-Wise Enrolment by Type in University Teaching Departments and Constituent Units/Off-Campus Centers (Based on Actual Responses)</v>
      </c>
      <c r="AB1" s="743"/>
      <c r="AC1" s="743"/>
      <c r="AD1" s="743"/>
      <c r="AE1" s="743"/>
      <c r="AF1" s="743"/>
      <c r="AG1" s="743"/>
      <c r="AH1" s="743"/>
      <c r="AI1" s="743"/>
      <c r="AJ1" s="743"/>
      <c r="AK1" s="743"/>
      <c r="AL1" s="743"/>
    </row>
    <row r="2" spans="1:38" s="306" customFormat="1" ht="33" customHeight="1" x14ac:dyDescent="0.35">
      <c r="A2" s="770" t="s">
        <v>84</v>
      </c>
      <c r="B2" s="772" t="s">
        <v>1005</v>
      </c>
      <c r="C2" s="940" t="s">
        <v>782</v>
      </c>
      <c r="D2" s="940"/>
      <c r="E2" s="940"/>
      <c r="F2" s="940" t="s">
        <v>783</v>
      </c>
      <c r="G2" s="940"/>
      <c r="H2" s="940"/>
      <c r="I2" s="939" t="s">
        <v>784</v>
      </c>
      <c r="J2" s="939"/>
      <c r="K2" s="939"/>
      <c r="L2" s="940" t="s">
        <v>786</v>
      </c>
      <c r="M2" s="940"/>
      <c r="N2" s="940"/>
      <c r="O2" s="940" t="s">
        <v>787</v>
      </c>
      <c r="P2" s="940"/>
      <c r="Q2" s="940"/>
      <c r="R2" s="939" t="s">
        <v>788</v>
      </c>
      <c r="S2" s="939"/>
      <c r="T2" s="939"/>
      <c r="U2" s="939" t="s">
        <v>789</v>
      </c>
      <c r="V2" s="939"/>
      <c r="W2" s="939"/>
      <c r="X2" s="940" t="s">
        <v>785</v>
      </c>
      <c r="Y2" s="940"/>
      <c r="Z2" s="940"/>
      <c r="AA2" s="939" t="s">
        <v>790</v>
      </c>
      <c r="AB2" s="939"/>
      <c r="AC2" s="939"/>
      <c r="AD2" s="939" t="s">
        <v>791</v>
      </c>
      <c r="AE2" s="939"/>
      <c r="AF2" s="939"/>
      <c r="AG2" s="939" t="s">
        <v>792</v>
      </c>
      <c r="AH2" s="939"/>
      <c r="AI2" s="939"/>
      <c r="AJ2" s="940" t="s">
        <v>12</v>
      </c>
      <c r="AK2" s="940"/>
      <c r="AL2" s="940"/>
    </row>
    <row r="3" spans="1:38" s="307" customFormat="1" ht="24.75" customHeight="1" x14ac:dyDescent="0.35">
      <c r="A3" s="771"/>
      <c r="B3" s="772"/>
      <c r="C3" s="92" t="s">
        <v>93</v>
      </c>
      <c r="D3" s="92" t="s">
        <v>94</v>
      </c>
      <c r="E3" s="92" t="s">
        <v>54</v>
      </c>
      <c r="F3" s="92" t="s">
        <v>93</v>
      </c>
      <c r="G3" s="92" t="s">
        <v>94</v>
      </c>
      <c r="H3" s="92" t="s">
        <v>54</v>
      </c>
      <c r="I3" s="92" t="s">
        <v>93</v>
      </c>
      <c r="J3" s="92" t="s">
        <v>94</v>
      </c>
      <c r="K3" s="92" t="s">
        <v>54</v>
      </c>
      <c r="L3" s="92" t="s">
        <v>93</v>
      </c>
      <c r="M3" s="92" t="s">
        <v>94</v>
      </c>
      <c r="N3" s="92" t="s">
        <v>54</v>
      </c>
      <c r="O3" s="92" t="s">
        <v>93</v>
      </c>
      <c r="P3" s="92" t="s">
        <v>94</v>
      </c>
      <c r="Q3" s="92" t="s">
        <v>54</v>
      </c>
      <c r="R3" s="92" t="s">
        <v>93</v>
      </c>
      <c r="S3" s="92" t="s">
        <v>94</v>
      </c>
      <c r="T3" s="92" t="s">
        <v>54</v>
      </c>
      <c r="U3" s="92" t="s">
        <v>93</v>
      </c>
      <c r="V3" s="92" t="s">
        <v>94</v>
      </c>
      <c r="W3" s="92" t="s">
        <v>54</v>
      </c>
      <c r="X3" s="92" t="s">
        <v>93</v>
      </c>
      <c r="Y3" s="92" t="s">
        <v>94</v>
      </c>
      <c r="Z3" s="92" t="s">
        <v>54</v>
      </c>
      <c r="AA3" s="92" t="s">
        <v>93</v>
      </c>
      <c r="AB3" s="92" t="s">
        <v>94</v>
      </c>
      <c r="AC3" s="92" t="s">
        <v>54</v>
      </c>
      <c r="AD3" s="92" t="s">
        <v>93</v>
      </c>
      <c r="AE3" s="92" t="s">
        <v>94</v>
      </c>
      <c r="AF3" s="92" t="s">
        <v>54</v>
      </c>
      <c r="AG3" s="92" t="s">
        <v>93</v>
      </c>
      <c r="AH3" s="92" t="s">
        <v>94</v>
      </c>
      <c r="AI3" s="92" t="s">
        <v>54</v>
      </c>
      <c r="AJ3" s="92" t="s">
        <v>93</v>
      </c>
      <c r="AK3" s="92" t="s">
        <v>94</v>
      </c>
      <c r="AL3" s="92" t="s">
        <v>54</v>
      </c>
    </row>
    <row r="4" spans="1:38" s="29" customFormat="1" ht="15" customHeight="1" x14ac:dyDescent="0.35">
      <c r="A4" s="30">
        <v>1</v>
      </c>
      <c r="B4" s="30">
        <v>2</v>
      </c>
      <c r="C4" s="30">
        <v>3</v>
      </c>
      <c r="D4" s="30">
        <v>4</v>
      </c>
      <c r="E4" s="30">
        <v>5</v>
      </c>
      <c r="F4" s="30">
        <v>6</v>
      </c>
      <c r="G4" s="30">
        <v>7</v>
      </c>
      <c r="H4" s="30">
        <v>8</v>
      </c>
      <c r="I4" s="30">
        <v>9</v>
      </c>
      <c r="J4" s="30">
        <v>10</v>
      </c>
      <c r="K4" s="30">
        <v>11</v>
      </c>
      <c r="L4" s="30">
        <v>12</v>
      </c>
      <c r="M4" s="30">
        <v>13</v>
      </c>
      <c r="N4" s="30">
        <v>14</v>
      </c>
      <c r="O4" s="30">
        <v>15</v>
      </c>
      <c r="P4" s="30">
        <v>16</v>
      </c>
      <c r="Q4" s="30">
        <v>17</v>
      </c>
      <c r="R4" s="30">
        <v>18</v>
      </c>
      <c r="S4" s="30">
        <v>19</v>
      </c>
      <c r="T4" s="30">
        <v>20</v>
      </c>
      <c r="U4" s="30">
        <v>21</v>
      </c>
      <c r="V4" s="30">
        <v>22</v>
      </c>
      <c r="W4" s="30">
        <v>23</v>
      </c>
      <c r="X4" s="30">
        <v>24</v>
      </c>
      <c r="Y4" s="30">
        <v>25</v>
      </c>
      <c r="Z4" s="30">
        <v>26</v>
      </c>
      <c r="AA4" s="30">
        <v>27</v>
      </c>
      <c r="AB4" s="30">
        <v>28</v>
      </c>
      <c r="AC4" s="30">
        <v>29</v>
      </c>
      <c r="AD4" s="30">
        <v>30</v>
      </c>
      <c r="AE4" s="30">
        <v>31</v>
      </c>
      <c r="AF4" s="30">
        <v>32</v>
      </c>
      <c r="AG4" s="30">
        <v>33</v>
      </c>
      <c r="AH4" s="30">
        <v>34</v>
      </c>
      <c r="AI4" s="30">
        <v>35</v>
      </c>
      <c r="AJ4" s="30">
        <v>39</v>
      </c>
      <c r="AK4" s="30">
        <v>40</v>
      </c>
      <c r="AL4" s="30">
        <v>41</v>
      </c>
    </row>
    <row r="5" spans="1:38" s="29" customFormat="1" ht="31.5" customHeight="1" x14ac:dyDescent="0.35">
      <c r="A5" s="32">
        <v>1</v>
      </c>
      <c r="B5" s="80" t="s">
        <v>58</v>
      </c>
      <c r="C5" s="90">
        <v>0</v>
      </c>
      <c r="D5" s="90"/>
      <c r="E5" s="90"/>
      <c r="F5" s="90">
        <v>2220</v>
      </c>
      <c r="G5" s="90">
        <v>2071</v>
      </c>
      <c r="H5" s="90">
        <v>4291</v>
      </c>
      <c r="I5" s="90">
        <v>0</v>
      </c>
      <c r="J5" s="90"/>
      <c r="K5" s="90"/>
      <c r="L5" s="90">
        <v>0</v>
      </c>
      <c r="M5" s="90"/>
      <c r="N5" s="90"/>
      <c r="O5" s="90">
        <v>0</v>
      </c>
      <c r="P5" s="90"/>
      <c r="Q5" s="90"/>
      <c r="R5" s="90">
        <v>0</v>
      </c>
      <c r="S5" s="90"/>
      <c r="T5" s="90"/>
      <c r="U5" s="90">
        <v>0</v>
      </c>
      <c r="V5" s="90"/>
      <c r="W5" s="90"/>
      <c r="X5" s="90">
        <v>0</v>
      </c>
      <c r="Y5" s="90"/>
      <c r="Z5" s="90"/>
      <c r="AA5" s="90">
        <v>0</v>
      </c>
      <c r="AB5" s="90"/>
      <c r="AC5" s="90"/>
      <c r="AD5" s="90">
        <v>0</v>
      </c>
      <c r="AE5" s="90"/>
      <c r="AF5" s="90"/>
      <c r="AG5" s="90">
        <v>0</v>
      </c>
      <c r="AH5" s="90"/>
      <c r="AI5" s="90"/>
      <c r="AJ5" s="90">
        <v>2220</v>
      </c>
      <c r="AK5" s="90">
        <v>2071</v>
      </c>
      <c r="AL5" s="90">
        <v>4291</v>
      </c>
    </row>
    <row r="6" spans="1:38" s="29" customFormat="1" ht="27" customHeight="1" x14ac:dyDescent="0.35">
      <c r="A6" s="32">
        <v>2</v>
      </c>
      <c r="B6" s="74" t="s">
        <v>13</v>
      </c>
      <c r="C6" s="90">
        <v>1201</v>
      </c>
      <c r="D6" s="90">
        <v>786</v>
      </c>
      <c r="E6" s="90">
        <v>1987</v>
      </c>
      <c r="F6" s="90">
        <v>6524</v>
      </c>
      <c r="G6" s="90">
        <v>2127</v>
      </c>
      <c r="H6" s="90">
        <v>8651</v>
      </c>
      <c r="I6" s="90">
        <v>6334</v>
      </c>
      <c r="J6" s="90">
        <v>2620</v>
      </c>
      <c r="K6" s="90">
        <v>8954</v>
      </c>
      <c r="L6" s="90">
        <v>17617</v>
      </c>
      <c r="M6" s="90">
        <v>18124</v>
      </c>
      <c r="N6" s="90">
        <v>35741</v>
      </c>
      <c r="O6" s="90">
        <v>13746</v>
      </c>
      <c r="P6" s="90">
        <v>7695</v>
      </c>
      <c r="Q6" s="90">
        <v>21441</v>
      </c>
      <c r="R6" s="90">
        <v>0</v>
      </c>
      <c r="S6" s="90"/>
      <c r="T6" s="90"/>
      <c r="U6" s="90">
        <v>306</v>
      </c>
      <c r="V6" s="90">
        <v>1974</v>
      </c>
      <c r="W6" s="90">
        <v>2280</v>
      </c>
      <c r="X6" s="90">
        <v>127024</v>
      </c>
      <c r="Y6" s="90">
        <v>110546</v>
      </c>
      <c r="Z6" s="90">
        <v>237570</v>
      </c>
      <c r="AA6" s="90">
        <v>0</v>
      </c>
      <c r="AB6" s="90"/>
      <c r="AC6" s="90"/>
      <c r="AD6" s="90">
        <v>0</v>
      </c>
      <c r="AE6" s="90"/>
      <c r="AF6" s="90"/>
      <c r="AG6" s="90">
        <v>24222</v>
      </c>
      <c r="AH6" s="90">
        <v>15910</v>
      </c>
      <c r="AI6" s="90">
        <v>40132</v>
      </c>
      <c r="AJ6" s="90">
        <v>196974</v>
      </c>
      <c r="AK6" s="90">
        <v>159782</v>
      </c>
      <c r="AL6" s="90">
        <v>356756</v>
      </c>
    </row>
    <row r="7" spans="1:38" s="29" customFormat="1" ht="27" customHeight="1" x14ac:dyDescent="0.35">
      <c r="A7" s="32">
        <v>3</v>
      </c>
      <c r="B7" s="74" t="s">
        <v>14</v>
      </c>
      <c r="C7" s="90">
        <v>2164</v>
      </c>
      <c r="D7" s="90">
        <v>2136</v>
      </c>
      <c r="E7" s="90">
        <v>4300</v>
      </c>
      <c r="F7" s="90">
        <v>3762</v>
      </c>
      <c r="G7" s="90">
        <v>5071</v>
      </c>
      <c r="H7" s="90">
        <v>8833</v>
      </c>
      <c r="I7" s="90">
        <v>806</v>
      </c>
      <c r="J7" s="90">
        <v>225</v>
      </c>
      <c r="K7" s="90">
        <v>1031</v>
      </c>
      <c r="L7" s="90">
        <v>0</v>
      </c>
      <c r="M7" s="90"/>
      <c r="N7" s="90"/>
      <c r="O7" s="90">
        <v>8949</v>
      </c>
      <c r="P7" s="90">
        <v>5455</v>
      </c>
      <c r="Q7" s="90">
        <v>14404</v>
      </c>
      <c r="R7" s="90">
        <v>1466</v>
      </c>
      <c r="S7" s="90">
        <v>922</v>
      </c>
      <c r="T7" s="90">
        <v>2388</v>
      </c>
      <c r="U7" s="90">
        <v>0</v>
      </c>
      <c r="V7" s="90"/>
      <c r="W7" s="90"/>
      <c r="X7" s="90">
        <v>0</v>
      </c>
      <c r="Y7" s="90"/>
      <c r="Z7" s="90"/>
      <c r="AA7" s="90">
        <v>1642</v>
      </c>
      <c r="AB7" s="90">
        <v>796</v>
      </c>
      <c r="AC7" s="90">
        <v>2438</v>
      </c>
      <c r="AD7" s="90">
        <v>0</v>
      </c>
      <c r="AE7" s="90"/>
      <c r="AF7" s="90"/>
      <c r="AG7" s="90">
        <v>0</v>
      </c>
      <c r="AH7" s="90"/>
      <c r="AI7" s="90"/>
      <c r="AJ7" s="90">
        <v>18789</v>
      </c>
      <c r="AK7" s="90">
        <v>14605</v>
      </c>
      <c r="AL7" s="90">
        <v>33394</v>
      </c>
    </row>
    <row r="8" spans="1:38" s="29" customFormat="1" ht="27" customHeight="1" x14ac:dyDescent="0.35">
      <c r="A8" s="32">
        <v>4</v>
      </c>
      <c r="B8" s="74" t="s">
        <v>15</v>
      </c>
      <c r="C8" s="90">
        <v>5201</v>
      </c>
      <c r="D8" s="90">
        <v>5049</v>
      </c>
      <c r="E8" s="90">
        <v>10250</v>
      </c>
      <c r="F8" s="90">
        <v>13293</v>
      </c>
      <c r="G8" s="90">
        <v>14553</v>
      </c>
      <c r="H8" s="90">
        <v>27846</v>
      </c>
      <c r="I8" s="90">
        <v>11156</v>
      </c>
      <c r="J8" s="90">
        <v>3635</v>
      </c>
      <c r="K8" s="90">
        <v>14791</v>
      </c>
      <c r="L8" s="90">
        <v>27902</v>
      </c>
      <c r="M8" s="90">
        <v>26569</v>
      </c>
      <c r="N8" s="90">
        <v>54471</v>
      </c>
      <c r="O8" s="90">
        <v>9889</v>
      </c>
      <c r="P8" s="90">
        <v>9234</v>
      </c>
      <c r="Q8" s="90">
        <v>19123</v>
      </c>
      <c r="R8" s="90">
        <v>0</v>
      </c>
      <c r="S8" s="90"/>
      <c r="T8" s="90"/>
      <c r="U8" s="90">
        <v>0</v>
      </c>
      <c r="V8" s="90"/>
      <c r="W8" s="90"/>
      <c r="X8" s="90">
        <v>16757</v>
      </c>
      <c r="Y8" s="90">
        <v>22191</v>
      </c>
      <c r="Z8" s="90">
        <v>38948</v>
      </c>
      <c r="AA8" s="90">
        <v>1312</v>
      </c>
      <c r="AB8" s="90">
        <v>409</v>
      </c>
      <c r="AC8" s="90">
        <v>1721</v>
      </c>
      <c r="AD8" s="90">
        <v>141</v>
      </c>
      <c r="AE8" s="90">
        <v>251</v>
      </c>
      <c r="AF8" s="90">
        <v>392</v>
      </c>
      <c r="AG8" s="90">
        <v>0</v>
      </c>
      <c r="AH8" s="90"/>
      <c r="AI8" s="90"/>
      <c r="AJ8" s="90">
        <v>85651</v>
      </c>
      <c r="AK8" s="90">
        <v>81891</v>
      </c>
      <c r="AL8" s="90">
        <v>167542</v>
      </c>
    </row>
    <row r="9" spans="1:38" s="29" customFormat="1" ht="27" customHeight="1" x14ac:dyDescent="0.35">
      <c r="A9" s="32">
        <v>5</v>
      </c>
      <c r="B9" s="74" t="s">
        <v>16</v>
      </c>
      <c r="C9" s="90">
        <v>3764</v>
      </c>
      <c r="D9" s="90">
        <v>2462</v>
      </c>
      <c r="E9" s="90">
        <v>6226</v>
      </c>
      <c r="F9" s="90">
        <v>75694</v>
      </c>
      <c r="G9" s="90">
        <v>51400</v>
      </c>
      <c r="H9" s="90">
        <v>127094</v>
      </c>
      <c r="I9" s="90">
        <v>7141</v>
      </c>
      <c r="J9" s="90">
        <v>2666</v>
      </c>
      <c r="K9" s="90">
        <v>9807</v>
      </c>
      <c r="L9" s="90">
        <v>14410</v>
      </c>
      <c r="M9" s="90">
        <v>12288</v>
      </c>
      <c r="N9" s="90">
        <v>26698</v>
      </c>
      <c r="O9" s="90">
        <v>12619</v>
      </c>
      <c r="P9" s="90">
        <v>7112</v>
      </c>
      <c r="Q9" s="90">
        <v>19731</v>
      </c>
      <c r="R9" s="90">
        <v>0</v>
      </c>
      <c r="S9" s="90"/>
      <c r="T9" s="90"/>
      <c r="U9" s="90">
        <v>566</v>
      </c>
      <c r="V9" s="90">
        <v>782</v>
      </c>
      <c r="W9" s="90">
        <v>1348</v>
      </c>
      <c r="X9" s="90">
        <v>49605</v>
      </c>
      <c r="Y9" s="90">
        <v>42153</v>
      </c>
      <c r="Z9" s="90">
        <v>91758</v>
      </c>
      <c r="AA9" s="90">
        <v>210</v>
      </c>
      <c r="AB9" s="90">
        <v>115</v>
      </c>
      <c r="AC9" s="90">
        <v>325</v>
      </c>
      <c r="AD9" s="90">
        <v>0</v>
      </c>
      <c r="AE9" s="90"/>
      <c r="AF9" s="90"/>
      <c r="AG9" s="90">
        <v>647</v>
      </c>
      <c r="AH9" s="90">
        <v>299</v>
      </c>
      <c r="AI9" s="90">
        <v>946</v>
      </c>
      <c r="AJ9" s="90">
        <v>164656</v>
      </c>
      <c r="AK9" s="90">
        <v>119277</v>
      </c>
      <c r="AL9" s="90">
        <v>283933</v>
      </c>
    </row>
    <row r="10" spans="1:38" s="29" customFormat="1" ht="27" customHeight="1" x14ac:dyDescent="0.35">
      <c r="A10" s="32">
        <v>6</v>
      </c>
      <c r="B10" s="74" t="s">
        <v>17</v>
      </c>
      <c r="C10" s="90">
        <v>0</v>
      </c>
      <c r="D10" s="90"/>
      <c r="E10" s="90"/>
      <c r="F10" s="90">
        <v>11915</v>
      </c>
      <c r="G10" s="90">
        <v>8958</v>
      </c>
      <c r="H10" s="90">
        <v>20873</v>
      </c>
      <c r="I10" s="90">
        <v>443</v>
      </c>
      <c r="J10" s="90">
        <v>698</v>
      </c>
      <c r="K10" s="90">
        <v>1141</v>
      </c>
      <c r="L10" s="90">
        <v>0</v>
      </c>
      <c r="M10" s="90"/>
      <c r="N10" s="90"/>
      <c r="O10" s="90">
        <v>0</v>
      </c>
      <c r="P10" s="90"/>
      <c r="Q10" s="90"/>
      <c r="R10" s="90">
        <v>0</v>
      </c>
      <c r="S10" s="90"/>
      <c r="T10" s="90"/>
      <c r="U10" s="90">
        <v>0</v>
      </c>
      <c r="V10" s="90"/>
      <c r="W10" s="90"/>
      <c r="X10" s="90">
        <v>16640</v>
      </c>
      <c r="Y10" s="90">
        <v>14170</v>
      </c>
      <c r="Z10" s="90">
        <v>30810</v>
      </c>
      <c r="AA10" s="90">
        <v>2189</v>
      </c>
      <c r="AB10" s="90">
        <v>417</v>
      </c>
      <c r="AC10" s="90">
        <v>2606</v>
      </c>
      <c r="AD10" s="90">
        <v>0</v>
      </c>
      <c r="AE10" s="90"/>
      <c r="AF10" s="90"/>
      <c r="AG10" s="90">
        <v>0</v>
      </c>
      <c r="AH10" s="90"/>
      <c r="AI10" s="90"/>
      <c r="AJ10" s="90">
        <v>31187</v>
      </c>
      <c r="AK10" s="90">
        <v>24243</v>
      </c>
      <c r="AL10" s="90">
        <v>55430</v>
      </c>
    </row>
    <row r="11" spans="1:38" s="29" customFormat="1" ht="27" customHeight="1" x14ac:dyDescent="0.35">
      <c r="A11" s="32">
        <v>7</v>
      </c>
      <c r="B11" s="74" t="s">
        <v>18</v>
      </c>
      <c r="C11" s="418">
        <v>5884</v>
      </c>
      <c r="D11" s="90">
        <v>3998</v>
      </c>
      <c r="E11" s="90">
        <v>9882</v>
      </c>
      <c r="F11" s="90">
        <v>4376</v>
      </c>
      <c r="G11" s="90">
        <v>2734</v>
      </c>
      <c r="H11" s="90">
        <v>7110</v>
      </c>
      <c r="I11" s="90">
        <v>5359</v>
      </c>
      <c r="J11" s="90">
        <v>2283</v>
      </c>
      <c r="K11" s="90">
        <v>7642</v>
      </c>
      <c r="L11" s="90">
        <v>14412</v>
      </c>
      <c r="M11" s="90">
        <v>14655</v>
      </c>
      <c r="N11" s="90">
        <v>29067</v>
      </c>
      <c r="O11" s="90">
        <v>19450</v>
      </c>
      <c r="P11" s="90">
        <v>12631</v>
      </c>
      <c r="Q11" s="90">
        <v>32081</v>
      </c>
      <c r="R11" s="90">
        <v>0</v>
      </c>
      <c r="S11" s="90"/>
      <c r="T11" s="90"/>
      <c r="U11" s="90">
        <v>0</v>
      </c>
      <c r="V11" s="90"/>
      <c r="W11" s="90"/>
      <c r="X11" s="90">
        <v>132583</v>
      </c>
      <c r="Y11" s="90">
        <v>133774</v>
      </c>
      <c r="Z11" s="90">
        <v>266357</v>
      </c>
      <c r="AA11" s="90">
        <v>0</v>
      </c>
      <c r="AB11" s="90"/>
      <c r="AC11" s="90"/>
      <c r="AD11" s="90">
        <v>0</v>
      </c>
      <c r="AE11" s="90"/>
      <c r="AF11" s="90"/>
      <c r="AG11" s="90">
        <v>0</v>
      </c>
      <c r="AH11" s="90"/>
      <c r="AI11" s="90"/>
      <c r="AJ11" s="90">
        <v>182064</v>
      </c>
      <c r="AK11" s="90">
        <v>170075</v>
      </c>
      <c r="AL11" s="90">
        <v>352139</v>
      </c>
    </row>
    <row r="12" spans="1:38" s="29" customFormat="1" ht="27" customHeight="1" x14ac:dyDescent="0.35">
      <c r="A12" s="32">
        <v>8</v>
      </c>
      <c r="B12" s="74" t="s">
        <v>19</v>
      </c>
      <c r="C12" s="90">
        <v>218195</v>
      </c>
      <c r="D12" s="90">
        <v>223382</v>
      </c>
      <c r="E12" s="90">
        <v>441577</v>
      </c>
      <c r="F12" s="90">
        <v>163762</v>
      </c>
      <c r="G12" s="90">
        <v>158109</v>
      </c>
      <c r="H12" s="90">
        <v>321871</v>
      </c>
      <c r="I12" s="90">
        <v>11670</v>
      </c>
      <c r="J12" s="90">
        <v>6389</v>
      </c>
      <c r="K12" s="90">
        <v>18059</v>
      </c>
      <c r="L12" s="90">
        <v>0</v>
      </c>
      <c r="M12" s="90"/>
      <c r="N12" s="90"/>
      <c r="O12" s="90">
        <v>0</v>
      </c>
      <c r="P12" s="90"/>
      <c r="Q12" s="90"/>
      <c r="R12" s="90">
        <v>0</v>
      </c>
      <c r="S12" s="90"/>
      <c r="T12" s="90"/>
      <c r="U12" s="90">
        <v>0</v>
      </c>
      <c r="V12" s="90"/>
      <c r="W12" s="90"/>
      <c r="X12" s="90">
        <v>37337</v>
      </c>
      <c r="Y12" s="90">
        <v>13309</v>
      </c>
      <c r="Z12" s="90">
        <v>50646</v>
      </c>
      <c r="AA12" s="90">
        <v>2405</v>
      </c>
      <c r="AB12" s="90">
        <v>1453</v>
      </c>
      <c r="AC12" s="90">
        <v>3858</v>
      </c>
      <c r="AD12" s="90">
        <v>6400</v>
      </c>
      <c r="AE12" s="90">
        <v>5138</v>
      </c>
      <c r="AF12" s="90">
        <v>11538</v>
      </c>
      <c r="AG12" s="90">
        <v>1662</v>
      </c>
      <c r="AH12" s="90">
        <v>1094</v>
      </c>
      <c r="AI12" s="90">
        <v>2756</v>
      </c>
      <c r="AJ12" s="90">
        <v>441431</v>
      </c>
      <c r="AK12" s="90">
        <v>408874</v>
      </c>
      <c r="AL12" s="90">
        <v>850305</v>
      </c>
    </row>
    <row r="13" spans="1:38" s="29" customFormat="1" ht="27" customHeight="1" x14ac:dyDescent="0.35">
      <c r="A13" s="32">
        <v>9</v>
      </c>
      <c r="B13" s="74" t="s">
        <v>20</v>
      </c>
      <c r="C13" s="90">
        <v>0</v>
      </c>
      <c r="D13" s="90"/>
      <c r="E13" s="90"/>
      <c r="F13" s="90">
        <v>3615</v>
      </c>
      <c r="G13" s="90">
        <v>2475</v>
      </c>
      <c r="H13" s="90">
        <v>6090</v>
      </c>
      <c r="I13" s="90">
        <v>1350</v>
      </c>
      <c r="J13" s="90">
        <v>491</v>
      </c>
      <c r="K13" s="90">
        <v>1841</v>
      </c>
      <c r="L13" s="90">
        <v>0</v>
      </c>
      <c r="M13" s="90"/>
      <c r="N13" s="90"/>
      <c r="O13" s="90">
        <v>19</v>
      </c>
      <c r="P13" s="90">
        <v>27</v>
      </c>
      <c r="Q13" s="90">
        <v>46</v>
      </c>
      <c r="R13" s="90">
        <v>0</v>
      </c>
      <c r="S13" s="90"/>
      <c r="T13" s="90"/>
      <c r="U13" s="90">
        <v>0</v>
      </c>
      <c r="V13" s="90"/>
      <c r="W13" s="90"/>
      <c r="X13" s="90">
        <v>947</v>
      </c>
      <c r="Y13" s="90">
        <v>1982</v>
      </c>
      <c r="Z13" s="90">
        <v>2929</v>
      </c>
      <c r="AA13" s="90">
        <v>0</v>
      </c>
      <c r="AB13" s="90"/>
      <c r="AC13" s="90"/>
      <c r="AD13" s="90">
        <v>0</v>
      </c>
      <c r="AE13" s="90"/>
      <c r="AF13" s="90"/>
      <c r="AG13" s="90">
        <v>3783</v>
      </c>
      <c r="AH13" s="90">
        <v>693</v>
      </c>
      <c r="AI13" s="90">
        <v>4476</v>
      </c>
      <c r="AJ13" s="90">
        <v>9714</v>
      </c>
      <c r="AK13" s="90">
        <v>5668</v>
      </c>
      <c r="AL13" s="90">
        <v>15382</v>
      </c>
    </row>
    <row r="14" spans="1:38" s="29" customFormat="1" ht="27" customHeight="1" x14ac:dyDescent="0.35">
      <c r="A14" s="32">
        <v>10</v>
      </c>
      <c r="B14" s="74" t="s">
        <v>21</v>
      </c>
      <c r="C14" s="90">
        <v>1305</v>
      </c>
      <c r="D14" s="90">
        <v>734</v>
      </c>
      <c r="E14" s="90">
        <v>2039</v>
      </c>
      <c r="F14" s="90">
        <v>7496</v>
      </c>
      <c r="G14" s="90">
        <v>5446</v>
      </c>
      <c r="H14" s="90">
        <v>12942</v>
      </c>
      <c r="I14" s="90">
        <v>11936</v>
      </c>
      <c r="J14" s="90">
        <v>5438</v>
      </c>
      <c r="K14" s="90">
        <v>17374</v>
      </c>
      <c r="L14" s="90">
        <v>42940</v>
      </c>
      <c r="M14" s="90">
        <v>35504</v>
      </c>
      <c r="N14" s="90">
        <v>78444</v>
      </c>
      <c r="O14" s="90">
        <v>192795</v>
      </c>
      <c r="P14" s="90">
        <v>106127</v>
      </c>
      <c r="Q14" s="90">
        <v>298922</v>
      </c>
      <c r="R14" s="90">
        <v>0</v>
      </c>
      <c r="S14" s="90"/>
      <c r="T14" s="90"/>
      <c r="U14" s="90">
        <v>0</v>
      </c>
      <c r="V14" s="90"/>
      <c r="W14" s="90"/>
      <c r="X14" s="90">
        <v>73111</v>
      </c>
      <c r="Y14" s="90">
        <v>79184</v>
      </c>
      <c r="Z14" s="90">
        <v>152295</v>
      </c>
      <c r="AA14" s="90">
        <v>1</v>
      </c>
      <c r="AB14" s="90">
        <v>0</v>
      </c>
      <c r="AC14" s="90">
        <v>1</v>
      </c>
      <c r="AD14" s="90">
        <v>1327</v>
      </c>
      <c r="AE14" s="90">
        <v>1085</v>
      </c>
      <c r="AF14" s="90">
        <v>2412</v>
      </c>
      <c r="AG14" s="90">
        <v>1495</v>
      </c>
      <c r="AH14" s="90">
        <v>2289</v>
      </c>
      <c r="AI14" s="90">
        <v>3784</v>
      </c>
      <c r="AJ14" s="90">
        <v>332406</v>
      </c>
      <c r="AK14" s="90">
        <v>235807</v>
      </c>
      <c r="AL14" s="90">
        <v>568213</v>
      </c>
    </row>
    <row r="15" spans="1:38" s="29" customFormat="1" ht="27" customHeight="1" x14ac:dyDescent="0.35">
      <c r="A15" s="32">
        <v>11</v>
      </c>
      <c r="B15" s="74" t="s">
        <v>22</v>
      </c>
      <c r="C15" s="90">
        <v>2256</v>
      </c>
      <c r="D15" s="90">
        <v>1329</v>
      </c>
      <c r="E15" s="90">
        <v>3585</v>
      </c>
      <c r="F15" s="90">
        <v>52248</v>
      </c>
      <c r="G15" s="90">
        <v>34289</v>
      </c>
      <c r="H15" s="90">
        <v>86537</v>
      </c>
      <c r="I15" s="90">
        <v>5961</v>
      </c>
      <c r="J15" s="90">
        <v>2475</v>
      </c>
      <c r="K15" s="90">
        <v>8436</v>
      </c>
      <c r="L15" s="90">
        <v>0</v>
      </c>
      <c r="M15" s="90"/>
      <c r="N15" s="90"/>
      <c r="O15" s="90">
        <v>45999</v>
      </c>
      <c r="P15" s="90">
        <v>31261</v>
      </c>
      <c r="Q15" s="90">
        <v>77260</v>
      </c>
      <c r="R15" s="90">
        <v>0</v>
      </c>
      <c r="S15" s="90"/>
      <c r="T15" s="90"/>
      <c r="U15" s="90">
        <v>0</v>
      </c>
      <c r="V15" s="90"/>
      <c r="W15" s="90"/>
      <c r="X15" s="90">
        <v>76010</v>
      </c>
      <c r="Y15" s="90">
        <v>101651</v>
      </c>
      <c r="Z15" s="90">
        <v>177661</v>
      </c>
      <c r="AA15" s="90">
        <v>819</v>
      </c>
      <c r="AB15" s="90">
        <v>425</v>
      </c>
      <c r="AC15" s="90">
        <v>1244</v>
      </c>
      <c r="AD15" s="90">
        <v>0</v>
      </c>
      <c r="AE15" s="90"/>
      <c r="AF15" s="90"/>
      <c r="AG15" s="90">
        <v>13816</v>
      </c>
      <c r="AH15" s="90">
        <v>9010</v>
      </c>
      <c r="AI15" s="90">
        <v>22826</v>
      </c>
      <c r="AJ15" s="90">
        <v>197109</v>
      </c>
      <c r="AK15" s="90">
        <v>180440</v>
      </c>
      <c r="AL15" s="90">
        <v>377549</v>
      </c>
    </row>
    <row r="16" spans="1:38" s="29" customFormat="1" ht="27" customHeight="1" x14ac:dyDescent="0.35">
      <c r="A16" s="32">
        <v>12</v>
      </c>
      <c r="B16" s="74" t="s">
        <v>23</v>
      </c>
      <c r="C16" s="90">
        <v>1044</v>
      </c>
      <c r="D16" s="90">
        <v>1041</v>
      </c>
      <c r="E16" s="90">
        <v>2085</v>
      </c>
      <c r="F16" s="90">
        <v>29111</v>
      </c>
      <c r="G16" s="90">
        <v>23021</v>
      </c>
      <c r="H16" s="90">
        <v>52132</v>
      </c>
      <c r="I16" s="90">
        <v>6203</v>
      </c>
      <c r="J16" s="90">
        <v>1963</v>
      </c>
      <c r="K16" s="90">
        <v>8166</v>
      </c>
      <c r="L16" s="90">
        <v>0</v>
      </c>
      <c r="M16" s="90"/>
      <c r="N16" s="90"/>
      <c r="O16" s="90">
        <v>15753</v>
      </c>
      <c r="P16" s="90">
        <v>10617</v>
      </c>
      <c r="Q16" s="90">
        <v>26370</v>
      </c>
      <c r="R16" s="90">
        <v>0</v>
      </c>
      <c r="S16" s="90"/>
      <c r="T16" s="90"/>
      <c r="U16" s="90">
        <v>0</v>
      </c>
      <c r="V16" s="90"/>
      <c r="W16" s="90"/>
      <c r="X16" s="90">
        <v>10212</v>
      </c>
      <c r="Y16" s="90">
        <v>10504</v>
      </c>
      <c r="Z16" s="90">
        <v>20716</v>
      </c>
      <c r="AA16" s="90">
        <v>0</v>
      </c>
      <c r="AB16" s="90"/>
      <c r="AC16" s="90"/>
      <c r="AD16" s="90">
        <v>0</v>
      </c>
      <c r="AE16" s="90"/>
      <c r="AF16" s="90"/>
      <c r="AG16" s="90">
        <v>0</v>
      </c>
      <c r="AH16" s="90"/>
      <c r="AI16" s="90"/>
      <c r="AJ16" s="90">
        <v>62323</v>
      </c>
      <c r="AK16" s="90">
        <v>47146</v>
      </c>
      <c r="AL16" s="90">
        <v>109469</v>
      </c>
    </row>
    <row r="17" spans="1:38" s="29" customFormat="1" ht="27" customHeight="1" x14ac:dyDescent="0.35">
      <c r="A17" s="32">
        <v>13</v>
      </c>
      <c r="B17" s="74" t="s">
        <v>24</v>
      </c>
      <c r="C17" s="90">
        <v>3365</v>
      </c>
      <c r="D17" s="90">
        <v>2838</v>
      </c>
      <c r="E17" s="90">
        <v>6203</v>
      </c>
      <c r="F17" s="90">
        <v>52709</v>
      </c>
      <c r="G17" s="90">
        <v>47297</v>
      </c>
      <c r="H17" s="90">
        <v>100006</v>
      </c>
      <c r="I17" s="90">
        <v>4314</v>
      </c>
      <c r="J17" s="90">
        <v>1406</v>
      </c>
      <c r="K17" s="90">
        <v>5720</v>
      </c>
      <c r="L17" s="90">
        <v>0</v>
      </c>
      <c r="M17" s="90"/>
      <c r="N17" s="90"/>
      <c r="O17" s="90">
        <v>0</v>
      </c>
      <c r="P17" s="90"/>
      <c r="Q17" s="90"/>
      <c r="R17" s="90">
        <v>0</v>
      </c>
      <c r="S17" s="90"/>
      <c r="T17" s="90"/>
      <c r="U17" s="90">
        <v>829</v>
      </c>
      <c r="V17" s="90">
        <v>622</v>
      </c>
      <c r="W17" s="90">
        <v>1451</v>
      </c>
      <c r="X17" s="90">
        <v>18969</v>
      </c>
      <c r="Y17" s="90">
        <v>28095</v>
      </c>
      <c r="Z17" s="90">
        <v>47064</v>
      </c>
      <c r="AA17" s="90">
        <v>0</v>
      </c>
      <c r="AB17" s="90"/>
      <c r="AC17" s="90"/>
      <c r="AD17" s="90">
        <v>0</v>
      </c>
      <c r="AE17" s="90"/>
      <c r="AF17" s="90"/>
      <c r="AG17" s="90">
        <v>0</v>
      </c>
      <c r="AH17" s="90"/>
      <c r="AI17" s="90"/>
      <c r="AJ17" s="90">
        <v>80186</v>
      </c>
      <c r="AK17" s="90">
        <v>80258</v>
      </c>
      <c r="AL17" s="90">
        <v>160444</v>
      </c>
    </row>
    <row r="18" spans="1:38" s="29" customFormat="1" ht="27" customHeight="1" x14ac:dyDescent="0.35">
      <c r="A18" s="32">
        <v>14</v>
      </c>
      <c r="B18" s="74" t="s">
        <v>25</v>
      </c>
      <c r="C18" s="90">
        <v>1124</v>
      </c>
      <c r="D18" s="90">
        <v>842</v>
      </c>
      <c r="E18" s="90">
        <v>1966</v>
      </c>
      <c r="F18" s="90">
        <v>31517</v>
      </c>
      <c r="G18" s="90">
        <v>21520</v>
      </c>
      <c r="H18" s="90">
        <v>53037</v>
      </c>
      <c r="I18" s="90">
        <v>9913</v>
      </c>
      <c r="J18" s="90">
        <v>2824</v>
      </c>
      <c r="K18" s="90">
        <v>12737</v>
      </c>
      <c r="L18" s="90">
        <v>0</v>
      </c>
      <c r="M18" s="90"/>
      <c r="N18" s="90"/>
      <c r="O18" s="90">
        <v>33663</v>
      </c>
      <c r="P18" s="90">
        <v>22108</v>
      </c>
      <c r="Q18" s="90">
        <v>55771</v>
      </c>
      <c r="R18" s="90">
        <v>0</v>
      </c>
      <c r="S18" s="90"/>
      <c r="T18" s="90"/>
      <c r="U18" s="90">
        <v>0</v>
      </c>
      <c r="V18" s="90"/>
      <c r="W18" s="90"/>
      <c r="X18" s="90">
        <v>18045</v>
      </c>
      <c r="Y18" s="90">
        <v>34748</v>
      </c>
      <c r="Z18" s="90">
        <v>52793</v>
      </c>
      <c r="AA18" s="90">
        <v>0</v>
      </c>
      <c r="AB18" s="90"/>
      <c r="AC18" s="90"/>
      <c r="AD18" s="90">
        <v>0</v>
      </c>
      <c r="AE18" s="90"/>
      <c r="AF18" s="90"/>
      <c r="AG18" s="90">
        <v>5459</v>
      </c>
      <c r="AH18" s="90">
        <v>2517</v>
      </c>
      <c r="AI18" s="90">
        <v>7976</v>
      </c>
      <c r="AJ18" s="90">
        <v>99721</v>
      </c>
      <c r="AK18" s="90">
        <v>84559</v>
      </c>
      <c r="AL18" s="90">
        <v>184280</v>
      </c>
    </row>
    <row r="19" spans="1:38" s="29" customFormat="1" ht="27" customHeight="1" x14ac:dyDescent="0.35">
      <c r="A19" s="32">
        <v>15</v>
      </c>
      <c r="B19" s="74" t="s">
        <v>26</v>
      </c>
      <c r="C19" s="90">
        <v>1478</v>
      </c>
      <c r="D19" s="90">
        <v>1136</v>
      </c>
      <c r="E19" s="90">
        <v>2614</v>
      </c>
      <c r="F19" s="90">
        <v>9283</v>
      </c>
      <c r="G19" s="90">
        <v>7936</v>
      </c>
      <c r="H19" s="90">
        <v>17219</v>
      </c>
      <c r="I19" s="90">
        <v>8460</v>
      </c>
      <c r="J19" s="90">
        <v>4019</v>
      </c>
      <c r="K19" s="90">
        <v>12479</v>
      </c>
      <c r="L19" s="90">
        <v>25896</v>
      </c>
      <c r="M19" s="90">
        <v>35110</v>
      </c>
      <c r="N19" s="90">
        <v>61006</v>
      </c>
      <c r="O19" s="90">
        <v>73404</v>
      </c>
      <c r="P19" s="90">
        <v>49782</v>
      </c>
      <c r="Q19" s="90">
        <v>123186</v>
      </c>
      <c r="R19" s="90">
        <v>0</v>
      </c>
      <c r="S19" s="90"/>
      <c r="T19" s="90"/>
      <c r="U19" s="90">
        <v>0</v>
      </c>
      <c r="V19" s="90"/>
      <c r="W19" s="90"/>
      <c r="X19" s="90">
        <v>78597</v>
      </c>
      <c r="Y19" s="90">
        <v>62001</v>
      </c>
      <c r="Z19" s="90">
        <v>140598</v>
      </c>
      <c r="AA19" s="90">
        <v>1168</v>
      </c>
      <c r="AB19" s="90">
        <v>433</v>
      </c>
      <c r="AC19" s="90">
        <v>1601</v>
      </c>
      <c r="AD19" s="90">
        <v>0</v>
      </c>
      <c r="AE19" s="90"/>
      <c r="AF19" s="90"/>
      <c r="AG19" s="90">
        <v>77199</v>
      </c>
      <c r="AH19" s="90">
        <v>69119</v>
      </c>
      <c r="AI19" s="90">
        <v>146318</v>
      </c>
      <c r="AJ19" s="90">
        <v>275485</v>
      </c>
      <c r="AK19" s="90">
        <v>229536</v>
      </c>
      <c r="AL19" s="90">
        <v>505021</v>
      </c>
    </row>
    <row r="20" spans="1:38" s="29" customFormat="1" ht="27" customHeight="1" x14ac:dyDescent="0.35">
      <c r="A20" s="32">
        <v>16</v>
      </c>
      <c r="B20" s="74" t="s">
        <v>27</v>
      </c>
      <c r="C20" s="90">
        <v>714</v>
      </c>
      <c r="D20" s="90">
        <v>1322</v>
      </c>
      <c r="E20" s="90">
        <v>2036</v>
      </c>
      <c r="F20" s="90">
        <v>38762</v>
      </c>
      <c r="G20" s="90">
        <v>49764</v>
      </c>
      <c r="H20" s="90">
        <v>88526</v>
      </c>
      <c r="I20" s="90">
        <v>9475</v>
      </c>
      <c r="J20" s="90">
        <v>4855</v>
      </c>
      <c r="K20" s="90">
        <v>14330</v>
      </c>
      <c r="L20" s="90">
        <v>2378</v>
      </c>
      <c r="M20" s="90">
        <v>3654</v>
      </c>
      <c r="N20" s="90">
        <v>6032</v>
      </c>
      <c r="O20" s="90">
        <v>0</v>
      </c>
      <c r="P20" s="90"/>
      <c r="Q20" s="90"/>
      <c r="R20" s="90">
        <v>0</v>
      </c>
      <c r="S20" s="90"/>
      <c r="T20" s="90"/>
      <c r="U20" s="90">
        <v>0</v>
      </c>
      <c r="V20" s="90"/>
      <c r="W20" s="90"/>
      <c r="X20" s="90">
        <v>67266</v>
      </c>
      <c r="Y20" s="90">
        <v>96199</v>
      </c>
      <c r="Z20" s="90">
        <v>163465</v>
      </c>
      <c r="AA20" s="90">
        <v>1110</v>
      </c>
      <c r="AB20" s="90">
        <v>317</v>
      </c>
      <c r="AC20" s="90">
        <v>1427</v>
      </c>
      <c r="AD20" s="90">
        <v>0</v>
      </c>
      <c r="AE20" s="90"/>
      <c r="AF20" s="90"/>
      <c r="AG20" s="90">
        <v>204</v>
      </c>
      <c r="AH20" s="90">
        <v>219</v>
      </c>
      <c r="AI20" s="90">
        <v>423</v>
      </c>
      <c r="AJ20" s="90">
        <v>119909</v>
      </c>
      <c r="AK20" s="90">
        <v>156330</v>
      </c>
      <c r="AL20" s="90">
        <v>276239</v>
      </c>
    </row>
    <row r="21" spans="1:38" s="29" customFormat="1" ht="27" customHeight="1" x14ac:dyDescent="0.35">
      <c r="A21" s="32">
        <v>17</v>
      </c>
      <c r="B21" s="74" t="s">
        <v>28</v>
      </c>
      <c r="C21" s="90">
        <v>0</v>
      </c>
      <c r="D21" s="90"/>
      <c r="E21" s="90"/>
      <c r="F21" s="90">
        <v>0</v>
      </c>
      <c r="G21" s="90"/>
      <c r="H21" s="90"/>
      <c r="I21" s="90">
        <v>0</v>
      </c>
      <c r="J21" s="90"/>
      <c r="K21" s="90"/>
      <c r="L21" s="90">
        <v>0</v>
      </c>
      <c r="M21" s="90"/>
      <c r="N21" s="90"/>
      <c r="O21" s="90">
        <v>0</v>
      </c>
      <c r="P21" s="90"/>
      <c r="Q21" s="90"/>
      <c r="R21" s="90">
        <v>0</v>
      </c>
      <c r="S21" s="90"/>
      <c r="T21" s="90"/>
      <c r="U21" s="90">
        <v>0</v>
      </c>
      <c r="V21" s="90"/>
      <c r="W21" s="90"/>
      <c r="X21" s="90">
        <v>175</v>
      </c>
      <c r="Y21" s="90">
        <v>394</v>
      </c>
      <c r="Z21" s="90">
        <v>569</v>
      </c>
      <c r="AA21" s="90">
        <v>97</v>
      </c>
      <c r="AB21" s="90">
        <v>93</v>
      </c>
      <c r="AC21" s="90">
        <v>190</v>
      </c>
      <c r="AD21" s="90">
        <v>0</v>
      </c>
      <c r="AE21" s="90"/>
      <c r="AF21" s="90"/>
      <c r="AG21" s="90">
        <v>0</v>
      </c>
      <c r="AH21" s="90"/>
      <c r="AI21" s="90"/>
      <c r="AJ21" s="90">
        <v>272</v>
      </c>
      <c r="AK21" s="90">
        <v>487</v>
      </c>
      <c r="AL21" s="90">
        <v>759</v>
      </c>
    </row>
    <row r="22" spans="1:38" s="29" customFormat="1" ht="27" customHeight="1" x14ac:dyDescent="0.35">
      <c r="A22" s="32">
        <v>18</v>
      </c>
      <c r="B22" s="74" t="s">
        <v>29</v>
      </c>
      <c r="C22" s="90">
        <v>9553</v>
      </c>
      <c r="D22" s="90">
        <v>6403</v>
      </c>
      <c r="E22" s="90">
        <v>15956</v>
      </c>
      <c r="F22" s="90">
        <v>7454</v>
      </c>
      <c r="G22" s="90">
        <v>4681</v>
      </c>
      <c r="H22" s="90">
        <v>12135</v>
      </c>
      <c r="I22" s="90">
        <v>13819</v>
      </c>
      <c r="J22" s="90">
        <v>5281</v>
      </c>
      <c r="K22" s="90">
        <v>19100</v>
      </c>
      <c r="L22" s="90">
        <v>40439</v>
      </c>
      <c r="M22" s="90">
        <v>27820</v>
      </c>
      <c r="N22" s="90">
        <v>68259</v>
      </c>
      <c r="O22" s="90">
        <v>203076</v>
      </c>
      <c r="P22" s="90">
        <v>87377</v>
      </c>
      <c r="Q22" s="90">
        <v>290453</v>
      </c>
      <c r="R22" s="90">
        <v>0</v>
      </c>
      <c r="S22" s="90"/>
      <c r="T22" s="90"/>
      <c r="U22" s="90">
        <v>0</v>
      </c>
      <c r="V22" s="90"/>
      <c r="W22" s="90"/>
      <c r="X22" s="90">
        <v>185213</v>
      </c>
      <c r="Y22" s="90">
        <v>153245</v>
      </c>
      <c r="Z22" s="90">
        <v>338458</v>
      </c>
      <c r="AA22" s="90">
        <v>886</v>
      </c>
      <c r="AB22" s="90">
        <v>350</v>
      </c>
      <c r="AC22" s="90">
        <v>1236</v>
      </c>
      <c r="AD22" s="90">
        <v>0</v>
      </c>
      <c r="AE22" s="90"/>
      <c r="AF22" s="90"/>
      <c r="AG22" s="90">
        <v>0</v>
      </c>
      <c r="AH22" s="90"/>
      <c r="AI22" s="90"/>
      <c r="AJ22" s="90">
        <v>460440</v>
      </c>
      <c r="AK22" s="90">
        <v>285157</v>
      </c>
      <c r="AL22" s="90">
        <v>745597</v>
      </c>
    </row>
    <row r="23" spans="1:38" s="29" customFormat="1" ht="27" customHeight="1" x14ac:dyDescent="0.35">
      <c r="A23" s="32">
        <v>19</v>
      </c>
      <c r="B23" s="74" t="s">
        <v>30</v>
      </c>
      <c r="C23" s="90">
        <v>3443</v>
      </c>
      <c r="D23" s="90">
        <v>994</v>
      </c>
      <c r="E23" s="90">
        <v>4437</v>
      </c>
      <c r="F23" s="90">
        <v>19275</v>
      </c>
      <c r="G23" s="90">
        <v>12786</v>
      </c>
      <c r="H23" s="90">
        <v>32061</v>
      </c>
      <c r="I23" s="90">
        <v>16389</v>
      </c>
      <c r="J23" s="90">
        <v>6793</v>
      </c>
      <c r="K23" s="90">
        <v>23182</v>
      </c>
      <c r="L23" s="90">
        <v>309329</v>
      </c>
      <c r="M23" s="90">
        <v>186394</v>
      </c>
      <c r="N23" s="90">
        <v>495723</v>
      </c>
      <c r="O23" s="90">
        <v>45684</v>
      </c>
      <c r="P23" s="90">
        <v>30726</v>
      </c>
      <c r="Q23" s="90">
        <v>76410</v>
      </c>
      <c r="R23" s="90">
        <v>0</v>
      </c>
      <c r="S23" s="90"/>
      <c r="T23" s="90"/>
      <c r="U23" s="90">
        <v>0</v>
      </c>
      <c r="V23" s="90"/>
      <c r="W23" s="90"/>
      <c r="X23" s="90">
        <v>90127</v>
      </c>
      <c r="Y23" s="90">
        <v>88083</v>
      </c>
      <c r="Z23" s="90">
        <v>178210</v>
      </c>
      <c r="AA23" s="90">
        <v>3569</v>
      </c>
      <c r="AB23" s="90">
        <v>1949</v>
      </c>
      <c r="AC23" s="90">
        <v>5518</v>
      </c>
      <c r="AD23" s="90">
        <v>1593</v>
      </c>
      <c r="AE23" s="90">
        <v>2033</v>
      </c>
      <c r="AF23" s="90">
        <v>3626</v>
      </c>
      <c r="AG23" s="90">
        <v>96741</v>
      </c>
      <c r="AH23" s="90">
        <v>88075</v>
      </c>
      <c r="AI23" s="90">
        <v>184816</v>
      </c>
      <c r="AJ23" s="90">
        <v>586150</v>
      </c>
      <c r="AK23" s="90">
        <v>417833</v>
      </c>
      <c r="AL23" s="90">
        <v>1003983</v>
      </c>
    </row>
    <row r="24" spans="1:38" s="29" customFormat="1" ht="27" customHeight="1" x14ac:dyDescent="0.35">
      <c r="A24" s="32">
        <v>20</v>
      </c>
      <c r="B24" s="74" t="s">
        <v>31</v>
      </c>
      <c r="C24" s="90">
        <v>4250</v>
      </c>
      <c r="D24" s="90">
        <v>4671</v>
      </c>
      <c r="E24" s="90">
        <v>8921</v>
      </c>
      <c r="F24" s="90">
        <v>3271</v>
      </c>
      <c r="G24" s="90">
        <v>2845</v>
      </c>
      <c r="H24" s="90">
        <v>6116</v>
      </c>
      <c r="I24" s="90">
        <v>1190</v>
      </c>
      <c r="J24" s="90">
        <v>269</v>
      </c>
      <c r="K24" s="90">
        <v>1459</v>
      </c>
      <c r="L24" s="90">
        <v>0</v>
      </c>
      <c r="M24" s="90"/>
      <c r="N24" s="90"/>
      <c r="O24" s="90">
        <v>1172</v>
      </c>
      <c r="P24" s="90">
        <v>1068</v>
      </c>
      <c r="Q24" s="90">
        <v>2240</v>
      </c>
      <c r="R24" s="90">
        <v>0</v>
      </c>
      <c r="S24" s="90"/>
      <c r="T24" s="90"/>
      <c r="U24" s="90">
        <v>0</v>
      </c>
      <c r="V24" s="90"/>
      <c r="W24" s="90"/>
      <c r="X24" s="90">
        <v>1276</v>
      </c>
      <c r="Y24" s="90">
        <v>1238</v>
      </c>
      <c r="Z24" s="90">
        <v>2514</v>
      </c>
      <c r="AA24" s="90">
        <v>0</v>
      </c>
      <c r="AB24" s="90"/>
      <c r="AC24" s="90"/>
      <c r="AD24" s="90">
        <v>0</v>
      </c>
      <c r="AE24" s="90"/>
      <c r="AF24" s="90"/>
      <c r="AG24" s="90">
        <v>0</v>
      </c>
      <c r="AH24" s="90"/>
      <c r="AI24" s="90"/>
      <c r="AJ24" s="90">
        <v>11159</v>
      </c>
      <c r="AK24" s="90">
        <v>10091</v>
      </c>
      <c r="AL24" s="90">
        <v>21250</v>
      </c>
    </row>
    <row r="25" spans="1:38" s="29" customFormat="1" ht="27" customHeight="1" x14ac:dyDescent="0.35">
      <c r="A25" s="32">
        <v>21</v>
      </c>
      <c r="B25" s="74" t="s">
        <v>32</v>
      </c>
      <c r="C25" s="90">
        <v>1613</v>
      </c>
      <c r="D25" s="90">
        <v>2610</v>
      </c>
      <c r="E25" s="90">
        <v>4223</v>
      </c>
      <c r="F25" s="90">
        <v>3321</v>
      </c>
      <c r="G25" s="90">
        <v>4613</v>
      </c>
      <c r="H25" s="90">
        <v>7934</v>
      </c>
      <c r="I25" s="90">
        <v>1224</v>
      </c>
      <c r="J25" s="90">
        <v>847</v>
      </c>
      <c r="K25" s="90">
        <v>2071</v>
      </c>
      <c r="L25" s="90">
        <v>0</v>
      </c>
      <c r="M25" s="90"/>
      <c r="N25" s="90"/>
      <c r="O25" s="90">
        <v>6445</v>
      </c>
      <c r="P25" s="90">
        <v>7052</v>
      </c>
      <c r="Q25" s="90">
        <v>13497</v>
      </c>
      <c r="R25" s="90">
        <v>0</v>
      </c>
      <c r="S25" s="90"/>
      <c r="T25" s="90"/>
      <c r="U25" s="90">
        <v>0</v>
      </c>
      <c r="V25" s="90"/>
      <c r="W25" s="90"/>
      <c r="X25" s="90">
        <v>63</v>
      </c>
      <c r="Y25" s="90">
        <v>115</v>
      </c>
      <c r="Z25" s="90">
        <v>178</v>
      </c>
      <c r="AA25" s="90">
        <v>0</v>
      </c>
      <c r="AB25" s="90"/>
      <c r="AC25" s="90"/>
      <c r="AD25" s="90">
        <v>0</v>
      </c>
      <c r="AE25" s="90"/>
      <c r="AF25" s="90"/>
      <c r="AG25" s="90">
        <v>0</v>
      </c>
      <c r="AH25" s="90"/>
      <c r="AI25" s="90"/>
      <c r="AJ25" s="90">
        <v>12666</v>
      </c>
      <c r="AK25" s="90">
        <v>15237</v>
      </c>
      <c r="AL25" s="90">
        <v>27903</v>
      </c>
    </row>
    <row r="26" spans="1:38" s="29" customFormat="1" ht="27" customHeight="1" x14ac:dyDescent="0.35">
      <c r="A26" s="32">
        <v>22</v>
      </c>
      <c r="B26" s="74" t="s">
        <v>33</v>
      </c>
      <c r="C26" s="90">
        <v>1876</v>
      </c>
      <c r="D26" s="90">
        <v>1893</v>
      </c>
      <c r="E26" s="90">
        <v>3769</v>
      </c>
      <c r="F26" s="90">
        <v>3263</v>
      </c>
      <c r="G26" s="90">
        <v>3820</v>
      </c>
      <c r="H26" s="90">
        <v>7083</v>
      </c>
      <c r="I26" s="90">
        <v>512</v>
      </c>
      <c r="J26" s="90">
        <v>135</v>
      </c>
      <c r="K26" s="90">
        <v>647</v>
      </c>
      <c r="L26" s="90">
        <v>0</v>
      </c>
      <c r="M26" s="90"/>
      <c r="N26" s="90"/>
      <c r="O26" s="90">
        <v>407</v>
      </c>
      <c r="P26" s="90">
        <v>308</v>
      </c>
      <c r="Q26" s="90">
        <v>715</v>
      </c>
      <c r="R26" s="90">
        <v>0</v>
      </c>
      <c r="S26" s="90"/>
      <c r="T26" s="90"/>
      <c r="U26" s="90">
        <v>0</v>
      </c>
      <c r="V26" s="90"/>
      <c r="W26" s="90"/>
      <c r="X26" s="90">
        <v>0</v>
      </c>
      <c r="Y26" s="90"/>
      <c r="Z26" s="90"/>
      <c r="AA26" s="90">
        <v>0</v>
      </c>
      <c r="AB26" s="90"/>
      <c r="AC26" s="90"/>
      <c r="AD26" s="90">
        <v>0</v>
      </c>
      <c r="AE26" s="90"/>
      <c r="AF26" s="90"/>
      <c r="AG26" s="90">
        <v>0</v>
      </c>
      <c r="AH26" s="90"/>
      <c r="AI26" s="90"/>
      <c r="AJ26" s="90">
        <v>6058</v>
      </c>
      <c r="AK26" s="90">
        <v>6156</v>
      </c>
      <c r="AL26" s="90">
        <v>12214</v>
      </c>
    </row>
    <row r="27" spans="1:38" s="29" customFormat="1" ht="27" customHeight="1" x14ac:dyDescent="0.35">
      <c r="A27" s="32">
        <v>23</v>
      </c>
      <c r="B27" s="74" t="s">
        <v>34</v>
      </c>
      <c r="C27" s="90">
        <v>1086</v>
      </c>
      <c r="D27" s="90">
        <v>1680</v>
      </c>
      <c r="E27" s="90">
        <v>2766</v>
      </c>
      <c r="F27" s="90">
        <v>1571</v>
      </c>
      <c r="G27" s="90">
        <v>2590</v>
      </c>
      <c r="H27" s="90">
        <v>4161</v>
      </c>
      <c r="I27" s="90">
        <v>770</v>
      </c>
      <c r="J27" s="90">
        <v>239</v>
      </c>
      <c r="K27" s="90">
        <v>1009</v>
      </c>
      <c r="L27" s="90">
        <v>0</v>
      </c>
      <c r="M27" s="90"/>
      <c r="N27" s="90"/>
      <c r="O27" s="90">
        <v>2087</v>
      </c>
      <c r="P27" s="90">
        <v>2287</v>
      </c>
      <c r="Q27" s="90">
        <v>4374</v>
      </c>
      <c r="R27" s="90">
        <v>0</v>
      </c>
      <c r="S27" s="90"/>
      <c r="T27" s="90"/>
      <c r="U27" s="90">
        <v>0</v>
      </c>
      <c r="V27" s="90"/>
      <c r="W27" s="90"/>
      <c r="X27" s="90">
        <v>0</v>
      </c>
      <c r="Y27" s="90"/>
      <c r="Z27" s="90"/>
      <c r="AA27" s="90">
        <v>0</v>
      </c>
      <c r="AB27" s="90"/>
      <c r="AC27" s="90"/>
      <c r="AD27" s="90">
        <v>0</v>
      </c>
      <c r="AE27" s="90"/>
      <c r="AF27" s="90"/>
      <c r="AG27" s="90">
        <v>0</v>
      </c>
      <c r="AH27" s="90"/>
      <c r="AI27" s="90"/>
      <c r="AJ27" s="90">
        <v>5514</v>
      </c>
      <c r="AK27" s="90">
        <v>6796</v>
      </c>
      <c r="AL27" s="90">
        <v>12310</v>
      </c>
    </row>
    <row r="28" spans="1:38" s="29" customFormat="1" ht="27" customHeight="1" x14ac:dyDescent="0.35">
      <c r="A28" s="32">
        <v>24</v>
      </c>
      <c r="B28" s="74" t="s">
        <v>35</v>
      </c>
      <c r="C28" s="90">
        <v>1067</v>
      </c>
      <c r="D28" s="90">
        <v>1336</v>
      </c>
      <c r="E28" s="90">
        <v>2403</v>
      </c>
      <c r="F28" s="90">
        <v>17209</v>
      </c>
      <c r="G28" s="90">
        <v>17427</v>
      </c>
      <c r="H28" s="90">
        <v>34636</v>
      </c>
      <c r="I28" s="90">
        <v>8669</v>
      </c>
      <c r="J28" s="90">
        <v>3886</v>
      </c>
      <c r="K28" s="90">
        <v>12555</v>
      </c>
      <c r="L28" s="90">
        <v>7181</v>
      </c>
      <c r="M28" s="90">
        <v>9509</v>
      </c>
      <c r="N28" s="90">
        <v>16690</v>
      </c>
      <c r="O28" s="90">
        <v>16777</v>
      </c>
      <c r="P28" s="90">
        <v>8595</v>
      </c>
      <c r="Q28" s="90">
        <v>25372</v>
      </c>
      <c r="R28" s="90">
        <v>0</v>
      </c>
      <c r="S28" s="90"/>
      <c r="T28" s="90"/>
      <c r="U28" s="90">
        <v>0</v>
      </c>
      <c r="V28" s="90"/>
      <c r="W28" s="90"/>
      <c r="X28" s="90">
        <v>27113</v>
      </c>
      <c r="Y28" s="90">
        <v>28465</v>
      </c>
      <c r="Z28" s="90">
        <v>55578</v>
      </c>
      <c r="AA28" s="90">
        <v>821</v>
      </c>
      <c r="AB28" s="90">
        <v>265</v>
      </c>
      <c r="AC28" s="90">
        <v>1086</v>
      </c>
      <c r="AD28" s="90">
        <v>0</v>
      </c>
      <c r="AE28" s="90"/>
      <c r="AF28" s="90"/>
      <c r="AG28" s="90">
        <v>21371</v>
      </c>
      <c r="AH28" s="90">
        <v>20309</v>
      </c>
      <c r="AI28" s="90">
        <v>41680</v>
      </c>
      <c r="AJ28" s="90">
        <v>100208</v>
      </c>
      <c r="AK28" s="90">
        <v>89792</v>
      </c>
      <c r="AL28" s="90">
        <v>190000</v>
      </c>
    </row>
    <row r="29" spans="1:38" s="29" customFormat="1" ht="27" customHeight="1" x14ac:dyDescent="0.35">
      <c r="A29" s="32">
        <v>25</v>
      </c>
      <c r="B29" s="74" t="s">
        <v>36</v>
      </c>
      <c r="C29" s="90">
        <v>12295</v>
      </c>
      <c r="D29" s="90">
        <v>11187</v>
      </c>
      <c r="E29" s="90">
        <v>23482</v>
      </c>
      <c r="F29" s="90">
        <v>0</v>
      </c>
      <c r="G29" s="90"/>
      <c r="H29" s="90"/>
      <c r="I29" s="90">
        <v>2298</v>
      </c>
      <c r="J29" s="90">
        <v>988</v>
      </c>
      <c r="K29" s="90">
        <v>3286</v>
      </c>
      <c r="L29" s="90">
        <v>0</v>
      </c>
      <c r="M29" s="90"/>
      <c r="N29" s="90"/>
      <c r="O29" s="90">
        <v>0</v>
      </c>
      <c r="P29" s="90"/>
      <c r="Q29" s="90"/>
      <c r="R29" s="90">
        <v>0</v>
      </c>
      <c r="S29" s="90"/>
      <c r="T29" s="90"/>
      <c r="U29" s="90">
        <v>0</v>
      </c>
      <c r="V29" s="90"/>
      <c r="W29" s="90"/>
      <c r="X29" s="90">
        <v>1856</v>
      </c>
      <c r="Y29" s="90">
        <v>1133</v>
      </c>
      <c r="Z29" s="90">
        <v>2989</v>
      </c>
      <c r="AA29" s="90">
        <v>0</v>
      </c>
      <c r="AB29" s="90"/>
      <c r="AC29" s="90"/>
      <c r="AD29" s="90">
        <v>0</v>
      </c>
      <c r="AE29" s="90"/>
      <c r="AF29" s="90"/>
      <c r="AG29" s="90">
        <v>4124</v>
      </c>
      <c r="AH29" s="90">
        <v>5834</v>
      </c>
      <c r="AI29" s="90">
        <v>9958</v>
      </c>
      <c r="AJ29" s="90">
        <v>20573</v>
      </c>
      <c r="AK29" s="90">
        <v>19142</v>
      </c>
      <c r="AL29" s="90">
        <v>39715</v>
      </c>
    </row>
    <row r="30" spans="1:38" s="29" customFormat="1" ht="27" customHeight="1" x14ac:dyDescent="0.35">
      <c r="A30" s="32">
        <v>26</v>
      </c>
      <c r="B30" s="74" t="s">
        <v>37</v>
      </c>
      <c r="C30" s="90">
        <v>1123</v>
      </c>
      <c r="D30" s="90">
        <v>981</v>
      </c>
      <c r="E30" s="90">
        <v>2104</v>
      </c>
      <c r="F30" s="90">
        <v>7261</v>
      </c>
      <c r="G30" s="90">
        <v>12059</v>
      </c>
      <c r="H30" s="90">
        <v>19320</v>
      </c>
      <c r="I30" s="90">
        <v>7439</v>
      </c>
      <c r="J30" s="90">
        <v>3705</v>
      </c>
      <c r="K30" s="90">
        <v>11144</v>
      </c>
      <c r="L30" s="90">
        <v>334</v>
      </c>
      <c r="M30" s="90">
        <v>278</v>
      </c>
      <c r="N30" s="90">
        <v>612</v>
      </c>
      <c r="O30" s="90">
        <v>128675</v>
      </c>
      <c r="P30" s="90">
        <v>75140</v>
      </c>
      <c r="Q30" s="90">
        <v>203815</v>
      </c>
      <c r="R30" s="90">
        <v>0</v>
      </c>
      <c r="S30" s="90"/>
      <c r="T30" s="90"/>
      <c r="U30" s="90">
        <v>0</v>
      </c>
      <c r="V30" s="90"/>
      <c r="W30" s="90"/>
      <c r="X30" s="90">
        <v>30020</v>
      </c>
      <c r="Y30" s="90">
        <v>35799</v>
      </c>
      <c r="Z30" s="90">
        <v>65819</v>
      </c>
      <c r="AA30" s="90">
        <v>2717</v>
      </c>
      <c r="AB30" s="90">
        <v>779</v>
      </c>
      <c r="AC30" s="90">
        <v>3496</v>
      </c>
      <c r="AD30" s="90">
        <v>0</v>
      </c>
      <c r="AE30" s="90"/>
      <c r="AF30" s="90"/>
      <c r="AG30" s="90">
        <v>7141</v>
      </c>
      <c r="AH30" s="90">
        <v>3055</v>
      </c>
      <c r="AI30" s="90">
        <v>10196</v>
      </c>
      <c r="AJ30" s="90">
        <v>184710</v>
      </c>
      <c r="AK30" s="90">
        <v>131796</v>
      </c>
      <c r="AL30" s="90">
        <v>316506</v>
      </c>
    </row>
    <row r="31" spans="1:38" s="29" customFormat="1" ht="27" customHeight="1" x14ac:dyDescent="0.35">
      <c r="A31" s="32">
        <v>27</v>
      </c>
      <c r="B31" s="74" t="s">
        <v>38</v>
      </c>
      <c r="C31" s="90">
        <v>2439</v>
      </c>
      <c r="D31" s="90">
        <v>1659</v>
      </c>
      <c r="E31" s="90">
        <v>4098</v>
      </c>
      <c r="F31" s="90">
        <v>14689</v>
      </c>
      <c r="G31" s="90">
        <v>8046</v>
      </c>
      <c r="H31" s="90">
        <v>22735</v>
      </c>
      <c r="I31" s="90">
        <v>9312</v>
      </c>
      <c r="J31" s="90">
        <v>4155</v>
      </c>
      <c r="K31" s="90">
        <v>13467</v>
      </c>
      <c r="L31" s="90">
        <v>79259</v>
      </c>
      <c r="M31" s="90">
        <v>61646</v>
      </c>
      <c r="N31" s="90">
        <v>140905</v>
      </c>
      <c r="O31" s="90">
        <v>124044</v>
      </c>
      <c r="P31" s="90">
        <v>55802</v>
      </c>
      <c r="Q31" s="90">
        <v>179846</v>
      </c>
      <c r="R31" s="90">
        <v>0</v>
      </c>
      <c r="S31" s="90"/>
      <c r="T31" s="90"/>
      <c r="U31" s="90">
        <v>955</v>
      </c>
      <c r="V31" s="90">
        <v>1137</v>
      </c>
      <c r="W31" s="90">
        <v>2092</v>
      </c>
      <c r="X31" s="90">
        <v>154932</v>
      </c>
      <c r="Y31" s="90">
        <v>122873</v>
      </c>
      <c r="Z31" s="90">
        <v>277805</v>
      </c>
      <c r="AA31" s="90">
        <v>0</v>
      </c>
      <c r="AB31" s="90"/>
      <c r="AC31" s="90"/>
      <c r="AD31" s="90">
        <v>0</v>
      </c>
      <c r="AE31" s="90"/>
      <c r="AF31" s="90"/>
      <c r="AG31" s="90">
        <v>21399</v>
      </c>
      <c r="AH31" s="90">
        <v>27076</v>
      </c>
      <c r="AI31" s="90">
        <v>48475</v>
      </c>
      <c r="AJ31" s="90">
        <v>407029</v>
      </c>
      <c r="AK31" s="90">
        <v>282394</v>
      </c>
      <c r="AL31" s="90">
        <v>689423</v>
      </c>
    </row>
    <row r="32" spans="1:38" s="29" customFormat="1" ht="27" customHeight="1" x14ac:dyDescent="0.35">
      <c r="A32" s="32">
        <v>28</v>
      </c>
      <c r="B32" s="74" t="s">
        <v>39</v>
      </c>
      <c r="C32" s="90">
        <v>807</v>
      </c>
      <c r="D32" s="90">
        <v>1226</v>
      </c>
      <c r="E32" s="90">
        <v>2033</v>
      </c>
      <c r="F32" s="90">
        <v>2210</v>
      </c>
      <c r="G32" s="90">
        <v>3524</v>
      </c>
      <c r="H32" s="90">
        <v>5734</v>
      </c>
      <c r="I32" s="90">
        <v>564</v>
      </c>
      <c r="J32" s="90">
        <v>164</v>
      </c>
      <c r="K32" s="90">
        <v>728</v>
      </c>
      <c r="L32" s="90">
        <v>0</v>
      </c>
      <c r="M32" s="90"/>
      <c r="N32" s="90"/>
      <c r="O32" s="90">
        <v>4240</v>
      </c>
      <c r="P32" s="90">
        <v>3133</v>
      </c>
      <c r="Q32" s="90">
        <v>7373</v>
      </c>
      <c r="R32" s="90">
        <v>0</v>
      </c>
      <c r="S32" s="90"/>
      <c r="T32" s="90"/>
      <c r="U32" s="90">
        <v>0</v>
      </c>
      <c r="V32" s="90"/>
      <c r="W32" s="90"/>
      <c r="X32" s="90">
        <v>24</v>
      </c>
      <c r="Y32" s="90">
        <v>68</v>
      </c>
      <c r="Z32" s="90">
        <v>92</v>
      </c>
      <c r="AA32" s="90">
        <v>0</v>
      </c>
      <c r="AB32" s="90"/>
      <c r="AC32" s="90"/>
      <c r="AD32" s="90">
        <v>0</v>
      </c>
      <c r="AE32" s="90"/>
      <c r="AF32" s="90"/>
      <c r="AG32" s="90">
        <v>0</v>
      </c>
      <c r="AH32" s="90"/>
      <c r="AI32" s="90"/>
      <c r="AJ32" s="90">
        <v>7845</v>
      </c>
      <c r="AK32" s="90">
        <v>8115</v>
      </c>
      <c r="AL32" s="90">
        <v>15960</v>
      </c>
    </row>
    <row r="33" spans="1:41" s="29" customFormat="1" ht="27" customHeight="1" x14ac:dyDescent="0.35">
      <c r="A33" s="32">
        <v>29</v>
      </c>
      <c r="B33" s="74" t="s">
        <v>40</v>
      </c>
      <c r="C33" s="90">
        <v>4046</v>
      </c>
      <c r="D33" s="90">
        <v>1626</v>
      </c>
      <c r="E33" s="90">
        <v>5672</v>
      </c>
      <c r="F33" s="90">
        <v>5416</v>
      </c>
      <c r="G33" s="90">
        <v>3902</v>
      </c>
      <c r="H33" s="90">
        <v>9318</v>
      </c>
      <c r="I33" s="90">
        <v>32619</v>
      </c>
      <c r="J33" s="90">
        <v>12514</v>
      </c>
      <c r="K33" s="90">
        <v>45133</v>
      </c>
      <c r="L33" s="90">
        <v>9112</v>
      </c>
      <c r="M33" s="90">
        <v>9074</v>
      </c>
      <c r="N33" s="90">
        <v>18186</v>
      </c>
      <c r="O33" s="90">
        <v>2063</v>
      </c>
      <c r="P33" s="90">
        <v>1438</v>
      </c>
      <c r="Q33" s="90">
        <v>3501</v>
      </c>
      <c r="R33" s="90">
        <v>0</v>
      </c>
      <c r="S33" s="90"/>
      <c r="T33" s="90"/>
      <c r="U33" s="90">
        <v>0</v>
      </c>
      <c r="V33" s="90"/>
      <c r="W33" s="90"/>
      <c r="X33" s="90">
        <v>155215</v>
      </c>
      <c r="Y33" s="90">
        <v>165662</v>
      </c>
      <c r="Z33" s="90">
        <v>320877</v>
      </c>
      <c r="AA33" s="90">
        <v>64</v>
      </c>
      <c r="AB33" s="90">
        <v>21</v>
      </c>
      <c r="AC33" s="90">
        <v>85</v>
      </c>
      <c r="AD33" s="90">
        <v>1892</v>
      </c>
      <c r="AE33" s="90">
        <v>9065</v>
      </c>
      <c r="AF33" s="90">
        <v>10957</v>
      </c>
      <c r="AG33" s="90">
        <v>234577</v>
      </c>
      <c r="AH33" s="90">
        <v>125413</v>
      </c>
      <c r="AI33" s="90">
        <v>359990</v>
      </c>
      <c r="AJ33" s="90">
        <v>445004</v>
      </c>
      <c r="AK33" s="90">
        <v>328715</v>
      </c>
      <c r="AL33" s="90">
        <v>773719</v>
      </c>
    </row>
    <row r="34" spans="1:41" s="29" customFormat="1" ht="27" customHeight="1" x14ac:dyDescent="0.35">
      <c r="A34" s="32">
        <v>30</v>
      </c>
      <c r="B34" s="74" t="s">
        <v>41</v>
      </c>
      <c r="C34" s="90">
        <v>15946</v>
      </c>
      <c r="D34" s="90">
        <v>11574</v>
      </c>
      <c r="E34" s="90">
        <v>27520</v>
      </c>
      <c r="F34" s="90">
        <v>6074</v>
      </c>
      <c r="G34" s="90">
        <v>4172</v>
      </c>
      <c r="H34" s="90">
        <v>10246</v>
      </c>
      <c r="I34" s="90">
        <v>8188</v>
      </c>
      <c r="J34" s="90">
        <v>2864</v>
      </c>
      <c r="K34" s="90">
        <v>11052</v>
      </c>
      <c r="L34" s="90">
        <v>46532</v>
      </c>
      <c r="M34" s="90">
        <v>38350</v>
      </c>
      <c r="N34" s="90">
        <v>84882</v>
      </c>
      <c r="O34" s="90">
        <v>14706</v>
      </c>
      <c r="P34" s="90">
        <v>10554</v>
      </c>
      <c r="Q34" s="90">
        <v>25260</v>
      </c>
      <c r="R34" s="90">
        <v>0</v>
      </c>
      <c r="S34" s="90"/>
      <c r="T34" s="90"/>
      <c r="U34" s="90">
        <v>0</v>
      </c>
      <c r="V34" s="90"/>
      <c r="W34" s="90"/>
      <c r="X34" s="90">
        <v>43492</v>
      </c>
      <c r="Y34" s="90">
        <v>55377</v>
      </c>
      <c r="Z34" s="90">
        <v>98869</v>
      </c>
      <c r="AA34" s="90">
        <v>984</v>
      </c>
      <c r="AB34" s="90">
        <v>864</v>
      </c>
      <c r="AC34" s="90">
        <v>1848</v>
      </c>
      <c r="AD34" s="90">
        <v>150</v>
      </c>
      <c r="AE34" s="90">
        <v>203</v>
      </c>
      <c r="AF34" s="90">
        <v>353</v>
      </c>
      <c r="AG34" s="90">
        <v>11193</v>
      </c>
      <c r="AH34" s="90">
        <v>7170</v>
      </c>
      <c r="AI34" s="90">
        <v>18363</v>
      </c>
      <c r="AJ34" s="90">
        <v>147265</v>
      </c>
      <c r="AK34" s="90">
        <v>131128</v>
      </c>
      <c r="AL34" s="90">
        <v>278393</v>
      </c>
    </row>
    <row r="35" spans="1:41" s="29" customFormat="1" ht="30" customHeight="1" x14ac:dyDescent="0.35">
      <c r="A35" s="32">
        <v>31</v>
      </c>
      <c r="B35" s="80" t="s">
        <v>60</v>
      </c>
      <c r="C35" s="90">
        <v>0</v>
      </c>
      <c r="D35" s="90"/>
      <c r="E35" s="90"/>
      <c r="F35" s="90">
        <v>0</v>
      </c>
      <c r="G35" s="90"/>
      <c r="H35" s="90"/>
      <c r="I35" s="90">
        <v>240</v>
      </c>
      <c r="J35" s="90">
        <v>31</v>
      </c>
      <c r="K35" s="90">
        <v>271</v>
      </c>
      <c r="L35" s="90">
        <v>0</v>
      </c>
      <c r="M35" s="90"/>
      <c r="N35" s="90"/>
      <c r="O35" s="90">
        <v>0</v>
      </c>
      <c r="P35" s="90"/>
      <c r="Q35" s="90"/>
      <c r="R35" s="90">
        <v>0</v>
      </c>
      <c r="S35" s="90"/>
      <c r="T35" s="90"/>
      <c r="U35" s="90">
        <v>0</v>
      </c>
      <c r="V35" s="90"/>
      <c r="W35" s="90"/>
      <c r="X35" s="90">
        <v>40</v>
      </c>
      <c r="Y35" s="90">
        <v>58</v>
      </c>
      <c r="Z35" s="90">
        <v>98</v>
      </c>
      <c r="AA35" s="90">
        <v>0</v>
      </c>
      <c r="AB35" s="90"/>
      <c r="AC35" s="90"/>
      <c r="AD35" s="90">
        <v>0</v>
      </c>
      <c r="AE35" s="90"/>
      <c r="AF35" s="90"/>
      <c r="AG35" s="90">
        <v>0</v>
      </c>
      <c r="AH35" s="90"/>
      <c r="AI35" s="90"/>
      <c r="AJ35" s="90">
        <v>280</v>
      </c>
      <c r="AK35" s="90">
        <v>89</v>
      </c>
      <c r="AL35" s="90">
        <v>369</v>
      </c>
    </row>
    <row r="36" spans="1:41" s="29" customFormat="1" ht="27" customHeight="1" x14ac:dyDescent="0.35">
      <c r="A36" s="32">
        <v>32</v>
      </c>
      <c r="B36" s="74" t="s">
        <v>42</v>
      </c>
      <c r="C36" s="90">
        <v>1989</v>
      </c>
      <c r="D36" s="90">
        <v>2523</v>
      </c>
      <c r="E36" s="90">
        <v>4512</v>
      </c>
      <c r="F36" s="90">
        <v>3091</v>
      </c>
      <c r="G36" s="90">
        <v>2973</v>
      </c>
      <c r="H36" s="90">
        <v>6064</v>
      </c>
      <c r="I36" s="90">
        <v>3763</v>
      </c>
      <c r="J36" s="90">
        <v>1187</v>
      </c>
      <c r="K36" s="90">
        <v>4950</v>
      </c>
      <c r="L36" s="90">
        <v>0</v>
      </c>
      <c r="M36" s="90"/>
      <c r="N36" s="90"/>
      <c r="O36" s="90">
        <v>3236</v>
      </c>
      <c r="P36" s="90">
        <v>2601</v>
      </c>
      <c r="Q36" s="90">
        <v>5837</v>
      </c>
      <c r="R36" s="90">
        <v>0</v>
      </c>
      <c r="S36" s="90"/>
      <c r="T36" s="90"/>
      <c r="U36" s="90">
        <v>0</v>
      </c>
      <c r="V36" s="90"/>
      <c r="W36" s="90"/>
      <c r="X36" s="90">
        <v>219</v>
      </c>
      <c r="Y36" s="90">
        <v>235</v>
      </c>
      <c r="Z36" s="90">
        <v>454</v>
      </c>
      <c r="AA36" s="90">
        <v>0</v>
      </c>
      <c r="AB36" s="90"/>
      <c r="AC36" s="90"/>
      <c r="AD36" s="90">
        <v>0</v>
      </c>
      <c r="AE36" s="90"/>
      <c r="AF36" s="90"/>
      <c r="AG36" s="90">
        <v>0</v>
      </c>
      <c r="AH36" s="90"/>
      <c r="AI36" s="90"/>
      <c r="AJ36" s="90">
        <v>12298</v>
      </c>
      <c r="AK36" s="90">
        <v>9519</v>
      </c>
      <c r="AL36" s="90">
        <v>21817</v>
      </c>
    </row>
    <row r="37" spans="1:41" s="29" customFormat="1" ht="27" customHeight="1" x14ac:dyDescent="0.35">
      <c r="A37" s="32">
        <v>33</v>
      </c>
      <c r="B37" s="74" t="s">
        <v>43</v>
      </c>
      <c r="C37" s="90">
        <v>60464</v>
      </c>
      <c r="D37" s="90">
        <v>36805</v>
      </c>
      <c r="E37" s="90">
        <v>97269</v>
      </c>
      <c r="F37" s="90">
        <v>38995</v>
      </c>
      <c r="G37" s="90">
        <v>26510</v>
      </c>
      <c r="H37" s="90">
        <v>65505</v>
      </c>
      <c r="I37" s="90">
        <v>24214</v>
      </c>
      <c r="J37" s="90">
        <v>7380</v>
      </c>
      <c r="K37" s="90">
        <v>31594</v>
      </c>
      <c r="L37" s="90">
        <v>41906</v>
      </c>
      <c r="M37" s="90">
        <v>25203</v>
      </c>
      <c r="N37" s="90">
        <v>67109</v>
      </c>
      <c r="O37" s="90">
        <v>172102</v>
      </c>
      <c r="P37" s="90">
        <v>93687</v>
      </c>
      <c r="Q37" s="90">
        <v>265789</v>
      </c>
      <c r="R37" s="90">
        <v>0</v>
      </c>
      <c r="S37" s="90"/>
      <c r="T37" s="90"/>
      <c r="U37" s="90">
        <v>465</v>
      </c>
      <c r="V37" s="90">
        <v>395</v>
      </c>
      <c r="W37" s="90">
        <v>860</v>
      </c>
      <c r="X37" s="90">
        <v>141070</v>
      </c>
      <c r="Y37" s="90">
        <v>108637</v>
      </c>
      <c r="Z37" s="90">
        <v>249707</v>
      </c>
      <c r="AA37" s="90">
        <v>530</v>
      </c>
      <c r="AB37" s="90">
        <v>341</v>
      </c>
      <c r="AC37" s="90">
        <v>871</v>
      </c>
      <c r="AD37" s="90">
        <v>9947</v>
      </c>
      <c r="AE37" s="90">
        <v>8637</v>
      </c>
      <c r="AF37" s="90">
        <v>18584</v>
      </c>
      <c r="AG37" s="90">
        <v>11722</v>
      </c>
      <c r="AH37" s="90">
        <v>7407</v>
      </c>
      <c r="AI37" s="90">
        <v>19129</v>
      </c>
      <c r="AJ37" s="90">
        <v>501415</v>
      </c>
      <c r="AK37" s="90">
        <v>315002</v>
      </c>
      <c r="AL37" s="90">
        <v>816417</v>
      </c>
    </row>
    <row r="38" spans="1:41" s="29" customFormat="1" ht="27" customHeight="1" x14ac:dyDescent="0.35">
      <c r="A38" s="32">
        <v>34</v>
      </c>
      <c r="B38" s="74" t="s">
        <v>44</v>
      </c>
      <c r="C38" s="90">
        <v>6066</v>
      </c>
      <c r="D38" s="90">
        <v>5952</v>
      </c>
      <c r="E38" s="90">
        <v>12018</v>
      </c>
      <c r="F38" s="90">
        <v>10304</v>
      </c>
      <c r="G38" s="90">
        <v>7313</v>
      </c>
      <c r="H38" s="90">
        <v>17617</v>
      </c>
      <c r="I38" s="90">
        <v>9345</v>
      </c>
      <c r="J38" s="90">
        <v>3427</v>
      </c>
      <c r="K38" s="90">
        <v>12772</v>
      </c>
      <c r="L38" s="90">
        <v>38805</v>
      </c>
      <c r="M38" s="90">
        <v>47061</v>
      </c>
      <c r="N38" s="90">
        <v>85866</v>
      </c>
      <c r="O38" s="90">
        <v>55577</v>
      </c>
      <c r="P38" s="90">
        <v>32609</v>
      </c>
      <c r="Q38" s="90">
        <v>88186</v>
      </c>
      <c r="R38" s="90">
        <v>0</v>
      </c>
      <c r="S38" s="90"/>
      <c r="T38" s="90"/>
      <c r="U38" s="90">
        <v>0</v>
      </c>
      <c r="V38" s="90"/>
      <c r="W38" s="90"/>
      <c r="X38" s="90">
        <v>16488</v>
      </c>
      <c r="Y38" s="90">
        <v>18458</v>
      </c>
      <c r="Z38" s="90">
        <v>34946</v>
      </c>
      <c r="AA38" s="90">
        <v>146</v>
      </c>
      <c r="AB38" s="90">
        <v>159</v>
      </c>
      <c r="AC38" s="90">
        <v>305</v>
      </c>
      <c r="AD38" s="90">
        <v>5606</v>
      </c>
      <c r="AE38" s="90">
        <v>1399</v>
      </c>
      <c r="AF38" s="90">
        <v>7005</v>
      </c>
      <c r="AG38" s="90">
        <v>6106</v>
      </c>
      <c r="AH38" s="90">
        <v>4048</v>
      </c>
      <c r="AI38" s="90">
        <v>10154</v>
      </c>
      <c r="AJ38" s="90">
        <v>148443</v>
      </c>
      <c r="AK38" s="90">
        <v>120426</v>
      </c>
      <c r="AL38" s="90">
        <v>268869</v>
      </c>
    </row>
    <row r="39" spans="1:41" s="29" customFormat="1" ht="27" customHeight="1" x14ac:dyDescent="0.35">
      <c r="A39" s="32">
        <v>35</v>
      </c>
      <c r="B39" s="74" t="s">
        <v>45</v>
      </c>
      <c r="C39" s="90">
        <v>4932</v>
      </c>
      <c r="D39" s="90">
        <v>4691</v>
      </c>
      <c r="E39" s="90">
        <v>9623</v>
      </c>
      <c r="F39" s="90">
        <v>29234</v>
      </c>
      <c r="G39" s="90">
        <v>28698</v>
      </c>
      <c r="H39" s="90">
        <v>57932</v>
      </c>
      <c r="I39" s="90">
        <v>25717</v>
      </c>
      <c r="J39" s="90">
        <v>8097</v>
      </c>
      <c r="K39" s="90">
        <v>33814</v>
      </c>
      <c r="L39" s="90">
        <v>272509</v>
      </c>
      <c r="M39" s="90">
        <v>196460</v>
      </c>
      <c r="N39" s="90">
        <v>468969</v>
      </c>
      <c r="O39" s="90">
        <v>33394</v>
      </c>
      <c r="P39" s="90">
        <v>21128</v>
      </c>
      <c r="Q39" s="90">
        <v>54522</v>
      </c>
      <c r="R39" s="90">
        <v>0</v>
      </c>
      <c r="S39" s="90"/>
      <c r="T39" s="90"/>
      <c r="U39" s="90">
        <v>0</v>
      </c>
      <c r="V39" s="90"/>
      <c r="W39" s="90"/>
      <c r="X39" s="90">
        <v>57946</v>
      </c>
      <c r="Y39" s="90">
        <v>77179</v>
      </c>
      <c r="Z39" s="90">
        <v>135125</v>
      </c>
      <c r="AA39" s="90">
        <v>770</v>
      </c>
      <c r="AB39" s="90">
        <v>342</v>
      </c>
      <c r="AC39" s="90">
        <v>1112</v>
      </c>
      <c r="AD39" s="90">
        <v>0</v>
      </c>
      <c r="AE39" s="90"/>
      <c r="AF39" s="90"/>
      <c r="AG39" s="90">
        <v>2119</v>
      </c>
      <c r="AH39" s="90">
        <v>1224</v>
      </c>
      <c r="AI39" s="90">
        <v>3343</v>
      </c>
      <c r="AJ39" s="90">
        <v>426621</v>
      </c>
      <c r="AK39" s="90">
        <v>337819</v>
      </c>
      <c r="AL39" s="90">
        <v>764440</v>
      </c>
    </row>
    <row r="40" spans="1:41" s="36" customFormat="1" ht="27" customHeight="1" x14ac:dyDescent="0.35">
      <c r="A40" s="343" t="s">
        <v>46</v>
      </c>
      <c r="B40" s="343"/>
      <c r="C40" s="92">
        <v>380690</v>
      </c>
      <c r="D40" s="92">
        <v>344866</v>
      </c>
      <c r="E40" s="92">
        <v>725556</v>
      </c>
      <c r="F40" s="92">
        <v>678925</v>
      </c>
      <c r="G40" s="92">
        <v>582730</v>
      </c>
      <c r="H40" s="92">
        <v>1261655</v>
      </c>
      <c r="I40" s="92">
        <v>266793</v>
      </c>
      <c r="J40" s="92">
        <v>103949</v>
      </c>
      <c r="K40" s="92">
        <v>370742</v>
      </c>
      <c r="L40" s="92">
        <v>990961</v>
      </c>
      <c r="M40" s="92">
        <v>747699</v>
      </c>
      <c r="N40" s="92">
        <v>1738660</v>
      </c>
      <c r="O40" s="92">
        <v>1239971</v>
      </c>
      <c r="P40" s="92">
        <v>695554</v>
      </c>
      <c r="Q40" s="92">
        <v>1935525</v>
      </c>
      <c r="R40" s="92">
        <v>1466</v>
      </c>
      <c r="S40" s="92">
        <v>922</v>
      </c>
      <c r="T40" s="92">
        <v>2388</v>
      </c>
      <c r="U40" s="92">
        <v>3121</v>
      </c>
      <c r="V40" s="92">
        <v>4910</v>
      </c>
      <c r="W40" s="92">
        <v>8031</v>
      </c>
      <c r="X40" s="92">
        <v>1628372</v>
      </c>
      <c r="Y40" s="92">
        <v>1607526</v>
      </c>
      <c r="Z40" s="92">
        <v>3235898</v>
      </c>
      <c r="AA40" s="92">
        <v>21440</v>
      </c>
      <c r="AB40" s="92">
        <v>9528</v>
      </c>
      <c r="AC40" s="92">
        <v>30968</v>
      </c>
      <c r="AD40" s="92">
        <v>27056</v>
      </c>
      <c r="AE40" s="92">
        <v>27811</v>
      </c>
      <c r="AF40" s="92">
        <v>54867</v>
      </c>
      <c r="AG40" s="92">
        <v>544980</v>
      </c>
      <c r="AH40" s="92">
        <v>390761</v>
      </c>
      <c r="AI40" s="92">
        <v>935741</v>
      </c>
      <c r="AJ40" s="92">
        <v>5783775</v>
      </c>
      <c r="AK40" s="92">
        <v>4516256</v>
      </c>
      <c r="AL40" s="92">
        <v>10300031</v>
      </c>
      <c r="AM40" s="29"/>
      <c r="AN40" s="29"/>
      <c r="AO40" s="29"/>
    </row>
    <row r="41" spans="1:41" x14ac:dyDescent="0.35">
      <c r="N41" s="308" t="s">
        <v>101</v>
      </c>
      <c r="O41" s="309"/>
      <c r="Z41" s="310" t="s">
        <v>101</v>
      </c>
      <c r="AD41" s="309"/>
      <c r="AL41" s="310" t="s">
        <v>101</v>
      </c>
    </row>
  </sheetData>
  <mergeCells count="17">
    <mergeCell ref="A2:A3"/>
    <mergeCell ref="B2:B3"/>
    <mergeCell ref="C2:E2"/>
    <mergeCell ref="F2:H2"/>
    <mergeCell ref="I2:K2"/>
    <mergeCell ref="R2:T2"/>
    <mergeCell ref="U2:W2"/>
    <mergeCell ref="X2:Z2"/>
    <mergeCell ref="AA2:AC2"/>
    <mergeCell ref="C1:N1"/>
    <mergeCell ref="O1:Z1"/>
    <mergeCell ref="AA1:AL1"/>
    <mergeCell ref="L2:N2"/>
    <mergeCell ref="O2:Q2"/>
    <mergeCell ref="AJ2:AL2"/>
    <mergeCell ref="AD2:AF2"/>
    <mergeCell ref="AG2:AI2"/>
  </mergeCells>
  <pageMargins left="0.59055118110236227" right="0.35433070866141736" top="0.39370078740157483" bottom="0.39370078740157483" header="0.31496062992125984" footer="0.19685039370078741"/>
  <pageSetup paperSize="9" scale="65" firstPageNumber="123" orientation="portrait" r:id="rId1"/>
  <headerFooter>
    <oddFooter>&amp;L&amp;"Arial,Italic"&amp;9AISHE 2022-23&amp;RT-39</oddFooter>
  </headerFooter>
  <colBreaks count="2" manualBreakCount="2">
    <brk id="14" max="40" man="1"/>
    <brk id="26" max="41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E8E6-5FFE-4FD2-90DC-2D7E91B85284}">
  <sheetPr codeName="Sheet52">
    <tabColor rgb="FF92D050"/>
    <pageSetUpPr fitToPage="1"/>
  </sheetPr>
  <dimension ref="A1:G38"/>
  <sheetViews>
    <sheetView view="pageBreakPreview" topLeftCell="A2" zoomScale="108" zoomScaleSheetLayoutView="108" workbookViewId="0">
      <selection activeCell="B2" sqref="B2"/>
    </sheetView>
  </sheetViews>
  <sheetFormatPr defaultColWidth="9.26953125" defaultRowHeight="14" x14ac:dyDescent="0.3"/>
  <cols>
    <col min="1" max="1" width="8.26953125" style="311" bestFit="1" customWidth="1"/>
    <col min="2" max="2" width="35.26953125" style="311" customWidth="1"/>
    <col min="3" max="3" width="13.453125" style="312" customWidth="1"/>
    <col min="4" max="5" width="14.26953125" style="312" customWidth="1"/>
    <col min="6" max="7" width="14.1796875" style="312" customWidth="1"/>
    <col min="8" max="16384" width="9.26953125" style="311"/>
  </cols>
  <sheetData>
    <row r="1" spans="1:7" ht="27.75" customHeight="1" x14ac:dyDescent="0.3">
      <c r="B1" s="941" t="s">
        <v>1057</v>
      </c>
      <c r="C1" s="941"/>
      <c r="D1" s="941"/>
    </row>
    <row r="2" spans="1:7" s="314" customFormat="1" ht="33.75" customHeight="1" x14ac:dyDescent="0.3">
      <c r="A2" s="313" t="s">
        <v>49</v>
      </c>
      <c r="B2" s="313" t="s">
        <v>50</v>
      </c>
      <c r="C2" s="313" t="s">
        <v>908</v>
      </c>
      <c r="D2" s="313" t="s">
        <v>909</v>
      </c>
      <c r="E2" s="313" t="s">
        <v>910</v>
      </c>
      <c r="F2" s="313" t="s">
        <v>911</v>
      </c>
      <c r="G2" s="313" t="s">
        <v>912</v>
      </c>
    </row>
    <row r="3" spans="1:7" s="316" customFormat="1" ht="10.5" x14ac:dyDescent="0.25">
      <c r="A3" s="315">
        <v>1</v>
      </c>
      <c r="B3" s="315">
        <v>2</v>
      </c>
      <c r="C3" s="315">
        <v>4</v>
      </c>
      <c r="D3" s="315">
        <v>5</v>
      </c>
      <c r="E3" s="315">
        <v>6</v>
      </c>
      <c r="F3" s="315">
        <v>7</v>
      </c>
      <c r="G3" s="315">
        <v>8</v>
      </c>
    </row>
    <row r="4" spans="1:7" s="320" customFormat="1" ht="27" customHeight="1" x14ac:dyDescent="0.35">
      <c r="A4" s="317"/>
      <c r="B4" s="318" t="s">
        <v>913</v>
      </c>
      <c r="C4" s="319">
        <v>993</v>
      </c>
      <c r="D4" s="319">
        <v>1043</v>
      </c>
      <c r="E4" s="319">
        <v>1113</v>
      </c>
      <c r="F4" s="319">
        <v>1169</v>
      </c>
      <c r="G4" s="319">
        <v>1213</v>
      </c>
    </row>
    <row r="5" spans="1:7" s="320" customFormat="1" ht="27" customHeight="1" x14ac:dyDescent="0.35">
      <c r="A5" s="321">
        <v>1</v>
      </c>
      <c r="B5" s="318" t="s">
        <v>13</v>
      </c>
      <c r="C5" s="41">
        <v>41</v>
      </c>
      <c r="D5" s="321">
        <v>41</v>
      </c>
      <c r="E5" s="321">
        <v>45</v>
      </c>
      <c r="F5" s="321">
        <v>47</v>
      </c>
      <c r="G5" s="321">
        <v>51</v>
      </c>
    </row>
    <row r="6" spans="1:7" s="320" customFormat="1" ht="27" customHeight="1" x14ac:dyDescent="0.35">
      <c r="A6" s="321">
        <v>2</v>
      </c>
      <c r="B6" s="318" t="s">
        <v>14</v>
      </c>
      <c r="C6" s="41">
        <v>10</v>
      </c>
      <c r="D6" s="321">
        <v>10</v>
      </c>
      <c r="E6" s="321">
        <v>10</v>
      </c>
      <c r="F6" s="321">
        <v>10</v>
      </c>
      <c r="G6" s="321">
        <v>10</v>
      </c>
    </row>
    <row r="7" spans="1:7" s="320" customFormat="1" ht="27" customHeight="1" x14ac:dyDescent="0.35">
      <c r="A7" s="321">
        <v>3</v>
      </c>
      <c r="B7" s="318" t="s">
        <v>15</v>
      </c>
      <c r="C7" s="41">
        <v>22</v>
      </c>
      <c r="D7" s="321">
        <v>26</v>
      </c>
      <c r="E7" s="321">
        <v>28</v>
      </c>
      <c r="F7" s="321">
        <v>30</v>
      </c>
      <c r="G7" s="321">
        <v>31</v>
      </c>
    </row>
    <row r="8" spans="1:7" s="320" customFormat="1" ht="27" customHeight="1" x14ac:dyDescent="0.35">
      <c r="A8" s="321">
        <v>4</v>
      </c>
      <c r="B8" s="318" t="s">
        <v>16</v>
      </c>
      <c r="C8" s="41">
        <v>33</v>
      </c>
      <c r="D8" s="321">
        <v>35</v>
      </c>
      <c r="E8" s="321">
        <v>37</v>
      </c>
      <c r="F8" s="321">
        <v>37</v>
      </c>
      <c r="G8" s="321">
        <v>37</v>
      </c>
    </row>
    <row r="9" spans="1:7" s="320" customFormat="1" ht="27" customHeight="1" x14ac:dyDescent="0.35">
      <c r="A9" s="321">
        <v>5</v>
      </c>
      <c r="B9" s="318" t="s">
        <v>17</v>
      </c>
      <c r="C9" s="41">
        <v>3</v>
      </c>
      <c r="D9" s="321">
        <v>3</v>
      </c>
      <c r="E9" s="321">
        <v>3</v>
      </c>
      <c r="F9" s="321">
        <v>3</v>
      </c>
      <c r="G9" s="321">
        <v>3</v>
      </c>
    </row>
    <row r="10" spans="1:7" s="320" customFormat="1" ht="27" customHeight="1" x14ac:dyDescent="0.35">
      <c r="A10" s="321">
        <v>6</v>
      </c>
      <c r="B10" s="318" t="s">
        <v>18</v>
      </c>
      <c r="C10" s="41">
        <v>28</v>
      </c>
      <c r="D10" s="321">
        <v>28</v>
      </c>
      <c r="E10" s="321">
        <v>32</v>
      </c>
      <c r="F10" s="321">
        <v>34</v>
      </c>
      <c r="G10" s="321">
        <v>34</v>
      </c>
    </row>
    <row r="11" spans="1:7" s="320" customFormat="1" ht="27" customHeight="1" x14ac:dyDescent="0.35">
      <c r="A11" s="321">
        <v>7</v>
      </c>
      <c r="B11" s="318" t="s">
        <v>19</v>
      </c>
      <c r="C11" s="418">
        <v>27</v>
      </c>
      <c r="D11" s="321">
        <v>28</v>
      </c>
      <c r="E11" s="321">
        <v>28</v>
      </c>
      <c r="F11" s="321">
        <v>30</v>
      </c>
      <c r="G11" s="321">
        <v>30</v>
      </c>
    </row>
    <row r="12" spans="1:7" s="320" customFormat="1" ht="27" customHeight="1" x14ac:dyDescent="0.35">
      <c r="A12" s="321">
        <v>8</v>
      </c>
      <c r="B12" s="318" t="s">
        <v>20</v>
      </c>
      <c r="C12" s="41">
        <v>3</v>
      </c>
      <c r="D12" s="321">
        <v>3</v>
      </c>
      <c r="E12" s="321">
        <v>3</v>
      </c>
      <c r="F12" s="321">
        <v>3</v>
      </c>
      <c r="G12" s="321">
        <v>4</v>
      </c>
    </row>
    <row r="13" spans="1:7" s="320" customFormat="1" ht="27" customHeight="1" x14ac:dyDescent="0.35">
      <c r="A13" s="321">
        <v>9</v>
      </c>
      <c r="B13" s="318" t="s">
        <v>21</v>
      </c>
      <c r="C13" s="41">
        <v>72</v>
      </c>
      <c r="D13" s="321">
        <v>76</v>
      </c>
      <c r="E13" s="321">
        <v>83</v>
      </c>
      <c r="F13" s="321">
        <v>91</v>
      </c>
      <c r="G13" s="321">
        <v>102</v>
      </c>
    </row>
    <row r="14" spans="1:7" s="320" customFormat="1" ht="27" customHeight="1" x14ac:dyDescent="0.35">
      <c r="A14" s="321">
        <v>10</v>
      </c>
      <c r="B14" s="318" t="s">
        <v>22</v>
      </c>
      <c r="C14" s="41">
        <v>48</v>
      </c>
      <c r="D14" s="321">
        <v>53</v>
      </c>
      <c r="E14" s="321">
        <v>56</v>
      </c>
      <c r="F14" s="321">
        <v>56</v>
      </c>
      <c r="G14" s="321">
        <v>57</v>
      </c>
    </row>
    <row r="15" spans="1:7" s="320" customFormat="1" ht="27" customHeight="1" x14ac:dyDescent="0.35">
      <c r="A15" s="321">
        <v>11</v>
      </c>
      <c r="B15" s="318" t="s">
        <v>23</v>
      </c>
      <c r="C15" s="41">
        <v>26</v>
      </c>
      <c r="D15" s="321">
        <v>27</v>
      </c>
      <c r="E15" s="321">
        <v>29</v>
      </c>
      <c r="F15" s="321">
        <v>30</v>
      </c>
      <c r="G15" s="321">
        <v>29</v>
      </c>
    </row>
    <row r="16" spans="1:7" s="320" customFormat="1" ht="27" customHeight="1" x14ac:dyDescent="0.35">
      <c r="A16" s="321">
        <v>12</v>
      </c>
      <c r="B16" s="318" t="s">
        <v>24</v>
      </c>
      <c r="C16" s="41">
        <v>15</v>
      </c>
      <c r="D16" s="321">
        <v>15</v>
      </c>
      <c r="E16" s="321">
        <v>15</v>
      </c>
      <c r="F16" s="321">
        <v>16</v>
      </c>
      <c r="G16" s="321">
        <v>16</v>
      </c>
    </row>
    <row r="17" spans="1:7" s="320" customFormat="1" ht="27" customHeight="1" x14ac:dyDescent="0.35">
      <c r="A17" s="321">
        <v>13</v>
      </c>
      <c r="B17" s="318" t="s">
        <v>25</v>
      </c>
      <c r="C17" s="41">
        <v>25</v>
      </c>
      <c r="D17" s="321">
        <v>32</v>
      </c>
      <c r="E17" s="321">
        <v>32</v>
      </c>
      <c r="F17" s="321">
        <v>33</v>
      </c>
      <c r="G17" s="321">
        <v>34</v>
      </c>
    </row>
    <row r="18" spans="1:7" s="320" customFormat="1" ht="27" customHeight="1" x14ac:dyDescent="0.35">
      <c r="A18" s="321">
        <v>14</v>
      </c>
      <c r="B18" s="318" t="s">
        <v>26</v>
      </c>
      <c r="C18" s="41">
        <v>65</v>
      </c>
      <c r="D18" s="321">
        <v>69</v>
      </c>
      <c r="E18" s="321">
        <v>72</v>
      </c>
      <c r="F18" s="321">
        <v>75</v>
      </c>
      <c r="G18" s="321">
        <v>79</v>
      </c>
    </row>
    <row r="19" spans="1:7" s="320" customFormat="1" ht="27" customHeight="1" x14ac:dyDescent="0.35">
      <c r="A19" s="321">
        <v>15</v>
      </c>
      <c r="B19" s="318" t="s">
        <v>27</v>
      </c>
      <c r="C19" s="41">
        <v>23</v>
      </c>
      <c r="D19" s="321">
        <v>23</v>
      </c>
      <c r="E19" s="321">
        <v>23</v>
      </c>
      <c r="F19" s="321">
        <v>25</v>
      </c>
      <c r="G19" s="321">
        <v>25</v>
      </c>
    </row>
    <row r="20" spans="1:7" s="320" customFormat="1" ht="27" customHeight="1" x14ac:dyDescent="0.35">
      <c r="A20" s="321">
        <v>16</v>
      </c>
      <c r="B20" s="318" t="s">
        <v>28</v>
      </c>
      <c r="C20" s="41"/>
      <c r="D20" s="321">
        <v>1</v>
      </c>
      <c r="E20" s="321">
        <v>2</v>
      </c>
      <c r="F20" s="321">
        <v>2</v>
      </c>
      <c r="G20" s="321">
        <v>2</v>
      </c>
    </row>
    <row r="21" spans="1:7" s="320" customFormat="1" ht="27" customHeight="1" x14ac:dyDescent="0.35">
      <c r="A21" s="321">
        <v>17</v>
      </c>
      <c r="B21" s="318" t="s">
        <v>29</v>
      </c>
      <c r="C21" s="41">
        <v>65</v>
      </c>
      <c r="D21" s="321">
        <v>66</v>
      </c>
      <c r="E21" s="321">
        <v>74</v>
      </c>
      <c r="F21" s="321">
        <v>77</v>
      </c>
      <c r="G21" s="321">
        <v>78</v>
      </c>
    </row>
    <row r="22" spans="1:7" s="320" customFormat="1" ht="27" customHeight="1" x14ac:dyDescent="0.35">
      <c r="A22" s="321">
        <v>18</v>
      </c>
      <c r="B22" s="318" t="s">
        <v>30</v>
      </c>
      <c r="C22" s="41">
        <v>62</v>
      </c>
      <c r="D22" s="321">
        <v>65</v>
      </c>
      <c r="E22" s="321">
        <v>71</v>
      </c>
      <c r="F22" s="321">
        <v>74</v>
      </c>
      <c r="G22" s="321">
        <v>78</v>
      </c>
    </row>
    <row r="23" spans="1:7" s="320" customFormat="1" ht="27" customHeight="1" x14ac:dyDescent="0.35">
      <c r="A23" s="321">
        <v>19</v>
      </c>
      <c r="B23" s="318" t="s">
        <v>31</v>
      </c>
      <c r="C23" s="41">
        <v>6</v>
      </c>
      <c r="D23" s="321">
        <v>8</v>
      </c>
      <c r="E23" s="321">
        <v>9</v>
      </c>
      <c r="F23" s="321">
        <v>10</v>
      </c>
      <c r="G23" s="321">
        <v>12</v>
      </c>
    </row>
    <row r="24" spans="1:7" s="320" customFormat="1" ht="27" customHeight="1" x14ac:dyDescent="0.35">
      <c r="A24" s="321">
        <v>20</v>
      </c>
      <c r="B24" s="318" t="s">
        <v>32</v>
      </c>
      <c r="C24" s="41">
        <v>10</v>
      </c>
      <c r="D24" s="321">
        <v>10</v>
      </c>
      <c r="E24" s="321">
        <v>11</v>
      </c>
      <c r="F24" s="321">
        <v>11</v>
      </c>
      <c r="G24" s="321">
        <v>11</v>
      </c>
    </row>
    <row r="25" spans="1:7" s="320" customFormat="1" ht="27" customHeight="1" x14ac:dyDescent="0.35">
      <c r="A25" s="321">
        <v>21</v>
      </c>
      <c r="B25" s="318" t="s">
        <v>33</v>
      </c>
      <c r="C25" s="41">
        <v>3</v>
      </c>
      <c r="D25" s="321">
        <v>3</v>
      </c>
      <c r="E25" s="321">
        <v>3</v>
      </c>
      <c r="F25" s="321">
        <v>3</v>
      </c>
      <c r="G25" s="321">
        <v>3</v>
      </c>
    </row>
    <row r="26" spans="1:7" s="320" customFormat="1" ht="27" customHeight="1" x14ac:dyDescent="0.35">
      <c r="A26" s="321">
        <v>22</v>
      </c>
      <c r="B26" s="318" t="s">
        <v>34</v>
      </c>
      <c r="C26" s="41">
        <v>5</v>
      </c>
      <c r="D26" s="321">
        <v>5</v>
      </c>
      <c r="E26" s="321">
        <v>5</v>
      </c>
      <c r="F26" s="321">
        <v>6</v>
      </c>
      <c r="G26" s="321">
        <v>6</v>
      </c>
    </row>
    <row r="27" spans="1:7" s="320" customFormat="1" ht="27" customHeight="1" x14ac:dyDescent="0.35">
      <c r="A27" s="321">
        <v>23</v>
      </c>
      <c r="B27" s="318" t="s">
        <v>35</v>
      </c>
      <c r="C27" s="41">
        <v>28</v>
      </c>
      <c r="D27" s="321">
        <v>32</v>
      </c>
      <c r="E27" s="321">
        <v>36</v>
      </c>
      <c r="F27" s="321">
        <v>37</v>
      </c>
      <c r="G27" s="321">
        <v>39</v>
      </c>
    </row>
    <row r="28" spans="1:7" s="320" customFormat="1" ht="27" customHeight="1" x14ac:dyDescent="0.35">
      <c r="A28" s="321">
        <v>24</v>
      </c>
      <c r="B28" s="318" t="s">
        <v>36</v>
      </c>
      <c r="C28" s="41">
        <v>4</v>
      </c>
      <c r="D28" s="321">
        <v>4</v>
      </c>
      <c r="E28" s="321">
        <v>4</v>
      </c>
      <c r="F28" s="321">
        <v>4</v>
      </c>
      <c r="G28" s="321">
        <v>5</v>
      </c>
    </row>
    <row r="29" spans="1:7" s="320" customFormat="1" ht="27" customHeight="1" x14ac:dyDescent="0.35">
      <c r="A29" s="321">
        <v>25</v>
      </c>
      <c r="B29" s="318" t="s">
        <v>37</v>
      </c>
      <c r="C29" s="41">
        <v>32</v>
      </c>
      <c r="D29" s="321">
        <v>32</v>
      </c>
      <c r="E29" s="321">
        <v>34</v>
      </c>
      <c r="F29" s="321">
        <v>40</v>
      </c>
      <c r="G29" s="321">
        <v>40</v>
      </c>
    </row>
    <row r="30" spans="1:7" s="320" customFormat="1" ht="27" customHeight="1" x14ac:dyDescent="0.35">
      <c r="A30" s="321">
        <v>26</v>
      </c>
      <c r="B30" s="318" t="s">
        <v>38</v>
      </c>
      <c r="C30" s="41">
        <v>83</v>
      </c>
      <c r="D30" s="321">
        <v>89</v>
      </c>
      <c r="E30" s="321">
        <v>92</v>
      </c>
      <c r="F30" s="321">
        <v>91</v>
      </c>
      <c r="G30" s="321">
        <v>91</v>
      </c>
    </row>
    <row r="31" spans="1:7" s="320" customFormat="1" ht="27" customHeight="1" x14ac:dyDescent="0.35">
      <c r="A31" s="321">
        <v>27</v>
      </c>
      <c r="B31" s="318" t="s">
        <v>39</v>
      </c>
      <c r="C31" s="41">
        <v>7</v>
      </c>
      <c r="D31" s="321">
        <v>8</v>
      </c>
      <c r="E31" s="321">
        <v>8</v>
      </c>
      <c r="F31" s="321">
        <v>9</v>
      </c>
      <c r="G31" s="321">
        <v>11</v>
      </c>
    </row>
    <row r="32" spans="1:7" s="320" customFormat="1" ht="27" customHeight="1" x14ac:dyDescent="0.35">
      <c r="A32" s="321">
        <v>28</v>
      </c>
      <c r="B32" s="318" t="s">
        <v>40</v>
      </c>
      <c r="C32" s="41">
        <v>59</v>
      </c>
      <c r="D32" s="321">
        <v>59</v>
      </c>
      <c r="E32" s="321">
        <v>59</v>
      </c>
      <c r="F32" s="321">
        <v>62</v>
      </c>
      <c r="G32" s="321">
        <v>65</v>
      </c>
    </row>
    <row r="33" spans="1:7" s="320" customFormat="1" ht="27" customHeight="1" x14ac:dyDescent="0.35">
      <c r="A33" s="321">
        <v>29</v>
      </c>
      <c r="B33" s="318" t="s">
        <v>41</v>
      </c>
      <c r="C33" s="41">
        <v>24</v>
      </c>
      <c r="D33" s="321">
        <v>24</v>
      </c>
      <c r="E33" s="321">
        <v>31</v>
      </c>
      <c r="F33" s="321">
        <v>31</v>
      </c>
      <c r="G33" s="321">
        <v>32</v>
      </c>
    </row>
    <row r="34" spans="1:7" s="320" customFormat="1" ht="27" customHeight="1" x14ac:dyDescent="0.35">
      <c r="A34" s="321">
        <v>30</v>
      </c>
      <c r="B34" s="318" t="s">
        <v>42</v>
      </c>
      <c r="C34" s="41">
        <v>4</v>
      </c>
      <c r="D34" s="321">
        <v>4</v>
      </c>
      <c r="E34" s="321">
        <v>5</v>
      </c>
      <c r="F34" s="321">
        <v>5</v>
      </c>
      <c r="G34" s="321">
        <v>5</v>
      </c>
    </row>
    <row r="35" spans="1:7" s="320" customFormat="1" ht="27" customHeight="1" x14ac:dyDescent="0.35">
      <c r="A35" s="321">
        <v>31</v>
      </c>
      <c r="B35" s="318" t="s">
        <v>43</v>
      </c>
      <c r="C35" s="41">
        <v>79</v>
      </c>
      <c r="D35" s="321">
        <v>81</v>
      </c>
      <c r="E35" s="321">
        <v>84</v>
      </c>
      <c r="F35" s="321">
        <v>91</v>
      </c>
      <c r="G35" s="321">
        <v>94</v>
      </c>
    </row>
    <row r="36" spans="1:7" s="320" customFormat="1" ht="27" customHeight="1" x14ac:dyDescent="0.35">
      <c r="A36" s="321">
        <v>32</v>
      </c>
      <c r="B36" s="318" t="s">
        <v>44</v>
      </c>
      <c r="C36" s="41">
        <v>36</v>
      </c>
      <c r="D36" s="321">
        <v>36</v>
      </c>
      <c r="E36" s="321">
        <v>37</v>
      </c>
      <c r="F36" s="321">
        <v>38</v>
      </c>
      <c r="G36" s="321">
        <v>40</v>
      </c>
    </row>
    <row r="37" spans="1:7" s="320" customFormat="1" ht="27" customHeight="1" x14ac:dyDescent="0.35">
      <c r="A37" s="321">
        <v>33</v>
      </c>
      <c r="B37" s="318" t="s">
        <v>45</v>
      </c>
      <c r="C37" s="41">
        <v>45</v>
      </c>
      <c r="D37" s="321">
        <v>47</v>
      </c>
      <c r="E37" s="321">
        <v>52</v>
      </c>
      <c r="F37" s="321">
        <v>58</v>
      </c>
      <c r="G37" s="321">
        <v>59</v>
      </c>
    </row>
    <row r="38" spans="1:7" ht="14.25" customHeight="1" x14ac:dyDescent="0.3"/>
  </sheetData>
  <mergeCells count="1">
    <mergeCell ref="B1:D1"/>
  </mergeCells>
  <pageMargins left="0.59055118110236227" right="0.35433070866141736" top="0.39370078740157483" bottom="0.39370078740157483" header="0.31496062992125984" footer="0.19685039370078741"/>
  <pageSetup paperSize="9" scale="79" firstPageNumber="2" orientation="portrait" r:id="rId1"/>
  <headerFooter>
    <oddFooter>&amp;L&amp;"Arial,Italic"&amp;9AISHE 2022-23&amp;RT-40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CB67-12FC-4B23-BDEB-7A15B1B8D60D}">
  <sheetPr codeName="Sheet5">
    <tabColor rgb="FF92D050"/>
  </sheetPr>
  <dimension ref="A1:I206"/>
  <sheetViews>
    <sheetView showZeros="0" view="pageBreakPreview" zoomScaleSheetLayoutView="100" workbookViewId="0">
      <pane ySplit="2" topLeftCell="A3" activePane="bottomLeft" state="frozen"/>
      <selection activeCell="S20" sqref="S20"/>
      <selection pane="bottomLeft" activeCell="D5" sqref="D5"/>
    </sheetView>
  </sheetViews>
  <sheetFormatPr defaultColWidth="9.1796875" defaultRowHeight="14" x14ac:dyDescent="0.3"/>
  <cols>
    <col min="1" max="1" width="7.453125" style="371" bestFit="1" customWidth="1"/>
    <col min="2" max="2" width="22" style="483" customWidth="1"/>
    <col min="3" max="9" width="10.81640625" style="483" customWidth="1"/>
    <col min="10" max="16384" width="9.1796875" style="372"/>
  </cols>
  <sheetData>
    <row r="1" spans="1:9" ht="28.5" customHeight="1" x14ac:dyDescent="0.3">
      <c r="A1" s="945" t="s">
        <v>1056</v>
      </c>
      <c r="B1" s="945"/>
      <c r="C1" s="945"/>
      <c r="D1" s="945"/>
      <c r="E1" s="945"/>
      <c r="F1" s="945"/>
      <c r="G1" s="945"/>
      <c r="H1" s="945"/>
      <c r="I1" s="945"/>
    </row>
    <row r="2" spans="1:9" s="375" customFormat="1" ht="106.5" customHeight="1" x14ac:dyDescent="0.3">
      <c r="A2" s="373" t="s">
        <v>49</v>
      </c>
      <c r="B2" s="373" t="s">
        <v>50</v>
      </c>
      <c r="C2" s="374" t="s">
        <v>2</v>
      </c>
      <c r="D2" s="374" t="s">
        <v>10</v>
      </c>
      <c r="E2" s="374" t="s">
        <v>811</v>
      </c>
      <c r="F2" s="374" t="s">
        <v>11</v>
      </c>
      <c r="G2" s="374" t="s">
        <v>4</v>
      </c>
      <c r="H2" s="374" t="s">
        <v>8</v>
      </c>
      <c r="I2" s="374" t="s">
        <v>5</v>
      </c>
    </row>
    <row r="3" spans="1:9" s="378" customFormat="1" ht="10" x14ac:dyDescent="0.2">
      <c r="A3" s="376">
        <v>1</v>
      </c>
      <c r="B3" s="377">
        <v>2</v>
      </c>
      <c r="C3" s="377">
        <v>3</v>
      </c>
      <c r="D3" s="377">
        <v>4</v>
      </c>
      <c r="E3" s="377">
        <v>5</v>
      </c>
      <c r="F3" s="377">
        <v>6</v>
      </c>
      <c r="G3" s="377">
        <v>7</v>
      </c>
      <c r="H3" s="376">
        <v>8</v>
      </c>
      <c r="I3" s="376">
        <v>9</v>
      </c>
    </row>
    <row r="4" spans="1:9" ht="17.25" customHeight="1" x14ac:dyDescent="0.3">
      <c r="A4" s="946"/>
      <c r="B4" s="484" t="s">
        <v>913</v>
      </c>
      <c r="C4" s="370"/>
      <c r="D4" s="370"/>
      <c r="E4" s="370"/>
      <c r="F4" s="370"/>
      <c r="G4" s="370"/>
      <c r="H4" s="370"/>
      <c r="I4" s="370"/>
    </row>
    <row r="5" spans="1:9" ht="17.25" customHeight="1" x14ac:dyDescent="0.3">
      <c r="A5" s="947"/>
      <c r="B5" s="484" t="s">
        <v>912</v>
      </c>
      <c r="C5" s="370">
        <v>54</v>
      </c>
      <c r="D5" s="370">
        <v>32</v>
      </c>
      <c r="E5" s="370">
        <v>10</v>
      </c>
      <c r="F5" s="370">
        <v>81</v>
      </c>
      <c r="G5" s="370">
        <v>157</v>
      </c>
      <c r="H5" s="370">
        <v>415</v>
      </c>
      <c r="I5" s="370">
        <v>440</v>
      </c>
    </row>
    <row r="6" spans="1:9" ht="17.25" customHeight="1" x14ac:dyDescent="0.3">
      <c r="A6" s="947"/>
      <c r="B6" s="370" t="s">
        <v>911</v>
      </c>
      <c r="C6" s="370">
        <v>53</v>
      </c>
      <c r="D6" s="370">
        <v>33</v>
      </c>
      <c r="E6" s="370">
        <v>10</v>
      </c>
      <c r="F6" s="370">
        <v>81</v>
      </c>
      <c r="G6" s="370">
        <v>153</v>
      </c>
      <c r="H6" s="370">
        <v>391</v>
      </c>
      <c r="I6" s="370">
        <v>423</v>
      </c>
    </row>
    <row r="7" spans="1:9" ht="17.25" customHeight="1" x14ac:dyDescent="0.3">
      <c r="A7" s="947"/>
      <c r="B7" s="370" t="s">
        <v>910</v>
      </c>
      <c r="C7" s="370">
        <v>51</v>
      </c>
      <c r="D7" s="370">
        <v>34</v>
      </c>
      <c r="E7" s="370">
        <v>10</v>
      </c>
      <c r="F7" s="370">
        <v>80</v>
      </c>
      <c r="G7" s="370">
        <v>149</v>
      </c>
      <c r="H7" s="370">
        <v>365</v>
      </c>
      <c r="I7" s="370">
        <v>403</v>
      </c>
    </row>
    <row r="8" spans="1:9" ht="17.25" customHeight="1" x14ac:dyDescent="0.3">
      <c r="A8" s="947"/>
      <c r="B8" s="370" t="s">
        <v>909</v>
      </c>
      <c r="C8" s="370">
        <v>48</v>
      </c>
      <c r="D8" s="370">
        <v>36</v>
      </c>
      <c r="E8" s="370">
        <v>10</v>
      </c>
      <c r="F8" s="370">
        <v>80</v>
      </c>
      <c r="G8" s="370">
        <v>135</v>
      </c>
      <c r="H8" s="370">
        <v>327</v>
      </c>
      <c r="I8" s="370">
        <v>386</v>
      </c>
    </row>
    <row r="9" spans="1:9" ht="17.25" customHeight="1" x14ac:dyDescent="0.3">
      <c r="A9" s="947"/>
      <c r="B9" s="370" t="s">
        <v>908</v>
      </c>
      <c r="C9" s="370">
        <v>46</v>
      </c>
      <c r="D9" s="370">
        <v>34</v>
      </c>
      <c r="E9" s="370">
        <v>10</v>
      </c>
      <c r="F9" s="370">
        <v>80</v>
      </c>
      <c r="G9" s="370">
        <v>127</v>
      </c>
      <c r="H9" s="370">
        <v>304</v>
      </c>
      <c r="I9" s="370">
        <v>371</v>
      </c>
    </row>
    <row r="10" spans="1:9" ht="17.25" customHeight="1" x14ac:dyDescent="0.3">
      <c r="A10" s="942">
        <v>1</v>
      </c>
      <c r="B10" s="484" t="s">
        <v>13</v>
      </c>
      <c r="C10" s="370"/>
      <c r="D10" s="370"/>
      <c r="E10" s="370"/>
      <c r="F10" s="370"/>
      <c r="G10" s="370"/>
      <c r="H10" s="370"/>
      <c r="I10" s="370"/>
    </row>
    <row r="11" spans="1:9" ht="17.25" customHeight="1" x14ac:dyDescent="0.3">
      <c r="A11" s="943"/>
      <c r="B11" s="370" t="s">
        <v>912</v>
      </c>
      <c r="C11" s="485">
        <v>3</v>
      </c>
      <c r="D11" s="370"/>
      <c r="E11" s="370"/>
      <c r="F11" s="370">
        <v>4</v>
      </c>
      <c r="G11" s="370">
        <v>10</v>
      </c>
      <c r="H11" s="370">
        <v>7</v>
      </c>
      <c r="I11" s="370">
        <v>26</v>
      </c>
    </row>
    <row r="12" spans="1:9" ht="17.25" customHeight="1" x14ac:dyDescent="0.3">
      <c r="A12" s="943"/>
      <c r="B12" s="370" t="s">
        <v>911</v>
      </c>
      <c r="C12" s="370">
        <v>3</v>
      </c>
      <c r="D12" s="370"/>
      <c r="E12" s="370"/>
      <c r="F12" s="370">
        <v>4</v>
      </c>
      <c r="G12" s="370">
        <v>10</v>
      </c>
      <c r="H12" s="370">
        <v>5</v>
      </c>
      <c r="I12" s="370">
        <v>24</v>
      </c>
    </row>
    <row r="13" spans="1:9" ht="17.25" customHeight="1" x14ac:dyDescent="0.3">
      <c r="A13" s="943"/>
      <c r="B13" s="370" t="s">
        <v>910</v>
      </c>
      <c r="C13" s="370">
        <v>2</v>
      </c>
      <c r="D13" s="370">
        <v>0</v>
      </c>
      <c r="E13" s="370">
        <v>0</v>
      </c>
      <c r="F13" s="370">
        <v>4</v>
      </c>
      <c r="G13" s="370">
        <v>10</v>
      </c>
      <c r="H13" s="370">
        <v>5</v>
      </c>
      <c r="I13" s="370">
        <v>23</v>
      </c>
    </row>
    <row r="14" spans="1:9" ht="17.25" customHeight="1" x14ac:dyDescent="0.3">
      <c r="A14" s="943"/>
      <c r="B14" s="370" t="s">
        <v>909</v>
      </c>
      <c r="C14" s="370">
        <v>1</v>
      </c>
      <c r="D14" s="370">
        <v>1</v>
      </c>
      <c r="E14" s="370"/>
      <c r="F14" s="370">
        <v>4</v>
      </c>
      <c r="G14" s="370">
        <v>9</v>
      </c>
      <c r="H14" s="370">
        <v>22</v>
      </c>
      <c r="I14" s="370">
        <v>3</v>
      </c>
    </row>
    <row r="15" spans="1:9" ht="17.25" customHeight="1" x14ac:dyDescent="0.3">
      <c r="A15" s="943"/>
      <c r="B15" s="370" t="s">
        <v>908</v>
      </c>
      <c r="C15" s="396">
        <v>1</v>
      </c>
      <c r="D15" s="396">
        <v>1</v>
      </c>
      <c r="E15" s="396">
        <v>0</v>
      </c>
      <c r="F15" s="396">
        <v>4</v>
      </c>
      <c r="G15" s="396">
        <v>9</v>
      </c>
      <c r="H15" s="396">
        <v>3</v>
      </c>
      <c r="I15" s="396">
        <v>22</v>
      </c>
    </row>
    <row r="16" spans="1:9" ht="17.25" customHeight="1" x14ac:dyDescent="0.3">
      <c r="A16" s="942">
        <v>2</v>
      </c>
      <c r="B16" s="484" t="s">
        <v>14</v>
      </c>
      <c r="C16" s="370"/>
      <c r="D16" s="370"/>
      <c r="E16" s="370"/>
      <c r="F16" s="370"/>
      <c r="G16" s="370"/>
      <c r="H16" s="370"/>
      <c r="I16" s="370"/>
    </row>
    <row r="17" spans="1:9" ht="17.25" customHeight="1" x14ac:dyDescent="0.3">
      <c r="A17" s="943"/>
      <c r="B17" s="370" t="s">
        <v>912</v>
      </c>
      <c r="C17" s="1">
        <v>1</v>
      </c>
      <c r="D17" s="1">
        <v>1</v>
      </c>
      <c r="E17" s="1"/>
      <c r="F17" s="1"/>
      <c r="G17" s="1">
        <v>1</v>
      </c>
      <c r="H17" s="1">
        <v>6</v>
      </c>
      <c r="I17" s="1"/>
    </row>
    <row r="18" spans="1:9" ht="17.25" customHeight="1" x14ac:dyDescent="0.3">
      <c r="A18" s="943"/>
      <c r="B18" s="370" t="s">
        <v>911</v>
      </c>
      <c r="C18" s="370">
        <v>1</v>
      </c>
      <c r="D18" s="370">
        <v>1</v>
      </c>
      <c r="E18" s="370"/>
      <c r="F18" s="370"/>
      <c r="G18" s="370">
        <v>1</v>
      </c>
      <c r="H18" s="370">
        <v>6</v>
      </c>
      <c r="I18" s="370"/>
    </row>
    <row r="19" spans="1:9" ht="17.25" customHeight="1" x14ac:dyDescent="0.3">
      <c r="A19" s="943"/>
      <c r="B19" s="370" t="s">
        <v>910</v>
      </c>
      <c r="C19" s="370">
        <v>1</v>
      </c>
      <c r="D19" s="370">
        <v>1</v>
      </c>
      <c r="E19" s="370">
        <v>0</v>
      </c>
      <c r="F19" s="370">
        <v>0</v>
      </c>
      <c r="G19" s="370">
        <v>1</v>
      </c>
      <c r="H19" s="370">
        <v>6</v>
      </c>
      <c r="I19" s="370">
        <v>0</v>
      </c>
    </row>
    <row r="20" spans="1:9" ht="17.25" customHeight="1" x14ac:dyDescent="0.3">
      <c r="A20" s="943"/>
      <c r="B20" s="370" t="s">
        <v>909</v>
      </c>
      <c r="C20" s="370">
        <v>1</v>
      </c>
      <c r="D20" s="370">
        <v>1</v>
      </c>
      <c r="E20" s="370"/>
      <c r="F20" s="370"/>
      <c r="G20" s="370">
        <v>1</v>
      </c>
      <c r="H20" s="370">
        <v>6</v>
      </c>
      <c r="I20" s="370"/>
    </row>
    <row r="21" spans="1:9" ht="17.25" customHeight="1" x14ac:dyDescent="0.3">
      <c r="A21" s="943"/>
      <c r="B21" s="370" t="s">
        <v>908</v>
      </c>
      <c r="C21" s="396">
        <v>1</v>
      </c>
      <c r="D21" s="396">
        <v>1</v>
      </c>
      <c r="E21" s="396">
        <v>0</v>
      </c>
      <c r="F21" s="396">
        <v>0</v>
      </c>
      <c r="G21" s="396">
        <v>1</v>
      </c>
      <c r="H21" s="396">
        <v>6</v>
      </c>
      <c r="I21" s="396">
        <v>0</v>
      </c>
    </row>
    <row r="22" spans="1:9" ht="17.25" customHeight="1" x14ac:dyDescent="0.3">
      <c r="A22" s="942">
        <v>3</v>
      </c>
      <c r="B22" s="484" t="s">
        <v>15</v>
      </c>
      <c r="C22" s="370"/>
      <c r="D22" s="370"/>
      <c r="E22" s="370"/>
      <c r="F22" s="370"/>
      <c r="G22" s="370"/>
      <c r="H22" s="370"/>
      <c r="I22" s="370"/>
    </row>
    <row r="23" spans="1:9" ht="17.25" customHeight="1" x14ac:dyDescent="0.3">
      <c r="A23" s="943"/>
      <c r="B23" s="370" t="s">
        <v>912</v>
      </c>
      <c r="C23" s="370">
        <v>2</v>
      </c>
      <c r="D23" s="370">
        <v>1</v>
      </c>
      <c r="E23" s="370"/>
      <c r="F23" s="370"/>
      <c r="G23" s="370">
        <v>6</v>
      </c>
      <c r="H23" s="370">
        <v>6</v>
      </c>
      <c r="I23" s="370">
        <v>15</v>
      </c>
    </row>
    <row r="24" spans="1:9" ht="17.25" customHeight="1" x14ac:dyDescent="0.3">
      <c r="A24" s="943"/>
      <c r="B24" s="370" t="s">
        <v>911</v>
      </c>
      <c r="C24" s="370">
        <v>2</v>
      </c>
      <c r="D24" s="370">
        <v>1</v>
      </c>
      <c r="E24" s="370"/>
      <c r="F24" s="370"/>
      <c r="G24" s="370">
        <v>5</v>
      </c>
      <c r="H24" s="370">
        <v>6</v>
      </c>
      <c r="I24" s="370">
        <v>15</v>
      </c>
    </row>
    <row r="25" spans="1:9" ht="17.25" customHeight="1" x14ac:dyDescent="0.3">
      <c r="A25" s="943"/>
      <c r="B25" s="370" t="s">
        <v>910</v>
      </c>
      <c r="C25" s="370">
        <v>2</v>
      </c>
      <c r="D25" s="370">
        <v>1</v>
      </c>
      <c r="E25" s="370">
        <v>0</v>
      </c>
      <c r="F25" s="370">
        <v>0</v>
      </c>
      <c r="G25" s="370">
        <v>5</v>
      </c>
      <c r="H25" s="370">
        <v>6</v>
      </c>
      <c r="I25" s="370">
        <v>13</v>
      </c>
    </row>
    <row r="26" spans="1:9" ht="17.25" customHeight="1" x14ac:dyDescent="0.3">
      <c r="A26" s="943"/>
      <c r="B26" s="370" t="s">
        <v>909</v>
      </c>
      <c r="C26" s="370">
        <v>2</v>
      </c>
      <c r="D26" s="370">
        <v>1</v>
      </c>
      <c r="E26" s="370"/>
      <c r="F26" s="370"/>
      <c r="G26" s="370">
        <v>4</v>
      </c>
      <c r="H26" s="370">
        <v>6</v>
      </c>
      <c r="I26" s="370">
        <v>12</v>
      </c>
    </row>
    <row r="27" spans="1:9" ht="17.25" customHeight="1" x14ac:dyDescent="0.3">
      <c r="A27" s="943"/>
      <c r="B27" s="370" t="s">
        <v>908</v>
      </c>
      <c r="C27" s="396">
        <v>2</v>
      </c>
      <c r="D27" s="396">
        <v>0</v>
      </c>
      <c r="E27" s="396">
        <v>0</v>
      </c>
      <c r="F27" s="396">
        <v>0</v>
      </c>
      <c r="G27" s="396">
        <v>3</v>
      </c>
      <c r="H27" s="396">
        <v>6</v>
      </c>
      <c r="I27" s="396">
        <v>10</v>
      </c>
    </row>
    <row r="28" spans="1:9" ht="17.25" customHeight="1" x14ac:dyDescent="0.3">
      <c r="A28" s="942">
        <v>4</v>
      </c>
      <c r="B28" s="484" t="s">
        <v>16</v>
      </c>
      <c r="C28" s="370"/>
      <c r="D28" s="370"/>
      <c r="E28" s="370"/>
      <c r="F28" s="370"/>
      <c r="G28" s="370"/>
      <c r="H28" s="370"/>
      <c r="I28" s="370"/>
    </row>
    <row r="29" spans="1:9" ht="17.25" customHeight="1" x14ac:dyDescent="0.3">
      <c r="A29" s="943"/>
      <c r="B29" s="370" t="s">
        <v>912</v>
      </c>
      <c r="C29" s="370">
        <v>4</v>
      </c>
      <c r="D29" s="370">
        <v>1</v>
      </c>
      <c r="E29" s="370"/>
      <c r="F29" s="370"/>
      <c r="G29" s="370">
        <v>6</v>
      </c>
      <c r="H29" s="370">
        <v>7</v>
      </c>
      <c r="I29" s="370">
        <v>17</v>
      </c>
    </row>
    <row r="30" spans="1:9" ht="17.25" customHeight="1" x14ac:dyDescent="0.3">
      <c r="A30" s="943"/>
      <c r="B30" s="370" t="s">
        <v>911</v>
      </c>
      <c r="C30" s="370">
        <v>4</v>
      </c>
      <c r="D30" s="370">
        <v>1</v>
      </c>
      <c r="E30" s="370"/>
      <c r="F30" s="370"/>
      <c r="G30" s="370">
        <v>6</v>
      </c>
      <c r="H30" s="370">
        <v>7</v>
      </c>
      <c r="I30" s="370">
        <v>17</v>
      </c>
    </row>
    <row r="31" spans="1:9" ht="17.25" customHeight="1" x14ac:dyDescent="0.3">
      <c r="A31" s="943"/>
      <c r="B31" s="370" t="s">
        <v>910</v>
      </c>
      <c r="C31" s="370">
        <v>4</v>
      </c>
      <c r="D31" s="370">
        <v>1</v>
      </c>
      <c r="E31" s="370">
        <v>0</v>
      </c>
      <c r="F31" s="370">
        <v>0</v>
      </c>
      <c r="G31" s="370">
        <v>6</v>
      </c>
      <c r="H31" s="370">
        <v>7</v>
      </c>
      <c r="I31" s="370">
        <v>17</v>
      </c>
    </row>
    <row r="32" spans="1:9" ht="17.25" customHeight="1" x14ac:dyDescent="0.3">
      <c r="A32" s="943"/>
      <c r="B32" s="370" t="s">
        <v>909</v>
      </c>
      <c r="C32" s="370">
        <v>4</v>
      </c>
      <c r="D32" s="370">
        <v>1</v>
      </c>
      <c r="E32" s="370"/>
      <c r="F32" s="370"/>
      <c r="G32" s="370">
        <v>5</v>
      </c>
      <c r="H32" s="370">
        <v>6</v>
      </c>
      <c r="I32" s="370">
        <v>17</v>
      </c>
    </row>
    <row r="33" spans="1:9" ht="17.25" customHeight="1" x14ac:dyDescent="0.3">
      <c r="A33" s="943"/>
      <c r="B33" s="370" t="s">
        <v>908</v>
      </c>
      <c r="C33" s="396">
        <v>4</v>
      </c>
      <c r="D33" s="396">
        <v>1</v>
      </c>
      <c r="E33" s="396">
        <v>0</v>
      </c>
      <c r="F33" s="396">
        <v>0</v>
      </c>
      <c r="G33" s="396">
        <v>5</v>
      </c>
      <c r="H33" s="396">
        <v>4</v>
      </c>
      <c r="I33" s="396">
        <v>17</v>
      </c>
    </row>
    <row r="34" spans="1:9" ht="17.25" customHeight="1" x14ac:dyDescent="0.3">
      <c r="A34" s="942">
        <v>5</v>
      </c>
      <c r="B34" s="484" t="s">
        <v>17</v>
      </c>
      <c r="C34" s="370"/>
      <c r="D34" s="370"/>
      <c r="E34" s="370"/>
      <c r="F34" s="370"/>
      <c r="G34" s="370"/>
      <c r="H34" s="370"/>
      <c r="I34" s="370"/>
    </row>
    <row r="35" spans="1:9" ht="17.25" customHeight="1" x14ac:dyDescent="0.3">
      <c r="A35" s="943"/>
      <c r="B35" s="370" t="s">
        <v>912</v>
      </c>
      <c r="C35" s="370"/>
      <c r="D35" s="370">
        <v>1</v>
      </c>
      <c r="E35" s="370"/>
      <c r="F35" s="370"/>
      <c r="G35" s="370">
        <v>1</v>
      </c>
      <c r="H35" s="370"/>
      <c r="I35" s="370">
        <v>1</v>
      </c>
    </row>
    <row r="36" spans="1:9" ht="17.25" customHeight="1" x14ac:dyDescent="0.3">
      <c r="A36" s="943"/>
      <c r="B36" s="370" t="s">
        <v>911</v>
      </c>
      <c r="C36" s="370"/>
      <c r="D36" s="370">
        <v>1</v>
      </c>
      <c r="E36" s="370"/>
      <c r="F36" s="370"/>
      <c r="G36" s="370">
        <v>1</v>
      </c>
      <c r="H36" s="370"/>
      <c r="I36" s="370">
        <v>1</v>
      </c>
    </row>
    <row r="37" spans="1:9" ht="17.25" customHeight="1" x14ac:dyDescent="0.3">
      <c r="A37" s="943"/>
      <c r="B37" s="370" t="s">
        <v>910</v>
      </c>
      <c r="C37" s="370">
        <v>0</v>
      </c>
      <c r="D37" s="370">
        <v>1</v>
      </c>
      <c r="E37" s="370">
        <v>0</v>
      </c>
      <c r="F37" s="370">
        <v>0</v>
      </c>
      <c r="G37" s="370">
        <v>1</v>
      </c>
      <c r="H37" s="370">
        <v>0</v>
      </c>
      <c r="I37" s="370">
        <v>1</v>
      </c>
    </row>
    <row r="38" spans="1:9" ht="17.25" customHeight="1" x14ac:dyDescent="0.3">
      <c r="A38" s="943"/>
      <c r="B38" s="370" t="s">
        <v>909</v>
      </c>
      <c r="C38" s="370"/>
      <c r="D38" s="370">
        <v>1</v>
      </c>
      <c r="E38" s="370"/>
      <c r="F38" s="370"/>
      <c r="G38" s="370">
        <v>1</v>
      </c>
      <c r="H38" s="370"/>
      <c r="I38" s="370">
        <v>1</v>
      </c>
    </row>
    <row r="39" spans="1:9" ht="17.25" customHeight="1" x14ac:dyDescent="0.3">
      <c r="A39" s="943"/>
      <c r="B39" s="370" t="s">
        <v>908</v>
      </c>
      <c r="C39" s="396">
        <v>0</v>
      </c>
      <c r="D39" s="396">
        <v>1</v>
      </c>
      <c r="E39" s="396">
        <v>0</v>
      </c>
      <c r="F39" s="396">
        <v>0</v>
      </c>
      <c r="G39" s="396">
        <v>1</v>
      </c>
      <c r="H39" s="396">
        <v>0</v>
      </c>
      <c r="I39" s="396">
        <v>1</v>
      </c>
    </row>
    <row r="40" spans="1:9" ht="17.25" customHeight="1" x14ac:dyDescent="0.3">
      <c r="A40" s="942">
        <v>6</v>
      </c>
      <c r="B40" s="484" t="s">
        <v>18</v>
      </c>
      <c r="C40" s="370"/>
      <c r="D40" s="370"/>
      <c r="E40" s="370"/>
      <c r="F40" s="370"/>
      <c r="G40" s="370"/>
      <c r="H40" s="370"/>
      <c r="I40" s="370"/>
    </row>
    <row r="41" spans="1:9" ht="17.25" customHeight="1" x14ac:dyDescent="0.3">
      <c r="A41" s="943"/>
      <c r="B41" s="370" t="s">
        <v>912</v>
      </c>
      <c r="C41" s="370">
        <v>1</v>
      </c>
      <c r="D41" s="370"/>
      <c r="E41" s="370"/>
      <c r="F41" s="370"/>
      <c r="G41" s="370">
        <v>4</v>
      </c>
      <c r="H41" s="370">
        <v>14</v>
      </c>
      <c r="I41" s="370">
        <v>14</v>
      </c>
    </row>
    <row r="42" spans="1:9" ht="17.25" customHeight="1" x14ac:dyDescent="0.3">
      <c r="A42" s="943"/>
      <c r="B42" s="370" t="s">
        <v>911</v>
      </c>
      <c r="C42" s="370">
        <v>1</v>
      </c>
      <c r="D42" s="370"/>
      <c r="E42" s="370"/>
      <c r="F42" s="370"/>
      <c r="G42" s="370">
        <v>4</v>
      </c>
      <c r="H42" s="370">
        <v>14</v>
      </c>
      <c r="I42" s="370">
        <v>14</v>
      </c>
    </row>
    <row r="43" spans="1:9" ht="17.25" customHeight="1" x14ac:dyDescent="0.3">
      <c r="A43" s="943"/>
      <c r="B43" s="370" t="s">
        <v>910</v>
      </c>
      <c r="C43" s="370">
        <v>1</v>
      </c>
      <c r="D43" s="370">
        <v>0</v>
      </c>
      <c r="E43" s="370">
        <v>0</v>
      </c>
      <c r="F43" s="370">
        <v>0</v>
      </c>
      <c r="G43" s="370">
        <v>4</v>
      </c>
      <c r="H43" s="370">
        <v>12</v>
      </c>
      <c r="I43" s="370">
        <v>14</v>
      </c>
    </row>
    <row r="44" spans="1:9" ht="17.25" customHeight="1" x14ac:dyDescent="0.3">
      <c r="A44" s="943"/>
      <c r="B44" s="370" t="s">
        <v>909</v>
      </c>
      <c r="C44" s="370">
        <v>1</v>
      </c>
      <c r="D44" s="370"/>
      <c r="E44" s="370"/>
      <c r="F44" s="370"/>
      <c r="G44" s="370">
        <v>4</v>
      </c>
      <c r="H44" s="370">
        <v>9</v>
      </c>
      <c r="I44" s="370">
        <v>13</v>
      </c>
    </row>
    <row r="45" spans="1:9" ht="17.25" customHeight="1" x14ac:dyDescent="0.3">
      <c r="A45" s="943"/>
      <c r="B45" s="370" t="s">
        <v>908</v>
      </c>
      <c r="C45" s="396">
        <v>1</v>
      </c>
      <c r="D45" s="396">
        <v>0</v>
      </c>
      <c r="E45" s="396">
        <v>0</v>
      </c>
      <c r="F45" s="396">
        <v>0</v>
      </c>
      <c r="G45" s="396">
        <v>4</v>
      </c>
      <c r="H45" s="396">
        <v>9</v>
      </c>
      <c r="I45" s="396">
        <v>13</v>
      </c>
    </row>
    <row r="46" spans="1:9" ht="17.25" customHeight="1" x14ac:dyDescent="0.3">
      <c r="A46" s="942">
        <v>7</v>
      </c>
      <c r="B46" s="484" t="s">
        <v>19</v>
      </c>
      <c r="C46" s="370"/>
      <c r="D46" s="370"/>
      <c r="E46" s="370"/>
      <c r="F46" s="370"/>
      <c r="G46" s="370"/>
      <c r="H46" s="370"/>
      <c r="I46" s="370"/>
    </row>
    <row r="47" spans="1:9" ht="17.25" customHeight="1" x14ac:dyDescent="0.3">
      <c r="A47" s="943"/>
      <c r="B47" s="370" t="s">
        <v>912</v>
      </c>
      <c r="C47" s="370">
        <v>6</v>
      </c>
      <c r="D47" s="370">
        <v>6</v>
      </c>
      <c r="E47" s="370">
        <v>1</v>
      </c>
      <c r="F47" s="370">
        <v>1</v>
      </c>
      <c r="G47" s="370">
        <v>6</v>
      </c>
      <c r="H47" s="370"/>
      <c r="I47" s="370">
        <v>9</v>
      </c>
    </row>
    <row r="48" spans="1:9" ht="17.25" customHeight="1" x14ac:dyDescent="0.3">
      <c r="A48" s="943"/>
      <c r="B48" s="370" t="s">
        <v>911</v>
      </c>
      <c r="C48" s="370">
        <v>6</v>
      </c>
      <c r="D48" s="370">
        <v>6</v>
      </c>
      <c r="E48" s="370">
        <v>1</v>
      </c>
      <c r="F48" s="370">
        <v>1</v>
      </c>
      <c r="G48" s="370">
        <v>6</v>
      </c>
      <c r="H48" s="370"/>
      <c r="I48" s="370">
        <v>9</v>
      </c>
    </row>
    <row r="49" spans="1:9" ht="17.25" customHeight="1" x14ac:dyDescent="0.3">
      <c r="A49" s="943"/>
      <c r="B49" s="370" t="s">
        <v>910</v>
      </c>
      <c r="C49" s="370">
        <v>6</v>
      </c>
      <c r="D49" s="370">
        <v>6</v>
      </c>
      <c r="E49" s="370">
        <v>1</v>
      </c>
      <c r="F49" s="370">
        <v>1</v>
      </c>
      <c r="G49" s="370">
        <v>5</v>
      </c>
      <c r="H49" s="370">
        <v>0</v>
      </c>
      <c r="I49" s="370">
        <v>8</v>
      </c>
    </row>
    <row r="50" spans="1:9" ht="17.25" customHeight="1" x14ac:dyDescent="0.3">
      <c r="A50" s="943"/>
      <c r="B50" s="370" t="s">
        <v>909</v>
      </c>
      <c r="C50" s="370">
        <v>5</v>
      </c>
      <c r="D50" s="370">
        <v>7</v>
      </c>
      <c r="E50" s="370">
        <v>1</v>
      </c>
      <c r="F50" s="370">
        <v>1</v>
      </c>
      <c r="G50" s="370">
        <v>5</v>
      </c>
      <c r="H50" s="370"/>
      <c r="I50" s="370">
        <v>8</v>
      </c>
    </row>
    <row r="51" spans="1:9" ht="17.25" customHeight="1" x14ac:dyDescent="0.3">
      <c r="A51" s="943"/>
      <c r="B51" s="370" t="s">
        <v>908</v>
      </c>
      <c r="C51" s="396">
        <v>4</v>
      </c>
      <c r="D51" s="396">
        <v>8</v>
      </c>
      <c r="E51" s="396">
        <v>1</v>
      </c>
      <c r="F51" s="396">
        <v>1</v>
      </c>
      <c r="G51" s="396">
        <v>5</v>
      </c>
      <c r="H51" s="396">
        <v>0</v>
      </c>
      <c r="I51" s="396">
        <v>7</v>
      </c>
    </row>
    <row r="52" spans="1:9" ht="17.25" customHeight="1" x14ac:dyDescent="0.3">
      <c r="A52" s="942">
        <v>8</v>
      </c>
      <c r="B52" s="484" t="s">
        <v>20</v>
      </c>
      <c r="C52" s="370"/>
      <c r="D52" s="370"/>
      <c r="E52" s="370"/>
      <c r="F52" s="370"/>
      <c r="G52" s="370"/>
      <c r="H52" s="370"/>
      <c r="I52" s="370"/>
    </row>
    <row r="53" spans="1:9" ht="17.25" customHeight="1" x14ac:dyDescent="0.3">
      <c r="A53" s="943"/>
      <c r="B53" s="370" t="s">
        <v>912</v>
      </c>
      <c r="C53" s="370"/>
      <c r="D53" s="370"/>
      <c r="E53" s="370"/>
      <c r="F53" s="370"/>
      <c r="G53" s="370">
        <v>2</v>
      </c>
      <c r="H53" s="370">
        <v>1</v>
      </c>
      <c r="I53" s="370">
        <v>1</v>
      </c>
    </row>
    <row r="54" spans="1:9" ht="17.25" customHeight="1" x14ac:dyDescent="0.3">
      <c r="A54" s="943"/>
      <c r="B54" s="370" t="s">
        <v>911</v>
      </c>
      <c r="C54" s="370"/>
      <c r="D54" s="370"/>
      <c r="E54" s="370"/>
      <c r="F54" s="370"/>
      <c r="G54" s="370">
        <v>2</v>
      </c>
      <c r="H54" s="370"/>
      <c r="I54" s="370">
        <v>1</v>
      </c>
    </row>
    <row r="55" spans="1:9" ht="17.25" customHeight="1" x14ac:dyDescent="0.3">
      <c r="A55" s="943"/>
      <c r="B55" s="370" t="s">
        <v>910</v>
      </c>
      <c r="C55" s="370">
        <v>0</v>
      </c>
      <c r="D55" s="370">
        <v>0</v>
      </c>
      <c r="E55" s="370">
        <v>0</v>
      </c>
      <c r="F55" s="370">
        <v>0</v>
      </c>
      <c r="G55" s="370">
        <v>2</v>
      </c>
      <c r="H55" s="370">
        <v>0</v>
      </c>
      <c r="I55" s="370">
        <v>1</v>
      </c>
    </row>
    <row r="56" spans="1:9" ht="17.25" customHeight="1" x14ac:dyDescent="0.3">
      <c r="A56" s="943"/>
      <c r="B56" s="370" t="s">
        <v>909</v>
      </c>
      <c r="C56" s="370"/>
      <c r="D56" s="370"/>
      <c r="E56" s="370"/>
      <c r="F56" s="370"/>
      <c r="G56" s="370">
        <v>2</v>
      </c>
      <c r="H56" s="370"/>
      <c r="I56" s="370">
        <v>1</v>
      </c>
    </row>
    <row r="57" spans="1:9" ht="17.25" customHeight="1" x14ac:dyDescent="0.3">
      <c r="A57" s="943"/>
      <c r="B57" s="370" t="s">
        <v>908</v>
      </c>
      <c r="C57" s="396">
        <v>0</v>
      </c>
      <c r="D57" s="396">
        <v>0</v>
      </c>
      <c r="E57" s="396">
        <v>0</v>
      </c>
      <c r="F57" s="396">
        <v>0</v>
      </c>
      <c r="G57" s="396">
        <v>2</v>
      </c>
      <c r="H57" s="396">
        <v>0</v>
      </c>
      <c r="I57" s="396">
        <v>1</v>
      </c>
    </row>
    <row r="58" spans="1:9" ht="17.25" customHeight="1" x14ac:dyDescent="0.3">
      <c r="A58" s="942">
        <v>9</v>
      </c>
      <c r="B58" s="484" t="s">
        <v>21</v>
      </c>
      <c r="C58" s="370"/>
      <c r="D58" s="370"/>
      <c r="E58" s="370"/>
      <c r="F58" s="370"/>
      <c r="G58" s="370"/>
      <c r="H58" s="370"/>
      <c r="I58" s="370"/>
    </row>
    <row r="59" spans="1:9" ht="17.25" customHeight="1" x14ac:dyDescent="0.3">
      <c r="A59" s="943"/>
      <c r="B59" s="370" t="s">
        <v>912</v>
      </c>
      <c r="C59" s="370">
        <v>2</v>
      </c>
      <c r="D59" s="370"/>
      <c r="E59" s="370">
        <v>1</v>
      </c>
      <c r="F59" s="370">
        <v>1</v>
      </c>
      <c r="G59" s="370">
        <v>10</v>
      </c>
      <c r="H59" s="370">
        <v>60</v>
      </c>
      <c r="I59" s="370">
        <v>27</v>
      </c>
    </row>
    <row r="60" spans="1:9" ht="17.25" customHeight="1" x14ac:dyDescent="0.3">
      <c r="A60" s="943"/>
      <c r="B60" s="370" t="s">
        <v>911</v>
      </c>
      <c r="C60" s="370">
        <v>1</v>
      </c>
      <c r="D60" s="370">
        <v>1</v>
      </c>
      <c r="E60" s="370">
        <v>1</v>
      </c>
      <c r="F60" s="370">
        <v>1</v>
      </c>
      <c r="G60" s="370">
        <v>9</v>
      </c>
      <c r="H60" s="370">
        <v>51</v>
      </c>
      <c r="I60" s="370">
        <v>26</v>
      </c>
    </row>
    <row r="61" spans="1:9" ht="17.25" customHeight="1" x14ac:dyDescent="0.3">
      <c r="A61" s="943"/>
      <c r="B61" s="370" t="s">
        <v>910</v>
      </c>
      <c r="C61" s="370">
        <v>1</v>
      </c>
      <c r="D61" s="370">
        <v>1</v>
      </c>
      <c r="E61" s="370">
        <v>1</v>
      </c>
      <c r="F61" s="370">
        <v>1</v>
      </c>
      <c r="G61" s="370">
        <v>9</v>
      </c>
      <c r="H61" s="370">
        <v>44</v>
      </c>
      <c r="I61" s="370">
        <v>25</v>
      </c>
    </row>
    <row r="62" spans="1:9" ht="17.25" customHeight="1" x14ac:dyDescent="0.3">
      <c r="A62" s="943"/>
      <c r="B62" s="370" t="s">
        <v>909</v>
      </c>
      <c r="C62" s="370">
        <v>1</v>
      </c>
      <c r="D62" s="370">
        <v>1</v>
      </c>
      <c r="E62" s="370">
        <v>1</v>
      </c>
      <c r="F62" s="370">
        <v>1</v>
      </c>
      <c r="G62" s="370">
        <v>6</v>
      </c>
      <c r="H62" s="370">
        <v>37</v>
      </c>
      <c r="I62" s="370">
        <v>28</v>
      </c>
    </row>
    <row r="63" spans="1:9" ht="17.25" customHeight="1" x14ac:dyDescent="0.3">
      <c r="A63" s="943"/>
      <c r="B63" s="370" t="s">
        <v>908</v>
      </c>
      <c r="C63" s="396">
        <v>1</v>
      </c>
      <c r="D63" s="396">
        <v>1</v>
      </c>
      <c r="E63" s="396">
        <v>1</v>
      </c>
      <c r="F63" s="396">
        <v>1</v>
      </c>
      <c r="G63" s="396">
        <v>5</v>
      </c>
      <c r="H63" s="396">
        <v>34</v>
      </c>
      <c r="I63" s="396">
        <v>28</v>
      </c>
    </row>
    <row r="64" spans="1:9" ht="17.25" customHeight="1" x14ac:dyDescent="0.3">
      <c r="A64" s="942">
        <v>10</v>
      </c>
      <c r="B64" s="484" t="s">
        <v>22</v>
      </c>
      <c r="C64" s="370"/>
      <c r="D64" s="370"/>
      <c r="E64" s="370"/>
      <c r="F64" s="370"/>
      <c r="G64" s="370"/>
      <c r="H64" s="370"/>
      <c r="I64" s="370"/>
    </row>
    <row r="65" spans="1:9" ht="17.25" customHeight="1" x14ac:dyDescent="0.3">
      <c r="A65" s="943"/>
      <c r="B65" s="370" t="s">
        <v>912</v>
      </c>
      <c r="C65" s="370">
        <v>1</v>
      </c>
      <c r="D65" s="370">
        <v>3</v>
      </c>
      <c r="E65" s="370"/>
      <c r="F65" s="370">
        <v>3</v>
      </c>
      <c r="G65" s="370">
        <v>5</v>
      </c>
      <c r="H65" s="370">
        <v>25</v>
      </c>
      <c r="I65" s="370">
        <v>20</v>
      </c>
    </row>
    <row r="66" spans="1:9" ht="17.25" customHeight="1" x14ac:dyDescent="0.3">
      <c r="A66" s="943"/>
      <c r="B66" s="370" t="s">
        <v>911</v>
      </c>
      <c r="C66" s="370">
        <v>1</v>
      </c>
      <c r="D66" s="370">
        <v>3</v>
      </c>
      <c r="E66" s="370"/>
      <c r="F66" s="370">
        <v>3</v>
      </c>
      <c r="G66" s="370">
        <v>5</v>
      </c>
      <c r="H66" s="370">
        <v>24</v>
      </c>
      <c r="I66" s="370">
        <v>20</v>
      </c>
    </row>
    <row r="67" spans="1:9" ht="17.25" customHeight="1" x14ac:dyDescent="0.3">
      <c r="A67" s="943"/>
      <c r="B67" s="370" t="s">
        <v>910</v>
      </c>
      <c r="C67" s="370">
        <v>1</v>
      </c>
      <c r="D67" s="370">
        <v>3</v>
      </c>
      <c r="E67" s="370">
        <v>0</v>
      </c>
      <c r="F67" s="370">
        <v>3</v>
      </c>
      <c r="G67" s="370">
        <v>5</v>
      </c>
      <c r="H67" s="370">
        <v>24</v>
      </c>
      <c r="I67" s="370">
        <v>20</v>
      </c>
    </row>
    <row r="68" spans="1:9" ht="17.25" customHeight="1" x14ac:dyDescent="0.3">
      <c r="A68" s="943"/>
      <c r="B68" s="370" t="s">
        <v>909</v>
      </c>
      <c r="C68" s="370">
        <v>1</v>
      </c>
      <c r="D68" s="370">
        <v>3</v>
      </c>
      <c r="E68" s="370"/>
      <c r="F68" s="370">
        <v>3</v>
      </c>
      <c r="G68" s="370">
        <v>5</v>
      </c>
      <c r="H68" s="370">
        <v>23</v>
      </c>
      <c r="I68" s="370">
        <v>18</v>
      </c>
    </row>
    <row r="69" spans="1:9" ht="17.25" customHeight="1" x14ac:dyDescent="0.3">
      <c r="A69" s="943"/>
      <c r="B69" s="370" t="s">
        <v>908</v>
      </c>
      <c r="C69" s="396">
        <v>1</v>
      </c>
      <c r="D69" s="396">
        <v>3</v>
      </c>
      <c r="E69" s="396">
        <v>0</v>
      </c>
      <c r="F69" s="396">
        <v>3</v>
      </c>
      <c r="G69" s="396">
        <v>3</v>
      </c>
      <c r="H69" s="396">
        <v>22</v>
      </c>
      <c r="I69" s="396">
        <v>16</v>
      </c>
    </row>
    <row r="70" spans="1:9" ht="17.25" customHeight="1" x14ac:dyDescent="0.3">
      <c r="A70" s="942">
        <v>11</v>
      </c>
      <c r="B70" s="484" t="s">
        <v>23</v>
      </c>
      <c r="C70" s="370"/>
      <c r="D70" s="370"/>
      <c r="E70" s="370"/>
      <c r="F70" s="370"/>
      <c r="G70" s="370"/>
      <c r="H70" s="370"/>
      <c r="I70" s="370"/>
    </row>
    <row r="71" spans="1:9" ht="17.25" customHeight="1" x14ac:dyDescent="0.3">
      <c r="A71" s="943"/>
      <c r="B71" s="370" t="s">
        <v>912</v>
      </c>
      <c r="C71" s="370">
        <v>1</v>
      </c>
      <c r="D71" s="370"/>
      <c r="E71" s="370"/>
      <c r="F71" s="370"/>
      <c r="G71" s="370">
        <v>5</v>
      </c>
      <c r="H71" s="370">
        <v>16</v>
      </c>
      <c r="I71" s="370">
        <v>7</v>
      </c>
    </row>
    <row r="72" spans="1:9" ht="17.25" customHeight="1" x14ac:dyDescent="0.3">
      <c r="A72" s="943"/>
      <c r="B72" s="370" t="s">
        <v>911</v>
      </c>
      <c r="C72" s="370">
        <v>1</v>
      </c>
      <c r="D72" s="370"/>
      <c r="E72" s="370"/>
      <c r="F72" s="370"/>
      <c r="G72" s="370">
        <v>5</v>
      </c>
      <c r="H72" s="370">
        <v>17</v>
      </c>
      <c r="I72" s="370">
        <v>7</v>
      </c>
    </row>
    <row r="73" spans="1:9" ht="17.25" customHeight="1" x14ac:dyDescent="0.3">
      <c r="A73" s="943"/>
      <c r="B73" s="370" t="s">
        <v>910</v>
      </c>
      <c r="C73" s="370">
        <v>1</v>
      </c>
      <c r="D73" s="370">
        <v>0</v>
      </c>
      <c r="E73" s="370">
        <v>0</v>
      </c>
      <c r="F73" s="370">
        <v>0</v>
      </c>
      <c r="G73" s="370">
        <v>4</v>
      </c>
      <c r="H73" s="370">
        <v>17</v>
      </c>
      <c r="I73" s="370">
        <v>7</v>
      </c>
    </row>
    <row r="74" spans="1:9" ht="17.25" customHeight="1" x14ac:dyDescent="0.3">
      <c r="A74" s="943"/>
      <c r="B74" s="370" t="s">
        <v>909</v>
      </c>
      <c r="C74" s="370">
        <v>1</v>
      </c>
      <c r="D74" s="370"/>
      <c r="E74" s="370"/>
      <c r="F74" s="370"/>
      <c r="G74" s="370">
        <v>4</v>
      </c>
      <c r="H74" s="370">
        <v>17</v>
      </c>
      <c r="I74" s="370">
        <v>5</v>
      </c>
    </row>
    <row r="75" spans="1:9" ht="17.25" customHeight="1" x14ac:dyDescent="0.3">
      <c r="A75" s="943"/>
      <c r="B75" s="370" t="s">
        <v>908</v>
      </c>
      <c r="C75" s="396">
        <v>1</v>
      </c>
      <c r="D75" s="396">
        <v>0</v>
      </c>
      <c r="E75" s="396">
        <v>0</v>
      </c>
      <c r="F75" s="396">
        <v>0</v>
      </c>
      <c r="G75" s="396">
        <v>4</v>
      </c>
      <c r="H75" s="396">
        <v>17</v>
      </c>
      <c r="I75" s="396">
        <v>4</v>
      </c>
    </row>
    <row r="76" spans="1:9" ht="17.25" customHeight="1" x14ac:dyDescent="0.3">
      <c r="A76" s="942">
        <v>12</v>
      </c>
      <c r="B76" s="484" t="s">
        <v>24</v>
      </c>
      <c r="C76" s="370"/>
      <c r="D76" s="370"/>
      <c r="E76" s="370"/>
      <c r="F76" s="370"/>
      <c r="G76" s="370"/>
      <c r="H76" s="370"/>
      <c r="I76" s="370"/>
    </row>
    <row r="77" spans="1:9" ht="17.25" customHeight="1" x14ac:dyDescent="0.3">
      <c r="A77" s="943"/>
      <c r="B77" s="370" t="s">
        <v>912</v>
      </c>
      <c r="C77" s="370">
        <v>2</v>
      </c>
      <c r="D77" s="370"/>
      <c r="E77" s="370"/>
      <c r="F77" s="370"/>
      <c r="G77" s="370">
        <v>4</v>
      </c>
      <c r="H77" s="370"/>
      <c r="I77" s="370">
        <v>9</v>
      </c>
    </row>
    <row r="78" spans="1:9" ht="17.25" customHeight="1" x14ac:dyDescent="0.3">
      <c r="A78" s="943"/>
      <c r="B78" s="370" t="s">
        <v>911</v>
      </c>
      <c r="C78" s="370">
        <v>2</v>
      </c>
      <c r="D78" s="370"/>
      <c r="E78" s="370"/>
      <c r="F78" s="370"/>
      <c r="G78" s="370">
        <v>4</v>
      </c>
      <c r="H78" s="370"/>
      <c r="I78" s="370">
        <v>9</v>
      </c>
    </row>
    <row r="79" spans="1:9" ht="17.25" customHeight="1" x14ac:dyDescent="0.3">
      <c r="A79" s="943"/>
      <c r="B79" s="370" t="s">
        <v>910</v>
      </c>
      <c r="C79" s="370">
        <v>2</v>
      </c>
      <c r="D79" s="370">
        <v>0</v>
      </c>
      <c r="E79" s="370">
        <v>0</v>
      </c>
      <c r="F79" s="370">
        <v>0</v>
      </c>
      <c r="G79" s="370">
        <v>3</v>
      </c>
      <c r="H79" s="370">
        <v>0</v>
      </c>
      <c r="I79" s="370">
        <v>9</v>
      </c>
    </row>
    <row r="80" spans="1:9" ht="17.25" customHeight="1" x14ac:dyDescent="0.3">
      <c r="A80" s="943"/>
      <c r="B80" s="370" t="s">
        <v>909</v>
      </c>
      <c r="C80" s="370">
        <v>2</v>
      </c>
      <c r="D80" s="370"/>
      <c r="E80" s="370"/>
      <c r="F80" s="370"/>
      <c r="G80" s="370">
        <v>3</v>
      </c>
      <c r="H80" s="370"/>
      <c r="I80" s="370">
        <v>9</v>
      </c>
    </row>
    <row r="81" spans="1:9" ht="17.25" customHeight="1" x14ac:dyDescent="0.3">
      <c r="A81" s="943"/>
      <c r="B81" s="370" t="s">
        <v>908</v>
      </c>
      <c r="C81" s="396">
        <v>2</v>
      </c>
      <c r="D81" s="396">
        <v>0</v>
      </c>
      <c r="E81" s="396">
        <v>0</v>
      </c>
      <c r="F81" s="396">
        <v>0</v>
      </c>
      <c r="G81" s="396">
        <v>3</v>
      </c>
      <c r="H81" s="396">
        <v>0</v>
      </c>
      <c r="I81" s="396">
        <v>9</v>
      </c>
    </row>
    <row r="82" spans="1:9" ht="17.25" customHeight="1" x14ac:dyDescent="0.3">
      <c r="A82" s="942">
        <v>13</v>
      </c>
      <c r="B82" s="484" t="s">
        <v>25</v>
      </c>
      <c r="C82" s="370"/>
      <c r="D82" s="370"/>
      <c r="E82" s="370"/>
      <c r="F82" s="370"/>
      <c r="G82" s="370"/>
      <c r="H82" s="370"/>
      <c r="I82" s="370"/>
    </row>
    <row r="83" spans="1:9" ht="17.25" customHeight="1" x14ac:dyDescent="0.3">
      <c r="A83" s="943"/>
      <c r="B83" s="370" t="s">
        <v>912</v>
      </c>
      <c r="C83" s="370">
        <v>1</v>
      </c>
      <c r="D83" s="370"/>
      <c r="E83" s="370"/>
      <c r="F83" s="370">
        <v>1</v>
      </c>
      <c r="G83" s="370">
        <v>5</v>
      </c>
      <c r="H83" s="370">
        <v>15</v>
      </c>
      <c r="I83" s="370">
        <v>12</v>
      </c>
    </row>
    <row r="84" spans="1:9" ht="17.25" customHeight="1" x14ac:dyDescent="0.3">
      <c r="A84" s="943"/>
      <c r="B84" s="370" t="s">
        <v>911</v>
      </c>
      <c r="C84" s="370">
        <v>1</v>
      </c>
      <c r="D84" s="370"/>
      <c r="E84" s="370"/>
      <c r="F84" s="370">
        <v>1</v>
      </c>
      <c r="G84" s="370">
        <v>5</v>
      </c>
      <c r="H84" s="370">
        <v>15</v>
      </c>
      <c r="I84" s="370">
        <v>11</v>
      </c>
    </row>
    <row r="85" spans="1:9" ht="17.25" customHeight="1" x14ac:dyDescent="0.3">
      <c r="A85" s="943"/>
      <c r="B85" s="370" t="s">
        <v>910</v>
      </c>
      <c r="C85" s="370">
        <v>1</v>
      </c>
      <c r="D85" s="370">
        <v>0</v>
      </c>
      <c r="E85" s="370">
        <v>0</v>
      </c>
      <c r="F85" s="370">
        <v>1</v>
      </c>
      <c r="G85" s="370">
        <v>5</v>
      </c>
      <c r="H85" s="370">
        <v>14</v>
      </c>
      <c r="I85" s="370">
        <v>11</v>
      </c>
    </row>
    <row r="86" spans="1:9" ht="17.25" customHeight="1" x14ac:dyDescent="0.3">
      <c r="A86" s="943"/>
      <c r="B86" s="370" t="s">
        <v>909</v>
      </c>
      <c r="C86" s="370">
        <v>1</v>
      </c>
      <c r="D86" s="370"/>
      <c r="E86" s="370"/>
      <c r="F86" s="370">
        <v>1</v>
      </c>
      <c r="G86" s="370">
        <v>5</v>
      </c>
      <c r="H86" s="370">
        <v>14</v>
      </c>
      <c r="I86" s="370">
        <v>11</v>
      </c>
    </row>
    <row r="87" spans="1:9" ht="17.25" customHeight="1" x14ac:dyDescent="0.3">
      <c r="A87" s="943"/>
      <c r="B87" s="370" t="s">
        <v>908</v>
      </c>
      <c r="C87" s="396">
        <v>1</v>
      </c>
      <c r="D87" s="396">
        <v>0</v>
      </c>
      <c r="E87" s="396">
        <v>0</v>
      </c>
      <c r="F87" s="396">
        <v>1</v>
      </c>
      <c r="G87" s="396">
        <v>4</v>
      </c>
      <c r="H87" s="396">
        <v>9</v>
      </c>
      <c r="I87" s="396">
        <v>10</v>
      </c>
    </row>
    <row r="88" spans="1:9" ht="17.25" customHeight="1" x14ac:dyDescent="0.3">
      <c r="A88" s="942">
        <v>14</v>
      </c>
      <c r="B88" s="484" t="s">
        <v>26</v>
      </c>
      <c r="C88" s="370"/>
      <c r="D88" s="370"/>
      <c r="E88" s="370"/>
      <c r="F88" s="370"/>
      <c r="G88" s="370"/>
      <c r="H88" s="370"/>
      <c r="I88" s="370"/>
    </row>
    <row r="89" spans="1:9" ht="17.25" customHeight="1" x14ac:dyDescent="0.3">
      <c r="A89" s="943"/>
      <c r="B89" s="370" t="s">
        <v>912</v>
      </c>
      <c r="C89" s="1">
        <v>1</v>
      </c>
      <c r="D89" s="1">
        <v>2</v>
      </c>
      <c r="E89" s="1"/>
      <c r="F89" s="1">
        <v>12</v>
      </c>
      <c r="G89" s="1">
        <v>6</v>
      </c>
      <c r="H89" s="1">
        <v>23</v>
      </c>
      <c r="I89" s="1">
        <v>34</v>
      </c>
    </row>
    <row r="90" spans="1:9" ht="17.25" customHeight="1" x14ac:dyDescent="0.3">
      <c r="A90" s="943"/>
      <c r="B90" s="370" t="s">
        <v>911</v>
      </c>
      <c r="C90" s="370">
        <v>1</v>
      </c>
      <c r="D90" s="370">
        <v>2</v>
      </c>
      <c r="E90" s="370"/>
      <c r="F90" s="370">
        <v>12</v>
      </c>
      <c r="G90" s="370">
        <v>6</v>
      </c>
      <c r="H90" s="370">
        <v>20</v>
      </c>
      <c r="I90" s="370">
        <v>33</v>
      </c>
    </row>
    <row r="91" spans="1:9" ht="17.25" customHeight="1" x14ac:dyDescent="0.3">
      <c r="A91" s="943"/>
      <c r="B91" s="370" t="s">
        <v>910</v>
      </c>
      <c r="C91" s="370">
        <v>1</v>
      </c>
      <c r="D91" s="370">
        <v>3</v>
      </c>
      <c r="E91" s="370">
        <v>0</v>
      </c>
      <c r="F91" s="370">
        <v>11</v>
      </c>
      <c r="G91" s="370">
        <v>6</v>
      </c>
      <c r="H91" s="370">
        <v>18</v>
      </c>
      <c r="I91" s="370">
        <v>32</v>
      </c>
    </row>
    <row r="92" spans="1:9" ht="17.25" customHeight="1" x14ac:dyDescent="0.3">
      <c r="A92" s="943"/>
      <c r="B92" s="370" t="s">
        <v>909</v>
      </c>
      <c r="C92" s="370">
        <v>1</v>
      </c>
      <c r="D92" s="370">
        <v>4</v>
      </c>
      <c r="E92" s="370"/>
      <c r="F92" s="370">
        <v>11</v>
      </c>
      <c r="G92" s="370">
        <v>4</v>
      </c>
      <c r="H92" s="370">
        <v>18</v>
      </c>
      <c r="I92" s="370">
        <v>30</v>
      </c>
    </row>
    <row r="93" spans="1:9" ht="17.25" customHeight="1" x14ac:dyDescent="0.3">
      <c r="A93" s="943"/>
      <c r="B93" s="370" t="s">
        <v>908</v>
      </c>
      <c r="C93" s="396">
        <v>1</v>
      </c>
      <c r="D93" s="396">
        <v>4</v>
      </c>
      <c r="E93" s="396">
        <v>0</v>
      </c>
      <c r="F93" s="396">
        <v>11</v>
      </c>
      <c r="G93" s="396">
        <v>4</v>
      </c>
      <c r="H93" s="396">
        <v>16</v>
      </c>
      <c r="I93" s="396">
        <v>28</v>
      </c>
    </row>
    <row r="94" spans="1:9" ht="17.25" customHeight="1" x14ac:dyDescent="0.3">
      <c r="A94" s="942">
        <v>15</v>
      </c>
      <c r="B94" s="484" t="s">
        <v>27</v>
      </c>
      <c r="C94" s="370"/>
      <c r="D94" s="370"/>
      <c r="E94" s="370"/>
      <c r="F94" s="370"/>
      <c r="G94" s="370"/>
      <c r="H94" s="370"/>
      <c r="I94" s="370"/>
    </row>
    <row r="95" spans="1:9" ht="17.25" customHeight="1" x14ac:dyDescent="0.3">
      <c r="A95" s="943"/>
      <c r="B95" s="370" t="s">
        <v>912</v>
      </c>
      <c r="C95" s="370">
        <v>1</v>
      </c>
      <c r="D95" s="370">
        <v>2</v>
      </c>
      <c r="E95" s="370"/>
      <c r="F95" s="370">
        <v>1</v>
      </c>
      <c r="G95" s="370">
        <v>6</v>
      </c>
      <c r="H95" s="370"/>
      <c r="I95" s="370">
        <v>14</v>
      </c>
    </row>
    <row r="96" spans="1:9" ht="17.25" customHeight="1" x14ac:dyDescent="0.3">
      <c r="A96" s="943"/>
      <c r="B96" s="370" t="s">
        <v>911</v>
      </c>
      <c r="C96" s="370">
        <v>1</v>
      </c>
      <c r="D96" s="370">
        <v>2</v>
      </c>
      <c r="E96" s="370"/>
      <c r="F96" s="370">
        <v>1</v>
      </c>
      <c r="G96" s="370">
        <v>6</v>
      </c>
      <c r="H96" s="370"/>
      <c r="I96" s="370">
        <v>14</v>
      </c>
    </row>
    <row r="97" spans="1:9" ht="17.25" customHeight="1" x14ac:dyDescent="0.3">
      <c r="A97" s="943"/>
      <c r="B97" s="370" t="s">
        <v>910</v>
      </c>
      <c r="C97" s="370">
        <v>1</v>
      </c>
      <c r="D97" s="370">
        <v>2</v>
      </c>
      <c r="E97" s="370">
        <v>0</v>
      </c>
      <c r="F97" s="370">
        <v>1</v>
      </c>
      <c r="G97" s="370">
        <v>6</v>
      </c>
      <c r="H97" s="370">
        <v>0</v>
      </c>
      <c r="I97" s="370">
        <v>13</v>
      </c>
    </row>
    <row r="98" spans="1:9" ht="17.25" customHeight="1" x14ac:dyDescent="0.3">
      <c r="A98" s="943"/>
      <c r="B98" s="370" t="s">
        <v>909</v>
      </c>
      <c r="C98" s="370">
        <v>1</v>
      </c>
      <c r="D98" s="370">
        <v>2</v>
      </c>
      <c r="E98" s="370"/>
      <c r="F98" s="370">
        <v>1</v>
      </c>
      <c r="G98" s="370">
        <v>6</v>
      </c>
      <c r="H98" s="370"/>
      <c r="I98" s="370">
        <v>13</v>
      </c>
    </row>
    <row r="99" spans="1:9" ht="17.25" customHeight="1" x14ac:dyDescent="0.3">
      <c r="A99" s="943"/>
      <c r="B99" s="370" t="s">
        <v>908</v>
      </c>
      <c r="C99" s="396">
        <v>1</v>
      </c>
      <c r="D99" s="396">
        <v>2</v>
      </c>
      <c r="E99" s="396">
        <v>0</v>
      </c>
      <c r="F99" s="396">
        <v>1</v>
      </c>
      <c r="G99" s="396">
        <v>6</v>
      </c>
      <c r="H99" s="396">
        <v>0</v>
      </c>
      <c r="I99" s="396">
        <v>13</v>
      </c>
    </row>
    <row r="100" spans="1:9" ht="17.25" customHeight="1" x14ac:dyDescent="0.3">
      <c r="A100" s="944">
        <v>16</v>
      </c>
      <c r="B100" s="484" t="s">
        <v>28</v>
      </c>
      <c r="C100" s="370"/>
      <c r="D100" s="370"/>
      <c r="E100" s="370"/>
      <c r="F100" s="370"/>
      <c r="G100" s="370"/>
      <c r="H100" s="370"/>
      <c r="I100" s="370"/>
    </row>
    <row r="101" spans="1:9" ht="17.25" customHeight="1" x14ac:dyDescent="0.3">
      <c r="A101" s="944"/>
      <c r="B101" s="370" t="s">
        <v>912</v>
      </c>
      <c r="C101" s="370"/>
      <c r="D101" s="370">
        <v>1</v>
      </c>
      <c r="E101" s="370"/>
      <c r="F101" s="370"/>
      <c r="G101" s="370"/>
      <c r="H101" s="370"/>
      <c r="I101" s="370">
        <v>1</v>
      </c>
    </row>
    <row r="102" spans="1:9" ht="17.25" customHeight="1" x14ac:dyDescent="0.3">
      <c r="A102" s="944"/>
      <c r="B102" s="370" t="s">
        <v>911</v>
      </c>
      <c r="C102" s="370"/>
      <c r="D102" s="370">
        <v>1</v>
      </c>
      <c r="E102" s="370"/>
      <c r="F102" s="370"/>
      <c r="G102" s="370"/>
      <c r="H102" s="370"/>
      <c r="I102" s="370">
        <v>1</v>
      </c>
    </row>
    <row r="103" spans="1:9" ht="17.25" customHeight="1" x14ac:dyDescent="0.3">
      <c r="A103" s="944"/>
      <c r="B103" s="370" t="s">
        <v>910</v>
      </c>
      <c r="C103" s="370">
        <v>0</v>
      </c>
      <c r="D103" s="370">
        <v>1</v>
      </c>
      <c r="E103" s="370">
        <v>0</v>
      </c>
      <c r="F103" s="370">
        <v>0</v>
      </c>
      <c r="G103" s="370">
        <v>0</v>
      </c>
      <c r="H103" s="370">
        <v>0</v>
      </c>
      <c r="I103" s="370">
        <v>1</v>
      </c>
    </row>
    <row r="104" spans="1:9" ht="17.25" customHeight="1" x14ac:dyDescent="0.3">
      <c r="A104" s="944"/>
      <c r="B104" s="370" t="s">
        <v>909</v>
      </c>
      <c r="C104" s="370"/>
      <c r="D104" s="370">
        <v>1</v>
      </c>
      <c r="E104" s="370"/>
      <c r="F104" s="370"/>
      <c r="G104" s="370"/>
      <c r="H104" s="370"/>
      <c r="I104" s="370"/>
    </row>
    <row r="105" spans="1:9" ht="17.25" customHeight="1" x14ac:dyDescent="0.3">
      <c r="A105" s="942">
        <v>17</v>
      </c>
      <c r="B105" s="484" t="s">
        <v>29</v>
      </c>
      <c r="C105" s="370"/>
      <c r="D105" s="370"/>
      <c r="E105" s="370"/>
      <c r="F105" s="370"/>
      <c r="G105" s="370"/>
      <c r="H105" s="370"/>
      <c r="I105" s="370"/>
    </row>
    <row r="106" spans="1:9" ht="17.25" customHeight="1" x14ac:dyDescent="0.3">
      <c r="A106" s="943"/>
      <c r="B106" s="370" t="s">
        <v>912</v>
      </c>
      <c r="C106" s="370">
        <v>2</v>
      </c>
      <c r="D106" s="370">
        <v>1</v>
      </c>
      <c r="E106" s="370"/>
      <c r="F106" s="370"/>
      <c r="G106" s="370">
        <v>10</v>
      </c>
      <c r="H106" s="370">
        <v>41</v>
      </c>
      <c r="I106" s="370">
        <v>23</v>
      </c>
    </row>
    <row r="107" spans="1:9" ht="17.25" customHeight="1" x14ac:dyDescent="0.3">
      <c r="A107" s="943"/>
      <c r="B107" s="370" t="s">
        <v>911</v>
      </c>
      <c r="C107" s="370">
        <v>2</v>
      </c>
      <c r="D107" s="370">
        <v>1</v>
      </c>
      <c r="E107" s="370"/>
      <c r="F107" s="370"/>
      <c r="G107" s="370">
        <v>10</v>
      </c>
      <c r="H107" s="370">
        <v>40</v>
      </c>
      <c r="I107" s="370">
        <v>23</v>
      </c>
    </row>
    <row r="108" spans="1:9" ht="17.25" customHeight="1" x14ac:dyDescent="0.3">
      <c r="A108" s="943"/>
      <c r="B108" s="370" t="s">
        <v>910</v>
      </c>
      <c r="C108" s="370">
        <v>2</v>
      </c>
      <c r="D108" s="370">
        <v>1</v>
      </c>
      <c r="E108" s="370">
        <v>0</v>
      </c>
      <c r="F108" s="370">
        <v>0</v>
      </c>
      <c r="G108" s="370">
        <v>9</v>
      </c>
      <c r="H108" s="370">
        <v>39</v>
      </c>
      <c r="I108" s="370">
        <v>22</v>
      </c>
    </row>
    <row r="109" spans="1:9" ht="17.25" customHeight="1" x14ac:dyDescent="0.3">
      <c r="A109" s="943"/>
      <c r="B109" s="370" t="s">
        <v>909</v>
      </c>
      <c r="C109" s="370">
        <v>2</v>
      </c>
      <c r="D109" s="370">
        <v>1</v>
      </c>
      <c r="E109" s="370"/>
      <c r="F109" s="370"/>
      <c r="G109" s="370">
        <v>8</v>
      </c>
      <c r="H109" s="370">
        <v>33</v>
      </c>
      <c r="I109" s="370">
        <v>21</v>
      </c>
    </row>
    <row r="110" spans="1:9" ht="17.25" customHeight="1" x14ac:dyDescent="0.3">
      <c r="A110" s="943"/>
      <c r="B110" s="370" t="s">
        <v>908</v>
      </c>
      <c r="C110" s="396">
        <v>2</v>
      </c>
      <c r="D110" s="396">
        <v>1</v>
      </c>
      <c r="E110" s="396">
        <v>0</v>
      </c>
      <c r="F110" s="396">
        <v>0</v>
      </c>
      <c r="G110" s="396">
        <v>8</v>
      </c>
      <c r="H110" s="396">
        <v>31</v>
      </c>
      <c r="I110" s="396">
        <v>22</v>
      </c>
    </row>
    <row r="111" spans="1:9" ht="17.25" customHeight="1" x14ac:dyDescent="0.3">
      <c r="A111" s="942">
        <v>18</v>
      </c>
      <c r="B111" s="484" t="s">
        <v>30</v>
      </c>
      <c r="C111" s="370"/>
      <c r="D111" s="370"/>
      <c r="E111" s="370"/>
      <c r="F111" s="370"/>
      <c r="G111" s="370"/>
      <c r="H111" s="370"/>
      <c r="I111" s="370"/>
    </row>
    <row r="112" spans="1:9" ht="17.25" customHeight="1" x14ac:dyDescent="0.3">
      <c r="A112" s="943"/>
      <c r="B112" s="370" t="s">
        <v>912</v>
      </c>
      <c r="C112" s="370">
        <v>1</v>
      </c>
      <c r="D112" s="370">
        <v>7</v>
      </c>
      <c r="E112" s="370">
        <v>3</v>
      </c>
      <c r="F112" s="370">
        <v>11</v>
      </c>
      <c r="G112" s="370">
        <v>7</v>
      </c>
      <c r="H112" s="370">
        <v>21</v>
      </c>
      <c r="I112" s="370">
        <v>27</v>
      </c>
    </row>
    <row r="113" spans="1:9" ht="17.25" customHeight="1" x14ac:dyDescent="0.3">
      <c r="A113" s="943"/>
      <c r="B113" s="370" t="s">
        <v>911</v>
      </c>
      <c r="C113" s="370">
        <v>1</v>
      </c>
      <c r="D113" s="370">
        <v>7</v>
      </c>
      <c r="E113" s="370">
        <v>2</v>
      </c>
      <c r="F113" s="370">
        <v>12</v>
      </c>
      <c r="G113" s="370">
        <v>7</v>
      </c>
      <c r="H113" s="370">
        <v>21</v>
      </c>
      <c r="I113" s="370">
        <v>23</v>
      </c>
    </row>
    <row r="114" spans="1:9" ht="17.25" customHeight="1" x14ac:dyDescent="0.3">
      <c r="A114" s="943"/>
      <c r="B114" s="370" t="s">
        <v>910</v>
      </c>
      <c r="C114" s="370">
        <v>1</v>
      </c>
      <c r="D114" s="370">
        <v>7</v>
      </c>
      <c r="E114" s="370">
        <v>2</v>
      </c>
      <c r="F114" s="370">
        <v>12</v>
      </c>
      <c r="G114" s="370">
        <v>7</v>
      </c>
      <c r="H114" s="370">
        <v>18</v>
      </c>
      <c r="I114" s="370">
        <v>23</v>
      </c>
    </row>
    <row r="115" spans="1:9" ht="17.25" customHeight="1" x14ac:dyDescent="0.3">
      <c r="A115" s="943"/>
      <c r="B115" s="370" t="s">
        <v>909</v>
      </c>
      <c r="C115" s="370">
        <v>1</v>
      </c>
      <c r="D115" s="370">
        <v>7</v>
      </c>
      <c r="E115" s="370">
        <v>2</v>
      </c>
      <c r="F115" s="370">
        <v>12</v>
      </c>
      <c r="G115" s="370">
        <v>8</v>
      </c>
      <c r="H115" s="370">
        <v>11</v>
      </c>
      <c r="I115" s="370">
        <v>23</v>
      </c>
    </row>
    <row r="116" spans="1:9" ht="17.25" customHeight="1" x14ac:dyDescent="0.3">
      <c r="A116" s="943"/>
      <c r="B116" s="370" t="s">
        <v>908</v>
      </c>
      <c r="C116" s="396">
        <v>1</v>
      </c>
      <c r="D116" s="396">
        <v>7</v>
      </c>
      <c r="E116" s="396">
        <v>2</v>
      </c>
      <c r="F116" s="396">
        <v>12</v>
      </c>
      <c r="G116" s="396">
        <v>6</v>
      </c>
      <c r="H116" s="396">
        <v>11</v>
      </c>
      <c r="I116" s="396">
        <v>22</v>
      </c>
    </row>
    <row r="117" spans="1:9" ht="17.25" customHeight="1" x14ac:dyDescent="0.3">
      <c r="A117" s="942">
        <v>19</v>
      </c>
      <c r="B117" s="484" t="s">
        <v>31</v>
      </c>
      <c r="C117" s="370"/>
      <c r="D117" s="370"/>
      <c r="E117" s="370"/>
      <c r="F117" s="370"/>
      <c r="G117" s="370"/>
      <c r="H117" s="370"/>
      <c r="I117" s="370"/>
    </row>
    <row r="118" spans="1:9" ht="17.25" customHeight="1" x14ac:dyDescent="0.3">
      <c r="A118" s="943"/>
      <c r="B118" s="370" t="s">
        <v>912</v>
      </c>
      <c r="C118" s="370">
        <v>3</v>
      </c>
      <c r="D118" s="370"/>
      <c r="E118" s="370"/>
      <c r="F118" s="370"/>
      <c r="G118" s="370">
        <v>2</v>
      </c>
      <c r="H118" s="370">
        <v>4</v>
      </c>
      <c r="I118" s="370">
        <v>3</v>
      </c>
    </row>
    <row r="119" spans="1:9" ht="17.25" customHeight="1" x14ac:dyDescent="0.3">
      <c r="A119" s="943"/>
      <c r="B119" s="370" t="s">
        <v>911</v>
      </c>
      <c r="C119" s="370">
        <v>3</v>
      </c>
      <c r="D119" s="370"/>
      <c r="E119" s="370"/>
      <c r="F119" s="370"/>
      <c r="G119" s="370">
        <v>2</v>
      </c>
      <c r="H119" s="370">
        <v>2</v>
      </c>
      <c r="I119" s="370">
        <v>3</v>
      </c>
    </row>
    <row r="120" spans="1:9" ht="17.25" customHeight="1" x14ac:dyDescent="0.3">
      <c r="A120" s="943"/>
      <c r="B120" s="370" t="s">
        <v>910</v>
      </c>
      <c r="C120" s="481">
        <v>3</v>
      </c>
      <c r="D120" s="481">
        <v>0</v>
      </c>
      <c r="E120" s="481">
        <v>0</v>
      </c>
      <c r="F120" s="481">
        <v>0</v>
      </c>
      <c r="G120" s="481">
        <v>2</v>
      </c>
      <c r="H120" s="481">
        <v>1</v>
      </c>
      <c r="I120" s="481">
        <v>3</v>
      </c>
    </row>
    <row r="121" spans="1:9" ht="17.25" customHeight="1" x14ac:dyDescent="0.3">
      <c r="A121" s="943"/>
      <c r="B121" s="370" t="s">
        <v>909</v>
      </c>
      <c r="C121" s="370">
        <v>3</v>
      </c>
      <c r="D121" s="370"/>
      <c r="E121" s="370"/>
      <c r="F121" s="370"/>
      <c r="G121" s="370">
        <v>2</v>
      </c>
      <c r="H121" s="370"/>
      <c r="I121" s="370">
        <v>3</v>
      </c>
    </row>
    <row r="122" spans="1:9" ht="17.25" customHeight="1" x14ac:dyDescent="0.3">
      <c r="A122" s="943"/>
      <c r="B122" s="370" t="s">
        <v>908</v>
      </c>
      <c r="C122" s="396">
        <v>2</v>
      </c>
      <c r="D122" s="396">
        <v>0</v>
      </c>
      <c r="E122" s="396">
        <v>0</v>
      </c>
      <c r="F122" s="396">
        <v>0</v>
      </c>
      <c r="G122" s="396">
        <v>2</v>
      </c>
      <c r="H122" s="396">
        <v>0</v>
      </c>
      <c r="I122" s="396">
        <v>2</v>
      </c>
    </row>
    <row r="123" spans="1:9" ht="17.25" customHeight="1" x14ac:dyDescent="0.3">
      <c r="A123" s="942">
        <v>20</v>
      </c>
      <c r="B123" s="484" t="s">
        <v>32</v>
      </c>
      <c r="C123" s="370"/>
      <c r="D123" s="370"/>
      <c r="E123" s="370"/>
      <c r="F123" s="370"/>
      <c r="G123" s="370"/>
      <c r="H123" s="370"/>
      <c r="I123" s="370"/>
    </row>
    <row r="124" spans="1:9" ht="17.25" customHeight="1" x14ac:dyDescent="0.3">
      <c r="A124" s="943"/>
      <c r="B124" s="370" t="s">
        <v>912</v>
      </c>
      <c r="C124" s="370">
        <v>1</v>
      </c>
      <c r="D124" s="370"/>
      <c r="E124" s="370"/>
      <c r="F124" s="370"/>
      <c r="G124" s="370">
        <v>2</v>
      </c>
      <c r="H124" s="370">
        <v>8</v>
      </c>
      <c r="I124" s="370"/>
    </row>
    <row r="125" spans="1:9" ht="17.25" customHeight="1" x14ac:dyDescent="0.3">
      <c r="A125" s="943"/>
      <c r="B125" s="370" t="s">
        <v>911</v>
      </c>
      <c r="C125" s="370">
        <v>1</v>
      </c>
      <c r="D125" s="370"/>
      <c r="E125" s="370"/>
      <c r="F125" s="370"/>
      <c r="G125" s="370">
        <v>2</v>
      </c>
      <c r="H125" s="370">
        <v>8</v>
      </c>
      <c r="I125" s="370"/>
    </row>
    <row r="126" spans="1:9" ht="17.25" customHeight="1" x14ac:dyDescent="0.3">
      <c r="A126" s="943"/>
      <c r="B126" s="370" t="s">
        <v>910</v>
      </c>
      <c r="C126" s="370">
        <v>1</v>
      </c>
      <c r="D126" s="370">
        <v>0</v>
      </c>
      <c r="E126" s="370">
        <v>0</v>
      </c>
      <c r="F126" s="370">
        <v>0</v>
      </c>
      <c r="G126" s="370">
        <v>2</v>
      </c>
      <c r="H126" s="370">
        <v>8</v>
      </c>
      <c r="I126" s="370">
        <v>0</v>
      </c>
    </row>
    <row r="127" spans="1:9" ht="17.25" customHeight="1" x14ac:dyDescent="0.3">
      <c r="A127" s="943"/>
      <c r="B127" s="370" t="s">
        <v>909</v>
      </c>
      <c r="C127" s="370">
        <v>1</v>
      </c>
      <c r="D127" s="370"/>
      <c r="E127" s="370"/>
      <c r="F127" s="370"/>
      <c r="G127" s="370">
        <v>2</v>
      </c>
      <c r="H127" s="370">
        <v>7</v>
      </c>
      <c r="I127" s="370"/>
    </row>
    <row r="128" spans="1:9" ht="17.25" customHeight="1" x14ac:dyDescent="0.3">
      <c r="A128" s="943"/>
      <c r="B128" s="370" t="s">
        <v>908</v>
      </c>
      <c r="C128" s="396">
        <v>1</v>
      </c>
      <c r="D128" s="396">
        <v>0</v>
      </c>
      <c r="E128" s="396">
        <v>0</v>
      </c>
      <c r="F128" s="396">
        <v>0</v>
      </c>
      <c r="G128" s="396">
        <v>2</v>
      </c>
      <c r="H128" s="396">
        <v>7</v>
      </c>
      <c r="I128" s="396">
        <v>0</v>
      </c>
    </row>
    <row r="129" spans="1:9" ht="17.25" customHeight="1" x14ac:dyDescent="0.3">
      <c r="A129" s="942">
        <v>21</v>
      </c>
      <c r="B129" s="484" t="s">
        <v>33</v>
      </c>
      <c r="C129" s="370"/>
      <c r="D129" s="370"/>
      <c r="E129" s="370"/>
      <c r="F129" s="370"/>
      <c r="G129" s="370"/>
      <c r="H129" s="370"/>
      <c r="I129" s="370"/>
    </row>
    <row r="130" spans="1:9" ht="17.25" customHeight="1" x14ac:dyDescent="0.3">
      <c r="A130" s="943"/>
      <c r="B130" s="370" t="s">
        <v>912</v>
      </c>
      <c r="C130" s="370">
        <v>1</v>
      </c>
      <c r="D130" s="370"/>
      <c r="E130" s="370"/>
      <c r="F130" s="370"/>
      <c r="G130" s="370">
        <v>1</v>
      </c>
      <c r="H130" s="370">
        <v>1</v>
      </c>
      <c r="I130" s="370"/>
    </row>
    <row r="131" spans="1:9" ht="17.25" customHeight="1" x14ac:dyDescent="0.3">
      <c r="A131" s="943"/>
      <c r="B131" s="370" t="s">
        <v>911</v>
      </c>
      <c r="C131" s="370">
        <v>1</v>
      </c>
      <c r="D131" s="370"/>
      <c r="E131" s="370"/>
      <c r="F131" s="370"/>
      <c r="G131" s="370">
        <v>1</v>
      </c>
      <c r="H131" s="370">
        <v>1</v>
      </c>
      <c r="I131" s="370"/>
    </row>
    <row r="132" spans="1:9" ht="17.25" customHeight="1" x14ac:dyDescent="0.3">
      <c r="A132" s="943"/>
      <c r="B132" s="370" t="s">
        <v>910</v>
      </c>
      <c r="C132" s="370">
        <v>1</v>
      </c>
      <c r="D132" s="370">
        <v>0</v>
      </c>
      <c r="E132" s="370">
        <v>0</v>
      </c>
      <c r="F132" s="370">
        <v>0</v>
      </c>
      <c r="G132" s="370">
        <v>1</v>
      </c>
      <c r="H132" s="370">
        <v>1</v>
      </c>
      <c r="I132" s="370">
        <v>0</v>
      </c>
    </row>
    <row r="133" spans="1:9" ht="17.25" customHeight="1" x14ac:dyDescent="0.3">
      <c r="A133" s="943"/>
      <c r="B133" s="370" t="s">
        <v>909</v>
      </c>
      <c r="C133" s="370">
        <v>1</v>
      </c>
      <c r="D133" s="370"/>
      <c r="E133" s="370"/>
      <c r="F133" s="370"/>
      <c r="G133" s="370">
        <v>1</v>
      </c>
      <c r="H133" s="370">
        <v>1</v>
      </c>
      <c r="I133" s="370"/>
    </row>
    <row r="134" spans="1:9" ht="17.25" customHeight="1" x14ac:dyDescent="0.3">
      <c r="A134" s="943"/>
      <c r="B134" s="370" t="s">
        <v>908</v>
      </c>
      <c r="C134" s="396">
        <v>1</v>
      </c>
      <c r="D134" s="396">
        <v>0</v>
      </c>
      <c r="E134" s="396">
        <v>0</v>
      </c>
      <c r="F134" s="396">
        <v>0</v>
      </c>
      <c r="G134" s="396">
        <v>1</v>
      </c>
      <c r="H134" s="396">
        <v>1</v>
      </c>
      <c r="I134" s="396">
        <v>0</v>
      </c>
    </row>
    <row r="135" spans="1:9" ht="17.25" customHeight="1" x14ac:dyDescent="0.3">
      <c r="A135" s="942">
        <v>22</v>
      </c>
      <c r="B135" s="484" t="s">
        <v>34</v>
      </c>
      <c r="C135" s="370"/>
      <c r="D135" s="370"/>
      <c r="E135" s="370"/>
      <c r="F135" s="370"/>
      <c r="G135" s="370"/>
      <c r="H135" s="370"/>
      <c r="I135" s="370"/>
    </row>
    <row r="136" spans="1:9" ht="17.25" customHeight="1" x14ac:dyDescent="0.3">
      <c r="A136" s="943"/>
      <c r="B136" s="370" t="s">
        <v>912</v>
      </c>
      <c r="C136" s="370">
        <v>1</v>
      </c>
      <c r="D136" s="370"/>
      <c r="E136" s="370"/>
      <c r="F136" s="370"/>
      <c r="G136" s="370">
        <v>1</v>
      </c>
      <c r="H136" s="370">
        <v>4</v>
      </c>
      <c r="I136" s="370"/>
    </row>
    <row r="137" spans="1:9" ht="17.25" customHeight="1" x14ac:dyDescent="0.3">
      <c r="A137" s="943"/>
      <c r="B137" s="370" t="s">
        <v>911</v>
      </c>
      <c r="C137" s="370">
        <v>1</v>
      </c>
      <c r="D137" s="370"/>
      <c r="E137" s="370"/>
      <c r="F137" s="370"/>
      <c r="G137" s="370">
        <v>1</v>
      </c>
      <c r="H137" s="370">
        <v>4</v>
      </c>
      <c r="I137" s="370"/>
    </row>
    <row r="138" spans="1:9" ht="17.25" customHeight="1" x14ac:dyDescent="0.3">
      <c r="A138" s="943"/>
      <c r="B138" s="370" t="s">
        <v>910</v>
      </c>
      <c r="C138" s="370">
        <v>1</v>
      </c>
      <c r="D138" s="370">
        <v>0</v>
      </c>
      <c r="E138" s="370">
        <v>0</v>
      </c>
      <c r="F138" s="370">
        <v>0</v>
      </c>
      <c r="G138" s="370">
        <v>1</v>
      </c>
      <c r="H138" s="370">
        <v>3</v>
      </c>
      <c r="I138" s="370">
        <v>0</v>
      </c>
    </row>
    <row r="139" spans="1:9" ht="17.25" customHeight="1" x14ac:dyDescent="0.3">
      <c r="A139" s="943"/>
      <c r="B139" s="370" t="s">
        <v>909</v>
      </c>
      <c r="C139" s="370">
        <v>1</v>
      </c>
      <c r="D139" s="370"/>
      <c r="E139" s="370"/>
      <c r="F139" s="370"/>
      <c r="G139" s="370">
        <v>1</v>
      </c>
      <c r="H139" s="370">
        <v>3</v>
      </c>
      <c r="I139" s="370"/>
    </row>
    <row r="140" spans="1:9" ht="17.25" customHeight="1" x14ac:dyDescent="0.3">
      <c r="A140" s="943"/>
      <c r="B140" s="370" t="s">
        <v>908</v>
      </c>
      <c r="C140" s="396">
        <v>1</v>
      </c>
      <c r="D140" s="396">
        <v>0</v>
      </c>
      <c r="E140" s="396">
        <v>0</v>
      </c>
      <c r="F140" s="396">
        <v>0</v>
      </c>
      <c r="G140" s="396">
        <v>1</v>
      </c>
      <c r="H140" s="396">
        <v>3</v>
      </c>
      <c r="I140" s="396">
        <v>0</v>
      </c>
    </row>
    <row r="141" spans="1:9" ht="17.25" customHeight="1" x14ac:dyDescent="0.3">
      <c r="A141" s="942">
        <v>23</v>
      </c>
      <c r="B141" s="484" t="s">
        <v>35</v>
      </c>
      <c r="C141" s="370"/>
      <c r="D141" s="370"/>
      <c r="E141" s="370"/>
      <c r="F141" s="370"/>
      <c r="G141" s="370"/>
      <c r="H141" s="370"/>
      <c r="I141" s="370"/>
    </row>
    <row r="142" spans="1:9" ht="17.25" customHeight="1" x14ac:dyDescent="0.3">
      <c r="A142" s="943"/>
      <c r="B142" s="370" t="s">
        <v>912</v>
      </c>
      <c r="C142" s="370">
        <v>1</v>
      </c>
      <c r="D142" s="370"/>
      <c r="E142" s="370"/>
      <c r="F142" s="370">
        <v>3</v>
      </c>
      <c r="G142" s="370">
        <v>5</v>
      </c>
      <c r="H142" s="370">
        <v>8</v>
      </c>
      <c r="I142" s="370">
        <v>21</v>
      </c>
    </row>
    <row r="143" spans="1:9" ht="17.25" customHeight="1" x14ac:dyDescent="0.3">
      <c r="A143" s="943"/>
      <c r="B143" s="370" t="s">
        <v>911</v>
      </c>
      <c r="C143" s="370">
        <v>1</v>
      </c>
      <c r="D143" s="370"/>
      <c r="E143" s="370"/>
      <c r="F143" s="370">
        <v>3</v>
      </c>
      <c r="G143" s="370">
        <v>5</v>
      </c>
      <c r="H143" s="370">
        <v>8</v>
      </c>
      <c r="I143" s="370">
        <v>19</v>
      </c>
    </row>
    <row r="144" spans="1:9" ht="17.25" customHeight="1" x14ac:dyDescent="0.3">
      <c r="A144" s="943"/>
      <c r="B144" s="370" t="s">
        <v>910</v>
      </c>
      <c r="C144" s="370">
        <v>1</v>
      </c>
      <c r="D144" s="370">
        <v>0</v>
      </c>
      <c r="E144" s="370">
        <v>0</v>
      </c>
      <c r="F144" s="370">
        <v>3</v>
      </c>
      <c r="G144" s="370">
        <v>5</v>
      </c>
      <c r="H144" s="370">
        <v>8</v>
      </c>
      <c r="I144" s="370">
        <v>18</v>
      </c>
    </row>
    <row r="145" spans="1:9" ht="17.25" customHeight="1" x14ac:dyDescent="0.3">
      <c r="A145" s="943"/>
      <c r="B145" s="370" t="s">
        <v>909</v>
      </c>
      <c r="C145" s="370">
        <v>1</v>
      </c>
      <c r="D145" s="370"/>
      <c r="E145" s="370"/>
      <c r="F145" s="370">
        <v>3</v>
      </c>
      <c r="G145" s="370">
        <v>5</v>
      </c>
      <c r="H145" s="370">
        <v>6</v>
      </c>
      <c r="I145" s="370">
        <v>16</v>
      </c>
    </row>
    <row r="146" spans="1:9" ht="17.25" customHeight="1" x14ac:dyDescent="0.3">
      <c r="A146" s="943"/>
      <c r="B146" s="370" t="s">
        <v>908</v>
      </c>
      <c r="C146" s="396">
        <v>1</v>
      </c>
      <c r="D146" s="396">
        <v>0</v>
      </c>
      <c r="E146" s="396">
        <v>0</v>
      </c>
      <c r="F146" s="396">
        <v>2</v>
      </c>
      <c r="G146" s="396">
        <v>5</v>
      </c>
      <c r="H146" s="396">
        <v>4</v>
      </c>
      <c r="I146" s="396">
        <v>15</v>
      </c>
    </row>
    <row r="147" spans="1:9" ht="17.25" customHeight="1" x14ac:dyDescent="0.3">
      <c r="A147" s="942">
        <v>24</v>
      </c>
      <c r="B147" s="484" t="s">
        <v>36</v>
      </c>
      <c r="C147" s="370"/>
      <c r="D147" s="370"/>
      <c r="E147" s="370"/>
      <c r="F147" s="370"/>
      <c r="G147" s="370"/>
      <c r="H147" s="370"/>
      <c r="I147" s="370"/>
    </row>
    <row r="148" spans="1:9" ht="17.25" customHeight="1" x14ac:dyDescent="0.3">
      <c r="A148" s="943"/>
      <c r="B148" s="370" t="s">
        <v>912</v>
      </c>
      <c r="C148" s="370">
        <v>1</v>
      </c>
      <c r="D148" s="370"/>
      <c r="E148" s="370"/>
      <c r="F148" s="370">
        <v>1</v>
      </c>
      <c r="G148" s="370">
        <v>2</v>
      </c>
      <c r="H148" s="370"/>
      <c r="I148" s="370">
        <v>1</v>
      </c>
    </row>
    <row r="149" spans="1:9" ht="17.25" customHeight="1" x14ac:dyDescent="0.3">
      <c r="A149" s="943"/>
      <c r="B149" s="370" t="s">
        <v>911</v>
      </c>
      <c r="C149" s="370">
        <v>1</v>
      </c>
      <c r="D149" s="370"/>
      <c r="E149" s="370"/>
      <c r="F149" s="370">
        <v>1</v>
      </c>
      <c r="G149" s="370">
        <v>2</v>
      </c>
      <c r="H149" s="370"/>
      <c r="I149" s="370"/>
    </row>
    <row r="150" spans="1:9" ht="17.25" customHeight="1" x14ac:dyDescent="0.3">
      <c r="A150" s="943"/>
      <c r="B150" s="370" t="s">
        <v>910</v>
      </c>
      <c r="C150" s="370">
        <v>1</v>
      </c>
      <c r="D150" s="370">
        <v>0</v>
      </c>
      <c r="E150" s="370">
        <v>0</v>
      </c>
      <c r="F150" s="370">
        <v>1</v>
      </c>
      <c r="G150" s="370">
        <v>2</v>
      </c>
      <c r="H150" s="370">
        <v>0</v>
      </c>
      <c r="I150" s="370">
        <v>0</v>
      </c>
    </row>
    <row r="151" spans="1:9" ht="17.25" customHeight="1" x14ac:dyDescent="0.3">
      <c r="A151" s="943"/>
      <c r="B151" s="370" t="s">
        <v>909</v>
      </c>
      <c r="C151" s="370">
        <v>1</v>
      </c>
      <c r="D151" s="370"/>
      <c r="E151" s="370"/>
      <c r="F151" s="370">
        <v>1</v>
      </c>
      <c r="G151" s="370">
        <v>2</v>
      </c>
      <c r="H151" s="370"/>
      <c r="I151" s="370"/>
    </row>
    <row r="152" spans="1:9" ht="17.25" customHeight="1" x14ac:dyDescent="0.3">
      <c r="A152" s="943"/>
      <c r="B152" s="370" t="s">
        <v>908</v>
      </c>
      <c r="C152" s="396">
        <v>1</v>
      </c>
      <c r="D152" s="396">
        <v>0</v>
      </c>
      <c r="E152" s="396">
        <v>0</v>
      </c>
      <c r="F152" s="396">
        <v>1</v>
      </c>
      <c r="G152" s="396">
        <v>2</v>
      </c>
      <c r="H152" s="396">
        <v>0</v>
      </c>
      <c r="I152" s="396">
        <v>0</v>
      </c>
    </row>
    <row r="153" spans="1:9" ht="17.25" customHeight="1" x14ac:dyDescent="0.3">
      <c r="A153" s="942">
        <v>25</v>
      </c>
      <c r="B153" s="484" t="s">
        <v>37</v>
      </c>
      <c r="C153" s="370"/>
      <c r="D153" s="370"/>
      <c r="E153" s="370"/>
      <c r="F153" s="370"/>
      <c r="G153" s="370"/>
      <c r="H153" s="370"/>
      <c r="I153" s="370"/>
    </row>
    <row r="154" spans="1:9" ht="17.25" customHeight="1" x14ac:dyDescent="0.3">
      <c r="A154" s="943"/>
      <c r="B154" s="370" t="s">
        <v>912</v>
      </c>
      <c r="C154" s="370">
        <v>1</v>
      </c>
      <c r="D154" s="370">
        <v>1</v>
      </c>
      <c r="E154" s="370"/>
      <c r="F154" s="370">
        <v>1</v>
      </c>
      <c r="G154" s="370">
        <v>6</v>
      </c>
      <c r="H154" s="370">
        <v>18</v>
      </c>
      <c r="I154" s="370">
        <v>12</v>
      </c>
    </row>
    <row r="155" spans="1:9" ht="17.25" customHeight="1" x14ac:dyDescent="0.3">
      <c r="A155" s="943"/>
      <c r="B155" s="370" t="s">
        <v>911</v>
      </c>
      <c r="C155" s="370">
        <v>1</v>
      </c>
      <c r="D155" s="370">
        <v>1</v>
      </c>
      <c r="E155" s="370"/>
      <c r="F155" s="370">
        <v>1</v>
      </c>
      <c r="G155" s="370">
        <v>6</v>
      </c>
      <c r="H155" s="370">
        <v>18</v>
      </c>
      <c r="I155" s="370">
        <v>12</v>
      </c>
    </row>
    <row r="156" spans="1:9" ht="17.25" customHeight="1" x14ac:dyDescent="0.3">
      <c r="A156" s="943"/>
      <c r="B156" s="370" t="s">
        <v>910</v>
      </c>
      <c r="C156" s="370">
        <v>1</v>
      </c>
      <c r="D156" s="370">
        <v>1</v>
      </c>
      <c r="E156" s="370">
        <v>0</v>
      </c>
      <c r="F156" s="370">
        <v>1</v>
      </c>
      <c r="G156" s="370">
        <v>6</v>
      </c>
      <c r="H156" s="370">
        <v>15</v>
      </c>
      <c r="I156" s="370">
        <v>10</v>
      </c>
    </row>
    <row r="157" spans="1:9" ht="17.25" customHeight="1" x14ac:dyDescent="0.3">
      <c r="A157" s="943"/>
      <c r="B157" s="370" t="s">
        <v>909</v>
      </c>
      <c r="C157" s="370">
        <v>1</v>
      </c>
      <c r="D157" s="370">
        <v>1</v>
      </c>
      <c r="E157" s="370"/>
      <c r="F157" s="370">
        <v>1</v>
      </c>
      <c r="G157" s="370">
        <v>5</v>
      </c>
      <c r="H157" s="370">
        <v>15</v>
      </c>
      <c r="I157" s="370">
        <v>9</v>
      </c>
    </row>
    <row r="158" spans="1:9" ht="17.25" customHeight="1" x14ac:dyDescent="0.3">
      <c r="A158" s="943"/>
      <c r="B158" s="370" t="s">
        <v>908</v>
      </c>
      <c r="C158" s="396">
        <v>1</v>
      </c>
      <c r="D158" s="396">
        <v>1</v>
      </c>
      <c r="E158" s="396">
        <v>0</v>
      </c>
      <c r="F158" s="396">
        <v>1</v>
      </c>
      <c r="G158" s="396">
        <v>5</v>
      </c>
      <c r="H158" s="396">
        <v>15</v>
      </c>
      <c r="I158" s="396">
        <v>9</v>
      </c>
    </row>
    <row r="159" spans="1:9" ht="17.25" customHeight="1" x14ac:dyDescent="0.3">
      <c r="A159" s="942">
        <v>26</v>
      </c>
      <c r="B159" s="484" t="s">
        <v>38</v>
      </c>
      <c r="C159" s="370"/>
      <c r="D159" s="370"/>
      <c r="E159" s="370"/>
      <c r="F159" s="370"/>
      <c r="G159" s="370"/>
      <c r="H159" s="370"/>
      <c r="I159" s="370"/>
    </row>
    <row r="160" spans="1:9" ht="17.25" customHeight="1" x14ac:dyDescent="0.3">
      <c r="A160" s="943"/>
      <c r="B160" s="370" t="s">
        <v>912</v>
      </c>
      <c r="C160" s="370">
        <v>1</v>
      </c>
      <c r="D160" s="370"/>
      <c r="E160" s="370"/>
      <c r="F160" s="370">
        <v>7</v>
      </c>
      <c r="G160" s="370">
        <v>5</v>
      </c>
      <c r="H160" s="370">
        <v>49</v>
      </c>
      <c r="I160" s="370">
        <v>27</v>
      </c>
    </row>
    <row r="161" spans="1:9" ht="17.25" customHeight="1" x14ac:dyDescent="0.3">
      <c r="A161" s="943"/>
      <c r="B161" s="370" t="s">
        <v>911</v>
      </c>
      <c r="C161" s="370">
        <v>1</v>
      </c>
      <c r="D161" s="370"/>
      <c r="E161" s="370"/>
      <c r="F161" s="370">
        <v>7</v>
      </c>
      <c r="G161" s="370">
        <v>5</v>
      </c>
      <c r="H161" s="370">
        <v>49</v>
      </c>
      <c r="I161" s="370">
        <v>26</v>
      </c>
    </row>
    <row r="162" spans="1:9" ht="17.25" customHeight="1" x14ac:dyDescent="0.3">
      <c r="A162" s="943"/>
      <c r="B162" s="370" t="s">
        <v>910</v>
      </c>
      <c r="C162" s="370">
        <v>1</v>
      </c>
      <c r="D162" s="370">
        <v>0</v>
      </c>
      <c r="E162" s="370">
        <v>0</v>
      </c>
      <c r="F162" s="370">
        <v>7</v>
      </c>
      <c r="G162" s="370">
        <v>5</v>
      </c>
      <c r="H162" s="370">
        <v>52</v>
      </c>
      <c r="I162" s="370">
        <v>26</v>
      </c>
    </row>
    <row r="163" spans="1:9" ht="17.25" customHeight="1" x14ac:dyDescent="0.3">
      <c r="A163" s="943"/>
      <c r="B163" s="370" t="s">
        <v>909</v>
      </c>
      <c r="C163" s="370">
        <v>1</v>
      </c>
      <c r="D163" s="370"/>
      <c r="E163" s="370"/>
      <c r="F163" s="370">
        <v>7</v>
      </c>
      <c r="G163" s="370">
        <v>5</v>
      </c>
      <c r="H163" s="370">
        <v>50</v>
      </c>
      <c r="I163" s="370">
        <v>25</v>
      </c>
    </row>
    <row r="164" spans="1:9" ht="17.25" customHeight="1" x14ac:dyDescent="0.3">
      <c r="A164" s="943"/>
      <c r="B164" s="370" t="s">
        <v>908</v>
      </c>
      <c r="C164" s="396">
        <v>1</v>
      </c>
      <c r="D164" s="396">
        <v>0</v>
      </c>
      <c r="E164" s="396">
        <v>0</v>
      </c>
      <c r="F164" s="396">
        <v>8</v>
      </c>
      <c r="G164" s="396">
        <v>5</v>
      </c>
      <c r="H164" s="396">
        <v>45</v>
      </c>
      <c r="I164" s="396">
        <v>23</v>
      </c>
    </row>
    <row r="165" spans="1:9" ht="17.25" customHeight="1" x14ac:dyDescent="0.3">
      <c r="A165" s="942">
        <v>27</v>
      </c>
      <c r="B165" s="484" t="s">
        <v>39</v>
      </c>
      <c r="C165" s="370"/>
      <c r="D165" s="370"/>
      <c r="E165" s="370"/>
      <c r="F165" s="370"/>
      <c r="G165" s="370"/>
      <c r="H165" s="370"/>
      <c r="I165" s="370"/>
    </row>
    <row r="166" spans="1:9" ht="17.25" customHeight="1" x14ac:dyDescent="0.3">
      <c r="A166" s="943"/>
      <c r="B166" s="370" t="s">
        <v>912</v>
      </c>
      <c r="C166" s="370">
        <v>1</v>
      </c>
      <c r="D166" s="370"/>
      <c r="E166" s="370"/>
      <c r="F166" s="370"/>
      <c r="G166" s="370">
        <v>1</v>
      </c>
      <c r="H166" s="370">
        <v>8</v>
      </c>
      <c r="I166" s="370">
        <v>1</v>
      </c>
    </row>
    <row r="167" spans="1:9" ht="17.25" customHeight="1" x14ac:dyDescent="0.3">
      <c r="A167" s="943"/>
      <c r="B167" s="370" t="s">
        <v>911</v>
      </c>
      <c r="C167" s="370">
        <v>1</v>
      </c>
      <c r="D167" s="370"/>
      <c r="E167" s="370"/>
      <c r="F167" s="370"/>
      <c r="G167" s="370">
        <v>1</v>
      </c>
      <c r="H167" s="370">
        <v>6</v>
      </c>
      <c r="I167" s="370">
        <v>1</v>
      </c>
    </row>
    <row r="168" spans="1:9" ht="17.25" customHeight="1" x14ac:dyDescent="0.3">
      <c r="A168" s="943"/>
      <c r="B168" s="370" t="s">
        <v>910</v>
      </c>
      <c r="C168" s="370">
        <v>1</v>
      </c>
      <c r="D168" s="370">
        <v>0</v>
      </c>
      <c r="E168" s="370">
        <v>0</v>
      </c>
      <c r="F168" s="370">
        <v>0</v>
      </c>
      <c r="G168" s="370">
        <v>1</v>
      </c>
      <c r="H168" s="370">
        <v>5</v>
      </c>
      <c r="I168" s="370">
        <v>1</v>
      </c>
    </row>
    <row r="169" spans="1:9" ht="17.25" customHeight="1" x14ac:dyDescent="0.3">
      <c r="A169" s="943"/>
      <c r="B169" s="370" t="s">
        <v>909</v>
      </c>
      <c r="C169" s="370">
        <v>1</v>
      </c>
      <c r="D169" s="370"/>
      <c r="E169" s="370"/>
      <c r="F169" s="370"/>
      <c r="G169" s="370">
        <v>1</v>
      </c>
      <c r="H169" s="370">
        <v>5</v>
      </c>
      <c r="I169" s="370">
        <v>1</v>
      </c>
    </row>
    <row r="170" spans="1:9" ht="17.25" customHeight="1" x14ac:dyDescent="0.3">
      <c r="A170" s="943"/>
      <c r="B170" s="370" t="s">
        <v>908</v>
      </c>
      <c r="C170" s="396">
        <v>1</v>
      </c>
      <c r="D170" s="396">
        <v>0</v>
      </c>
      <c r="E170" s="396">
        <v>0</v>
      </c>
      <c r="F170" s="396">
        <v>0</v>
      </c>
      <c r="G170" s="396">
        <v>1</v>
      </c>
      <c r="H170" s="396">
        <v>5</v>
      </c>
      <c r="I170" s="396">
        <v>0</v>
      </c>
    </row>
    <row r="171" spans="1:9" ht="17.25" customHeight="1" x14ac:dyDescent="0.3">
      <c r="A171" s="942">
        <v>28</v>
      </c>
      <c r="B171" s="484" t="s">
        <v>40</v>
      </c>
      <c r="C171" s="370"/>
      <c r="D171" s="370"/>
      <c r="E171" s="370"/>
      <c r="F171" s="370"/>
      <c r="G171" s="370"/>
      <c r="H171" s="370"/>
      <c r="I171" s="370"/>
    </row>
    <row r="172" spans="1:9" ht="17.25" customHeight="1" x14ac:dyDescent="0.3">
      <c r="A172" s="943"/>
      <c r="B172" s="370" t="s">
        <v>912</v>
      </c>
      <c r="C172" s="370">
        <v>2</v>
      </c>
      <c r="D172" s="370"/>
      <c r="E172" s="370">
        <v>2</v>
      </c>
      <c r="F172" s="370">
        <v>26</v>
      </c>
      <c r="G172" s="370">
        <v>9</v>
      </c>
      <c r="H172" s="370">
        <v>4</v>
      </c>
      <c r="I172" s="370">
        <v>21</v>
      </c>
    </row>
    <row r="173" spans="1:9" ht="17.25" customHeight="1" x14ac:dyDescent="0.3">
      <c r="A173" s="943"/>
      <c r="B173" s="370" t="s">
        <v>911</v>
      </c>
      <c r="C173" s="370">
        <v>2</v>
      </c>
      <c r="D173" s="370"/>
      <c r="E173" s="370">
        <v>2</v>
      </c>
      <c r="F173" s="370">
        <v>26</v>
      </c>
      <c r="G173" s="370">
        <v>7</v>
      </c>
      <c r="H173" s="370">
        <v>3</v>
      </c>
      <c r="I173" s="370">
        <v>21</v>
      </c>
    </row>
    <row r="174" spans="1:9" ht="17.25" customHeight="1" x14ac:dyDescent="0.3">
      <c r="A174" s="943"/>
      <c r="B174" s="370" t="s">
        <v>910</v>
      </c>
      <c r="C174" s="370">
        <v>2</v>
      </c>
      <c r="D174" s="370">
        <v>0</v>
      </c>
      <c r="E174" s="370">
        <v>2</v>
      </c>
      <c r="F174" s="370">
        <v>26</v>
      </c>
      <c r="G174" s="370">
        <v>7</v>
      </c>
      <c r="H174" s="370">
        <v>0</v>
      </c>
      <c r="I174" s="370">
        <v>21</v>
      </c>
    </row>
    <row r="175" spans="1:9" ht="17.25" customHeight="1" x14ac:dyDescent="0.3">
      <c r="A175" s="943"/>
      <c r="B175" s="370" t="s">
        <v>909</v>
      </c>
      <c r="C175" s="370">
        <v>2</v>
      </c>
      <c r="D175" s="370"/>
      <c r="E175" s="370">
        <v>2</v>
      </c>
      <c r="F175" s="370">
        <v>26</v>
      </c>
      <c r="G175" s="370">
        <v>7</v>
      </c>
      <c r="H175" s="370"/>
      <c r="I175" s="370">
        <v>21</v>
      </c>
    </row>
    <row r="176" spans="1:9" ht="17.25" customHeight="1" x14ac:dyDescent="0.3">
      <c r="A176" s="943"/>
      <c r="B176" s="370" t="s">
        <v>908</v>
      </c>
      <c r="C176" s="396">
        <v>2</v>
      </c>
      <c r="D176" s="396">
        <v>0</v>
      </c>
      <c r="E176" s="396">
        <v>2</v>
      </c>
      <c r="F176" s="396">
        <v>26</v>
      </c>
      <c r="G176" s="396">
        <v>7</v>
      </c>
      <c r="H176" s="396">
        <v>0</v>
      </c>
      <c r="I176" s="396">
        <v>21</v>
      </c>
    </row>
    <row r="177" spans="1:9" ht="17.25" customHeight="1" x14ac:dyDescent="0.3">
      <c r="A177" s="942">
        <v>29</v>
      </c>
      <c r="B177" s="484" t="s">
        <v>41</v>
      </c>
      <c r="C177" s="370"/>
      <c r="D177" s="370"/>
      <c r="E177" s="370"/>
      <c r="F177" s="370"/>
      <c r="G177" s="370"/>
      <c r="H177" s="370"/>
      <c r="I177" s="370"/>
    </row>
    <row r="178" spans="1:9" ht="17.25" customHeight="1" x14ac:dyDescent="0.3">
      <c r="A178" s="943"/>
      <c r="B178" s="370" t="s">
        <v>912</v>
      </c>
      <c r="C178" s="370">
        <v>3</v>
      </c>
      <c r="D178" s="370">
        <v>1</v>
      </c>
      <c r="E178" s="370"/>
      <c r="F178" s="370">
        <v>2</v>
      </c>
      <c r="G178" s="370">
        <v>4</v>
      </c>
      <c r="H178" s="370">
        <v>5</v>
      </c>
      <c r="I178" s="370">
        <v>15</v>
      </c>
    </row>
    <row r="179" spans="1:9" ht="17.25" customHeight="1" x14ac:dyDescent="0.3">
      <c r="A179" s="943"/>
      <c r="B179" s="370" t="s">
        <v>911</v>
      </c>
      <c r="C179" s="370">
        <v>3</v>
      </c>
      <c r="D179" s="370">
        <v>1</v>
      </c>
      <c r="E179" s="370"/>
      <c r="F179" s="370">
        <v>2</v>
      </c>
      <c r="G179" s="370">
        <v>4</v>
      </c>
      <c r="H179" s="370">
        <v>4</v>
      </c>
      <c r="I179" s="370">
        <v>15</v>
      </c>
    </row>
    <row r="180" spans="1:9" ht="17.25" customHeight="1" x14ac:dyDescent="0.3">
      <c r="A180" s="943"/>
      <c r="B180" s="370" t="s">
        <v>910</v>
      </c>
      <c r="C180" s="370">
        <v>3</v>
      </c>
      <c r="D180" s="370">
        <v>1</v>
      </c>
      <c r="E180" s="370">
        <v>0</v>
      </c>
      <c r="F180" s="370">
        <v>2</v>
      </c>
      <c r="G180" s="370">
        <v>4</v>
      </c>
      <c r="H180" s="370">
        <v>4</v>
      </c>
      <c r="I180" s="370">
        <v>15</v>
      </c>
    </row>
    <row r="181" spans="1:9" ht="17.25" customHeight="1" x14ac:dyDescent="0.3">
      <c r="A181" s="943"/>
      <c r="B181" s="370" t="s">
        <v>909</v>
      </c>
      <c r="C181" s="370">
        <v>3</v>
      </c>
      <c r="D181" s="370"/>
      <c r="E181" s="370"/>
      <c r="F181" s="370">
        <v>2</v>
      </c>
      <c r="G181" s="370">
        <v>2</v>
      </c>
      <c r="H181" s="370"/>
      <c r="I181" s="370">
        <v>15</v>
      </c>
    </row>
    <row r="182" spans="1:9" ht="17.25" customHeight="1" x14ac:dyDescent="0.3">
      <c r="A182" s="943"/>
      <c r="B182" s="370" t="s">
        <v>908</v>
      </c>
      <c r="C182" s="396">
        <v>3</v>
      </c>
      <c r="D182" s="396">
        <v>0</v>
      </c>
      <c r="E182" s="396">
        <v>0</v>
      </c>
      <c r="F182" s="396">
        <v>2</v>
      </c>
      <c r="G182" s="396">
        <v>2</v>
      </c>
      <c r="H182" s="396">
        <v>0</v>
      </c>
      <c r="I182" s="396">
        <v>15</v>
      </c>
    </row>
    <row r="183" spans="1:9" ht="17.25" customHeight="1" x14ac:dyDescent="0.3">
      <c r="A183" s="942">
        <v>30</v>
      </c>
      <c r="B183" s="484" t="s">
        <v>42</v>
      </c>
      <c r="C183" s="370"/>
      <c r="D183" s="370"/>
      <c r="E183" s="370"/>
      <c r="F183" s="370"/>
      <c r="G183" s="370"/>
      <c r="H183" s="370"/>
      <c r="I183" s="370"/>
    </row>
    <row r="184" spans="1:9" ht="17.25" customHeight="1" x14ac:dyDescent="0.3">
      <c r="A184" s="943"/>
      <c r="B184" s="370" t="s">
        <v>912</v>
      </c>
      <c r="C184" s="370">
        <v>1</v>
      </c>
      <c r="D184" s="370"/>
      <c r="E184" s="370"/>
      <c r="F184" s="370"/>
      <c r="G184" s="370">
        <v>2</v>
      </c>
      <c r="H184" s="370">
        <v>1</v>
      </c>
      <c r="I184" s="370">
        <v>1</v>
      </c>
    </row>
    <row r="185" spans="1:9" ht="17.25" customHeight="1" x14ac:dyDescent="0.3">
      <c r="A185" s="943"/>
      <c r="B185" s="370" t="s">
        <v>911</v>
      </c>
      <c r="C185" s="370">
        <v>1</v>
      </c>
      <c r="D185" s="370"/>
      <c r="E185" s="370"/>
      <c r="F185" s="370"/>
      <c r="G185" s="370">
        <v>2</v>
      </c>
      <c r="H185" s="370">
        <v>1</v>
      </c>
      <c r="I185" s="370">
        <v>1</v>
      </c>
    </row>
    <row r="186" spans="1:9" ht="17.25" customHeight="1" x14ac:dyDescent="0.3">
      <c r="A186" s="943"/>
      <c r="B186" s="370" t="s">
        <v>910</v>
      </c>
      <c r="C186" s="370">
        <v>1</v>
      </c>
      <c r="D186" s="370">
        <v>0</v>
      </c>
      <c r="E186" s="370">
        <v>0</v>
      </c>
      <c r="F186" s="370">
        <v>0</v>
      </c>
      <c r="G186" s="370">
        <v>2</v>
      </c>
      <c r="H186" s="370">
        <v>1</v>
      </c>
      <c r="I186" s="370">
        <v>1</v>
      </c>
    </row>
    <row r="187" spans="1:9" ht="17.25" customHeight="1" x14ac:dyDescent="0.3">
      <c r="A187" s="943"/>
      <c r="B187" s="370" t="s">
        <v>909</v>
      </c>
      <c r="C187" s="370">
        <v>1</v>
      </c>
      <c r="D187" s="370"/>
      <c r="E187" s="370"/>
      <c r="F187" s="370"/>
      <c r="G187" s="370">
        <v>1</v>
      </c>
      <c r="H187" s="370">
        <v>1</v>
      </c>
      <c r="I187" s="370">
        <v>1</v>
      </c>
    </row>
    <row r="188" spans="1:9" ht="17.25" customHeight="1" x14ac:dyDescent="0.3">
      <c r="A188" s="943"/>
      <c r="B188" s="370" t="s">
        <v>908</v>
      </c>
      <c r="C188" s="396">
        <v>1</v>
      </c>
      <c r="D188" s="396">
        <v>0</v>
      </c>
      <c r="E188" s="396">
        <v>0</v>
      </c>
      <c r="F188" s="396">
        <v>0</v>
      </c>
      <c r="G188" s="396">
        <v>1</v>
      </c>
      <c r="H188" s="396">
        <v>1</v>
      </c>
      <c r="I188" s="396">
        <v>1</v>
      </c>
    </row>
    <row r="189" spans="1:9" ht="17.25" customHeight="1" x14ac:dyDescent="0.3">
      <c r="A189" s="942">
        <v>31</v>
      </c>
      <c r="B189" s="484" t="s">
        <v>43</v>
      </c>
      <c r="C189" s="370"/>
      <c r="D189" s="370"/>
      <c r="E189" s="370"/>
      <c r="F189" s="370"/>
      <c r="G189" s="370"/>
      <c r="H189" s="370"/>
      <c r="I189" s="370"/>
    </row>
    <row r="190" spans="1:9" ht="17.25" customHeight="1" x14ac:dyDescent="0.3">
      <c r="A190" s="943"/>
      <c r="B190" s="370" t="s">
        <v>912</v>
      </c>
      <c r="C190" s="370">
        <v>6</v>
      </c>
      <c r="D190" s="370">
        <v>2</v>
      </c>
      <c r="E190" s="370">
        <v>2</v>
      </c>
      <c r="F190" s="370">
        <v>5</v>
      </c>
      <c r="G190" s="370">
        <v>11</v>
      </c>
      <c r="H190" s="370">
        <v>31</v>
      </c>
      <c r="I190" s="370">
        <v>35</v>
      </c>
    </row>
    <row r="191" spans="1:9" ht="17.25" customHeight="1" x14ac:dyDescent="0.3">
      <c r="A191" s="943"/>
      <c r="B191" s="370" t="s">
        <v>911</v>
      </c>
      <c r="C191" s="370">
        <v>6</v>
      </c>
      <c r="D191" s="370">
        <v>2</v>
      </c>
      <c r="E191" s="370">
        <v>3</v>
      </c>
      <c r="F191" s="370">
        <v>4</v>
      </c>
      <c r="G191" s="370">
        <v>11</v>
      </c>
      <c r="H191" s="370">
        <v>31</v>
      </c>
      <c r="I191" s="370">
        <v>32</v>
      </c>
    </row>
    <row r="192" spans="1:9" ht="17.25" customHeight="1" x14ac:dyDescent="0.3">
      <c r="A192" s="943"/>
      <c r="B192" s="370" t="s">
        <v>910</v>
      </c>
      <c r="C192" s="370">
        <v>5</v>
      </c>
      <c r="D192" s="370">
        <v>2</v>
      </c>
      <c r="E192" s="370">
        <v>3</v>
      </c>
      <c r="F192" s="370">
        <v>4</v>
      </c>
      <c r="G192" s="370">
        <v>11</v>
      </c>
      <c r="H192" s="370">
        <v>29</v>
      </c>
      <c r="I192" s="370">
        <v>28</v>
      </c>
    </row>
    <row r="193" spans="1:9" ht="17.25" customHeight="1" x14ac:dyDescent="0.3">
      <c r="A193" s="943"/>
      <c r="B193" s="370" t="s">
        <v>909</v>
      </c>
      <c r="C193" s="370">
        <v>4</v>
      </c>
      <c r="D193" s="370">
        <v>2</v>
      </c>
      <c r="E193" s="370">
        <v>3</v>
      </c>
      <c r="F193" s="370">
        <v>4</v>
      </c>
      <c r="G193" s="370">
        <v>9</v>
      </c>
      <c r="H193" s="370">
        <v>29</v>
      </c>
      <c r="I193" s="370">
        <v>28</v>
      </c>
    </row>
    <row r="194" spans="1:9" ht="17.25" customHeight="1" x14ac:dyDescent="0.3">
      <c r="A194" s="943"/>
      <c r="B194" s="370" t="s">
        <v>908</v>
      </c>
      <c r="C194" s="396">
        <v>4</v>
      </c>
      <c r="D194" s="396">
        <v>2</v>
      </c>
      <c r="E194" s="396">
        <v>3</v>
      </c>
      <c r="F194" s="396">
        <v>4</v>
      </c>
      <c r="G194" s="396">
        <v>9</v>
      </c>
      <c r="H194" s="396">
        <v>28</v>
      </c>
      <c r="I194" s="396">
        <v>27</v>
      </c>
    </row>
    <row r="195" spans="1:9" ht="17.25" customHeight="1" x14ac:dyDescent="0.3">
      <c r="A195" s="942">
        <v>32</v>
      </c>
      <c r="B195" s="484" t="s">
        <v>44</v>
      </c>
      <c r="C195" s="370"/>
      <c r="D195" s="370"/>
      <c r="E195" s="370"/>
      <c r="F195" s="370"/>
      <c r="G195" s="370"/>
      <c r="H195" s="370"/>
      <c r="I195" s="370"/>
    </row>
    <row r="196" spans="1:9" ht="17.25" customHeight="1" x14ac:dyDescent="0.3">
      <c r="A196" s="943"/>
      <c r="B196" s="370" t="s">
        <v>912</v>
      </c>
      <c r="C196" s="370">
        <v>1</v>
      </c>
      <c r="D196" s="370">
        <v>1</v>
      </c>
      <c r="E196" s="370">
        <v>1</v>
      </c>
      <c r="F196" s="370">
        <v>1</v>
      </c>
      <c r="G196" s="370">
        <v>4</v>
      </c>
      <c r="H196" s="370">
        <v>21</v>
      </c>
      <c r="I196" s="370">
        <v>10</v>
      </c>
    </row>
    <row r="197" spans="1:9" ht="17.25" customHeight="1" x14ac:dyDescent="0.3">
      <c r="A197" s="943"/>
      <c r="B197" s="370" t="s">
        <v>911</v>
      </c>
      <c r="C197" s="370">
        <v>1</v>
      </c>
      <c r="D197" s="370">
        <v>1</v>
      </c>
      <c r="E197" s="370">
        <v>1</v>
      </c>
      <c r="F197" s="370">
        <v>1</v>
      </c>
      <c r="G197" s="370">
        <v>4</v>
      </c>
      <c r="H197" s="370">
        <v>19</v>
      </c>
      <c r="I197" s="370">
        <v>10</v>
      </c>
    </row>
    <row r="198" spans="1:9" ht="17.25" customHeight="1" x14ac:dyDescent="0.3">
      <c r="A198" s="943"/>
      <c r="B198" s="370" t="s">
        <v>910</v>
      </c>
      <c r="C198" s="370">
        <v>1</v>
      </c>
      <c r="D198" s="370">
        <v>1</v>
      </c>
      <c r="E198" s="370">
        <v>1</v>
      </c>
      <c r="F198" s="370">
        <v>1</v>
      </c>
      <c r="G198" s="370">
        <v>4</v>
      </c>
      <c r="H198" s="370">
        <v>17</v>
      </c>
      <c r="I198" s="370">
        <v>11</v>
      </c>
    </row>
    <row r="199" spans="1:9" ht="17.25" customHeight="1" x14ac:dyDescent="0.3">
      <c r="A199" s="943"/>
      <c r="B199" s="370" t="s">
        <v>909</v>
      </c>
      <c r="C199" s="370">
        <v>1</v>
      </c>
      <c r="D199" s="370">
        <v>1</v>
      </c>
      <c r="E199" s="370">
        <v>1</v>
      </c>
      <c r="F199" s="370">
        <v>1</v>
      </c>
      <c r="G199" s="370">
        <v>4</v>
      </c>
      <c r="H199" s="370">
        <v>17</v>
      </c>
      <c r="I199" s="370">
        <v>10</v>
      </c>
    </row>
    <row r="200" spans="1:9" ht="17.25" customHeight="1" x14ac:dyDescent="0.3">
      <c r="A200" s="943"/>
      <c r="B200" s="370" t="s">
        <v>908</v>
      </c>
      <c r="C200" s="396">
        <v>1</v>
      </c>
      <c r="D200" s="396">
        <v>1</v>
      </c>
      <c r="E200" s="396">
        <v>1</v>
      </c>
      <c r="F200" s="396">
        <v>1</v>
      </c>
      <c r="G200" s="396">
        <v>4</v>
      </c>
      <c r="H200" s="396">
        <v>17</v>
      </c>
      <c r="I200" s="396">
        <v>10</v>
      </c>
    </row>
    <row r="201" spans="1:9" ht="17.25" customHeight="1" x14ac:dyDescent="0.3">
      <c r="A201" s="948">
        <v>33</v>
      </c>
      <c r="B201" s="484" t="s">
        <v>45</v>
      </c>
      <c r="C201" s="370"/>
      <c r="D201" s="370"/>
      <c r="E201" s="370"/>
      <c r="F201" s="370"/>
      <c r="G201" s="370"/>
      <c r="H201" s="370"/>
      <c r="I201" s="370"/>
    </row>
    <row r="202" spans="1:9" ht="17.25" customHeight="1" x14ac:dyDescent="0.3">
      <c r="A202" s="949"/>
      <c r="B202" s="370" t="s">
        <v>912</v>
      </c>
      <c r="C202" s="370">
        <v>1</v>
      </c>
      <c r="D202" s="370">
        <v>1</v>
      </c>
      <c r="E202" s="370"/>
      <c r="F202" s="370">
        <v>1</v>
      </c>
      <c r="G202" s="370">
        <v>8</v>
      </c>
      <c r="H202" s="370">
        <v>11</v>
      </c>
      <c r="I202" s="370">
        <v>36</v>
      </c>
    </row>
    <row r="203" spans="1:9" ht="17.25" customHeight="1" x14ac:dyDescent="0.3">
      <c r="A203" s="949"/>
      <c r="B203" s="370" t="s">
        <v>911</v>
      </c>
      <c r="C203" s="370">
        <v>1</v>
      </c>
      <c r="D203" s="370">
        <v>1</v>
      </c>
      <c r="E203" s="370"/>
      <c r="F203" s="370">
        <v>1</v>
      </c>
      <c r="G203" s="370">
        <v>8</v>
      </c>
      <c r="H203" s="370">
        <v>11</v>
      </c>
      <c r="I203" s="370">
        <v>35</v>
      </c>
    </row>
    <row r="204" spans="1:9" ht="17.25" customHeight="1" x14ac:dyDescent="0.3">
      <c r="A204" s="949"/>
      <c r="B204" s="370" t="s">
        <v>910</v>
      </c>
      <c r="C204" s="370">
        <v>1</v>
      </c>
      <c r="D204" s="370">
        <v>1</v>
      </c>
      <c r="E204" s="370">
        <v>0</v>
      </c>
      <c r="F204" s="370">
        <v>1</v>
      </c>
      <c r="G204" s="370">
        <v>8</v>
      </c>
      <c r="H204" s="370">
        <v>11</v>
      </c>
      <c r="I204" s="370">
        <v>29</v>
      </c>
    </row>
    <row r="205" spans="1:9" ht="17.25" customHeight="1" x14ac:dyDescent="0.3">
      <c r="A205" s="949"/>
      <c r="B205" s="370" t="s">
        <v>909</v>
      </c>
      <c r="C205" s="370">
        <v>1</v>
      </c>
      <c r="D205" s="370">
        <v>1</v>
      </c>
      <c r="E205" s="370"/>
      <c r="F205" s="370">
        <v>1</v>
      </c>
      <c r="G205" s="370">
        <v>8</v>
      </c>
      <c r="H205" s="370">
        <v>10</v>
      </c>
      <c r="I205" s="370">
        <v>25</v>
      </c>
    </row>
    <row r="206" spans="1:9" ht="17.25" customHeight="1" x14ac:dyDescent="0.3">
      <c r="A206" s="949"/>
      <c r="B206" s="370" t="s">
        <v>908</v>
      </c>
      <c r="C206" s="396">
        <v>1</v>
      </c>
      <c r="D206" s="396">
        <v>0</v>
      </c>
      <c r="E206" s="396">
        <v>0</v>
      </c>
      <c r="F206" s="396">
        <v>1</v>
      </c>
      <c r="G206" s="396">
        <v>7</v>
      </c>
      <c r="H206" s="396">
        <v>10</v>
      </c>
      <c r="I206" s="396">
        <v>25</v>
      </c>
    </row>
  </sheetData>
  <autoFilter ref="A3:I206" xr:uid="{00000000-0009-0000-0000-000004000000}"/>
  <mergeCells count="35">
    <mergeCell ref="A189:A194"/>
    <mergeCell ref="A195:A200"/>
    <mergeCell ref="A201:A206"/>
    <mergeCell ref="A147:A152"/>
    <mergeCell ref="A153:A158"/>
    <mergeCell ref="A159:A164"/>
    <mergeCell ref="A165:A170"/>
    <mergeCell ref="A171:A176"/>
    <mergeCell ref="A177:A182"/>
    <mergeCell ref="A111:A116"/>
    <mergeCell ref="A117:A122"/>
    <mergeCell ref="A123:A128"/>
    <mergeCell ref="A1:I1"/>
    <mergeCell ref="A183:A188"/>
    <mergeCell ref="A141:A146"/>
    <mergeCell ref="A76:A81"/>
    <mergeCell ref="A82:A87"/>
    <mergeCell ref="A88:A93"/>
    <mergeCell ref="A94:A99"/>
    <mergeCell ref="A129:A134"/>
    <mergeCell ref="A135:A140"/>
    <mergeCell ref="A70:A75"/>
    <mergeCell ref="A4:A9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100:A104"/>
    <mergeCell ref="A105:A110"/>
  </mergeCells>
  <pageMargins left="0.59055118110236227" right="0.35433070866141736" top="0.39370078740157483" bottom="0.39370078740157483" header="0.31496062992125984" footer="0.19685039370078741"/>
  <pageSetup paperSize="9" scale="69" firstPageNumber="2" orientation="portrait" r:id="rId1"/>
  <headerFooter>
    <oddFooter>&amp;L&amp;"Arial,Italic"&amp;9AISHE 2022-23&amp;RT-41</oddFooter>
  </headerFooter>
  <rowBreaks count="3" manualBreakCount="3">
    <brk id="55" max="8" man="1"/>
    <brk id="107" max="8" man="1"/>
    <brk id="164" max="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3952-F3E0-43FC-8F1F-98391446A3E5}">
  <sheetPr codeName="Sheet6">
    <tabColor rgb="FF92D050"/>
  </sheetPr>
  <dimension ref="A1:Q41"/>
  <sheetViews>
    <sheetView view="pageBreakPreview" zoomScale="99" zoomScaleNormal="100" zoomScaleSheetLayoutView="99" workbookViewId="0">
      <pane xSplit="2" ySplit="4" topLeftCell="C5" activePane="bottomRight" state="frozen"/>
      <selection activeCell="S20" sqref="S20"/>
      <selection pane="topRight" activeCell="S20" sqref="S20"/>
      <selection pane="bottomLeft" activeCell="S20" sqref="S20"/>
      <selection pane="bottomRight" activeCell="C2" sqref="C2:G2"/>
    </sheetView>
  </sheetViews>
  <sheetFormatPr defaultColWidth="9.1796875" defaultRowHeight="14" x14ac:dyDescent="0.3"/>
  <cols>
    <col min="1" max="1" width="8.453125" style="372" bestFit="1" customWidth="1"/>
    <col min="2" max="2" width="35.54296875" style="375" customWidth="1"/>
    <col min="3" max="3" width="13.54296875" style="483" customWidth="1"/>
    <col min="4" max="15" width="15" style="483" customWidth="1"/>
    <col min="16" max="17" width="11.453125" style="483" customWidth="1"/>
    <col min="18" max="16384" width="9.1796875" style="372"/>
  </cols>
  <sheetData>
    <row r="1" spans="1:17" s="380" customFormat="1" ht="27.75" customHeight="1" x14ac:dyDescent="0.3">
      <c r="A1" s="379"/>
      <c r="B1" s="480" t="s">
        <v>970</v>
      </c>
      <c r="C1" s="951" t="s">
        <v>1055</v>
      </c>
      <c r="D1" s="951"/>
      <c r="E1" s="951"/>
      <c r="F1" s="951"/>
      <c r="G1" s="951"/>
      <c r="H1" s="951" t="str">
        <f>C1</f>
        <v>Trends in Various College Indicators Over the Last 5 Years</v>
      </c>
      <c r="I1" s="951"/>
      <c r="J1" s="951"/>
      <c r="K1" s="951"/>
      <c r="L1" s="951"/>
      <c r="M1" s="953" t="str">
        <f>C1</f>
        <v>Trends in Various College Indicators Over the Last 5 Years</v>
      </c>
      <c r="N1" s="954"/>
      <c r="O1" s="954"/>
      <c r="P1" s="954"/>
      <c r="Q1" s="955"/>
    </row>
    <row r="2" spans="1:17" s="381" customFormat="1" ht="18" customHeight="1" x14ac:dyDescent="0.3">
      <c r="A2" s="952" t="s">
        <v>49</v>
      </c>
      <c r="B2" s="952" t="s">
        <v>50</v>
      </c>
      <c r="C2" s="950" t="s">
        <v>971</v>
      </c>
      <c r="D2" s="950"/>
      <c r="E2" s="950"/>
      <c r="F2" s="950"/>
      <c r="G2" s="950"/>
      <c r="H2" s="950" t="s">
        <v>972</v>
      </c>
      <c r="I2" s="950"/>
      <c r="J2" s="950"/>
      <c r="K2" s="950"/>
      <c r="L2" s="950"/>
      <c r="M2" s="950" t="s">
        <v>62</v>
      </c>
      <c r="N2" s="950"/>
      <c r="O2" s="950"/>
      <c r="P2" s="950"/>
      <c r="Q2" s="950"/>
    </row>
    <row r="3" spans="1:17" s="381" customFormat="1" ht="24" customHeight="1" x14ac:dyDescent="0.3">
      <c r="A3" s="952"/>
      <c r="B3" s="952"/>
      <c r="C3" s="373" t="s">
        <v>908</v>
      </c>
      <c r="D3" s="373" t="s">
        <v>909</v>
      </c>
      <c r="E3" s="373" t="s">
        <v>910</v>
      </c>
      <c r="F3" s="373" t="s">
        <v>911</v>
      </c>
      <c r="G3" s="373" t="s">
        <v>912</v>
      </c>
      <c r="H3" s="373" t="s">
        <v>908</v>
      </c>
      <c r="I3" s="373" t="s">
        <v>909</v>
      </c>
      <c r="J3" s="373" t="s">
        <v>910</v>
      </c>
      <c r="K3" s="373" t="s">
        <v>911</v>
      </c>
      <c r="L3" s="373" t="s">
        <v>912</v>
      </c>
      <c r="M3" s="373" t="s">
        <v>908</v>
      </c>
      <c r="N3" s="373" t="s">
        <v>909</v>
      </c>
      <c r="O3" s="373" t="s">
        <v>910</v>
      </c>
      <c r="P3" s="373" t="s">
        <v>911</v>
      </c>
      <c r="Q3" s="373" t="s">
        <v>912</v>
      </c>
    </row>
    <row r="4" spans="1:17" s="600" customFormat="1" ht="15.75" customHeight="1" x14ac:dyDescent="0.3">
      <c r="A4" s="599">
        <v>1</v>
      </c>
      <c r="B4" s="599">
        <v>2</v>
      </c>
      <c r="C4" s="599">
        <v>3</v>
      </c>
      <c r="D4" s="599">
        <v>4</v>
      </c>
      <c r="E4" s="599">
        <v>5</v>
      </c>
      <c r="F4" s="599">
        <v>6</v>
      </c>
      <c r="G4" s="599">
        <v>7</v>
      </c>
      <c r="H4" s="599">
        <v>8</v>
      </c>
      <c r="I4" s="599">
        <v>9</v>
      </c>
      <c r="J4" s="599">
        <v>10</v>
      </c>
      <c r="K4" s="599">
        <v>11</v>
      </c>
      <c r="L4" s="599">
        <v>12</v>
      </c>
      <c r="M4" s="599">
        <v>13</v>
      </c>
      <c r="N4" s="599">
        <v>14</v>
      </c>
      <c r="O4" s="599">
        <v>15</v>
      </c>
      <c r="P4" s="599">
        <v>16</v>
      </c>
      <c r="Q4" s="599">
        <v>17</v>
      </c>
    </row>
    <row r="5" spans="1:17" s="384" customFormat="1" ht="26.25" customHeight="1" x14ac:dyDescent="0.35">
      <c r="A5" s="382"/>
      <c r="B5" s="383" t="s">
        <v>913</v>
      </c>
      <c r="C5" s="601">
        <v>693</v>
      </c>
      <c r="D5" s="601">
        <v>679.60803403829311</v>
      </c>
      <c r="E5" s="601">
        <v>646</v>
      </c>
      <c r="F5" s="601">
        <v>678.75313231282973</v>
      </c>
      <c r="G5" s="601">
        <v>687.89934884777949</v>
      </c>
      <c r="H5" s="601">
        <v>28</v>
      </c>
      <c r="I5" s="601">
        <v>30</v>
      </c>
      <c r="J5" s="601">
        <v>31</v>
      </c>
      <c r="K5" s="601">
        <v>29.827745853284753</v>
      </c>
      <c r="L5" s="601">
        <v>30.843934612763874</v>
      </c>
      <c r="M5" s="601">
        <v>39931</v>
      </c>
      <c r="N5" s="601">
        <v>42343</v>
      </c>
      <c r="O5" s="601">
        <v>43796</v>
      </c>
      <c r="P5" s="601">
        <v>45473</v>
      </c>
      <c r="Q5" s="601">
        <v>46624</v>
      </c>
    </row>
    <row r="6" spans="1:17" s="385" customFormat="1" ht="28.4" customHeight="1" x14ac:dyDescent="0.35">
      <c r="A6" s="370">
        <v>1</v>
      </c>
      <c r="B6" s="383" t="s">
        <v>116</v>
      </c>
      <c r="C6" s="602">
        <v>913.5</v>
      </c>
      <c r="D6" s="602">
        <v>738.5</v>
      </c>
      <c r="E6" s="602">
        <v>845.33333333333337</v>
      </c>
      <c r="F6" s="602">
        <v>808</v>
      </c>
      <c r="G6" s="602">
        <v>335.88888888888891</v>
      </c>
      <c r="H6" s="603">
        <v>16.107274447822498</v>
      </c>
      <c r="I6" s="603">
        <v>15.781894221853978</v>
      </c>
      <c r="J6" s="602">
        <v>17.319016279875303</v>
      </c>
      <c r="K6" s="602">
        <v>17.813795327053992</v>
      </c>
      <c r="L6" s="602">
        <v>24.954174097974992</v>
      </c>
      <c r="M6" s="602">
        <v>8</v>
      </c>
      <c r="N6" s="602">
        <v>8</v>
      </c>
      <c r="O6" s="602">
        <v>9</v>
      </c>
      <c r="P6" s="602">
        <v>9</v>
      </c>
      <c r="Q6" s="602">
        <v>9</v>
      </c>
    </row>
    <row r="7" spans="1:17" s="385" customFormat="1" ht="26.25" customHeight="1" x14ac:dyDescent="0.35">
      <c r="A7" s="370">
        <v>2</v>
      </c>
      <c r="B7" s="383" t="s">
        <v>13</v>
      </c>
      <c r="C7" s="602">
        <v>524.3216977389925</v>
      </c>
      <c r="D7" s="602">
        <v>546.52738904438229</v>
      </c>
      <c r="E7" s="602">
        <v>540.55478662053054</v>
      </c>
      <c r="F7" s="602">
        <v>550.22512486082303</v>
      </c>
      <c r="G7" s="602">
        <v>533.10337367733234</v>
      </c>
      <c r="H7" s="603">
        <v>49.212842603987859</v>
      </c>
      <c r="I7" s="603">
        <v>51.03848468780501</v>
      </c>
      <c r="J7" s="602">
        <v>48.758394935875494</v>
      </c>
      <c r="K7" s="602">
        <v>49.233680227057711</v>
      </c>
      <c r="L7" s="602">
        <v>50.007720219254225</v>
      </c>
      <c r="M7" s="602">
        <v>2678</v>
      </c>
      <c r="N7" s="602">
        <v>2750</v>
      </c>
      <c r="O7" s="602">
        <v>2601</v>
      </c>
      <c r="P7" s="602">
        <v>2602</v>
      </c>
      <c r="Q7" s="602">
        <v>2591</v>
      </c>
    </row>
    <row r="8" spans="1:17" s="385" customFormat="1" ht="26.25" customHeight="1" x14ac:dyDescent="0.35">
      <c r="A8" s="370">
        <v>3</v>
      </c>
      <c r="B8" s="383" t="s">
        <v>14</v>
      </c>
      <c r="C8" s="602">
        <v>551.36111111111109</v>
      </c>
      <c r="D8" s="602">
        <v>552.97368421052636</v>
      </c>
      <c r="E8" s="602">
        <v>547.11904761904759</v>
      </c>
      <c r="F8" s="602">
        <v>650.4545454545455</v>
      </c>
      <c r="G8" s="602">
        <v>644.72727272727275</v>
      </c>
      <c r="H8" s="603">
        <v>23.293147407850419</v>
      </c>
      <c r="I8" s="603">
        <v>24.721252036333901</v>
      </c>
      <c r="J8" s="602">
        <v>26.809138086210528</v>
      </c>
      <c r="K8" s="602">
        <v>24.763619990995046</v>
      </c>
      <c r="L8" s="602">
        <v>24.849095396919687</v>
      </c>
      <c r="M8" s="602">
        <v>37</v>
      </c>
      <c r="N8" s="602">
        <v>39</v>
      </c>
      <c r="O8" s="602">
        <v>42</v>
      </c>
      <c r="P8" s="602">
        <v>44</v>
      </c>
      <c r="Q8" s="602">
        <v>44</v>
      </c>
    </row>
    <row r="9" spans="1:17" s="385" customFormat="1" ht="26.25" customHeight="1" x14ac:dyDescent="0.35">
      <c r="A9" s="370">
        <v>4</v>
      </c>
      <c r="B9" s="383" t="s">
        <v>15</v>
      </c>
      <c r="C9" s="602">
        <v>970.819391634981</v>
      </c>
      <c r="D9" s="602">
        <v>870.01688555347096</v>
      </c>
      <c r="E9" s="602">
        <v>795.42857142857144</v>
      </c>
      <c r="F9" s="602">
        <v>849.65754913134049</v>
      </c>
      <c r="G9" s="602">
        <v>851.94667393675036</v>
      </c>
      <c r="H9" s="603">
        <v>14.527225596330595</v>
      </c>
      <c r="I9" s="603">
        <v>14.84070971571796</v>
      </c>
      <c r="J9" s="602">
        <v>15.762361864091353</v>
      </c>
      <c r="K9" s="602">
        <v>15.103259517292859</v>
      </c>
      <c r="L9" s="602">
        <v>16.308136639776915</v>
      </c>
      <c r="M9" s="602">
        <v>544</v>
      </c>
      <c r="N9" s="602">
        <v>558</v>
      </c>
      <c r="O9" s="602">
        <v>595</v>
      </c>
      <c r="P9" s="602">
        <v>607</v>
      </c>
      <c r="Q9" s="602">
        <v>655</v>
      </c>
    </row>
    <row r="10" spans="1:17" s="385" customFormat="1" ht="26.25" customHeight="1" x14ac:dyDescent="0.35">
      <c r="A10" s="370">
        <v>5</v>
      </c>
      <c r="B10" s="383" t="s">
        <v>16</v>
      </c>
      <c r="C10" s="602">
        <v>1616.0833333333333</v>
      </c>
      <c r="D10" s="602">
        <v>1703.0509849362688</v>
      </c>
      <c r="E10" s="602">
        <v>1880.6299516908211</v>
      </c>
      <c r="F10" s="602">
        <v>2049.9807692307691</v>
      </c>
      <c r="G10" s="602">
        <v>1922.8173803627701</v>
      </c>
      <c r="H10" s="603">
        <v>7.1101979961599842</v>
      </c>
      <c r="I10" s="603">
        <v>7.269127036062522</v>
      </c>
      <c r="J10" s="602">
        <v>8.4588457132694845</v>
      </c>
      <c r="K10" s="602">
        <v>7.1029010016911673</v>
      </c>
      <c r="L10" s="602">
        <v>7.54501888077918</v>
      </c>
      <c r="M10" s="602">
        <v>840</v>
      </c>
      <c r="N10" s="602">
        <v>874</v>
      </c>
      <c r="O10" s="602">
        <v>1035</v>
      </c>
      <c r="P10" s="602">
        <v>1092</v>
      </c>
      <c r="Q10" s="602">
        <v>1175</v>
      </c>
    </row>
    <row r="11" spans="1:17" s="385" customFormat="1" ht="26.25" customHeight="1" x14ac:dyDescent="0.35">
      <c r="A11" s="370">
        <v>6</v>
      </c>
      <c r="B11" s="383" t="s">
        <v>17</v>
      </c>
      <c r="C11" s="604">
        <v>2034</v>
      </c>
      <c r="D11" s="602">
        <v>2022.24</v>
      </c>
      <c r="E11" s="602">
        <v>1890.2307692307693</v>
      </c>
      <c r="F11" s="602">
        <v>1887.5384615384614</v>
      </c>
      <c r="G11" s="602">
        <v>1883.0384615384614</v>
      </c>
      <c r="H11" s="603">
        <v>12.764740722586444</v>
      </c>
      <c r="I11" s="603">
        <v>12.22189087318077</v>
      </c>
      <c r="J11" s="602">
        <v>12.153678591295161</v>
      </c>
      <c r="K11" s="602">
        <v>15.184311681101704</v>
      </c>
      <c r="L11" s="602">
        <v>20.357942164115808</v>
      </c>
      <c r="M11" s="602">
        <v>25</v>
      </c>
      <c r="N11" s="602">
        <v>25</v>
      </c>
      <c r="O11" s="602">
        <v>26</v>
      </c>
      <c r="P11" s="602">
        <v>26</v>
      </c>
      <c r="Q11" s="602">
        <v>26</v>
      </c>
    </row>
    <row r="12" spans="1:17" s="385" customFormat="1" ht="26.25" customHeight="1" x14ac:dyDescent="0.35">
      <c r="A12" s="370">
        <v>7</v>
      </c>
      <c r="B12" s="383" t="s">
        <v>18</v>
      </c>
      <c r="C12" s="602">
        <v>565.32232496697486</v>
      </c>
      <c r="D12" s="602">
        <v>557.02106567534076</v>
      </c>
      <c r="E12" s="602">
        <v>545.62643678160919</v>
      </c>
      <c r="F12" s="602">
        <v>593.74440452738588</v>
      </c>
      <c r="G12" s="602">
        <v>588.04345703232377</v>
      </c>
      <c r="H12" s="603">
        <v>24.134469643441793</v>
      </c>
      <c r="I12" s="603">
        <v>25.551308921002924</v>
      </c>
      <c r="J12" s="602">
        <v>27.264547908354768</v>
      </c>
      <c r="K12" s="602">
        <v>27.356801909307876</v>
      </c>
      <c r="L12" s="602">
        <v>28.947684185265182</v>
      </c>
      <c r="M12" s="602">
        <v>760</v>
      </c>
      <c r="N12" s="602">
        <v>810</v>
      </c>
      <c r="O12" s="602">
        <v>870</v>
      </c>
      <c r="P12" s="602">
        <v>917</v>
      </c>
      <c r="Q12" s="602">
        <v>965</v>
      </c>
    </row>
    <row r="13" spans="1:17" s="385" customFormat="1" ht="26.25" customHeight="1" x14ac:dyDescent="0.35">
      <c r="A13" s="370">
        <v>8</v>
      </c>
      <c r="B13" s="383" t="s">
        <v>19</v>
      </c>
      <c r="C13" s="602">
        <v>1562.4269662921349</v>
      </c>
      <c r="D13" s="602">
        <v>1620.0977011494253</v>
      </c>
      <c r="E13" s="602">
        <v>1566.5722222222223</v>
      </c>
      <c r="F13" s="602">
        <v>1615.1356331875788</v>
      </c>
      <c r="G13" s="602">
        <v>2207.1376265132299</v>
      </c>
      <c r="H13" s="603">
        <v>7.7303217145166423</v>
      </c>
      <c r="I13" s="603">
        <v>7.5875396491335154</v>
      </c>
      <c r="J13" s="602">
        <v>7.5316580694184552</v>
      </c>
      <c r="K13" s="602">
        <v>8.0376229157759731</v>
      </c>
      <c r="L13" s="602">
        <v>7.7386124038566475</v>
      </c>
      <c r="M13" s="602">
        <v>180</v>
      </c>
      <c r="N13" s="602">
        <v>179</v>
      </c>
      <c r="O13" s="602">
        <v>180</v>
      </c>
      <c r="P13" s="602">
        <v>188</v>
      </c>
      <c r="Q13" s="602">
        <v>196</v>
      </c>
    </row>
    <row r="14" spans="1:17" s="385" customFormat="1" ht="26.25" customHeight="1" x14ac:dyDescent="0.35">
      <c r="A14" s="370">
        <v>9</v>
      </c>
      <c r="B14" s="383" t="s">
        <v>20</v>
      </c>
      <c r="C14" s="602">
        <v>699.56140350877195</v>
      </c>
      <c r="D14" s="602">
        <v>670.32758620689651</v>
      </c>
      <c r="E14" s="602">
        <v>684.01639344262298</v>
      </c>
      <c r="F14" s="602">
        <v>679.59677419354841</v>
      </c>
      <c r="G14" s="602">
        <v>670.96825396825398</v>
      </c>
      <c r="H14" s="603">
        <v>31.415517060830364</v>
      </c>
      <c r="I14" s="603">
        <v>31.255388860148301</v>
      </c>
      <c r="J14" s="602">
        <v>32.055829694208406</v>
      </c>
      <c r="K14" s="602">
        <v>33.929788301799661</v>
      </c>
      <c r="L14" s="602">
        <v>46.214668262453031</v>
      </c>
      <c r="M14" s="602">
        <v>57</v>
      </c>
      <c r="N14" s="602">
        <v>58</v>
      </c>
      <c r="O14" s="602">
        <v>61</v>
      </c>
      <c r="P14" s="602">
        <v>62</v>
      </c>
      <c r="Q14" s="602">
        <v>63</v>
      </c>
    </row>
    <row r="15" spans="1:17" s="385" customFormat="1" ht="26.25" customHeight="1" x14ac:dyDescent="0.35">
      <c r="A15" s="370">
        <v>10</v>
      </c>
      <c r="B15" s="383" t="s">
        <v>21</v>
      </c>
      <c r="C15" s="602">
        <v>512.93631436314365</v>
      </c>
      <c r="D15" s="602">
        <v>527.68777679362267</v>
      </c>
      <c r="E15" s="602">
        <v>526.00485222761358</v>
      </c>
      <c r="F15" s="602">
        <v>532.15908141962427</v>
      </c>
      <c r="G15" s="602">
        <v>519.10364372469633</v>
      </c>
      <c r="H15" s="603">
        <v>30.863450663764688</v>
      </c>
      <c r="I15" s="603">
        <v>31.396927268983479</v>
      </c>
      <c r="J15" s="602">
        <v>31.228992406960469</v>
      </c>
      <c r="K15" s="602">
        <v>32.031563461281266</v>
      </c>
      <c r="L15" s="602">
        <v>34.300707433290228</v>
      </c>
      <c r="M15" s="602">
        <v>2232</v>
      </c>
      <c r="N15" s="602">
        <v>2275</v>
      </c>
      <c r="O15" s="602">
        <v>2267</v>
      </c>
      <c r="P15" s="602">
        <v>2395</v>
      </c>
      <c r="Q15" s="602">
        <v>2470</v>
      </c>
    </row>
    <row r="16" spans="1:17" s="385" customFormat="1" ht="26.25" customHeight="1" x14ac:dyDescent="0.35">
      <c r="A16" s="370">
        <v>11</v>
      </c>
      <c r="B16" s="383" t="s">
        <v>22</v>
      </c>
      <c r="C16" s="602">
        <v>610.14040404040406</v>
      </c>
      <c r="D16" s="602">
        <v>590.30270793036755</v>
      </c>
      <c r="E16" s="602">
        <v>584.2853185595568</v>
      </c>
      <c r="F16" s="602">
        <v>613.4623853211009</v>
      </c>
      <c r="G16" s="602">
        <v>620.75779162956371</v>
      </c>
      <c r="H16" s="603">
        <v>32.605151613955002</v>
      </c>
      <c r="I16" s="603">
        <v>34.158640014757033</v>
      </c>
      <c r="J16" s="602">
        <v>34.050928618815107</v>
      </c>
      <c r="K16" s="602">
        <v>32.910628019323674</v>
      </c>
      <c r="L16" s="602">
        <v>34.142040617779401</v>
      </c>
      <c r="M16" s="602">
        <v>1038</v>
      </c>
      <c r="N16" s="602">
        <v>1087</v>
      </c>
      <c r="O16" s="602">
        <v>1083</v>
      </c>
      <c r="P16" s="602">
        <v>1090</v>
      </c>
      <c r="Q16" s="602">
        <v>1123</v>
      </c>
    </row>
    <row r="17" spans="1:17" s="385" customFormat="1" ht="26.25" customHeight="1" x14ac:dyDescent="0.35">
      <c r="A17" s="370">
        <v>12</v>
      </c>
      <c r="B17" s="383" t="s">
        <v>23</v>
      </c>
      <c r="C17" s="602">
        <v>558.21492537313429</v>
      </c>
      <c r="D17" s="602">
        <v>540.58139534883719</v>
      </c>
      <c r="E17" s="602">
        <v>510.20689655172413</v>
      </c>
      <c r="F17" s="602">
        <v>574.94842406876796</v>
      </c>
      <c r="G17" s="602">
        <v>561.66530570561565</v>
      </c>
      <c r="H17" s="603">
        <v>46.819610728379374</v>
      </c>
      <c r="I17" s="603">
        <v>48.537935783182171</v>
      </c>
      <c r="J17" s="602">
        <v>49.725722630490729</v>
      </c>
      <c r="K17" s="602">
        <v>47.035040431266843</v>
      </c>
      <c r="L17" s="602">
        <v>48.677392964275974</v>
      </c>
      <c r="M17" s="602">
        <v>336</v>
      </c>
      <c r="N17" s="602">
        <v>344</v>
      </c>
      <c r="O17" s="602">
        <v>348</v>
      </c>
      <c r="P17" s="602">
        <v>349</v>
      </c>
      <c r="Q17" s="602">
        <v>357</v>
      </c>
    </row>
    <row r="18" spans="1:17" s="385" customFormat="1" ht="26.25" customHeight="1" x14ac:dyDescent="0.35">
      <c r="A18" s="370">
        <v>13</v>
      </c>
      <c r="B18" s="383" t="s">
        <v>24</v>
      </c>
      <c r="C18" s="602">
        <v>798.91003460207617</v>
      </c>
      <c r="D18" s="602">
        <v>721.31309904153352</v>
      </c>
      <c r="E18" s="602">
        <v>593.72413793103453</v>
      </c>
      <c r="F18" s="602">
        <v>626.48304007820138</v>
      </c>
      <c r="G18" s="602">
        <v>652.07878787878792</v>
      </c>
      <c r="H18" s="603">
        <v>22.94271212612384</v>
      </c>
      <c r="I18" s="603">
        <v>25.909014252271419</v>
      </c>
      <c r="J18" s="602">
        <v>29.00954897653811</v>
      </c>
      <c r="K18" s="602">
        <v>21.114551083591333</v>
      </c>
      <c r="L18" s="602">
        <v>20.262802406975315</v>
      </c>
      <c r="M18" s="602">
        <v>293</v>
      </c>
      <c r="N18" s="602">
        <v>316</v>
      </c>
      <c r="O18" s="602">
        <v>348</v>
      </c>
      <c r="P18" s="602">
        <v>341</v>
      </c>
      <c r="Q18" s="602">
        <v>330</v>
      </c>
    </row>
    <row r="19" spans="1:17" s="385" customFormat="1" ht="26.25" customHeight="1" x14ac:dyDescent="0.35">
      <c r="A19" s="370">
        <v>14</v>
      </c>
      <c r="B19" s="383" t="s">
        <v>25</v>
      </c>
      <c r="C19" s="602">
        <v>1875.2597402597403</v>
      </c>
      <c r="D19" s="602">
        <v>1938.1104100946372</v>
      </c>
      <c r="E19" s="602">
        <v>1761.0863095238096</v>
      </c>
      <c r="F19" s="602">
        <v>1842.5218579234972</v>
      </c>
      <c r="G19" s="602">
        <v>1615.4705882352941</v>
      </c>
      <c r="H19" s="603">
        <v>8.0882921067313465</v>
      </c>
      <c r="I19" s="603">
        <v>8.2622811262896061</v>
      </c>
      <c r="J19" s="602">
        <v>8.5087093984519715</v>
      </c>
      <c r="K19" s="602">
        <v>7.7476714648602885</v>
      </c>
      <c r="L19" s="602">
        <v>8.9764710852025509</v>
      </c>
      <c r="M19" s="602">
        <v>313</v>
      </c>
      <c r="N19" s="602">
        <v>323</v>
      </c>
      <c r="O19" s="602">
        <v>336</v>
      </c>
      <c r="P19" s="602">
        <v>366</v>
      </c>
      <c r="Q19" s="602">
        <v>425</v>
      </c>
    </row>
    <row r="20" spans="1:17" s="385" customFormat="1" ht="26.25" customHeight="1" x14ac:dyDescent="0.35">
      <c r="A20" s="370">
        <v>15</v>
      </c>
      <c r="B20" s="383" t="s">
        <v>26</v>
      </c>
      <c r="C20" s="602">
        <v>426.389816360601</v>
      </c>
      <c r="D20" s="602">
        <v>414.57794006547471</v>
      </c>
      <c r="E20" s="602">
        <v>392.45239782660053</v>
      </c>
      <c r="F20" s="602">
        <v>403.89287694686749</v>
      </c>
      <c r="G20" s="602">
        <v>417.68497817015316</v>
      </c>
      <c r="H20" s="603">
        <v>53.090235027721931</v>
      </c>
      <c r="I20" s="603">
        <v>59.141764870931532</v>
      </c>
      <c r="J20" s="602">
        <v>62.498440491902443</v>
      </c>
      <c r="K20" s="602">
        <v>65.844233055885852</v>
      </c>
      <c r="L20" s="602">
        <v>67.97283490594387</v>
      </c>
      <c r="M20" s="602">
        <v>3670</v>
      </c>
      <c r="N20" s="602">
        <v>4047</v>
      </c>
      <c r="O20" s="602">
        <v>4233</v>
      </c>
      <c r="P20" s="602">
        <v>4430</v>
      </c>
      <c r="Q20" s="602">
        <v>4524</v>
      </c>
    </row>
    <row r="21" spans="1:17" s="385" customFormat="1" ht="26.25" customHeight="1" x14ac:dyDescent="0.35">
      <c r="A21" s="370">
        <v>16</v>
      </c>
      <c r="B21" s="383" t="s">
        <v>27</v>
      </c>
      <c r="C21" s="602">
        <v>568.00937499999998</v>
      </c>
      <c r="D21" s="602">
        <v>574.73267326732673</v>
      </c>
      <c r="E21" s="602">
        <v>530.83149171270713</v>
      </c>
      <c r="F21" s="602">
        <v>560.97959277463622</v>
      </c>
      <c r="G21" s="602">
        <v>573.36933382080565</v>
      </c>
      <c r="H21" s="603">
        <v>45.492834541075844</v>
      </c>
      <c r="I21" s="603">
        <v>48.301966029776096</v>
      </c>
      <c r="J21" s="602">
        <v>49.860044095837338</v>
      </c>
      <c r="K21" s="602">
        <v>46.370839936608562</v>
      </c>
      <c r="L21" s="602">
        <v>48.069547430324725</v>
      </c>
      <c r="M21" s="602">
        <v>1348</v>
      </c>
      <c r="N21" s="602">
        <v>1417</v>
      </c>
      <c r="O21" s="602">
        <v>1448</v>
      </c>
      <c r="P21" s="602">
        <v>1463</v>
      </c>
      <c r="Q21" s="602">
        <v>1504</v>
      </c>
    </row>
    <row r="22" spans="1:17" s="385" customFormat="1" ht="26.25" customHeight="1" x14ac:dyDescent="0.35">
      <c r="A22" s="370">
        <v>17</v>
      </c>
      <c r="B22" s="383" t="s">
        <v>28</v>
      </c>
      <c r="C22" s="602"/>
      <c r="D22" s="602">
        <v>479.6</v>
      </c>
      <c r="E22" s="602">
        <v>777.33333333333337</v>
      </c>
      <c r="F22" s="602">
        <v>513.5</v>
      </c>
      <c r="G22" s="602">
        <v>518.33333333333337</v>
      </c>
      <c r="H22" s="603"/>
      <c r="I22" s="603">
        <v>13.665582406093526</v>
      </c>
      <c r="J22" s="602">
        <v>8.3363436796621002</v>
      </c>
      <c r="K22" s="602">
        <v>15.585733858783277</v>
      </c>
      <c r="L22" s="602">
        <v>21.890277571596044</v>
      </c>
      <c r="M22" s="602"/>
      <c r="N22" s="602">
        <v>5</v>
      </c>
      <c r="O22" s="602">
        <v>3</v>
      </c>
      <c r="P22" s="602">
        <v>6</v>
      </c>
      <c r="Q22" s="602">
        <v>6</v>
      </c>
    </row>
    <row r="23" spans="1:17" s="385" customFormat="1" ht="26.25" customHeight="1" x14ac:dyDescent="0.35">
      <c r="A23" s="370">
        <v>18</v>
      </c>
      <c r="B23" s="383" t="s">
        <v>72</v>
      </c>
      <c r="C23" s="602">
        <v>0</v>
      </c>
      <c r="D23" s="602">
        <v>0</v>
      </c>
      <c r="E23" s="602"/>
      <c r="F23" s="602">
        <v>0</v>
      </c>
      <c r="G23" s="602">
        <v>128.25</v>
      </c>
      <c r="H23" s="603">
        <v>0</v>
      </c>
      <c r="I23" s="603">
        <v>0</v>
      </c>
      <c r="J23" s="602">
        <v>0</v>
      </c>
      <c r="K23" s="602">
        <v>0</v>
      </c>
      <c r="L23" s="602">
        <v>65.779734514142064</v>
      </c>
      <c r="M23" s="602">
        <v>0</v>
      </c>
      <c r="N23" s="602">
        <v>0</v>
      </c>
      <c r="O23" s="602">
        <v>0</v>
      </c>
      <c r="P23" s="602">
        <v>0</v>
      </c>
      <c r="Q23" s="602">
        <v>4</v>
      </c>
    </row>
    <row r="24" spans="1:17" s="385" customFormat="1" ht="26.25" customHeight="1" x14ac:dyDescent="0.35">
      <c r="A24" s="370">
        <v>19</v>
      </c>
      <c r="B24" s="383" t="s">
        <v>29</v>
      </c>
      <c r="C24" s="602">
        <v>733.92137203166226</v>
      </c>
      <c r="D24" s="602">
        <v>771.44707091469684</v>
      </c>
      <c r="E24" s="602">
        <v>665.77969348659008</v>
      </c>
      <c r="F24" s="602">
        <v>747.5990135885362</v>
      </c>
      <c r="G24" s="602">
        <v>744.05959077893033</v>
      </c>
      <c r="H24" s="603">
        <v>24.443424016093616</v>
      </c>
      <c r="I24" s="603">
        <v>26.726399597031072</v>
      </c>
      <c r="J24" s="602">
        <v>28.751013032580847</v>
      </c>
      <c r="K24" s="602">
        <v>28.297213622291022</v>
      </c>
      <c r="L24" s="602">
        <v>26.720457552733784</v>
      </c>
      <c r="M24" s="602">
        <v>2191</v>
      </c>
      <c r="N24" s="602">
        <v>2411</v>
      </c>
      <c r="O24" s="602">
        <v>2610</v>
      </c>
      <c r="P24" s="602">
        <v>2742</v>
      </c>
      <c r="Q24" s="602">
        <v>2582</v>
      </c>
    </row>
    <row r="25" spans="1:17" s="385" customFormat="1" ht="26.25" customHeight="1" x14ac:dyDescent="0.35">
      <c r="A25" s="370">
        <v>20</v>
      </c>
      <c r="B25" s="383" t="s">
        <v>30</v>
      </c>
      <c r="C25" s="602">
        <v>681.44953917050691</v>
      </c>
      <c r="D25" s="602">
        <v>669.65264797507791</v>
      </c>
      <c r="E25" s="602">
        <v>671.52140335392767</v>
      </c>
      <c r="F25" s="602">
        <v>683.48657289002563</v>
      </c>
      <c r="G25" s="602">
        <v>643.77152586907664</v>
      </c>
      <c r="H25" s="603">
        <v>32.799234825592713</v>
      </c>
      <c r="I25" s="603">
        <v>34.063299069171464</v>
      </c>
      <c r="J25" s="602">
        <v>34.456326757892299</v>
      </c>
      <c r="K25" s="602">
        <v>36.189741612032392</v>
      </c>
      <c r="L25" s="602">
        <v>41.889455359363346</v>
      </c>
      <c r="M25" s="602">
        <v>4340</v>
      </c>
      <c r="N25" s="602">
        <v>4494</v>
      </c>
      <c r="O25" s="602">
        <v>4532</v>
      </c>
      <c r="P25" s="602">
        <v>4692</v>
      </c>
      <c r="Q25" s="602">
        <v>5390</v>
      </c>
    </row>
    <row r="26" spans="1:17" s="385" customFormat="1" ht="26.25" customHeight="1" x14ac:dyDescent="0.35">
      <c r="A26" s="370">
        <v>21</v>
      </c>
      <c r="B26" s="383" t="s">
        <v>31</v>
      </c>
      <c r="C26" s="602">
        <v>1039.1208791208792</v>
      </c>
      <c r="D26" s="602">
        <v>1056.4158415841584</v>
      </c>
      <c r="E26" s="602">
        <v>1089.5904761904762</v>
      </c>
      <c r="F26" s="602">
        <v>984.41062091503272</v>
      </c>
      <c r="G26" s="602">
        <v>891.6019573727707</v>
      </c>
      <c r="H26" s="603">
        <v>28.117273480215527</v>
      </c>
      <c r="I26" s="603">
        <v>31.388188809187508</v>
      </c>
      <c r="J26" s="602">
        <v>32.537355983464828</v>
      </c>
      <c r="K26" s="602">
        <v>29.322256760341318</v>
      </c>
      <c r="L26" s="602">
        <v>29.971378423473883</v>
      </c>
      <c r="M26" s="602">
        <v>92</v>
      </c>
      <c r="N26" s="602">
        <v>102</v>
      </c>
      <c r="O26" s="602">
        <v>105</v>
      </c>
      <c r="P26" s="602">
        <v>108</v>
      </c>
      <c r="Q26" s="602">
        <v>110</v>
      </c>
    </row>
    <row r="27" spans="1:17" s="385" customFormat="1" ht="26.25" customHeight="1" x14ac:dyDescent="0.35">
      <c r="A27" s="370">
        <v>22</v>
      </c>
      <c r="B27" s="383" t="s">
        <v>32</v>
      </c>
      <c r="C27" s="602">
        <v>1038.8627450980391</v>
      </c>
      <c r="D27" s="602">
        <v>1105.3859649122808</v>
      </c>
      <c r="E27" s="602">
        <v>817.02666666666664</v>
      </c>
      <c r="F27" s="602">
        <v>835.86139722346627</v>
      </c>
      <c r="G27" s="602">
        <v>885.67548906789409</v>
      </c>
      <c r="H27" s="603">
        <v>18.663956936622533</v>
      </c>
      <c r="I27" s="603">
        <v>19.985622283670555</v>
      </c>
      <c r="J27" s="602">
        <v>22.528475993655981</v>
      </c>
      <c r="K27" s="602">
        <v>20.248813209168663</v>
      </c>
      <c r="L27" s="602">
        <v>20.84760888745706</v>
      </c>
      <c r="M27" s="602">
        <v>63</v>
      </c>
      <c r="N27" s="602">
        <v>67</v>
      </c>
      <c r="O27" s="602">
        <v>75</v>
      </c>
      <c r="P27" s="602">
        <v>77</v>
      </c>
      <c r="Q27" s="602">
        <v>79</v>
      </c>
    </row>
    <row r="28" spans="1:17" s="385" customFormat="1" ht="26.25" customHeight="1" x14ac:dyDescent="0.35">
      <c r="A28" s="370">
        <v>23</v>
      </c>
      <c r="B28" s="383" t="s">
        <v>33</v>
      </c>
      <c r="C28" s="602">
        <v>603.34375</v>
      </c>
      <c r="D28" s="602">
        <v>559.42857142857144</v>
      </c>
      <c r="E28" s="602">
        <v>650.46153846153845</v>
      </c>
      <c r="F28" s="602">
        <v>668.7</v>
      </c>
      <c r="G28" s="602">
        <v>659.77499999999998</v>
      </c>
      <c r="H28" s="603">
        <v>25.004102235523014</v>
      </c>
      <c r="I28" s="603">
        <v>27.536722185943685</v>
      </c>
      <c r="J28" s="602">
        <v>30.897941721728383</v>
      </c>
      <c r="K28" s="602">
        <v>27.601092451239218</v>
      </c>
      <c r="L28" s="602">
        <v>27.701406538917013</v>
      </c>
      <c r="M28" s="602">
        <v>32</v>
      </c>
      <c r="N28" s="602">
        <v>35</v>
      </c>
      <c r="O28" s="602">
        <v>39</v>
      </c>
      <c r="P28" s="602">
        <v>40</v>
      </c>
      <c r="Q28" s="602">
        <v>40</v>
      </c>
    </row>
    <row r="29" spans="1:17" s="385" customFormat="1" ht="26.25" customHeight="1" x14ac:dyDescent="0.35">
      <c r="A29" s="370">
        <v>24</v>
      </c>
      <c r="B29" s="383" t="s">
        <v>34</v>
      </c>
      <c r="C29" s="602">
        <v>496.969696969697</v>
      </c>
      <c r="D29" s="602">
        <v>507.030303030303</v>
      </c>
      <c r="E29" s="602">
        <v>489.64705882352939</v>
      </c>
      <c r="F29" s="602">
        <v>525.37681159420288</v>
      </c>
      <c r="G29" s="602">
        <v>527.81428571428569</v>
      </c>
      <c r="H29" s="603">
        <v>27.608259402260583</v>
      </c>
      <c r="I29" s="603">
        <v>27.798522944154012</v>
      </c>
      <c r="J29" s="602">
        <v>28.410515233049786</v>
      </c>
      <c r="K29" s="602">
        <v>25.267580010341394</v>
      </c>
      <c r="L29" s="602">
        <v>25.724225134890489</v>
      </c>
      <c r="M29" s="602">
        <v>67</v>
      </c>
      <c r="N29" s="602">
        <v>67</v>
      </c>
      <c r="O29" s="602">
        <v>68</v>
      </c>
      <c r="P29" s="602">
        <v>69</v>
      </c>
      <c r="Q29" s="602">
        <v>70</v>
      </c>
    </row>
    <row r="30" spans="1:17" s="385" customFormat="1" ht="26.25" customHeight="1" x14ac:dyDescent="0.35">
      <c r="A30" s="370">
        <v>25</v>
      </c>
      <c r="B30" s="383" t="s">
        <v>35</v>
      </c>
      <c r="C30" s="602">
        <v>682.1530418250951</v>
      </c>
      <c r="D30" s="602">
        <v>658.6471680594243</v>
      </c>
      <c r="E30" s="602">
        <v>573.31343283582089</v>
      </c>
      <c r="F30" s="602">
        <v>571.33153846153846</v>
      </c>
      <c r="G30" s="602">
        <v>556.24671532846719</v>
      </c>
      <c r="H30" s="603">
        <v>23.049981345142218</v>
      </c>
      <c r="I30" s="603">
        <v>23.679838131859011</v>
      </c>
      <c r="J30" s="602">
        <v>26.372253764934438</v>
      </c>
      <c r="K30" s="602">
        <v>26.710499280871176</v>
      </c>
      <c r="L30" s="602">
        <v>28.430314601145515</v>
      </c>
      <c r="M30" s="602">
        <v>1062</v>
      </c>
      <c r="N30" s="602">
        <v>1087</v>
      </c>
      <c r="O30" s="602">
        <v>1206</v>
      </c>
      <c r="P30" s="602">
        <v>1300</v>
      </c>
      <c r="Q30" s="602">
        <v>1370</v>
      </c>
    </row>
    <row r="31" spans="1:17" s="385" customFormat="1" ht="26.25" customHeight="1" x14ac:dyDescent="0.35">
      <c r="A31" s="370">
        <v>26</v>
      </c>
      <c r="B31" s="383" t="s">
        <v>36</v>
      </c>
      <c r="C31" s="602">
        <v>599.89189189189187</v>
      </c>
      <c r="D31" s="602">
        <v>667.68115942028987</v>
      </c>
      <c r="E31" s="602">
        <v>610.65432098765427</v>
      </c>
      <c r="F31" s="602">
        <v>667.78001876172607</v>
      </c>
      <c r="G31" s="602">
        <v>658.23388157894738</v>
      </c>
      <c r="H31" s="603">
        <v>45.565461380273753</v>
      </c>
      <c r="I31" s="603">
        <v>45.686658917284014</v>
      </c>
      <c r="J31" s="602">
        <v>45.066096942181865</v>
      </c>
      <c r="K31" s="602">
        <v>53.322446743099206</v>
      </c>
      <c r="L31" s="602">
        <v>79.109616825375682</v>
      </c>
      <c r="M31" s="602">
        <v>76</v>
      </c>
      <c r="N31" s="602">
        <v>79</v>
      </c>
      <c r="O31" s="602">
        <v>81</v>
      </c>
      <c r="P31" s="602">
        <v>82</v>
      </c>
      <c r="Q31" s="602">
        <v>88</v>
      </c>
    </row>
    <row r="32" spans="1:17" s="385" customFormat="1" ht="26.25" customHeight="1" x14ac:dyDescent="0.35">
      <c r="A32" s="370">
        <v>27</v>
      </c>
      <c r="B32" s="383" t="s">
        <v>37</v>
      </c>
      <c r="C32" s="602">
        <v>545.60714285714289</v>
      </c>
      <c r="D32" s="602">
        <v>521.34890656063624</v>
      </c>
      <c r="E32" s="602">
        <v>484.42925890279116</v>
      </c>
      <c r="F32" s="602">
        <v>492.38228665726126</v>
      </c>
      <c r="G32" s="602">
        <v>514.31325947603125</v>
      </c>
      <c r="H32" s="603">
        <v>34.064267704766941</v>
      </c>
      <c r="I32" s="603">
        <v>35.0486035453985</v>
      </c>
      <c r="J32" s="602">
        <v>34.213093900947989</v>
      </c>
      <c r="K32" s="602">
        <v>33.301435406698566</v>
      </c>
      <c r="L32" s="602">
        <v>33.737753844157531</v>
      </c>
      <c r="M32" s="602">
        <v>1063</v>
      </c>
      <c r="N32" s="602">
        <v>1079</v>
      </c>
      <c r="O32" s="602">
        <v>1039</v>
      </c>
      <c r="P32" s="602">
        <v>1044</v>
      </c>
      <c r="Q32" s="602">
        <v>1040</v>
      </c>
    </row>
    <row r="33" spans="1:17" s="385" customFormat="1" ht="26.25" customHeight="1" x14ac:dyDescent="0.35">
      <c r="A33" s="370">
        <v>28</v>
      </c>
      <c r="B33" s="383" t="s">
        <v>38</v>
      </c>
      <c r="C33" s="602">
        <v>520.6484700973574</v>
      </c>
      <c r="D33" s="602">
        <v>517.23024830699774</v>
      </c>
      <c r="E33" s="602">
        <v>466.7715213860314</v>
      </c>
      <c r="F33" s="602">
        <v>475.36950365210919</v>
      </c>
      <c r="G33" s="602">
        <v>480.88825724793389</v>
      </c>
      <c r="H33" s="603">
        <v>34.899143024782589</v>
      </c>
      <c r="I33" s="603">
        <v>36.914462092396903</v>
      </c>
      <c r="J33" s="602">
        <v>39.849620004638695</v>
      </c>
      <c r="K33" s="602">
        <v>41.784386617100374</v>
      </c>
      <c r="L33" s="602">
        <v>41.612275032634983</v>
      </c>
      <c r="M33" s="602">
        <v>3156</v>
      </c>
      <c r="N33" s="602">
        <v>3380</v>
      </c>
      <c r="O33" s="602">
        <v>3694</v>
      </c>
      <c r="P33" s="602">
        <v>3934</v>
      </c>
      <c r="Q33" s="602">
        <v>3889</v>
      </c>
    </row>
    <row r="34" spans="1:17" s="385" customFormat="1" ht="26.25" customHeight="1" x14ac:dyDescent="0.35">
      <c r="A34" s="370">
        <v>29</v>
      </c>
      <c r="B34" s="383" t="s">
        <v>39</v>
      </c>
      <c r="C34" s="602">
        <v>751.0625</v>
      </c>
      <c r="D34" s="602">
        <v>633.89473684210532</v>
      </c>
      <c r="E34" s="602">
        <v>577.86956521739125</v>
      </c>
      <c r="F34" s="602">
        <v>615.66666666666663</v>
      </c>
      <c r="G34" s="602">
        <v>677.6388888888888</v>
      </c>
      <c r="H34" s="603">
        <v>24.64363999533068</v>
      </c>
      <c r="I34" s="603">
        <v>28.73150409423933</v>
      </c>
      <c r="J34" s="602">
        <v>30.247636081484501</v>
      </c>
      <c r="K34" s="602">
        <v>27.434246398397839</v>
      </c>
      <c r="L34" s="602">
        <v>27.532685886928764</v>
      </c>
      <c r="M34" s="602">
        <v>19</v>
      </c>
      <c r="N34" s="602">
        <v>22</v>
      </c>
      <c r="O34" s="602">
        <v>23</v>
      </c>
      <c r="P34" s="602">
        <v>24</v>
      </c>
      <c r="Q34" s="602">
        <v>24</v>
      </c>
    </row>
    <row r="35" spans="1:17" s="385" customFormat="1" ht="26.25" customHeight="1" x14ac:dyDescent="0.35">
      <c r="A35" s="370">
        <v>30</v>
      </c>
      <c r="B35" s="383" t="s">
        <v>40</v>
      </c>
      <c r="C35" s="602">
        <v>923.89886271324121</v>
      </c>
      <c r="D35" s="602">
        <v>872.42714723926383</v>
      </c>
      <c r="E35" s="602">
        <v>838.15598050243716</v>
      </c>
      <c r="F35" s="602">
        <v>803.02479853301634</v>
      </c>
      <c r="G35" s="602">
        <v>828.43590525309924</v>
      </c>
      <c r="H35" s="603">
        <v>35.414075414747508</v>
      </c>
      <c r="I35" s="603">
        <v>38.086382542252899</v>
      </c>
      <c r="J35" s="602">
        <v>39.549993148820086</v>
      </c>
      <c r="K35" s="602">
        <v>40.2189365936878</v>
      </c>
      <c r="L35" s="602">
        <v>41.988583948339482</v>
      </c>
      <c r="M35" s="602">
        <v>2466</v>
      </c>
      <c r="N35" s="602">
        <v>2610</v>
      </c>
      <c r="O35" s="602">
        <v>2667</v>
      </c>
      <c r="P35" s="602">
        <v>2829</v>
      </c>
      <c r="Q35" s="602">
        <v>2913</v>
      </c>
    </row>
    <row r="36" spans="1:17" s="385" customFormat="1" ht="26.25" customHeight="1" x14ac:dyDescent="0.35">
      <c r="A36" s="370">
        <v>31</v>
      </c>
      <c r="B36" s="383" t="s">
        <v>41</v>
      </c>
      <c r="C36" s="602">
        <v>554.43471659919032</v>
      </c>
      <c r="D36" s="602">
        <v>545.16013712047015</v>
      </c>
      <c r="E36" s="602">
        <v>555.6028128031038</v>
      </c>
      <c r="F36" s="602">
        <v>580.90400162711114</v>
      </c>
      <c r="G36" s="602">
        <v>629.1820068098267</v>
      </c>
      <c r="H36" s="603">
        <v>50.443204960282323</v>
      </c>
      <c r="I36" s="603">
        <v>53.071959272716839</v>
      </c>
      <c r="J36" s="602">
        <v>53.372690731658835</v>
      </c>
      <c r="K36" s="602">
        <v>52.166291009266217</v>
      </c>
      <c r="L36" s="602">
        <v>53.642587105343821</v>
      </c>
      <c r="M36" s="602">
        <v>1988</v>
      </c>
      <c r="N36" s="602">
        <v>2071</v>
      </c>
      <c r="O36" s="602">
        <v>2062</v>
      </c>
      <c r="P36" s="602">
        <v>2083</v>
      </c>
      <c r="Q36" s="602">
        <v>2100</v>
      </c>
    </row>
    <row r="37" spans="1:17" s="385" customFormat="1" ht="33" customHeight="1" x14ac:dyDescent="0.35">
      <c r="A37" s="370">
        <v>32</v>
      </c>
      <c r="B37" s="383" t="s">
        <v>83</v>
      </c>
      <c r="C37" s="602">
        <v>1068.925</v>
      </c>
      <c r="D37" s="602">
        <v>1154.2</v>
      </c>
      <c r="E37" s="602">
        <v>589</v>
      </c>
      <c r="F37" s="602">
        <v>654.31578947368416</v>
      </c>
      <c r="G37" s="602">
        <v>659.52631578947364</v>
      </c>
      <c r="H37" s="602">
        <v>28.442427571796443</v>
      </c>
      <c r="I37" s="602">
        <v>27.272037757119307</v>
      </c>
      <c r="J37" s="602">
        <v>13.798111837327523</v>
      </c>
      <c r="K37" s="602">
        <v>16.631378255536365</v>
      </c>
      <c r="L37" s="602">
        <v>20.382534685066467</v>
      </c>
      <c r="M37" s="602">
        <v>18</v>
      </c>
      <c r="N37" s="602">
        <v>18</v>
      </c>
      <c r="O37" s="602">
        <v>19</v>
      </c>
      <c r="P37" s="602">
        <v>19</v>
      </c>
      <c r="Q37" s="602">
        <v>19</v>
      </c>
    </row>
    <row r="38" spans="1:17" s="385" customFormat="1" ht="26.25" customHeight="1" x14ac:dyDescent="0.35">
      <c r="A38" s="370">
        <v>33</v>
      </c>
      <c r="B38" s="383" t="s">
        <v>42</v>
      </c>
      <c r="C38" s="602">
        <v>1152.5576923076924</v>
      </c>
      <c r="D38" s="602">
        <v>1174.6603773584907</v>
      </c>
      <c r="E38" s="602">
        <v>1197.5</v>
      </c>
      <c r="F38" s="602">
        <v>1387.0555555555557</v>
      </c>
      <c r="G38" s="602">
        <v>1332.3728813559321</v>
      </c>
      <c r="H38" s="603">
        <v>12.095836240986277</v>
      </c>
      <c r="I38" s="603">
        <v>12.413195460986262</v>
      </c>
      <c r="J38" s="602">
        <v>12.735849056603774</v>
      </c>
      <c r="K38" s="602">
        <v>11.127931231033575</v>
      </c>
      <c r="L38" s="602">
        <v>12.202507520157196</v>
      </c>
      <c r="M38" s="602">
        <v>52</v>
      </c>
      <c r="N38" s="602">
        <v>53</v>
      </c>
      <c r="O38" s="602">
        <v>54</v>
      </c>
      <c r="P38" s="602">
        <v>54</v>
      </c>
      <c r="Q38" s="602">
        <v>59</v>
      </c>
    </row>
    <row r="39" spans="1:17" s="385" customFormat="1" ht="26.25" customHeight="1" x14ac:dyDescent="0.35">
      <c r="A39" s="370">
        <v>34</v>
      </c>
      <c r="B39" s="383" t="s">
        <v>43</v>
      </c>
      <c r="C39" s="602">
        <v>743.25252055219482</v>
      </c>
      <c r="D39" s="602">
        <v>691.991724738676</v>
      </c>
      <c r="E39" s="602">
        <v>613.866526990387</v>
      </c>
      <c r="F39" s="602">
        <v>684.23536218020035</v>
      </c>
      <c r="G39" s="602">
        <v>742.49249345772193</v>
      </c>
      <c r="H39" s="603">
        <v>28.20553426215271</v>
      </c>
      <c r="I39" s="603">
        <v>30.795564742732079</v>
      </c>
      <c r="J39" s="602">
        <v>31.840085388249697</v>
      </c>
      <c r="K39" s="602">
        <v>28.978236047195598</v>
      </c>
      <c r="L39" s="602">
        <v>29.09435359350633</v>
      </c>
      <c r="M39" s="602">
        <v>7078</v>
      </c>
      <c r="N39" s="602">
        <v>7788</v>
      </c>
      <c r="O39" s="602">
        <v>8114</v>
      </c>
      <c r="P39" s="602">
        <v>8375</v>
      </c>
      <c r="Q39" s="602">
        <v>8310</v>
      </c>
    </row>
    <row r="40" spans="1:17" s="385" customFormat="1" ht="26.25" customHeight="1" x14ac:dyDescent="0.35">
      <c r="A40" s="370">
        <v>35</v>
      </c>
      <c r="B40" s="383" t="s">
        <v>44</v>
      </c>
      <c r="C40" s="602">
        <v>641.19746835443038</v>
      </c>
      <c r="D40" s="602">
        <v>633.90594059405942</v>
      </c>
      <c r="E40" s="602">
        <v>545.55136268343813</v>
      </c>
      <c r="F40" s="602">
        <v>554.13327982013379</v>
      </c>
      <c r="G40" s="602">
        <v>561.9179940235382</v>
      </c>
      <c r="H40" s="603">
        <v>36.609033905983324</v>
      </c>
      <c r="I40" s="603">
        <v>38.190188822724345</v>
      </c>
      <c r="J40" s="602">
        <v>40.387140802103858</v>
      </c>
      <c r="K40" s="602">
        <v>36.845983787767132</v>
      </c>
      <c r="L40" s="602">
        <v>38.30073167089742</v>
      </c>
      <c r="M40" s="602">
        <v>438</v>
      </c>
      <c r="N40" s="602">
        <v>454</v>
      </c>
      <c r="O40" s="602">
        <v>477</v>
      </c>
      <c r="P40" s="602">
        <v>500</v>
      </c>
      <c r="Q40" s="602">
        <v>513</v>
      </c>
    </row>
    <row r="41" spans="1:17" s="385" customFormat="1" ht="26.25" customHeight="1" x14ac:dyDescent="0.35">
      <c r="A41" s="370">
        <v>36</v>
      </c>
      <c r="B41" s="383" t="s">
        <v>45</v>
      </c>
      <c r="C41" s="602">
        <v>1170.2080291970804</v>
      </c>
      <c r="D41" s="602">
        <v>1179.3669268985095</v>
      </c>
      <c r="E41" s="602">
        <v>1161.2918395573997</v>
      </c>
      <c r="F41" s="602">
        <v>1185.771466314399</v>
      </c>
      <c r="G41" s="602">
        <v>1131.562139654068</v>
      </c>
      <c r="H41" s="603">
        <v>12.631944390698024</v>
      </c>
      <c r="I41" s="603">
        <v>13.024762464240748</v>
      </c>
      <c r="J41" s="602">
        <v>13.37394103312862</v>
      </c>
      <c r="K41" s="602">
        <v>14.646415787946212</v>
      </c>
      <c r="L41" s="602">
        <v>15.356917991500076</v>
      </c>
      <c r="M41" s="602">
        <v>1371</v>
      </c>
      <c r="N41" s="602">
        <v>1411</v>
      </c>
      <c r="O41" s="602">
        <v>1446</v>
      </c>
      <c r="P41" s="602">
        <v>1514</v>
      </c>
      <c r="Q41" s="602">
        <v>1561</v>
      </c>
    </row>
  </sheetData>
  <mergeCells count="8">
    <mergeCell ref="M2:Q2"/>
    <mergeCell ref="C1:G1"/>
    <mergeCell ref="H1:L1"/>
    <mergeCell ref="A2:A3"/>
    <mergeCell ref="B2:B3"/>
    <mergeCell ref="C2:G2"/>
    <mergeCell ref="H2:L2"/>
    <mergeCell ref="M1:Q1"/>
  </mergeCells>
  <pageMargins left="0.59055118110236227" right="0.35433070866141736" top="0.39370078740157483" bottom="0.39370078740157483" header="0.31496062992125984" footer="0.19685039370078741"/>
  <pageSetup paperSize="9" scale="68" firstPageNumber="2" orientation="portrait" r:id="rId1"/>
  <headerFooter>
    <oddFooter>&amp;L&amp;"Arial,Italic"&amp;9AISHE 2022-23&amp;RT-42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65CE-9ABB-44FE-9433-395A44A7C12E}">
  <sheetPr codeName="Sheet7">
    <tabColor rgb="FF92D050"/>
  </sheetPr>
  <dimension ref="A1:AC225"/>
  <sheetViews>
    <sheetView showZeros="0" view="pageBreakPreview" zoomScale="93" zoomScaleSheetLayoutView="93" workbookViewId="0">
      <pane xSplit="2" ySplit="3" topLeftCell="C4" activePane="bottomRight" state="frozen"/>
      <selection activeCell="S20" sqref="S20"/>
      <selection pane="topRight" activeCell="S20" sqref="S20"/>
      <selection pane="bottomLeft" activeCell="S20" sqref="S20"/>
      <selection pane="bottomRight" activeCell="E225" sqref="E225"/>
    </sheetView>
  </sheetViews>
  <sheetFormatPr defaultColWidth="8.81640625" defaultRowHeight="14" x14ac:dyDescent="0.3"/>
  <cols>
    <col min="1" max="1" width="4.453125" style="371" bestFit="1" customWidth="1"/>
    <col min="2" max="2" width="27.7265625" style="371" bestFit="1" customWidth="1"/>
    <col min="3" max="3" width="7.36328125" style="371" bestFit="1" customWidth="1"/>
    <col min="4" max="5" width="9.26953125" style="371" bestFit="1" customWidth="1"/>
    <col min="6" max="6" width="7.7265625" style="371" bestFit="1" customWidth="1"/>
    <col min="7" max="7" width="8" style="371" bestFit="1" customWidth="1"/>
    <col min="8" max="8" width="7.7265625" style="371" bestFit="1" customWidth="1"/>
    <col min="9" max="11" width="10.36328125" style="371" bestFit="1" customWidth="1"/>
    <col min="12" max="12" width="82.26953125" style="371" bestFit="1" customWidth="1"/>
    <col min="13" max="14" width="11.90625" style="371" bestFit="1" customWidth="1"/>
    <col min="15" max="17" width="9.26953125" style="371" bestFit="1" customWidth="1"/>
    <col min="18" max="20" width="10.36328125" style="371" bestFit="1" customWidth="1"/>
    <col min="21" max="21" width="82.26953125" style="371" bestFit="1" customWidth="1"/>
    <col min="22" max="22" width="8" style="371" bestFit="1" customWidth="1"/>
    <col min="23" max="26" width="9.26953125" style="371" bestFit="1" customWidth="1"/>
    <col min="27" max="29" width="11.90625" style="371" bestFit="1" customWidth="1"/>
    <col min="30" max="16384" width="8.81640625" style="372"/>
  </cols>
  <sheetData>
    <row r="1" spans="1:29" s="386" customFormat="1" ht="28.5" customHeight="1" x14ac:dyDescent="0.35">
      <c r="A1" s="371"/>
      <c r="B1" s="482" t="s">
        <v>973</v>
      </c>
      <c r="C1" s="961" t="s">
        <v>1054</v>
      </c>
      <c r="D1" s="961"/>
      <c r="E1" s="961"/>
      <c r="F1" s="961"/>
      <c r="G1" s="961"/>
      <c r="H1" s="961"/>
      <c r="I1" s="498"/>
      <c r="J1" s="498"/>
      <c r="K1" s="498"/>
      <c r="L1" s="482" t="str">
        <f>C1</f>
        <v>Estimated Student Enrolment Trends at Various Levels Over the Last 5 Years</v>
      </c>
      <c r="M1" s="498"/>
      <c r="N1" s="498"/>
      <c r="O1" s="498"/>
      <c r="P1" s="498"/>
      <c r="Q1" s="498"/>
      <c r="R1" s="498"/>
      <c r="S1" s="498"/>
      <c r="T1" s="498"/>
      <c r="U1" s="482" t="str">
        <f>L1</f>
        <v>Estimated Student Enrolment Trends at Various Levels Over the Last 5 Years</v>
      </c>
      <c r="V1" s="498"/>
      <c r="W1" s="498"/>
      <c r="X1" s="498"/>
      <c r="Y1" s="498"/>
      <c r="Z1" s="498"/>
      <c r="AA1" s="498"/>
      <c r="AB1" s="498"/>
      <c r="AC1" s="498"/>
    </row>
    <row r="2" spans="1:29" s="387" customFormat="1" ht="18.75" customHeight="1" x14ac:dyDescent="0.3">
      <c r="A2" s="959" t="s">
        <v>974</v>
      </c>
      <c r="B2" s="957" t="s">
        <v>50</v>
      </c>
      <c r="C2" s="956" t="s">
        <v>85</v>
      </c>
      <c r="D2" s="957"/>
      <c r="E2" s="957"/>
      <c r="F2" s="956" t="s">
        <v>86</v>
      </c>
      <c r="G2" s="957"/>
      <c r="H2" s="957"/>
      <c r="I2" s="956" t="s">
        <v>87</v>
      </c>
      <c r="J2" s="956"/>
      <c r="K2" s="956"/>
      <c r="L2" s="956" t="s">
        <v>88</v>
      </c>
      <c r="M2" s="956"/>
      <c r="N2" s="956"/>
      <c r="O2" s="956" t="s">
        <v>89</v>
      </c>
      <c r="P2" s="956"/>
      <c r="Q2" s="956"/>
      <c r="R2" s="956" t="s">
        <v>90</v>
      </c>
      <c r="S2" s="956"/>
      <c r="T2" s="956"/>
      <c r="U2" s="956" t="s">
        <v>91</v>
      </c>
      <c r="V2" s="956"/>
      <c r="W2" s="956"/>
      <c r="X2" s="956" t="s">
        <v>92</v>
      </c>
      <c r="Y2" s="957"/>
      <c r="Z2" s="957"/>
      <c r="AA2" s="956" t="s">
        <v>12</v>
      </c>
      <c r="AB2" s="957"/>
      <c r="AC2" s="957"/>
    </row>
    <row r="3" spans="1:29" s="387" customFormat="1" ht="18.75" customHeight="1" x14ac:dyDescent="0.3">
      <c r="A3" s="960"/>
      <c r="B3" s="957"/>
      <c r="C3" s="486" t="s">
        <v>93</v>
      </c>
      <c r="D3" s="486" t="s">
        <v>94</v>
      </c>
      <c r="E3" s="486" t="s">
        <v>975</v>
      </c>
      <c r="F3" s="486" t="s">
        <v>93</v>
      </c>
      <c r="G3" s="486" t="s">
        <v>94</v>
      </c>
      <c r="H3" s="486" t="s">
        <v>975</v>
      </c>
      <c r="I3" s="486" t="s">
        <v>93</v>
      </c>
      <c r="J3" s="486" t="s">
        <v>94</v>
      </c>
      <c r="K3" s="486" t="s">
        <v>975</v>
      </c>
      <c r="L3" s="499" t="s">
        <v>93</v>
      </c>
      <c r="M3" s="486" t="s">
        <v>94</v>
      </c>
      <c r="N3" s="486" t="s">
        <v>975</v>
      </c>
      <c r="O3" s="486" t="s">
        <v>93</v>
      </c>
      <c r="P3" s="486" t="s">
        <v>94</v>
      </c>
      <c r="Q3" s="486" t="s">
        <v>975</v>
      </c>
      <c r="R3" s="486" t="s">
        <v>93</v>
      </c>
      <c r="S3" s="486" t="s">
        <v>94</v>
      </c>
      <c r="T3" s="486" t="s">
        <v>975</v>
      </c>
      <c r="U3" s="486" t="s">
        <v>93</v>
      </c>
      <c r="V3" s="486" t="s">
        <v>94</v>
      </c>
      <c r="W3" s="486" t="s">
        <v>975</v>
      </c>
      <c r="X3" s="486" t="s">
        <v>93</v>
      </c>
      <c r="Y3" s="486" t="s">
        <v>94</v>
      </c>
      <c r="Z3" s="486" t="s">
        <v>975</v>
      </c>
      <c r="AA3" s="486" t="s">
        <v>93</v>
      </c>
      <c r="AB3" s="486" t="s">
        <v>94</v>
      </c>
      <c r="AC3" s="486" t="s">
        <v>975</v>
      </c>
    </row>
    <row r="4" spans="1:29" s="389" customFormat="1" ht="14.5" x14ac:dyDescent="0.35">
      <c r="A4" s="388">
        <v>1</v>
      </c>
      <c r="B4" s="500">
        <v>2</v>
      </c>
      <c r="C4" s="501">
        <v>3</v>
      </c>
      <c r="D4" s="500">
        <v>4</v>
      </c>
      <c r="E4" s="501">
        <v>5</v>
      </c>
      <c r="F4" s="500">
        <v>6</v>
      </c>
      <c r="G4" s="501">
        <v>7</v>
      </c>
      <c r="H4" s="500">
        <v>8</v>
      </c>
      <c r="I4" s="501">
        <v>9</v>
      </c>
      <c r="J4" s="500">
        <v>10</v>
      </c>
      <c r="K4" s="501">
        <v>11</v>
      </c>
      <c r="L4" s="500">
        <v>12</v>
      </c>
      <c r="M4" s="501">
        <v>13</v>
      </c>
      <c r="N4" s="500">
        <v>14</v>
      </c>
      <c r="O4" s="501">
        <v>15</v>
      </c>
      <c r="P4" s="500">
        <v>16</v>
      </c>
      <c r="Q4" s="501">
        <v>17</v>
      </c>
      <c r="R4" s="500">
        <v>18</v>
      </c>
      <c r="S4" s="501">
        <v>19</v>
      </c>
      <c r="T4" s="500">
        <v>20</v>
      </c>
      <c r="U4" s="501">
        <v>21</v>
      </c>
      <c r="V4" s="500">
        <v>22</v>
      </c>
      <c r="W4" s="501">
        <v>23</v>
      </c>
      <c r="X4" s="500">
        <v>24</v>
      </c>
      <c r="Y4" s="501">
        <v>25</v>
      </c>
      <c r="Z4" s="500">
        <v>26</v>
      </c>
      <c r="AA4" s="501">
        <v>27</v>
      </c>
      <c r="AB4" s="500">
        <v>28</v>
      </c>
      <c r="AC4" s="501">
        <v>29</v>
      </c>
    </row>
    <row r="5" spans="1:29" x14ac:dyDescent="0.3">
      <c r="A5" s="958"/>
      <c r="B5" s="488" t="s">
        <v>913</v>
      </c>
      <c r="C5" s="489"/>
      <c r="D5" s="490"/>
      <c r="E5" s="490"/>
      <c r="F5" s="490"/>
      <c r="G5" s="490"/>
      <c r="H5" s="490"/>
      <c r="I5" s="490"/>
      <c r="J5" s="490"/>
      <c r="K5" s="491"/>
      <c r="L5" s="489"/>
      <c r="M5" s="490"/>
      <c r="N5" s="490"/>
      <c r="O5" s="490"/>
      <c r="P5" s="490"/>
      <c r="Q5" s="490"/>
      <c r="R5" s="490"/>
      <c r="S5" s="490"/>
      <c r="T5" s="491"/>
      <c r="U5" s="489"/>
      <c r="V5" s="490"/>
      <c r="W5" s="490"/>
      <c r="X5" s="490"/>
      <c r="Y5" s="490"/>
      <c r="Z5" s="490"/>
      <c r="AA5" s="490"/>
      <c r="AB5" s="490"/>
      <c r="AC5" s="490"/>
    </row>
    <row r="6" spans="1:29" x14ac:dyDescent="0.3">
      <c r="A6" s="958"/>
      <c r="B6" s="488" t="s">
        <v>912</v>
      </c>
      <c r="C6" s="489">
        <v>120981</v>
      </c>
      <c r="D6" s="1022">
        <v>112441</v>
      </c>
      <c r="E6" s="1022">
        <v>233422</v>
      </c>
      <c r="F6" s="1022">
        <v>1270</v>
      </c>
      <c r="G6" s="1022">
        <v>1964</v>
      </c>
      <c r="H6" s="1022">
        <v>3234</v>
      </c>
      <c r="I6" s="1022">
        <v>2511463.3475124459</v>
      </c>
      <c r="J6" s="1022">
        <v>3202950.2386886091</v>
      </c>
      <c r="K6" s="1023">
        <v>5714413.586201055</v>
      </c>
      <c r="L6" s="1024">
        <v>17855691.27810438</v>
      </c>
      <c r="M6" s="1022">
        <v>16819897.376373429</v>
      </c>
      <c r="N6" s="1022">
        <v>34675588.654477812</v>
      </c>
      <c r="O6" s="1022">
        <v>116482</v>
      </c>
      <c r="P6" s="1022">
        <v>98009</v>
      </c>
      <c r="Q6" s="1022">
        <v>214491</v>
      </c>
      <c r="R6" s="1022">
        <v>1909954</v>
      </c>
      <c r="S6" s="1022">
        <v>1192121</v>
      </c>
      <c r="T6" s="1023">
        <v>3102075</v>
      </c>
      <c r="U6" s="1024">
        <v>76413</v>
      </c>
      <c r="V6" s="1022">
        <v>73826</v>
      </c>
      <c r="W6" s="1022">
        <v>150239</v>
      </c>
      <c r="X6" s="1022">
        <v>285117</v>
      </c>
      <c r="Y6" s="1022">
        <v>253681</v>
      </c>
      <c r="Z6" s="1022">
        <v>538798</v>
      </c>
      <c r="AA6" s="1022">
        <v>22877371.62561683</v>
      </c>
      <c r="AB6" s="1022">
        <v>21754889.615062039</v>
      </c>
      <c r="AC6" s="1022">
        <v>44632261.240678862</v>
      </c>
    </row>
    <row r="7" spans="1:29" x14ac:dyDescent="0.3">
      <c r="A7" s="958"/>
      <c r="B7" s="496" t="s">
        <v>911</v>
      </c>
      <c r="C7" s="493">
        <v>113932</v>
      </c>
      <c r="D7" s="1025">
        <v>98636</v>
      </c>
      <c r="E7" s="1025">
        <v>212568</v>
      </c>
      <c r="F7" s="1025">
        <v>3393</v>
      </c>
      <c r="G7" s="1025">
        <v>6127</v>
      </c>
      <c r="H7" s="1025">
        <v>9520</v>
      </c>
      <c r="I7" s="1025">
        <v>2325040</v>
      </c>
      <c r="J7" s="1025">
        <v>2892713</v>
      </c>
      <c r="K7" s="1026">
        <v>5217753</v>
      </c>
      <c r="L7" s="1027">
        <v>17854294</v>
      </c>
      <c r="M7" s="1025">
        <v>16284939</v>
      </c>
      <c r="N7" s="1025">
        <v>34139233</v>
      </c>
      <c r="O7" s="1025">
        <v>130028</v>
      </c>
      <c r="P7" s="1025">
        <v>104755</v>
      </c>
      <c r="Q7" s="1025">
        <v>234783</v>
      </c>
      <c r="R7" s="1025">
        <v>1860546</v>
      </c>
      <c r="S7" s="1025">
        <v>1055899</v>
      </c>
      <c r="T7" s="1026">
        <v>2916445</v>
      </c>
      <c r="U7" s="1027">
        <v>40558</v>
      </c>
      <c r="V7" s="1025">
        <v>36742</v>
      </c>
      <c r="W7" s="1025">
        <v>77300</v>
      </c>
      <c r="X7" s="1025">
        <v>248598</v>
      </c>
      <c r="Y7" s="1025">
        <v>211981</v>
      </c>
      <c r="Z7" s="1025">
        <v>460579</v>
      </c>
      <c r="AA7" s="1025">
        <v>22576389</v>
      </c>
      <c r="AB7" s="1025">
        <v>20691792</v>
      </c>
      <c r="AC7" s="1025">
        <v>43268181</v>
      </c>
    </row>
    <row r="8" spans="1:29" x14ac:dyDescent="0.3">
      <c r="A8" s="958"/>
      <c r="B8" s="496" t="s">
        <v>910</v>
      </c>
      <c r="C8" s="492">
        <v>116764</v>
      </c>
      <c r="D8" s="1028">
        <v>95088</v>
      </c>
      <c r="E8" s="1028">
        <v>211852</v>
      </c>
      <c r="F8" s="1028">
        <v>6345</v>
      </c>
      <c r="G8" s="1028">
        <v>10399</v>
      </c>
      <c r="H8" s="1028">
        <v>16744</v>
      </c>
      <c r="I8" s="1028">
        <v>2053794</v>
      </c>
      <c r="J8" s="1028">
        <v>2662855</v>
      </c>
      <c r="K8" s="1028">
        <v>4716649</v>
      </c>
      <c r="L8" s="1028">
        <v>16747674</v>
      </c>
      <c r="M8" s="1028">
        <v>15909835</v>
      </c>
      <c r="N8" s="1028">
        <v>32657509</v>
      </c>
      <c r="O8" s="1028">
        <v>143723</v>
      </c>
      <c r="P8" s="1028">
        <v>113464</v>
      </c>
      <c r="Q8" s="1028">
        <v>257187</v>
      </c>
      <c r="R8" s="1028">
        <v>1873568</v>
      </c>
      <c r="S8" s="1028">
        <v>1105752</v>
      </c>
      <c r="T8" s="1028">
        <v>2979320</v>
      </c>
      <c r="U8" s="1028">
        <v>83841</v>
      </c>
      <c r="V8" s="1028">
        <v>72070</v>
      </c>
      <c r="W8" s="1028">
        <v>155911</v>
      </c>
      <c r="X8" s="1028">
        <v>212201</v>
      </c>
      <c r="Y8" s="1028">
        <v>173340</v>
      </c>
      <c r="Z8" s="1028">
        <v>385541</v>
      </c>
      <c r="AA8" s="1028">
        <v>21237910</v>
      </c>
      <c r="AB8" s="1028">
        <v>20142803</v>
      </c>
      <c r="AC8" s="1028">
        <v>41380713</v>
      </c>
    </row>
    <row r="9" spans="1:29" x14ac:dyDescent="0.3">
      <c r="A9" s="958"/>
      <c r="B9" s="496" t="s">
        <v>909</v>
      </c>
      <c r="C9" s="492">
        <v>111444</v>
      </c>
      <c r="D9" s="1028">
        <v>91106</v>
      </c>
      <c r="E9" s="1028">
        <v>202550</v>
      </c>
      <c r="F9" s="1028">
        <v>9043</v>
      </c>
      <c r="G9" s="1028">
        <v>14891</v>
      </c>
      <c r="H9" s="1028">
        <v>23934</v>
      </c>
      <c r="I9" s="1028">
        <v>1860163</v>
      </c>
      <c r="J9" s="1028">
        <v>2452372</v>
      </c>
      <c r="K9" s="1028">
        <v>4312535</v>
      </c>
      <c r="L9" s="1028">
        <v>15563077</v>
      </c>
      <c r="M9" s="1028">
        <v>15084210</v>
      </c>
      <c r="N9" s="1028">
        <v>30647287</v>
      </c>
      <c r="O9" s="1028">
        <v>116346</v>
      </c>
      <c r="P9" s="1028">
        <v>100903</v>
      </c>
      <c r="Q9" s="1028">
        <v>217249</v>
      </c>
      <c r="R9" s="1028">
        <v>1740798</v>
      </c>
      <c r="S9" s="1028">
        <v>931764</v>
      </c>
      <c r="T9" s="1028">
        <v>2672562</v>
      </c>
      <c r="U9" s="1028">
        <v>74164</v>
      </c>
      <c r="V9" s="1028">
        <v>85705</v>
      </c>
      <c r="W9" s="1028">
        <v>159869</v>
      </c>
      <c r="X9" s="1028">
        <v>168712</v>
      </c>
      <c r="Y9" s="1028">
        <v>131661</v>
      </c>
      <c r="Z9" s="1028">
        <v>300373</v>
      </c>
      <c r="AA9" s="1028">
        <v>19643747</v>
      </c>
      <c r="AB9" s="1028">
        <v>18892612</v>
      </c>
      <c r="AC9" s="1028">
        <v>38536359</v>
      </c>
    </row>
    <row r="10" spans="1:29" x14ac:dyDescent="0.3">
      <c r="A10" s="958"/>
      <c r="B10" s="496" t="s">
        <v>908</v>
      </c>
      <c r="C10" s="492">
        <v>95043</v>
      </c>
      <c r="D10" s="1028">
        <v>74127</v>
      </c>
      <c r="E10" s="1028">
        <v>169170</v>
      </c>
      <c r="F10" s="1028">
        <v>11623</v>
      </c>
      <c r="G10" s="1028">
        <v>19069</v>
      </c>
      <c r="H10" s="1028">
        <v>30692</v>
      </c>
      <c r="I10" s="1028">
        <v>1761330</v>
      </c>
      <c r="J10" s="1028">
        <v>2281192</v>
      </c>
      <c r="K10" s="1028">
        <v>4042522</v>
      </c>
      <c r="L10" s="1028">
        <v>15203346</v>
      </c>
      <c r="M10" s="1028">
        <v>14625729</v>
      </c>
      <c r="N10" s="1028">
        <v>29829075</v>
      </c>
      <c r="O10" s="1028">
        <v>121555</v>
      </c>
      <c r="P10" s="1028">
        <v>103156</v>
      </c>
      <c r="Q10" s="1028">
        <v>224711</v>
      </c>
      <c r="R10" s="1028">
        <v>1803208</v>
      </c>
      <c r="S10" s="1028">
        <v>896187</v>
      </c>
      <c r="T10" s="1028">
        <v>2699395</v>
      </c>
      <c r="U10" s="1028">
        <v>75127</v>
      </c>
      <c r="V10" s="1028">
        <v>87570</v>
      </c>
      <c r="W10" s="1028">
        <v>162697</v>
      </c>
      <c r="X10" s="1028">
        <v>138656</v>
      </c>
      <c r="Y10" s="1028">
        <v>102470</v>
      </c>
      <c r="Z10" s="1028">
        <v>241126</v>
      </c>
      <c r="AA10" s="1028">
        <v>19209888</v>
      </c>
      <c r="AB10" s="1028">
        <v>18189500</v>
      </c>
      <c r="AC10" s="1028">
        <v>37399388</v>
      </c>
    </row>
    <row r="11" spans="1:29" ht="15.5" x14ac:dyDescent="0.35">
      <c r="A11" s="949">
        <v>1</v>
      </c>
      <c r="B11" s="488" t="s">
        <v>116</v>
      </c>
      <c r="C11" s="487"/>
      <c r="D11" s="1028"/>
      <c r="E11" s="1028"/>
      <c r="F11" s="1028"/>
      <c r="G11" s="1028"/>
      <c r="H11" s="1028"/>
      <c r="I11" s="1028"/>
      <c r="J11" s="1028"/>
      <c r="K11" s="1028"/>
      <c r="L11" s="1028"/>
      <c r="M11" s="1028"/>
      <c r="N11" s="1028"/>
      <c r="O11" s="1028"/>
      <c r="P11" s="1028"/>
      <c r="Q11" s="1028"/>
      <c r="R11" s="1028"/>
      <c r="S11" s="1028"/>
      <c r="T11" s="1028"/>
      <c r="U11" s="1024"/>
      <c r="V11" s="1022"/>
      <c r="W11" s="1022"/>
      <c r="X11" s="1022"/>
      <c r="Y11" s="1022"/>
      <c r="Z11" s="1022"/>
      <c r="AA11" s="1022"/>
      <c r="AB11" s="1022"/>
      <c r="AC11" s="1022"/>
    </row>
    <row r="12" spans="1:29" x14ac:dyDescent="0.3">
      <c r="A12" s="949"/>
      <c r="B12" s="488" t="s">
        <v>912</v>
      </c>
      <c r="C12" s="492"/>
      <c r="D12" s="1028"/>
      <c r="E12" s="1028"/>
      <c r="F12" s="1028"/>
      <c r="G12" s="1028"/>
      <c r="H12" s="1028"/>
      <c r="I12" s="1028">
        <v>534</v>
      </c>
      <c r="J12" s="1028">
        <v>751</v>
      </c>
      <c r="K12" s="1028">
        <v>1285</v>
      </c>
      <c r="L12" s="1028">
        <v>2794</v>
      </c>
      <c r="M12" s="1028">
        <v>2331</v>
      </c>
      <c r="N12" s="1028">
        <v>5125</v>
      </c>
      <c r="O12" s="1028">
        <v>34</v>
      </c>
      <c r="P12" s="1028">
        <v>41</v>
      </c>
      <c r="Q12" s="1028">
        <v>75</v>
      </c>
      <c r="R12" s="1028">
        <v>443</v>
      </c>
      <c r="S12" s="1028">
        <v>334</v>
      </c>
      <c r="T12" s="1028">
        <v>777</v>
      </c>
      <c r="U12" s="1024">
        <v>0</v>
      </c>
      <c r="V12" s="1022">
        <v>0</v>
      </c>
      <c r="W12" s="1022">
        <v>0</v>
      </c>
      <c r="X12" s="1022">
        <v>48</v>
      </c>
      <c r="Y12" s="1022">
        <v>131</v>
      </c>
      <c r="Z12" s="1022">
        <v>179</v>
      </c>
      <c r="AA12" s="1022">
        <v>3853</v>
      </c>
      <c r="AB12" s="1022">
        <v>3588</v>
      </c>
      <c r="AC12" s="1022">
        <v>7441</v>
      </c>
    </row>
    <row r="13" spans="1:29" x14ac:dyDescent="0.3">
      <c r="A13" s="949"/>
      <c r="B13" s="496" t="s">
        <v>911</v>
      </c>
      <c r="C13" s="492">
        <v>5</v>
      </c>
      <c r="D13" s="1028">
        <v>9</v>
      </c>
      <c r="E13" s="1028">
        <v>14</v>
      </c>
      <c r="F13" s="1028"/>
      <c r="G13" s="1028"/>
      <c r="H13" s="1028"/>
      <c r="I13" s="1028">
        <v>575</v>
      </c>
      <c r="J13" s="1028">
        <v>942</v>
      </c>
      <c r="K13" s="1028">
        <v>1517</v>
      </c>
      <c r="L13" s="1028">
        <v>3807</v>
      </c>
      <c r="M13" s="1028">
        <v>4444</v>
      </c>
      <c r="N13" s="1028">
        <v>8251</v>
      </c>
      <c r="O13" s="1028">
        <v>26</v>
      </c>
      <c r="P13" s="1028">
        <v>37</v>
      </c>
      <c r="Q13" s="1028">
        <v>63</v>
      </c>
      <c r="R13" s="1028">
        <v>555</v>
      </c>
      <c r="S13" s="1028">
        <v>407</v>
      </c>
      <c r="T13" s="1028">
        <v>962</v>
      </c>
      <c r="U13" s="1027">
        <v>39</v>
      </c>
      <c r="V13" s="1025">
        <v>33</v>
      </c>
      <c r="W13" s="1025">
        <v>72</v>
      </c>
      <c r="X13" s="1025">
        <v>193</v>
      </c>
      <c r="Y13" s="1025">
        <v>355</v>
      </c>
      <c r="Z13" s="1025">
        <v>548</v>
      </c>
      <c r="AA13" s="1025">
        <v>5200</v>
      </c>
      <c r="AB13" s="1025">
        <v>6227</v>
      </c>
      <c r="AC13" s="1025">
        <v>11427</v>
      </c>
    </row>
    <row r="14" spans="1:29" x14ac:dyDescent="0.3">
      <c r="A14" s="949"/>
      <c r="B14" s="496" t="s">
        <v>910</v>
      </c>
      <c r="C14" s="492">
        <v>7</v>
      </c>
      <c r="D14" s="1028">
        <v>12</v>
      </c>
      <c r="E14" s="1028">
        <v>19</v>
      </c>
      <c r="F14" s="1028">
        <v>0</v>
      </c>
      <c r="G14" s="1028">
        <v>0</v>
      </c>
      <c r="H14" s="1028">
        <v>0</v>
      </c>
      <c r="I14" s="1028">
        <v>582</v>
      </c>
      <c r="J14" s="1028">
        <v>979</v>
      </c>
      <c r="K14" s="1028">
        <v>1561</v>
      </c>
      <c r="L14" s="1028">
        <v>4055</v>
      </c>
      <c r="M14" s="1028">
        <v>4672</v>
      </c>
      <c r="N14" s="1028">
        <v>8727</v>
      </c>
      <c r="O14" s="1028">
        <v>85</v>
      </c>
      <c r="P14" s="1028">
        <v>56</v>
      </c>
      <c r="Q14" s="1028">
        <v>141</v>
      </c>
      <c r="R14" s="1028">
        <v>621</v>
      </c>
      <c r="S14" s="1028">
        <v>455</v>
      </c>
      <c r="T14" s="1028">
        <v>1076</v>
      </c>
      <c r="U14" s="1028">
        <v>39</v>
      </c>
      <c r="V14" s="1028">
        <v>33</v>
      </c>
      <c r="W14" s="1028">
        <v>72</v>
      </c>
      <c r="X14" s="1028">
        <v>145</v>
      </c>
      <c r="Y14" s="1028">
        <v>224</v>
      </c>
      <c r="Z14" s="1028">
        <v>369</v>
      </c>
      <c r="AA14" s="1028">
        <v>5534</v>
      </c>
      <c r="AB14" s="1028">
        <v>6431</v>
      </c>
      <c r="AC14" s="1028">
        <v>11965</v>
      </c>
    </row>
    <row r="15" spans="1:29" x14ac:dyDescent="0.3">
      <c r="A15" s="949"/>
      <c r="B15" s="496" t="s">
        <v>909</v>
      </c>
      <c r="C15" s="492">
        <v>5</v>
      </c>
      <c r="D15" s="1028">
        <v>9</v>
      </c>
      <c r="E15" s="1028">
        <v>14</v>
      </c>
      <c r="F15" s="1028">
        <v>0</v>
      </c>
      <c r="G15" s="1028">
        <v>0</v>
      </c>
      <c r="H15" s="1028">
        <v>0</v>
      </c>
      <c r="I15" s="1028">
        <v>571</v>
      </c>
      <c r="J15" s="1028">
        <v>969</v>
      </c>
      <c r="K15" s="1028">
        <v>1540</v>
      </c>
      <c r="L15" s="1028">
        <v>3397</v>
      </c>
      <c r="M15" s="1028">
        <v>4059</v>
      </c>
      <c r="N15" s="1028">
        <v>7456</v>
      </c>
      <c r="O15" s="1028">
        <v>58</v>
      </c>
      <c r="P15" s="1028">
        <v>40</v>
      </c>
      <c r="Q15" s="1028">
        <v>98</v>
      </c>
      <c r="R15" s="1028">
        <v>310</v>
      </c>
      <c r="S15" s="1028">
        <v>262</v>
      </c>
      <c r="T15" s="1028">
        <v>572</v>
      </c>
      <c r="U15" s="1028">
        <v>46</v>
      </c>
      <c r="V15" s="1028">
        <v>36</v>
      </c>
      <c r="W15" s="1028">
        <v>82</v>
      </c>
      <c r="X15" s="1028">
        <v>145</v>
      </c>
      <c r="Y15" s="1028">
        <v>224</v>
      </c>
      <c r="Z15" s="1028">
        <v>369</v>
      </c>
      <c r="AA15" s="1028">
        <v>4532</v>
      </c>
      <c r="AB15" s="1028">
        <v>5599</v>
      </c>
      <c r="AC15" s="1028">
        <v>10131</v>
      </c>
    </row>
    <row r="16" spans="1:29" x14ac:dyDescent="0.3">
      <c r="A16" s="949"/>
      <c r="B16" s="496" t="s">
        <v>908</v>
      </c>
      <c r="C16" s="492">
        <v>44</v>
      </c>
      <c r="D16" s="1028">
        <v>23</v>
      </c>
      <c r="E16" s="1028">
        <v>67</v>
      </c>
      <c r="F16" s="1028">
        <v>0</v>
      </c>
      <c r="G16" s="1028">
        <v>0</v>
      </c>
      <c r="H16" s="1028">
        <v>0</v>
      </c>
      <c r="I16" s="1028">
        <v>629</v>
      </c>
      <c r="J16" s="1028">
        <v>966</v>
      </c>
      <c r="K16" s="1028">
        <v>1595</v>
      </c>
      <c r="L16" s="1028">
        <v>3804</v>
      </c>
      <c r="M16" s="1028">
        <v>4885</v>
      </c>
      <c r="N16" s="1028">
        <v>8689</v>
      </c>
      <c r="O16" s="1028">
        <v>46</v>
      </c>
      <c r="P16" s="1028">
        <v>42</v>
      </c>
      <c r="Q16" s="1028">
        <v>88</v>
      </c>
      <c r="R16" s="1028">
        <v>534</v>
      </c>
      <c r="S16" s="1028">
        <v>350</v>
      </c>
      <c r="T16" s="1028">
        <v>884</v>
      </c>
      <c r="U16" s="1028">
        <v>0</v>
      </c>
      <c r="V16" s="1028">
        <v>0</v>
      </c>
      <c r="W16" s="1028">
        <v>0</v>
      </c>
      <c r="X16" s="1028">
        <v>46</v>
      </c>
      <c r="Y16" s="1028">
        <v>142</v>
      </c>
      <c r="Z16" s="1028">
        <v>188</v>
      </c>
      <c r="AA16" s="1028">
        <v>5103</v>
      </c>
      <c r="AB16" s="1028">
        <v>6408</v>
      </c>
      <c r="AC16" s="1028">
        <v>11511</v>
      </c>
    </row>
    <row r="17" spans="1:29" x14ac:dyDescent="0.3">
      <c r="A17" s="949">
        <v>2</v>
      </c>
      <c r="B17" s="488" t="s">
        <v>13</v>
      </c>
      <c r="C17" s="492"/>
      <c r="D17" s="1028"/>
      <c r="E17" s="1028"/>
      <c r="F17" s="1028"/>
      <c r="G17" s="1028"/>
      <c r="H17" s="1028"/>
      <c r="I17" s="1028"/>
      <c r="J17" s="1028"/>
      <c r="K17" s="1028"/>
      <c r="L17" s="1028"/>
      <c r="M17" s="1028"/>
      <c r="N17" s="1028"/>
      <c r="O17" s="1028"/>
      <c r="P17" s="1028"/>
      <c r="Q17" s="1028"/>
      <c r="R17" s="1028"/>
      <c r="S17" s="1028"/>
      <c r="T17" s="1028"/>
      <c r="U17" s="1024"/>
      <c r="V17" s="1022"/>
      <c r="W17" s="1022"/>
      <c r="X17" s="1022"/>
      <c r="Y17" s="1022"/>
      <c r="Z17" s="1022"/>
      <c r="AA17" s="1022"/>
      <c r="AB17" s="1022"/>
      <c r="AC17" s="1022"/>
    </row>
    <row r="18" spans="1:29" x14ac:dyDescent="0.3">
      <c r="A18" s="949"/>
      <c r="B18" s="488" t="s">
        <v>912</v>
      </c>
      <c r="C18" s="492">
        <v>3348</v>
      </c>
      <c r="D18" s="1028">
        <v>2846</v>
      </c>
      <c r="E18" s="1028">
        <v>6194</v>
      </c>
      <c r="F18" s="1028"/>
      <c r="G18" s="1028"/>
      <c r="H18" s="1028"/>
      <c r="I18" s="1028">
        <v>98766.668650207779</v>
      </c>
      <c r="J18" s="1028">
        <v>98877.896160230943</v>
      </c>
      <c r="K18" s="1028">
        <v>197644.56481043869</v>
      </c>
      <c r="L18" s="1028">
        <v>763277.22869092692</v>
      </c>
      <c r="M18" s="1028">
        <v>712084.04769660253</v>
      </c>
      <c r="N18" s="1028">
        <v>1475361.276387529</v>
      </c>
      <c r="O18" s="1028">
        <v>918</v>
      </c>
      <c r="P18" s="1028">
        <v>545</v>
      </c>
      <c r="Q18" s="1028">
        <v>1463</v>
      </c>
      <c r="R18" s="1028">
        <v>86764</v>
      </c>
      <c r="S18" s="1028">
        <v>59646</v>
      </c>
      <c r="T18" s="1028">
        <v>146410</v>
      </c>
      <c r="U18" s="1024">
        <v>257</v>
      </c>
      <c r="V18" s="1022">
        <v>65</v>
      </c>
      <c r="W18" s="1022">
        <v>322</v>
      </c>
      <c r="X18" s="1022">
        <v>7834</v>
      </c>
      <c r="Y18" s="1022">
        <v>5116</v>
      </c>
      <c r="Z18" s="1022">
        <v>12950</v>
      </c>
      <c r="AA18" s="1022">
        <v>961164.89734113473</v>
      </c>
      <c r="AB18" s="1022">
        <v>879179.94385683339</v>
      </c>
      <c r="AC18" s="1022">
        <v>1840344.841197968</v>
      </c>
    </row>
    <row r="19" spans="1:29" x14ac:dyDescent="0.3">
      <c r="A19" s="949"/>
      <c r="B19" s="496" t="s">
        <v>911</v>
      </c>
      <c r="C19" s="492">
        <v>3237</v>
      </c>
      <c r="D19" s="1028">
        <v>2346</v>
      </c>
      <c r="E19" s="1028">
        <v>5583</v>
      </c>
      <c r="F19" s="1028">
        <v>7</v>
      </c>
      <c r="G19" s="1028">
        <v>16</v>
      </c>
      <c r="H19" s="1028">
        <v>23</v>
      </c>
      <c r="I19" s="1028">
        <v>93141</v>
      </c>
      <c r="J19" s="1028">
        <v>91801</v>
      </c>
      <c r="K19" s="1028" t="s">
        <v>976</v>
      </c>
      <c r="L19" s="1028">
        <v>828981</v>
      </c>
      <c r="M19" s="1028">
        <v>740069</v>
      </c>
      <c r="N19" s="1028">
        <v>1569050</v>
      </c>
      <c r="O19" s="1028">
        <v>997</v>
      </c>
      <c r="P19" s="1028">
        <v>574</v>
      </c>
      <c r="Q19" s="1028">
        <v>1571</v>
      </c>
      <c r="R19" s="1028">
        <v>95265</v>
      </c>
      <c r="S19" s="1028">
        <v>61698</v>
      </c>
      <c r="T19" s="1028">
        <v>156963</v>
      </c>
      <c r="U19" s="1027">
        <v>357</v>
      </c>
      <c r="V19" s="1025">
        <v>154</v>
      </c>
      <c r="W19" s="1025">
        <v>511</v>
      </c>
      <c r="X19" s="1025">
        <v>6754</v>
      </c>
      <c r="Y19" s="1025">
        <v>3762</v>
      </c>
      <c r="Z19" s="1025">
        <v>10516</v>
      </c>
      <c r="AA19" s="1025">
        <v>1028739</v>
      </c>
      <c r="AB19" s="1025">
        <v>900420</v>
      </c>
      <c r="AC19" s="1025">
        <v>1929159</v>
      </c>
    </row>
    <row r="20" spans="1:29" x14ac:dyDescent="0.3">
      <c r="A20" s="949"/>
      <c r="B20" s="496" t="s">
        <v>910</v>
      </c>
      <c r="C20" s="492">
        <v>4283</v>
      </c>
      <c r="D20" s="1028">
        <v>2708</v>
      </c>
      <c r="E20" s="1028">
        <v>6991</v>
      </c>
      <c r="F20" s="1028">
        <v>70</v>
      </c>
      <c r="G20" s="1028">
        <v>48</v>
      </c>
      <c r="H20" s="1028">
        <v>118</v>
      </c>
      <c r="I20" s="1028">
        <v>98570</v>
      </c>
      <c r="J20" s="1028">
        <v>97244</v>
      </c>
      <c r="K20" s="1028">
        <v>195814</v>
      </c>
      <c r="L20" s="1028">
        <v>846588</v>
      </c>
      <c r="M20" s="1028">
        <v>759307</v>
      </c>
      <c r="N20" s="1028">
        <v>1605895</v>
      </c>
      <c r="O20" s="1028">
        <v>758</v>
      </c>
      <c r="P20" s="1028">
        <v>431</v>
      </c>
      <c r="Q20" s="1028">
        <v>1189</v>
      </c>
      <c r="R20" s="1028">
        <v>96913</v>
      </c>
      <c r="S20" s="1028">
        <v>66591</v>
      </c>
      <c r="T20" s="1028">
        <v>163504</v>
      </c>
      <c r="U20" s="1028">
        <v>454</v>
      </c>
      <c r="V20" s="1028">
        <v>696</v>
      </c>
      <c r="W20" s="1028">
        <v>1150</v>
      </c>
      <c r="X20" s="1028">
        <v>8429</v>
      </c>
      <c r="Y20" s="1028">
        <v>4528</v>
      </c>
      <c r="Z20" s="1028">
        <v>12957</v>
      </c>
      <c r="AA20" s="1028">
        <v>1056065</v>
      </c>
      <c r="AB20" s="1028">
        <v>931553</v>
      </c>
      <c r="AC20" s="1028">
        <v>1987618</v>
      </c>
    </row>
    <row r="21" spans="1:29" x14ac:dyDescent="0.3">
      <c r="A21" s="949"/>
      <c r="B21" s="496" t="s">
        <v>909</v>
      </c>
      <c r="C21" s="492">
        <v>3837</v>
      </c>
      <c r="D21" s="1028">
        <v>2879</v>
      </c>
      <c r="E21" s="1028">
        <v>6716</v>
      </c>
      <c r="F21" s="1028">
        <v>175</v>
      </c>
      <c r="G21" s="1028">
        <v>102</v>
      </c>
      <c r="H21" s="1028">
        <v>277</v>
      </c>
      <c r="I21" s="1028">
        <v>112024</v>
      </c>
      <c r="J21" s="1028">
        <v>105816</v>
      </c>
      <c r="K21" s="1028">
        <v>217840</v>
      </c>
      <c r="L21" s="1028">
        <v>798084</v>
      </c>
      <c r="M21" s="1028">
        <v>694983</v>
      </c>
      <c r="N21" s="1028">
        <v>1493067</v>
      </c>
      <c r="O21" s="1028">
        <v>1402</v>
      </c>
      <c r="P21" s="1028">
        <v>879</v>
      </c>
      <c r="Q21" s="1028">
        <v>2281</v>
      </c>
      <c r="R21" s="1028">
        <v>93033</v>
      </c>
      <c r="S21" s="1028">
        <v>60085</v>
      </c>
      <c r="T21" s="1028">
        <v>153118</v>
      </c>
      <c r="U21" s="1028">
        <v>3921</v>
      </c>
      <c r="V21" s="1028">
        <v>6917</v>
      </c>
      <c r="W21" s="1028">
        <v>10838</v>
      </c>
      <c r="X21" s="1028">
        <v>8650</v>
      </c>
      <c r="Y21" s="1028">
        <v>4362</v>
      </c>
      <c r="Z21" s="1028">
        <v>13012</v>
      </c>
      <c r="AA21" s="1028">
        <v>1021126</v>
      </c>
      <c r="AB21" s="1028">
        <v>876023</v>
      </c>
      <c r="AC21" s="1028">
        <v>1897149</v>
      </c>
    </row>
    <row r="22" spans="1:29" x14ac:dyDescent="0.3">
      <c r="A22" s="949"/>
      <c r="B22" s="496" t="s">
        <v>908</v>
      </c>
      <c r="C22" s="492">
        <v>3054</v>
      </c>
      <c r="D22" s="1028">
        <v>1927</v>
      </c>
      <c r="E22" s="1028">
        <v>4981</v>
      </c>
      <c r="F22" s="1028">
        <v>249</v>
      </c>
      <c r="G22" s="1028">
        <v>182</v>
      </c>
      <c r="H22" s="1028">
        <v>431</v>
      </c>
      <c r="I22" s="1028">
        <v>112753</v>
      </c>
      <c r="J22" s="1028">
        <v>98539</v>
      </c>
      <c r="K22" s="1028">
        <v>211292</v>
      </c>
      <c r="L22" s="1028">
        <v>741636</v>
      </c>
      <c r="M22" s="1028">
        <v>625754</v>
      </c>
      <c r="N22" s="1028">
        <v>1367390</v>
      </c>
      <c r="O22" s="1028">
        <v>1665</v>
      </c>
      <c r="P22" s="1028">
        <v>1030</v>
      </c>
      <c r="Q22" s="1028">
        <v>2695</v>
      </c>
      <c r="R22" s="1028">
        <v>97733</v>
      </c>
      <c r="S22" s="1028">
        <v>64378</v>
      </c>
      <c r="T22" s="1028">
        <v>162111</v>
      </c>
      <c r="U22" s="1028">
        <v>327</v>
      </c>
      <c r="V22" s="1028">
        <v>636</v>
      </c>
      <c r="W22" s="1028">
        <v>963</v>
      </c>
      <c r="X22" s="1028">
        <v>7389</v>
      </c>
      <c r="Y22" s="1028">
        <v>3578</v>
      </c>
      <c r="Z22" s="1028">
        <v>10967</v>
      </c>
      <c r="AA22" s="1028">
        <v>964806</v>
      </c>
      <c r="AB22" s="1028">
        <v>796024</v>
      </c>
      <c r="AC22" s="1028">
        <v>1760830</v>
      </c>
    </row>
    <row r="23" spans="1:29" x14ac:dyDescent="0.3">
      <c r="A23" s="949">
        <v>3</v>
      </c>
      <c r="B23" s="488" t="s">
        <v>14</v>
      </c>
      <c r="C23" s="492"/>
      <c r="D23" s="1028"/>
      <c r="E23" s="1028"/>
      <c r="F23" s="1028"/>
      <c r="G23" s="1028"/>
      <c r="H23" s="1028"/>
      <c r="I23" s="1028"/>
      <c r="J23" s="1028"/>
      <c r="K23" s="1028"/>
      <c r="L23" s="1028"/>
      <c r="M23" s="1028"/>
      <c r="N23" s="1028"/>
      <c r="O23" s="1028"/>
      <c r="P23" s="1028"/>
      <c r="Q23" s="1028"/>
      <c r="R23" s="1028"/>
      <c r="S23" s="1028"/>
      <c r="T23" s="1028"/>
      <c r="U23" s="1024"/>
      <c r="V23" s="1022"/>
      <c r="W23" s="1022"/>
      <c r="X23" s="1022"/>
      <c r="Y23" s="1022"/>
      <c r="Z23" s="1022"/>
      <c r="AA23" s="1022"/>
      <c r="AB23" s="1022"/>
      <c r="AC23" s="1022"/>
    </row>
    <row r="24" spans="1:29" x14ac:dyDescent="0.3">
      <c r="A24" s="949"/>
      <c r="B24" s="488" t="s">
        <v>912</v>
      </c>
      <c r="C24" s="492">
        <v>402</v>
      </c>
      <c r="D24" s="1028">
        <v>275</v>
      </c>
      <c r="E24" s="1028">
        <v>677</v>
      </c>
      <c r="F24" s="1028">
        <v>23</v>
      </c>
      <c r="G24" s="1028">
        <v>18</v>
      </c>
      <c r="H24" s="1028">
        <v>41</v>
      </c>
      <c r="I24" s="1028">
        <v>5733</v>
      </c>
      <c r="J24" s="1028">
        <v>5844</v>
      </c>
      <c r="K24" s="1028">
        <v>11577</v>
      </c>
      <c r="L24" s="1028">
        <v>24535</v>
      </c>
      <c r="M24" s="1028">
        <v>20952</v>
      </c>
      <c r="N24" s="1028">
        <v>45487</v>
      </c>
      <c r="O24" s="1028">
        <v>125</v>
      </c>
      <c r="P24" s="1028">
        <v>93</v>
      </c>
      <c r="Q24" s="1028">
        <v>218</v>
      </c>
      <c r="R24" s="1028">
        <v>1450</v>
      </c>
      <c r="S24" s="1028">
        <v>1660</v>
      </c>
      <c r="T24" s="1028">
        <v>3110</v>
      </c>
      <c r="U24" s="1024">
        <v>329</v>
      </c>
      <c r="V24" s="1022">
        <v>194</v>
      </c>
      <c r="W24" s="1022">
        <v>523</v>
      </c>
      <c r="X24" s="1022">
        <v>1113</v>
      </c>
      <c r="Y24" s="1022">
        <v>766</v>
      </c>
      <c r="Z24" s="1022">
        <v>1879</v>
      </c>
      <c r="AA24" s="1022">
        <v>33710</v>
      </c>
      <c r="AB24" s="1022">
        <v>29802</v>
      </c>
      <c r="AC24" s="1022">
        <v>63512</v>
      </c>
    </row>
    <row r="25" spans="1:29" x14ac:dyDescent="0.3">
      <c r="A25" s="949"/>
      <c r="B25" s="496" t="s">
        <v>911</v>
      </c>
      <c r="C25" s="492">
        <v>441</v>
      </c>
      <c r="D25" s="1028">
        <v>240</v>
      </c>
      <c r="E25" s="1028">
        <v>681</v>
      </c>
      <c r="F25" s="1028"/>
      <c r="G25" s="1028"/>
      <c r="H25" s="1028"/>
      <c r="I25" s="1028">
        <v>6481</v>
      </c>
      <c r="J25" s="1028">
        <v>6215</v>
      </c>
      <c r="K25" s="1028" t="s">
        <v>977</v>
      </c>
      <c r="L25" s="1028">
        <v>25094</v>
      </c>
      <c r="M25" s="1028">
        <v>21201</v>
      </c>
      <c r="N25" s="1028">
        <v>46295</v>
      </c>
      <c r="O25" s="1028">
        <v>152</v>
      </c>
      <c r="P25" s="1028">
        <v>101</v>
      </c>
      <c r="Q25" s="1028">
        <v>253</v>
      </c>
      <c r="R25" s="1028">
        <v>1335</v>
      </c>
      <c r="S25" s="1028">
        <v>1260</v>
      </c>
      <c r="T25" s="1028">
        <v>2595</v>
      </c>
      <c r="U25" s="1027">
        <v>329</v>
      </c>
      <c r="V25" s="1027">
        <v>163</v>
      </c>
      <c r="W25" s="1027">
        <v>492</v>
      </c>
      <c r="X25" s="1027">
        <v>1163</v>
      </c>
      <c r="Y25" s="1027">
        <v>715</v>
      </c>
      <c r="Z25" s="1027">
        <v>1878</v>
      </c>
      <c r="AA25" s="1027">
        <v>34995</v>
      </c>
      <c r="AB25" s="1027">
        <v>29895</v>
      </c>
      <c r="AC25" s="1027">
        <v>64890</v>
      </c>
    </row>
    <row r="26" spans="1:29" x14ac:dyDescent="0.3">
      <c r="A26" s="949"/>
      <c r="B26" s="496" t="s">
        <v>910</v>
      </c>
      <c r="C26" s="492">
        <v>470</v>
      </c>
      <c r="D26" s="1028">
        <v>258</v>
      </c>
      <c r="E26" s="1028">
        <v>728</v>
      </c>
      <c r="F26" s="1028">
        <v>56</v>
      </c>
      <c r="G26" s="1028">
        <v>74</v>
      </c>
      <c r="H26" s="1028">
        <v>130</v>
      </c>
      <c r="I26" s="1028">
        <v>5623</v>
      </c>
      <c r="J26" s="1028">
        <v>5814</v>
      </c>
      <c r="K26" s="1028">
        <v>11437</v>
      </c>
      <c r="L26" s="1028">
        <v>22310</v>
      </c>
      <c r="M26" s="1028">
        <v>20017</v>
      </c>
      <c r="N26" s="1028">
        <v>42327</v>
      </c>
      <c r="O26" s="1028">
        <v>97</v>
      </c>
      <c r="P26" s="1028">
        <v>80</v>
      </c>
      <c r="Q26" s="1028">
        <v>177</v>
      </c>
      <c r="R26" s="1028">
        <v>1403</v>
      </c>
      <c r="S26" s="1028">
        <v>1139</v>
      </c>
      <c r="T26" s="1028">
        <v>2542</v>
      </c>
      <c r="U26" s="1028">
        <v>310</v>
      </c>
      <c r="V26" s="1028">
        <v>162</v>
      </c>
      <c r="W26" s="1028">
        <v>472</v>
      </c>
      <c r="X26" s="1028">
        <v>1196</v>
      </c>
      <c r="Y26" s="1028">
        <v>726</v>
      </c>
      <c r="Z26" s="1028">
        <v>1922</v>
      </c>
      <c r="AA26" s="1028">
        <v>31465</v>
      </c>
      <c r="AB26" s="1028">
        <v>28270</v>
      </c>
      <c r="AC26" s="1028">
        <v>59735</v>
      </c>
    </row>
    <row r="27" spans="1:29" x14ac:dyDescent="0.3">
      <c r="A27" s="949"/>
      <c r="B27" s="496" t="s">
        <v>909</v>
      </c>
      <c r="C27" s="492">
        <v>597</v>
      </c>
      <c r="D27" s="1028">
        <v>469</v>
      </c>
      <c r="E27" s="1028">
        <v>1066</v>
      </c>
      <c r="F27" s="1028">
        <v>77</v>
      </c>
      <c r="G27" s="1028">
        <v>113</v>
      </c>
      <c r="H27" s="1028">
        <v>190</v>
      </c>
      <c r="I27" s="1028">
        <v>4960</v>
      </c>
      <c r="J27" s="1028">
        <v>5880</v>
      </c>
      <c r="K27" s="1028">
        <v>10840</v>
      </c>
      <c r="L27" s="1028">
        <v>20418</v>
      </c>
      <c r="M27" s="1028">
        <v>19017</v>
      </c>
      <c r="N27" s="1028">
        <v>39435</v>
      </c>
      <c r="O27" s="1028">
        <v>127</v>
      </c>
      <c r="P27" s="1028">
        <v>144</v>
      </c>
      <c r="Q27" s="1028">
        <v>271</v>
      </c>
      <c r="R27" s="1028">
        <v>1308</v>
      </c>
      <c r="S27" s="1028">
        <v>645</v>
      </c>
      <c r="T27" s="1028">
        <v>1953</v>
      </c>
      <c r="U27" s="1028">
        <v>299</v>
      </c>
      <c r="V27" s="1028">
        <v>119</v>
      </c>
      <c r="W27" s="1028">
        <v>418</v>
      </c>
      <c r="X27" s="1028">
        <v>1015</v>
      </c>
      <c r="Y27" s="1028">
        <v>628</v>
      </c>
      <c r="Z27" s="1028">
        <v>1643</v>
      </c>
      <c r="AA27" s="1028">
        <v>28801</v>
      </c>
      <c r="AB27" s="1028">
        <v>27015</v>
      </c>
      <c r="AC27" s="1028">
        <v>55816</v>
      </c>
    </row>
    <row r="28" spans="1:29" x14ac:dyDescent="0.3">
      <c r="A28" s="949"/>
      <c r="B28" s="496" t="s">
        <v>908</v>
      </c>
      <c r="C28" s="492">
        <v>396</v>
      </c>
      <c r="D28" s="1028">
        <v>280</v>
      </c>
      <c r="E28" s="1028">
        <v>676</v>
      </c>
      <c r="F28" s="1028">
        <v>47</v>
      </c>
      <c r="G28" s="1028">
        <v>77</v>
      </c>
      <c r="H28" s="1028">
        <v>124</v>
      </c>
      <c r="I28" s="1028">
        <v>3796</v>
      </c>
      <c r="J28" s="1028">
        <v>4287</v>
      </c>
      <c r="K28" s="1028">
        <v>8083</v>
      </c>
      <c r="L28" s="1028">
        <v>17976</v>
      </c>
      <c r="M28" s="1028">
        <v>17966</v>
      </c>
      <c r="N28" s="1028">
        <v>35942</v>
      </c>
      <c r="O28" s="1028">
        <v>104</v>
      </c>
      <c r="P28" s="1028">
        <v>61</v>
      </c>
      <c r="Q28" s="1028">
        <v>165</v>
      </c>
      <c r="R28" s="1028">
        <v>832</v>
      </c>
      <c r="S28" s="1028">
        <v>595</v>
      </c>
      <c r="T28" s="1028">
        <v>1427</v>
      </c>
      <c r="U28" s="1028">
        <v>265</v>
      </c>
      <c r="V28" s="1028">
        <v>84</v>
      </c>
      <c r="W28" s="1028">
        <v>349</v>
      </c>
      <c r="X28" s="1028">
        <v>308</v>
      </c>
      <c r="Y28" s="1028">
        <v>94</v>
      </c>
      <c r="Z28" s="1028">
        <v>402</v>
      </c>
      <c r="AA28" s="1028">
        <v>23724</v>
      </c>
      <c r="AB28" s="1028">
        <v>23444</v>
      </c>
      <c r="AC28" s="1028">
        <v>47168</v>
      </c>
    </row>
    <row r="29" spans="1:29" x14ac:dyDescent="0.3">
      <c r="A29" s="949">
        <v>4</v>
      </c>
      <c r="B29" s="488" t="s">
        <v>15</v>
      </c>
      <c r="C29" s="492"/>
      <c r="D29" s="1028"/>
      <c r="E29" s="1028"/>
      <c r="F29" s="1028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V29" s="1028"/>
      <c r="W29" s="1028"/>
      <c r="X29" s="1028"/>
      <c r="Y29" s="1028"/>
      <c r="Z29" s="1028"/>
      <c r="AA29" s="1028"/>
      <c r="AB29" s="1028"/>
      <c r="AC29" s="1028"/>
    </row>
    <row r="30" spans="1:29" x14ac:dyDescent="0.3">
      <c r="A30" s="949"/>
      <c r="B30" s="488" t="s">
        <v>912</v>
      </c>
      <c r="C30" s="492">
        <v>3048</v>
      </c>
      <c r="D30" s="1028">
        <v>2359</v>
      </c>
      <c r="E30" s="1028">
        <v>5407</v>
      </c>
      <c r="F30" s="1028">
        <v>16</v>
      </c>
      <c r="G30" s="1028">
        <v>42</v>
      </c>
      <c r="H30" s="1028">
        <v>58</v>
      </c>
      <c r="I30" s="1028">
        <v>40226.071428571428</v>
      </c>
      <c r="J30" s="1028">
        <v>58561.571428571428</v>
      </c>
      <c r="K30" s="1028">
        <v>98787.642857142855</v>
      </c>
      <c r="L30" s="1028">
        <v>279108.5</v>
      </c>
      <c r="M30" s="1028">
        <v>281003.92857142858</v>
      </c>
      <c r="N30" s="1028">
        <v>560112.42857142852</v>
      </c>
      <c r="O30" s="1028">
        <v>758</v>
      </c>
      <c r="P30" s="1028">
        <v>842</v>
      </c>
      <c r="Q30" s="1028">
        <v>1600</v>
      </c>
      <c r="R30" s="1028">
        <v>19056</v>
      </c>
      <c r="S30" s="1028">
        <v>20514</v>
      </c>
      <c r="T30" s="1028">
        <v>39570</v>
      </c>
      <c r="U30" s="1028">
        <v>16041</v>
      </c>
      <c r="V30" s="1028">
        <v>23220</v>
      </c>
      <c r="W30" s="1028">
        <v>39261</v>
      </c>
      <c r="X30" s="1028">
        <v>2879</v>
      </c>
      <c r="Y30" s="1028">
        <v>3598</v>
      </c>
      <c r="Z30" s="1028">
        <v>6477</v>
      </c>
      <c r="AA30" s="1028">
        <v>361132.57142857142</v>
      </c>
      <c r="AB30" s="1028">
        <v>390140.5</v>
      </c>
      <c r="AC30" s="1028">
        <v>751273.07142857148</v>
      </c>
    </row>
    <row r="31" spans="1:29" x14ac:dyDescent="0.3">
      <c r="A31" s="949"/>
      <c r="B31" s="496" t="s">
        <v>911</v>
      </c>
      <c r="C31" s="492">
        <v>3140</v>
      </c>
      <c r="D31" s="1028">
        <v>2230</v>
      </c>
      <c r="E31" s="1028">
        <v>5370</v>
      </c>
      <c r="F31" s="1028">
        <v>82</v>
      </c>
      <c r="G31" s="1028">
        <v>132</v>
      </c>
      <c r="H31" s="1028">
        <v>214</v>
      </c>
      <c r="I31" s="1028">
        <v>26134</v>
      </c>
      <c r="J31" s="1028">
        <v>36830</v>
      </c>
      <c r="K31" s="1028">
        <v>62964</v>
      </c>
      <c r="L31" s="1028">
        <v>288411</v>
      </c>
      <c r="M31" s="1028">
        <v>290995</v>
      </c>
      <c r="N31" s="1028">
        <v>579406</v>
      </c>
      <c r="O31" s="1028">
        <v>693</v>
      </c>
      <c r="P31" s="1028">
        <v>828</v>
      </c>
      <c r="Q31" s="1028">
        <v>1521</v>
      </c>
      <c r="R31" s="1028">
        <v>12793</v>
      </c>
      <c r="S31" s="1028">
        <v>9470</v>
      </c>
      <c r="T31" s="1028">
        <v>22263</v>
      </c>
      <c r="U31" s="1028">
        <v>102</v>
      </c>
      <c r="V31" s="1028">
        <v>688</v>
      </c>
      <c r="W31" s="1028">
        <v>790</v>
      </c>
      <c r="X31" s="1028">
        <v>2571</v>
      </c>
      <c r="Y31" s="1028">
        <v>2913</v>
      </c>
      <c r="Z31" s="1028">
        <v>5484</v>
      </c>
      <c r="AA31" s="1028">
        <v>333926</v>
      </c>
      <c r="AB31" s="1028">
        <v>344086</v>
      </c>
      <c r="AC31" s="1028">
        <v>678012</v>
      </c>
    </row>
    <row r="32" spans="1:29" x14ac:dyDescent="0.3">
      <c r="A32" s="949"/>
      <c r="B32" s="496" t="s">
        <v>910</v>
      </c>
      <c r="C32" s="492">
        <v>3648</v>
      </c>
      <c r="D32" s="1028">
        <v>2356</v>
      </c>
      <c r="E32" s="1028">
        <v>6004</v>
      </c>
      <c r="F32" s="1028">
        <v>126</v>
      </c>
      <c r="G32" s="1028">
        <v>180</v>
      </c>
      <c r="H32" s="1028">
        <v>306</v>
      </c>
      <c r="I32" s="1028">
        <v>23461</v>
      </c>
      <c r="J32" s="1028">
        <v>33328</v>
      </c>
      <c r="K32" s="1028">
        <v>56789</v>
      </c>
      <c r="L32" s="1028">
        <v>297876</v>
      </c>
      <c r="M32" s="1028">
        <v>304835</v>
      </c>
      <c r="N32" s="1028">
        <v>602711</v>
      </c>
      <c r="O32" s="1028">
        <v>984</v>
      </c>
      <c r="P32" s="1028">
        <v>946</v>
      </c>
      <c r="Q32" s="1028">
        <v>1930</v>
      </c>
      <c r="R32" s="1028">
        <v>12972</v>
      </c>
      <c r="S32" s="1028">
        <v>9814</v>
      </c>
      <c r="T32" s="1028">
        <v>22786</v>
      </c>
      <c r="U32" s="1028">
        <v>459</v>
      </c>
      <c r="V32" s="1028">
        <v>866</v>
      </c>
      <c r="W32" s="1028">
        <v>1325</v>
      </c>
      <c r="X32" s="1028">
        <v>2459</v>
      </c>
      <c r="Y32" s="1028">
        <v>2783</v>
      </c>
      <c r="Z32" s="1028">
        <v>5242</v>
      </c>
      <c r="AA32" s="1028">
        <v>341985</v>
      </c>
      <c r="AB32" s="1028">
        <v>355108</v>
      </c>
      <c r="AC32" s="1028">
        <v>697093</v>
      </c>
    </row>
    <row r="33" spans="1:29" x14ac:dyDescent="0.3">
      <c r="A33" s="949"/>
      <c r="B33" s="496" t="s">
        <v>909</v>
      </c>
      <c r="C33" s="492">
        <v>3214</v>
      </c>
      <c r="D33" s="1028">
        <v>2413</v>
      </c>
      <c r="E33" s="1028">
        <v>5627</v>
      </c>
      <c r="F33" s="1028">
        <v>245</v>
      </c>
      <c r="G33" s="1028">
        <v>371</v>
      </c>
      <c r="H33" s="1028">
        <v>616</v>
      </c>
      <c r="I33" s="1028">
        <v>27523</v>
      </c>
      <c r="J33" s="1028">
        <v>39800</v>
      </c>
      <c r="K33" s="1028">
        <v>67323</v>
      </c>
      <c r="L33" s="1028">
        <v>269915</v>
      </c>
      <c r="M33" s="1028">
        <v>278078</v>
      </c>
      <c r="N33" s="1028">
        <v>547993</v>
      </c>
      <c r="O33" s="1028">
        <v>1683</v>
      </c>
      <c r="P33" s="1028">
        <v>1530</v>
      </c>
      <c r="Q33" s="1028">
        <v>3213</v>
      </c>
      <c r="R33" s="1028">
        <v>11139</v>
      </c>
      <c r="S33" s="1028">
        <v>8078</v>
      </c>
      <c r="T33" s="1028">
        <v>19217</v>
      </c>
      <c r="U33" s="1028">
        <v>743</v>
      </c>
      <c r="V33" s="1028">
        <v>1176</v>
      </c>
      <c r="W33" s="1028">
        <v>1919</v>
      </c>
      <c r="X33" s="1028">
        <v>2446</v>
      </c>
      <c r="Y33" s="1028">
        <v>2247</v>
      </c>
      <c r="Z33" s="1028">
        <v>4693</v>
      </c>
      <c r="AA33" s="1028">
        <v>316908</v>
      </c>
      <c r="AB33" s="1028">
        <v>333693</v>
      </c>
      <c r="AC33" s="1028">
        <v>650601</v>
      </c>
    </row>
    <row r="34" spans="1:29" x14ac:dyDescent="0.3">
      <c r="A34" s="949"/>
      <c r="B34" s="496" t="s">
        <v>908</v>
      </c>
      <c r="C34" s="492">
        <v>2970</v>
      </c>
      <c r="D34" s="1028">
        <v>1970</v>
      </c>
      <c r="E34" s="1028">
        <v>4940</v>
      </c>
      <c r="F34" s="1028">
        <v>192</v>
      </c>
      <c r="G34" s="1028">
        <v>272</v>
      </c>
      <c r="H34" s="1028">
        <v>464</v>
      </c>
      <c r="I34" s="1028">
        <v>26709</v>
      </c>
      <c r="J34" s="1028">
        <v>38720</v>
      </c>
      <c r="K34" s="1028">
        <v>65429</v>
      </c>
      <c r="L34" s="1028">
        <v>300082</v>
      </c>
      <c r="M34" s="1028">
        <v>296037</v>
      </c>
      <c r="N34" s="1028">
        <v>596119</v>
      </c>
      <c r="O34" s="1028">
        <v>1694</v>
      </c>
      <c r="P34" s="1028">
        <v>1564</v>
      </c>
      <c r="Q34" s="1028">
        <v>3258</v>
      </c>
      <c r="R34" s="1028">
        <v>12704</v>
      </c>
      <c r="S34" s="1028">
        <v>10910</v>
      </c>
      <c r="T34" s="1028">
        <v>23614</v>
      </c>
      <c r="U34" s="1028">
        <v>756</v>
      </c>
      <c r="V34" s="1028">
        <v>1034</v>
      </c>
      <c r="W34" s="1028">
        <v>1790</v>
      </c>
      <c r="X34" s="1028">
        <v>2377</v>
      </c>
      <c r="Y34" s="1028">
        <v>2172</v>
      </c>
      <c r="Z34" s="1028">
        <v>4549</v>
      </c>
      <c r="AA34" s="1028">
        <v>347484</v>
      </c>
      <c r="AB34" s="1028">
        <v>352679</v>
      </c>
      <c r="AC34" s="1028">
        <v>700163</v>
      </c>
    </row>
    <row r="35" spans="1:29" x14ac:dyDescent="0.3">
      <c r="A35" s="949">
        <v>5</v>
      </c>
      <c r="B35" s="488" t="s">
        <v>16</v>
      </c>
      <c r="C35" s="492"/>
      <c r="D35" s="1028"/>
      <c r="E35" s="1028"/>
      <c r="F35" s="1028"/>
      <c r="G35" s="1028"/>
      <c r="H35" s="1028"/>
      <c r="I35" s="1028"/>
      <c r="J35" s="1028"/>
      <c r="K35" s="1028"/>
      <c r="L35" s="1028"/>
      <c r="M35" s="1028"/>
      <c r="N35" s="1028"/>
      <c r="O35" s="1028"/>
      <c r="P35" s="1028"/>
      <c r="Q35" s="1028"/>
      <c r="R35" s="1028"/>
      <c r="S35" s="1028"/>
      <c r="T35" s="1028"/>
      <c r="U35" s="1028"/>
      <c r="V35" s="1028"/>
      <c r="W35" s="1028"/>
      <c r="X35" s="1028"/>
      <c r="Y35" s="1028"/>
      <c r="Z35" s="1028"/>
      <c r="AA35" s="1028"/>
      <c r="AB35" s="1028"/>
      <c r="AC35" s="1028"/>
    </row>
    <row r="36" spans="1:29" x14ac:dyDescent="0.3">
      <c r="A36" s="949"/>
      <c r="B36" s="488" t="s">
        <v>912</v>
      </c>
      <c r="C36" s="492">
        <v>3434</v>
      </c>
      <c r="D36" s="1028">
        <v>2205</v>
      </c>
      <c r="E36" s="1028">
        <v>5639</v>
      </c>
      <c r="F36" s="1028"/>
      <c r="G36" s="1028"/>
      <c r="H36" s="1028"/>
      <c r="I36" s="1028">
        <v>78027.407413907407</v>
      </c>
      <c r="J36" s="1028">
        <v>86469.176683176687</v>
      </c>
      <c r="K36" s="1028">
        <v>164496.58409708409</v>
      </c>
      <c r="L36" s="1028">
        <v>1202318.2088018749</v>
      </c>
      <c r="M36" s="1028">
        <v>1118963.6290272961</v>
      </c>
      <c r="N36" s="1028">
        <v>2321281.8378291712</v>
      </c>
      <c r="O36" s="1028">
        <v>1812</v>
      </c>
      <c r="P36" s="1028">
        <v>920</v>
      </c>
      <c r="Q36" s="1028">
        <v>2732</v>
      </c>
      <c r="R36" s="1028">
        <v>67553</v>
      </c>
      <c r="S36" s="1028">
        <v>57795</v>
      </c>
      <c r="T36" s="1028">
        <v>125348</v>
      </c>
      <c r="U36" s="1028">
        <v>2060</v>
      </c>
      <c r="V36" s="1028">
        <v>1694</v>
      </c>
      <c r="W36" s="1028">
        <v>3754</v>
      </c>
      <c r="X36" s="1028">
        <v>2659</v>
      </c>
      <c r="Y36" s="1028">
        <v>1981</v>
      </c>
      <c r="Z36" s="1028">
        <v>4640</v>
      </c>
      <c r="AA36" s="1028">
        <v>1357863.6162157829</v>
      </c>
      <c r="AB36" s="1028">
        <v>1270027.8057104719</v>
      </c>
      <c r="AC36" s="1028">
        <v>2627891.4219262549</v>
      </c>
    </row>
    <row r="37" spans="1:29" x14ac:dyDescent="0.3">
      <c r="A37" s="949"/>
      <c r="B37" s="496" t="s">
        <v>911</v>
      </c>
      <c r="C37" s="492">
        <v>3720</v>
      </c>
      <c r="D37" s="1028">
        <v>1854</v>
      </c>
      <c r="E37" s="1028">
        <v>5574</v>
      </c>
      <c r="F37" s="1028"/>
      <c r="G37" s="1028"/>
      <c r="H37" s="1028"/>
      <c r="I37" s="1028">
        <v>80756</v>
      </c>
      <c r="J37" s="1028">
        <v>74667</v>
      </c>
      <c r="K37" s="1028">
        <v>155423</v>
      </c>
      <c r="L37" s="1028">
        <v>1291227</v>
      </c>
      <c r="M37" s="1028">
        <v>1041776</v>
      </c>
      <c r="N37" s="1028">
        <v>2333003</v>
      </c>
      <c r="O37" s="1028">
        <v>1989</v>
      </c>
      <c r="P37" s="1028">
        <v>808</v>
      </c>
      <c r="Q37" s="1028">
        <v>2797</v>
      </c>
      <c r="R37" s="1028">
        <v>65540</v>
      </c>
      <c r="S37" s="1028">
        <v>53449</v>
      </c>
      <c r="T37" s="1028">
        <v>118989</v>
      </c>
      <c r="U37" s="1028">
        <v>1419</v>
      </c>
      <c r="V37" s="1028">
        <v>1292</v>
      </c>
      <c r="W37" s="1028">
        <v>2711</v>
      </c>
      <c r="X37" s="1028">
        <v>2809</v>
      </c>
      <c r="Y37" s="1028">
        <v>1640</v>
      </c>
      <c r="Z37" s="1028">
        <v>4449</v>
      </c>
      <c r="AA37" s="1028">
        <v>1447460</v>
      </c>
      <c r="AB37" s="1028">
        <v>1175486</v>
      </c>
      <c r="AC37" s="1028">
        <v>2622946</v>
      </c>
    </row>
    <row r="38" spans="1:29" x14ac:dyDescent="0.3">
      <c r="A38" s="949"/>
      <c r="B38" s="496" t="s">
        <v>910</v>
      </c>
      <c r="C38" s="492">
        <v>2625</v>
      </c>
      <c r="D38" s="1028">
        <v>1183</v>
      </c>
      <c r="E38" s="1028">
        <v>3808</v>
      </c>
      <c r="F38" s="1028">
        <v>50</v>
      </c>
      <c r="G38" s="1028">
        <v>23</v>
      </c>
      <c r="H38" s="1028">
        <v>73</v>
      </c>
      <c r="I38" s="1028">
        <v>99157</v>
      </c>
      <c r="J38" s="1028">
        <v>84462</v>
      </c>
      <c r="K38" s="1028">
        <v>183619</v>
      </c>
      <c r="L38" s="1028">
        <v>1141620</v>
      </c>
      <c r="M38" s="1028">
        <v>911387</v>
      </c>
      <c r="N38" s="1028">
        <v>2053007</v>
      </c>
      <c r="O38" s="1028">
        <v>2798</v>
      </c>
      <c r="P38" s="1028">
        <v>1077</v>
      </c>
      <c r="Q38" s="1028">
        <v>3875</v>
      </c>
      <c r="R38" s="1028">
        <v>57296</v>
      </c>
      <c r="S38" s="1028">
        <v>49189</v>
      </c>
      <c r="T38" s="1028">
        <v>106485</v>
      </c>
      <c r="U38" s="1028">
        <v>3264</v>
      </c>
      <c r="V38" s="1028">
        <v>2885</v>
      </c>
      <c r="W38" s="1028">
        <v>6149</v>
      </c>
      <c r="X38" s="1028">
        <v>2592</v>
      </c>
      <c r="Y38" s="1028">
        <v>1333</v>
      </c>
      <c r="Z38" s="1028">
        <v>3925</v>
      </c>
      <c r="AA38" s="1028">
        <v>1309402</v>
      </c>
      <c r="AB38" s="1028">
        <v>1051539</v>
      </c>
      <c r="AC38" s="1028">
        <v>2360941</v>
      </c>
    </row>
    <row r="39" spans="1:29" x14ac:dyDescent="0.3">
      <c r="A39" s="949"/>
      <c r="B39" s="496" t="s">
        <v>909</v>
      </c>
      <c r="C39" s="492">
        <v>1665</v>
      </c>
      <c r="D39" s="1028">
        <v>1034</v>
      </c>
      <c r="E39" s="1028">
        <v>2699</v>
      </c>
      <c r="F39" s="1028">
        <v>55</v>
      </c>
      <c r="G39" s="1028">
        <v>15</v>
      </c>
      <c r="H39" s="1028">
        <v>70</v>
      </c>
      <c r="I39" s="1028">
        <v>61287</v>
      </c>
      <c r="J39" s="1028">
        <v>59654</v>
      </c>
      <c r="K39" s="1028">
        <v>120941</v>
      </c>
      <c r="L39" s="1028">
        <v>855740</v>
      </c>
      <c r="M39" s="1028">
        <v>677529</v>
      </c>
      <c r="N39" s="1028">
        <v>1533269</v>
      </c>
      <c r="O39" s="1028">
        <v>1814</v>
      </c>
      <c r="P39" s="1028">
        <v>801</v>
      </c>
      <c r="Q39" s="1028">
        <v>2615</v>
      </c>
      <c r="R39" s="1028">
        <v>43054</v>
      </c>
      <c r="S39" s="1028">
        <v>25907</v>
      </c>
      <c r="T39" s="1028">
        <v>68961</v>
      </c>
      <c r="U39" s="1028">
        <v>4029</v>
      </c>
      <c r="V39" s="1028">
        <v>2564</v>
      </c>
      <c r="W39" s="1028">
        <v>6593</v>
      </c>
      <c r="X39" s="1028">
        <v>2258</v>
      </c>
      <c r="Y39" s="1028">
        <v>1026</v>
      </c>
      <c r="Z39" s="1028">
        <v>3284</v>
      </c>
      <c r="AA39" s="1028">
        <v>969902</v>
      </c>
      <c r="AB39" s="1028">
        <v>768530</v>
      </c>
      <c r="AC39" s="1028">
        <v>1738432</v>
      </c>
    </row>
    <row r="40" spans="1:29" x14ac:dyDescent="0.3">
      <c r="A40" s="949"/>
      <c r="B40" s="496" t="s">
        <v>908</v>
      </c>
      <c r="C40" s="492">
        <v>2239</v>
      </c>
      <c r="D40" s="1028">
        <v>1123</v>
      </c>
      <c r="E40" s="1028">
        <v>3362</v>
      </c>
      <c r="F40" s="1028">
        <v>0</v>
      </c>
      <c r="G40" s="1028">
        <v>0</v>
      </c>
      <c r="H40" s="1028">
        <v>0</v>
      </c>
      <c r="I40" s="1028">
        <v>69515</v>
      </c>
      <c r="J40" s="1028">
        <v>58697</v>
      </c>
      <c r="K40" s="1028">
        <v>128212</v>
      </c>
      <c r="L40" s="1028">
        <v>807032</v>
      </c>
      <c r="M40" s="1028">
        <v>604600</v>
      </c>
      <c r="N40" s="1028">
        <v>1411632</v>
      </c>
      <c r="O40" s="1028">
        <v>1692</v>
      </c>
      <c r="P40" s="1028">
        <v>778</v>
      </c>
      <c r="Q40" s="1028">
        <v>2470</v>
      </c>
      <c r="R40" s="1028">
        <v>35350</v>
      </c>
      <c r="S40" s="1028">
        <v>18990</v>
      </c>
      <c r="T40" s="1028">
        <v>54340</v>
      </c>
      <c r="U40" s="1028">
        <v>2705</v>
      </c>
      <c r="V40" s="1028">
        <v>1439</v>
      </c>
      <c r="W40" s="1028">
        <v>4144</v>
      </c>
      <c r="X40" s="1028">
        <v>1952</v>
      </c>
      <c r="Y40" s="1028">
        <v>896</v>
      </c>
      <c r="Z40" s="1028">
        <v>2848</v>
      </c>
      <c r="AA40" s="1028">
        <v>920485</v>
      </c>
      <c r="AB40" s="1028">
        <v>686523</v>
      </c>
      <c r="AC40" s="1028">
        <v>1607008</v>
      </c>
    </row>
    <row r="41" spans="1:29" x14ac:dyDescent="0.3">
      <c r="A41" s="949">
        <v>6</v>
      </c>
      <c r="B41" s="488" t="s">
        <v>17</v>
      </c>
      <c r="C41" s="492"/>
      <c r="D41" s="1028"/>
      <c r="E41" s="1028"/>
      <c r="F41" s="1028"/>
      <c r="G41" s="1028"/>
      <c r="H41" s="1028"/>
      <c r="I41" s="1028"/>
      <c r="J41" s="1028"/>
      <c r="K41" s="1028"/>
      <c r="L41" s="1028"/>
      <c r="M41" s="1028"/>
      <c r="N41" s="1028"/>
      <c r="O41" s="1028"/>
      <c r="P41" s="1028"/>
      <c r="Q41" s="1028"/>
      <c r="R41" s="1028"/>
      <c r="S41" s="1028"/>
      <c r="T41" s="1028"/>
      <c r="U41" s="1028"/>
      <c r="V41" s="1028"/>
      <c r="W41" s="1028"/>
      <c r="X41" s="1028"/>
      <c r="Y41" s="1028"/>
      <c r="Z41" s="1028"/>
      <c r="AA41" s="1028"/>
      <c r="AB41" s="1028"/>
      <c r="AC41" s="1028"/>
    </row>
    <row r="42" spans="1:29" x14ac:dyDescent="0.3">
      <c r="A42" s="949"/>
      <c r="B42" s="488" t="s">
        <v>912</v>
      </c>
      <c r="C42" s="492">
        <v>340</v>
      </c>
      <c r="D42" s="1028">
        <v>350</v>
      </c>
      <c r="E42" s="1028">
        <v>690</v>
      </c>
      <c r="F42" s="1028">
        <v>0</v>
      </c>
      <c r="G42" s="1028">
        <v>1</v>
      </c>
      <c r="H42" s="1028">
        <v>1</v>
      </c>
      <c r="I42" s="1028">
        <v>8819</v>
      </c>
      <c r="J42" s="1028">
        <v>12692</v>
      </c>
      <c r="K42" s="1028">
        <v>21511</v>
      </c>
      <c r="L42" s="1028">
        <v>40140</v>
      </c>
      <c r="M42" s="1028">
        <v>35871</v>
      </c>
      <c r="N42" s="1028">
        <v>76011</v>
      </c>
      <c r="O42" s="1028">
        <v>846</v>
      </c>
      <c r="P42" s="1028">
        <v>938</v>
      </c>
      <c r="Q42" s="1028">
        <v>1784</v>
      </c>
      <c r="R42" s="1028">
        <v>2359</v>
      </c>
      <c r="S42" s="1028">
        <v>2305</v>
      </c>
      <c r="T42" s="1028">
        <v>4664</v>
      </c>
      <c r="U42" s="1028">
        <v>473</v>
      </c>
      <c r="V42" s="1028">
        <v>314</v>
      </c>
      <c r="W42" s="1028">
        <v>787</v>
      </c>
      <c r="X42" s="1028">
        <v>1094</v>
      </c>
      <c r="Y42" s="1028">
        <v>1553</v>
      </c>
      <c r="Z42" s="1028">
        <v>2647</v>
      </c>
      <c r="AA42" s="1028">
        <v>54071</v>
      </c>
      <c r="AB42" s="1028">
        <v>54024</v>
      </c>
      <c r="AC42" s="1028">
        <v>108095</v>
      </c>
    </row>
    <row r="43" spans="1:29" x14ac:dyDescent="0.3">
      <c r="A43" s="949"/>
      <c r="B43" s="496" t="s">
        <v>911</v>
      </c>
      <c r="C43" s="492">
        <v>343</v>
      </c>
      <c r="D43" s="1028">
        <v>454</v>
      </c>
      <c r="E43" s="1028">
        <v>797</v>
      </c>
      <c r="F43" s="1028">
        <v>19</v>
      </c>
      <c r="G43" s="1028">
        <v>25</v>
      </c>
      <c r="H43" s="1028">
        <v>44</v>
      </c>
      <c r="I43" s="1028">
        <v>9172</v>
      </c>
      <c r="J43" s="1028">
        <v>13600</v>
      </c>
      <c r="K43" s="1028">
        <v>22772</v>
      </c>
      <c r="L43" s="1028">
        <v>41264</v>
      </c>
      <c r="M43" s="1028">
        <v>36134</v>
      </c>
      <c r="N43" s="1028">
        <v>77398</v>
      </c>
      <c r="O43" s="1028">
        <v>899</v>
      </c>
      <c r="P43" s="1028">
        <v>965</v>
      </c>
      <c r="Q43" s="1028">
        <v>1864</v>
      </c>
      <c r="R43" s="1028">
        <v>2152</v>
      </c>
      <c r="S43" s="1028">
        <v>2828</v>
      </c>
      <c r="T43" s="1028">
        <v>4980</v>
      </c>
      <c r="U43" s="1028">
        <v>319</v>
      </c>
      <c r="V43" s="1028">
        <v>288</v>
      </c>
      <c r="W43" s="1028">
        <v>607</v>
      </c>
      <c r="X43" s="1028">
        <v>1123</v>
      </c>
      <c r="Y43" s="1028">
        <v>1418</v>
      </c>
      <c r="Z43" s="1028">
        <v>2541</v>
      </c>
      <c r="AA43" s="1028">
        <v>55291</v>
      </c>
      <c r="AB43" s="1028">
        <v>55712</v>
      </c>
      <c r="AC43" s="1028">
        <v>111003</v>
      </c>
    </row>
    <row r="44" spans="1:29" x14ac:dyDescent="0.3">
      <c r="A44" s="949"/>
      <c r="B44" s="496" t="s">
        <v>910</v>
      </c>
      <c r="C44" s="492">
        <v>323</v>
      </c>
      <c r="D44" s="1028">
        <v>427</v>
      </c>
      <c r="E44" s="1028">
        <v>750</v>
      </c>
      <c r="F44" s="1028">
        <v>158</v>
      </c>
      <c r="G44" s="1028">
        <v>29</v>
      </c>
      <c r="H44" s="1028">
        <v>187</v>
      </c>
      <c r="I44" s="1028">
        <v>8669</v>
      </c>
      <c r="J44" s="1028">
        <v>13715</v>
      </c>
      <c r="K44" s="1028">
        <v>22384</v>
      </c>
      <c r="L44" s="1028">
        <v>40358</v>
      </c>
      <c r="M44" s="1028">
        <v>35349</v>
      </c>
      <c r="N44" s="1028">
        <v>75707</v>
      </c>
      <c r="O44" s="1028">
        <v>1138</v>
      </c>
      <c r="P44" s="1028">
        <v>1181</v>
      </c>
      <c r="Q44" s="1028">
        <v>2319</v>
      </c>
      <c r="R44" s="1028">
        <v>3035</v>
      </c>
      <c r="S44" s="1028">
        <v>3631</v>
      </c>
      <c r="T44" s="1028">
        <v>6666</v>
      </c>
      <c r="U44" s="1028">
        <v>245</v>
      </c>
      <c r="V44" s="1028">
        <v>237</v>
      </c>
      <c r="W44" s="1028">
        <v>482</v>
      </c>
      <c r="X44" s="1028">
        <v>883</v>
      </c>
      <c r="Y44" s="1028">
        <v>1087</v>
      </c>
      <c r="Z44" s="1028">
        <v>1970</v>
      </c>
      <c r="AA44" s="1028">
        <v>54809</v>
      </c>
      <c r="AB44" s="1028">
        <v>55656</v>
      </c>
      <c r="AC44" s="1028">
        <v>110465</v>
      </c>
    </row>
    <row r="45" spans="1:29" x14ac:dyDescent="0.3">
      <c r="A45" s="949"/>
      <c r="B45" s="496" t="s">
        <v>909</v>
      </c>
      <c r="C45" s="492">
        <v>409</v>
      </c>
      <c r="D45" s="1028">
        <v>550</v>
      </c>
      <c r="E45" s="1028">
        <v>959</v>
      </c>
      <c r="F45" s="1028">
        <v>140</v>
      </c>
      <c r="G45" s="1028">
        <v>48</v>
      </c>
      <c r="H45" s="1028">
        <v>188</v>
      </c>
      <c r="I45" s="1028">
        <v>8560</v>
      </c>
      <c r="J45" s="1028">
        <v>13854</v>
      </c>
      <c r="K45" s="1028">
        <v>22414</v>
      </c>
      <c r="L45" s="1028">
        <v>39098</v>
      </c>
      <c r="M45" s="1028">
        <v>34415</v>
      </c>
      <c r="N45" s="1028">
        <v>73513</v>
      </c>
      <c r="O45" s="1028">
        <v>1065</v>
      </c>
      <c r="P45" s="1028">
        <v>1115</v>
      </c>
      <c r="Q45" s="1028">
        <v>2180</v>
      </c>
      <c r="R45" s="1028">
        <v>2340</v>
      </c>
      <c r="S45" s="1028">
        <v>1944</v>
      </c>
      <c r="T45" s="1028">
        <v>4284</v>
      </c>
      <c r="U45" s="1028">
        <v>419</v>
      </c>
      <c r="V45" s="1028">
        <v>281</v>
      </c>
      <c r="W45" s="1028">
        <v>700</v>
      </c>
      <c r="X45" s="1028">
        <v>1139</v>
      </c>
      <c r="Y45" s="1028">
        <v>1290</v>
      </c>
      <c r="Z45" s="1028">
        <v>2429</v>
      </c>
      <c r="AA45" s="1028">
        <v>53170</v>
      </c>
      <c r="AB45" s="1028">
        <v>53497</v>
      </c>
      <c r="AC45" s="1028">
        <v>106667</v>
      </c>
    </row>
    <row r="46" spans="1:29" x14ac:dyDescent="0.3">
      <c r="A46" s="949"/>
      <c r="B46" s="496" t="s">
        <v>908</v>
      </c>
      <c r="C46" s="492">
        <v>353</v>
      </c>
      <c r="D46" s="1028">
        <v>508</v>
      </c>
      <c r="E46" s="1028">
        <v>861</v>
      </c>
      <c r="F46" s="1028">
        <v>145</v>
      </c>
      <c r="G46" s="1028">
        <v>43</v>
      </c>
      <c r="H46" s="1028">
        <v>188</v>
      </c>
      <c r="I46" s="1028">
        <v>7576</v>
      </c>
      <c r="J46" s="1028">
        <v>13291</v>
      </c>
      <c r="K46" s="1028">
        <v>20867</v>
      </c>
      <c r="L46" s="1028">
        <v>36391</v>
      </c>
      <c r="M46" s="1028">
        <v>32954</v>
      </c>
      <c r="N46" s="1028">
        <v>69345</v>
      </c>
      <c r="O46" s="1028">
        <v>778</v>
      </c>
      <c r="P46" s="1028">
        <v>857</v>
      </c>
      <c r="Q46" s="1028">
        <v>1635</v>
      </c>
      <c r="R46" s="1028">
        <v>1644</v>
      </c>
      <c r="S46" s="1028">
        <v>1477</v>
      </c>
      <c r="T46" s="1028">
        <v>3121</v>
      </c>
      <c r="U46" s="1028">
        <v>568</v>
      </c>
      <c r="V46" s="1028">
        <v>222</v>
      </c>
      <c r="W46" s="1028">
        <v>790</v>
      </c>
      <c r="X46" s="1028">
        <v>1111</v>
      </c>
      <c r="Y46" s="1028">
        <v>1091</v>
      </c>
      <c r="Z46" s="1028">
        <v>2202</v>
      </c>
      <c r="AA46" s="1028">
        <v>48566</v>
      </c>
      <c r="AB46" s="1028">
        <v>50443</v>
      </c>
      <c r="AC46" s="1028">
        <v>99009</v>
      </c>
    </row>
    <row r="47" spans="1:29" x14ac:dyDescent="0.3">
      <c r="A47" s="949">
        <v>7</v>
      </c>
      <c r="B47" s="488" t="s">
        <v>18</v>
      </c>
      <c r="C47" s="492"/>
      <c r="D47" s="1028"/>
      <c r="E47" s="1028"/>
      <c r="F47" s="1028"/>
      <c r="G47" s="1028"/>
      <c r="H47" s="1028"/>
      <c r="I47" s="1028"/>
      <c r="J47" s="1028"/>
      <c r="K47" s="1028"/>
      <c r="L47" s="1028"/>
      <c r="M47" s="1028"/>
      <c r="N47" s="1028"/>
      <c r="O47" s="1028"/>
      <c r="P47" s="1028"/>
      <c r="Q47" s="1028"/>
      <c r="R47" s="1028"/>
      <c r="S47" s="1028"/>
      <c r="T47" s="1028"/>
      <c r="U47" s="1028"/>
      <c r="V47" s="1028"/>
      <c r="W47" s="1028"/>
      <c r="X47" s="1028"/>
      <c r="Y47" s="1028"/>
      <c r="Z47" s="1028"/>
      <c r="AA47" s="1028"/>
      <c r="AB47" s="1028"/>
      <c r="AC47" s="1028"/>
    </row>
    <row r="48" spans="1:29" x14ac:dyDescent="0.3">
      <c r="A48" s="949"/>
      <c r="B48" s="488" t="s">
        <v>912</v>
      </c>
      <c r="C48" s="492">
        <v>1300</v>
      </c>
      <c r="D48" s="1028">
        <v>1343</v>
      </c>
      <c r="E48" s="1028">
        <v>2643</v>
      </c>
      <c r="F48" s="1028">
        <v>7</v>
      </c>
      <c r="G48" s="1028">
        <v>18</v>
      </c>
      <c r="H48" s="1028">
        <v>25</v>
      </c>
      <c r="I48" s="1028">
        <v>70242.249524602128</v>
      </c>
      <c r="J48" s="1028">
        <v>99799.018319642899</v>
      </c>
      <c r="K48" s="1028">
        <v>170041.26784424501</v>
      </c>
      <c r="L48" s="1028">
        <v>319281.16906196502</v>
      </c>
      <c r="M48" s="1028">
        <v>371381.49912998249</v>
      </c>
      <c r="N48" s="1028">
        <v>690662.66819194739</v>
      </c>
      <c r="O48" s="1028">
        <v>7446</v>
      </c>
      <c r="P48" s="1028">
        <v>8598</v>
      </c>
      <c r="Q48" s="1028">
        <v>16044</v>
      </c>
      <c r="R48" s="1028">
        <v>23239</v>
      </c>
      <c r="S48" s="1028">
        <v>19540</v>
      </c>
      <c r="T48" s="1028">
        <v>42779</v>
      </c>
      <c r="U48" s="1028">
        <v>274</v>
      </c>
      <c r="V48" s="1028">
        <v>404</v>
      </c>
      <c r="W48" s="1028">
        <v>678</v>
      </c>
      <c r="X48" s="1028">
        <v>2775</v>
      </c>
      <c r="Y48" s="1028">
        <v>2654</v>
      </c>
      <c r="Z48" s="1028">
        <v>5429</v>
      </c>
      <c r="AA48" s="1028">
        <v>424564.4185865671</v>
      </c>
      <c r="AB48" s="1028">
        <v>503737.51744962542</v>
      </c>
      <c r="AC48" s="1028">
        <v>928301.93603619246</v>
      </c>
    </row>
    <row r="49" spans="1:29" x14ac:dyDescent="0.3">
      <c r="A49" s="949"/>
      <c r="B49" s="496" t="s">
        <v>911</v>
      </c>
      <c r="C49" s="492">
        <v>920</v>
      </c>
      <c r="D49" s="1028">
        <v>917</v>
      </c>
      <c r="E49" s="1028">
        <v>1837</v>
      </c>
      <c r="F49" s="1028">
        <v>4</v>
      </c>
      <c r="G49" s="1028">
        <v>8</v>
      </c>
      <c r="H49" s="1028">
        <v>12</v>
      </c>
      <c r="I49" s="1028">
        <v>35630</v>
      </c>
      <c r="J49" s="1028">
        <v>51834</v>
      </c>
      <c r="K49" s="1028">
        <v>87464</v>
      </c>
      <c r="L49" s="1028">
        <v>227084</v>
      </c>
      <c r="M49" s="1028">
        <v>275545</v>
      </c>
      <c r="N49" s="1028">
        <v>502629</v>
      </c>
      <c r="O49" s="1028">
        <v>8448</v>
      </c>
      <c r="P49" s="1028">
        <v>8480</v>
      </c>
      <c r="Q49" s="1028">
        <v>16928</v>
      </c>
      <c r="R49" s="1028">
        <v>23571</v>
      </c>
      <c r="S49" s="1028">
        <v>18112</v>
      </c>
      <c r="T49" s="1028">
        <v>41683</v>
      </c>
      <c r="U49" s="1028">
        <v>254</v>
      </c>
      <c r="V49" s="1028">
        <v>435</v>
      </c>
      <c r="W49" s="1028">
        <v>689</v>
      </c>
      <c r="X49" s="1028">
        <v>2690</v>
      </c>
      <c r="Y49" s="1028">
        <v>2409</v>
      </c>
      <c r="Z49" s="1028">
        <v>5099</v>
      </c>
      <c r="AA49" s="1028">
        <v>298601</v>
      </c>
      <c r="AB49" s="1028">
        <v>357740</v>
      </c>
      <c r="AC49" s="1028">
        <v>656341</v>
      </c>
    </row>
    <row r="50" spans="1:29" x14ac:dyDescent="0.3">
      <c r="A50" s="949"/>
      <c r="B50" s="496" t="s">
        <v>910</v>
      </c>
      <c r="C50" s="492">
        <v>910</v>
      </c>
      <c r="D50" s="1028">
        <v>744</v>
      </c>
      <c r="E50" s="1028">
        <v>1654</v>
      </c>
      <c r="F50" s="1028">
        <v>36</v>
      </c>
      <c r="G50" s="1028">
        <v>22</v>
      </c>
      <c r="H50" s="1028">
        <v>58</v>
      </c>
      <c r="I50" s="1028">
        <v>33737</v>
      </c>
      <c r="J50" s="1028">
        <v>46771</v>
      </c>
      <c r="K50" s="1028">
        <v>80508</v>
      </c>
      <c r="L50" s="1028">
        <v>215732</v>
      </c>
      <c r="M50" s="1028">
        <v>259411</v>
      </c>
      <c r="N50" s="1028">
        <v>475143</v>
      </c>
      <c r="O50" s="1028">
        <v>14443</v>
      </c>
      <c r="P50" s="1028">
        <v>14621</v>
      </c>
      <c r="Q50" s="1028">
        <v>29064</v>
      </c>
      <c r="R50" s="1028">
        <v>36144</v>
      </c>
      <c r="S50" s="1028">
        <v>27021</v>
      </c>
      <c r="T50" s="1028">
        <v>63165</v>
      </c>
      <c r="U50" s="1028">
        <v>296</v>
      </c>
      <c r="V50" s="1028">
        <v>435</v>
      </c>
      <c r="W50" s="1028">
        <v>731</v>
      </c>
      <c r="X50" s="1028">
        <v>1542</v>
      </c>
      <c r="Y50" s="1028">
        <v>1540</v>
      </c>
      <c r="Z50" s="1028">
        <v>3082</v>
      </c>
      <c r="AA50" s="1028">
        <v>302840</v>
      </c>
      <c r="AB50" s="1028">
        <v>350565</v>
      </c>
      <c r="AC50" s="1028">
        <v>653405</v>
      </c>
    </row>
    <row r="51" spans="1:29" x14ac:dyDescent="0.3">
      <c r="A51" s="949"/>
      <c r="B51" s="496" t="s">
        <v>909</v>
      </c>
      <c r="C51" s="492">
        <v>824</v>
      </c>
      <c r="D51" s="1028">
        <v>691</v>
      </c>
      <c r="E51" s="1028">
        <v>1515</v>
      </c>
      <c r="F51" s="1028">
        <v>109</v>
      </c>
      <c r="G51" s="1028">
        <v>89</v>
      </c>
      <c r="H51" s="1028">
        <v>198</v>
      </c>
      <c r="I51" s="1028">
        <v>30137</v>
      </c>
      <c r="J51" s="1028">
        <v>40444</v>
      </c>
      <c r="K51" s="1028">
        <v>70581</v>
      </c>
      <c r="L51" s="1028">
        <v>187304</v>
      </c>
      <c r="M51" s="1028">
        <v>228077</v>
      </c>
      <c r="N51" s="1028">
        <v>415381</v>
      </c>
      <c r="O51" s="1028">
        <v>13986</v>
      </c>
      <c r="P51" s="1028">
        <v>14396</v>
      </c>
      <c r="Q51" s="1028">
        <v>28382</v>
      </c>
      <c r="R51" s="1028">
        <v>38361</v>
      </c>
      <c r="S51" s="1028">
        <v>27702</v>
      </c>
      <c r="T51" s="1028">
        <v>66063</v>
      </c>
      <c r="U51" s="1028">
        <v>210</v>
      </c>
      <c r="V51" s="1028">
        <v>335</v>
      </c>
      <c r="W51" s="1028">
        <v>545</v>
      </c>
      <c r="X51" s="1028">
        <v>1882</v>
      </c>
      <c r="Y51" s="1028">
        <v>1848</v>
      </c>
      <c r="Z51" s="1028">
        <v>3730</v>
      </c>
      <c r="AA51" s="1028">
        <v>272813</v>
      </c>
      <c r="AB51" s="1028">
        <v>313582</v>
      </c>
      <c r="AC51" s="1028">
        <v>586395</v>
      </c>
    </row>
    <row r="52" spans="1:29" x14ac:dyDescent="0.3">
      <c r="A52" s="949"/>
      <c r="B52" s="496" t="s">
        <v>908</v>
      </c>
      <c r="C52" s="492">
        <v>965</v>
      </c>
      <c r="D52" s="1028">
        <v>509</v>
      </c>
      <c r="E52" s="1028">
        <v>1474</v>
      </c>
      <c r="F52" s="1028">
        <v>193</v>
      </c>
      <c r="G52" s="1028">
        <v>151</v>
      </c>
      <c r="H52" s="1028">
        <v>344</v>
      </c>
      <c r="I52" s="1028">
        <v>30690</v>
      </c>
      <c r="J52" s="1028">
        <v>37757</v>
      </c>
      <c r="K52" s="1028">
        <v>68447</v>
      </c>
      <c r="L52" s="1028">
        <v>190502</v>
      </c>
      <c r="M52" s="1028">
        <v>215794</v>
      </c>
      <c r="N52" s="1028">
        <v>406296</v>
      </c>
      <c r="O52" s="1028">
        <v>14887</v>
      </c>
      <c r="P52" s="1028">
        <v>15114</v>
      </c>
      <c r="Q52" s="1028">
        <v>30001</v>
      </c>
      <c r="R52" s="1028">
        <v>44001</v>
      </c>
      <c r="S52" s="1028">
        <v>33005</v>
      </c>
      <c r="T52" s="1028">
        <v>77006</v>
      </c>
      <c r="U52" s="1028">
        <v>190</v>
      </c>
      <c r="V52" s="1028">
        <v>365</v>
      </c>
      <c r="W52" s="1028">
        <v>555</v>
      </c>
      <c r="X52" s="1028">
        <v>1357</v>
      </c>
      <c r="Y52" s="1028">
        <v>1444</v>
      </c>
      <c r="Z52" s="1028">
        <v>2801</v>
      </c>
      <c r="AA52" s="1028">
        <v>282785</v>
      </c>
      <c r="AB52" s="1028">
        <v>304139</v>
      </c>
      <c r="AC52" s="1028">
        <v>586924</v>
      </c>
    </row>
    <row r="53" spans="1:29" x14ac:dyDescent="0.3">
      <c r="A53" s="949">
        <v>8</v>
      </c>
      <c r="B53" s="488" t="s">
        <v>19</v>
      </c>
      <c r="C53" s="492"/>
      <c r="D53" s="1028"/>
      <c r="E53" s="1028"/>
      <c r="F53" s="1028"/>
      <c r="G53" s="1028"/>
      <c r="H53" s="1028"/>
      <c r="I53" s="1028"/>
      <c r="J53" s="1028"/>
      <c r="K53" s="1028"/>
      <c r="L53" s="1028"/>
      <c r="M53" s="1028"/>
      <c r="N53" s="1028"/>
      <c r="O53" s="1028"/>
      <c r="P53" s="1028"/>
      <c r="Q53" s="1028"/>
      <c r="R53" s="1028"/>
      <c r="S53" s="1028"/>
      <c r="T53" s="1028"/>
      <c r="U53" s="1028"/>
      <c r="V53" s="1028"/>
      <c r="W53" s="1028"/>
      <c r="X53" s="1028"/>
      <c r="Y53" s="1028"/>
      <c r="Z53" s="1028"/>
      <c r="AA53" s="1028"/>
      <c r="AB53" s="1028"/>
      <c r="AC53" s="1028"/>
    </row>
    <row r="54" spans="1:29" x14ac:dyDescent="0.3">
      <c r="A54" s="949"/>
      <c r="B54" s="488" t="s">
        <v>912</v>
      </c>
      <c r="C54" s="492">
        <v>11335</v>
      </c>
      <c r="D54" s="1028">
        <v>9641</v>
      </c>
      <c r="E54" s="1028">
        <v>20976</v>
      </c>
      <c r="F54" s="1028">
        <v>249</v>
      </c>
      <c r="G54" s="1028">
        <v>251</v>
      </c>
      <c r="H54" s="1028">
        <v>500</v>
      </c>
      <c r="I54" s="1028">
        <v>81270.440217391311</v>
      </c>
      <c r="J54" s="1028">
        <v>107433.1679697432</v>
      </c>
      <c r="K54" s="1028">
        <v>188703.60818713449</v>
      </c>
      <c r="L54" s="1028">
        <v>541189.26039282989</v>
      </c>
      <c r="M54" s="1028">
        <v>491511.10621662851</v>
      </c>
      <c r="N54" s="1028">
        <v>1032700.366609458</v>
      </c>
      <c r="O54" s="1028">
        <v>8489</v>
      </c>
      <c r="P54" s="1028">
        <v>6452</v>
      </c>
      <c r="Q54" s="1028">
        <v>14941</v>
      </c>
      <c r="R54" s="1028">
        <v>17805</v>
      </c>
      <c r="S54" s="1028">
        <v>14310</v>
      </c>
      <c r="T54" s="1028">
        <v>32115</v>
      </c>
      <c r="U54" s="1028">
        <v>1353</v>
      </c>
      <c r="V54" s="1028">
        <v>1253</v>
      </c>
      <c r="W54" s="1028">
        <v>2606</v>
      </c>
      <c r="X54" s="1028">
        <v>5254</v>
      </c>
      <c r="Y54" s="1028">
        <v>3965</v>
      </c>
      <c r="Z54" s="1028">
        <v>9219</v>
      </c>
      <c r="AA54" s="1028">
        <v>666944.70061022125</v>
      </c>
      <c r="AB54" s="1028">
        <v>634816.27418637171</v>
      </c>
      <c r="AC54" s="1028">
        <v>1301760.974796593</v>
      </c>
    </row>
    <row r="55" spans="1:29" x14ac:dyDescent="0.3">
      <c r="A55" s="949"/>
      <c r="B55" s="496" t="s">
        <v>911</v>
      </c>
      <c r="C55" s="492">
        <v>7533</v>
      </c>
      <c r="D55" s="1028">
        <v>6561</v>
      </c>
      <c r="E55" s="1028">
        <v>14094</v>
      </c>
      <c r="F55" s="1028">
        <v>716</v>
      </c>
      <c r="G55" s="1028">
        <v>761</v>
      </c>
      <c r="H55" s="1028">
        <v>1477</v>
      </c>
      <c r="I55" s="1028">
        <v>73783</v>
      </c>
      <c r="J55" s="1028">
        <v>103616</v>
      </c>
      <c r="K55" s="1028">
        <v>177399</v>
      </c>
      <c r="L55" s="1028">
        <v>473724</v>
      </c>
      <c r="M55" s="1028">
        <v>425006</v>
      </c>
      <c r="N55" s="1028">
        <v>898730</v>
      </c>
      <c r="O55" s="1028">
        <v>8389</v>
      </c>
      <c r="P55" s="1028">
        <v>6686</v>
      </c>
      <c r="Q55" s="1028">
        <v>15075</v>
      </c>
      <c r="R55" s="1028">
        <v>16092</v>
      </c>
      <c r="S55" s="1028">
        <v>13965</v>
      </c>
      <c r="T55" s="1028">
        <v>30057</v>
      </c>
      <c r="U55" s="1028">
        <v>1331</v>
      </c>
      <c r="V55" s="1028">
        <v>1093</v>
      </c>
      <c r="W55" s="1028">
        <v>2424</v>
      </c>
      <c r="X55" s="1028">
        <v>3785</v>
      </c>
      <c r="Y55" s="1028">
        <v>2349</v>
      </c>
      <c r="Z55" s="1028">
        <v>6134</v>
      </c>
      <c r="AA55" s="1028">
        <v>585353</v>
      </c>
      <c r="AB55" s="1028">
        <v>560037</v>
      </c>
      <c r="AC55" s="1028">
        <v>1145390</v>
      </c>
    </row>
    <row r="56" spans="1:29" x14ac:dyDescent="0.3">
      <c r="A56" s="949"/>
      <c r="B56" s="496" t="s">
        <v>910</v>
      </c>
      <c r="C56" s="492">
        <v>8112</v>
      </c>
      <c r="D56" s="1028">
        <v>7332</v>
      </c>
      <c r="E56" s="1028">
        <v>15444</v>
      </c>
      <c r="F56" s="1028">
        <v>772</v>
      </c>
      <c r="G56" s="1028">
        <v>764</v>
      </c>
      <c r="H56" s="1028">
        <v>1536</v>
      </c>
      <c r="I56" s="1028">
        <v>69649</v>
      </c>
      <c r="J56" s="1028">
        <v>97222</v>
      </c>
      <c r="K56" s="1028">
        <v>166871</v>
      </c>
      <c r="L56" s="1028">
        <v>454449</v>
      </c>
      <c r="M56" s="1028">
        <v>409832</v>
      </c>
      <c r="N56" s="1028">
        <v>864281</v>
      </c>
      <c r="O56" s="1028">
        <v>9715</v>
      </c>
      <c r="P56" s="1028">
        <v>7442</v>
      </c>
      <c r="Q56" s="1028">
        <v>17157</v>
      </c>
      <c r="R56" s="1028">
        <v>17002</v>
      </c>
      <c r="S56" s="1028">
        <v>15459</v>
      </c>
      <c r="T56" s="1028">
        <v>32461</v>
      </c>
      <c r="U56" s="1028">
        <v>1415</v>
      </c>
      <c r="V56" s="1028">
        <v>1143</v>
      </c>
      <c r="W56" s="1028">
        <v>2558</v>
      </c>
      <c r="X56" s="1028">
        <v>3735</v>
      </c>
      <c r="Y56" s="1028">
        <v>2228</v>
      </c>
      <c r="Z56" s="1028">
        <v>5963</v>
      </c>
      <c r="AA56" s="1028">
        <v>564849</v>
      </c>
      <c r="AB56" s="1028">
        <v>541422</v>
      </c>
      <c r="AC56" s="1028">
        <v>1106271</v>
      </c>
    </row>
    <row r="57" spans="1:29" x14ac:dyDescent="0.3">
      <c r="A57" s="949"/>
      <c r="B57" s="496" t="s">
        <v>909</v>
      </c>
      <c r="C57" s="492">
        <v>8812</v>
      </c>
      <c r="D57" s="1028">
        <v>7458</v>
      </c>
      <c r="E57" s="1028">
        <v>16270</v>
      </c>
      <c r="F57" s="1028">
        <v>650</v>
      </c>
      <c r="G57" s="1028">
        <v>672</v>
      </c>
      <c r="H57" s="1028">
        <v>1322</v>
      </c>
      <c r="I57" s="1028">
        <v>71734</v>
      </c>
      <c r="J57" s="1028">
        <v>103717</v>
      </c>
      <c r="K57" s="1028">
        <v>175451</v>
      </c>
      <c r="L57" s="1028">
        <v>467104</v>
      </c>
      <c r="M57" s="1028">
        <v>419284</v>
      </c>
      <c r="N57" s="1028">
        <v>886388</v>
      </c>
      <c r="O57" s="1028">
        <v>6054</v>
      </c>
      <c r="P57" s="1028">
        <v>4758</v>
      </c>
      <c r="Q57" s="1028">
        <v>10812</v>
      </c>
      <c r="R57" s="1028">
        <v>18927</v>
      </c>
      <c r="S57" s="1028">
        <v>15039</v>
      </c>
      <c r="T57" s="1028">
        <v>33966</v>
      </c>
      <c r="U57" s="1028">
        <v>2467</v>
      </c>
      <c r="V57" s="1028">
        <v>1684</v>
      </c>
      <c r="W57" s="1028">
        <v>4151</v>
      </c>
      <c r="X57" s="1028">
        <v>2999</v>
      </c>
      <c r="Y57" s="1028">
        <v>1497</v>
      </c>
      <c r="Z57" s="1028">
        <v>4496</v>
      </c>
      <c r="AA57" s="1028">
        <v>578747</v>
      </c>
      <c r="AB57" s="1028">
        <v>554109</v>
      </c>
      <c r="AC57" s="1028">
        <v>1132856</v>
      </c>
    </row>
    <row r="58" spans="1:29" x14ac:dyDescent="0.3">
      <c r="A58" s="949"/>
      <c r="B58" s="496" t="s">
        <v>908</v>
      </c>
      <c r="C58" s="492">
        <v>4918</v>
      </c>
      <c r="D58" s="1028">
        <v>4493</v>
      </c>
      <c r="E58" s="1028">
        <v>9411</v>
      </c>
      <c r="F58" s="1028">
        <v>2402</v>
      </c>
      <c r="G58" s="1028">
        <v>2684</v>
      </c>
      <c r="H58" s="1028">
        <v>5086</v>
      </c>
      <c r="I58" s="1028">
        <v>65500</v>
      </c>
      <c r="J58" s="1028">
        <v>93497</v>
      </c>
      <c r="K58" s="1028">
        <v>158997</v>
      </c>
      <c r="L58" s="1028">
        <v>448749</v>
      </c>
      <c r="M58" s="1028">
        <v>405107</v>
      </c>
      <c r="N58" s="1028">
        <v>853856</v>
      </c>
      <c r="O58" s="1028">
        <v>4512</v>
      </c>
      <c r="P58" s="1028">
        <v>3831</v>
      </c>
      <c r="Q58" s="1028">
        <v>8343</v>
      </c>
      <c r="R58" s="1028">
        <v>17907</v>
      </c>
      <c r="S58" s="1028">
        <v>14441</v>
      </c>
      <c r="T58" s="1028">
        <v>32348</v>
      </c>
      <c r="U58" s="1028">
        <v>2605</v>
      </c>
      <c r="V58" s="1028">
        <v>1839</v>
      </c>
      <c r="W58" s="1028">
        <v>4444</v>
      </c>
      <c r="X58" s="1028">
        <v>3189</v>
      </c>
      <c r="Y58" s="1028">
        <v>1882</v>
      </c>
      <c r="Z58" s="1028">
        <v>5071</v>
      </c>
      <c r="AA58" s="1028">
        <v>549782</v>
      </c>
      <c r="AB58" s="1028">
        <v>527774</v>
      </c>
      <c r="AC58" s="1028">
        <v>1077556</v>
      </c>
    </row>
    <row r="59" spans="1:29" x14ac:dyDescent="0.3">
      <c r="A59" s="949">
        <v>9</v>
      </c>
      <c r="B59" s="488" t="s">
        <v>20</v>
      </c>
      <c r="C59" s="492"/>
      <c r="D59" s="1028"/>
      <c r="E59" s="1028"/>
      <c r="F59" s="1028"/>
      <c r="G59" s="1028"/>
      <c r="H59" s="1028"/>
      <c r="I59" s="1028"/>
      <c r="J59" s="1028"/>
      <c r="K59" s="1028"/>
      <c r="L59" s="1028"/>
      <c r="M59" s="1028"/>
      <c r="N59" s="1028"/>
      <c r="O59" s="1028"/>
      <c r="P59" s="1028"/>
      <c r="Q59" s="1028"/>
      <c r="R59" s="1028"/>
      <c r="S59" s="1028"/>
      <c r="T59" s="1028"/>
      <c r="U59" s="1028"/>
      <c r="V59" s="1028"/>
      <c r="W59" s="1028"/>
      <c r="X59" s="1028"/>
      <c r="Y59" s="1028"/>
      <c r="Z59" s="1028"/>
      <c r="AA59" s="1028"/>
      <c r="AB59" s="1028"/>
      <c r="AC59" s="1028"/>
    </row>
    <row r="60" spans="1:29" x14ac:dyDescent="0.3">
      <c r="A60" s="949"/>
      <c r="B60" s="488" t="s">
        <v>912</v>
      </c>
      <c r="C60" s="492">
        <v>635</v>
      </c>
      <c r="D60" s="1028">
        <v>743</v>
      </c>
      <c r="E60" s="1028">
        <v>1378</v>
      </c>
      <c r="F60" s="1028">
        <v>4</v>
      </c>
      <c r="G60" s="1028">
        <v>10</v>
      </c>
      <c r="H60" s="1028">
        <v>14</v>
      </c>
      <c r="I60" s="1028">
        <v>3453</v>
      </c>
      <c r="J60" s="1028">
        <v>5222</v>
      </c>
      <c r="K60" s="1028">
        <v>8675</v>
      </c>
      <c r="L60" s="1028">
        <v>23437</v>
      </c>
      <c r="M60" s="1028">
        <v>22689</v>
      </c>
      <c r="N60" s="1028">
        <v>46126</v>
      </c>
      <c r="O60" s="1028">
        <v>207</v>
      </c>
      <c r="P60" s="1028">
        <v>135</v>
      </c>
      <c r="Q60" s="1028">
        <v>342</v>
      </c>
      <c r="R60" s="1028">
        <v>5150</v>
      </c>
      <c r="S60" s="1028">
        <v>1252</v>
      </c>
      <c r="T60" s="1028">
        <v>6402</v>
      </c>
      <c r="U60" s="1028">
        <v>66</v>
      </c>
      <c r="V60" s="1028">
        <v>13</v>
      </c>
      <c r="W60" s="1028">
        <v>79</v>
      </c>
      <c r="X60" s="1028">
        <v>1669</v>
      </c>
      <c r="Y60" s="1028">
        <v>1340</v>
      </c>
      <c r="Z60" s="1028">
        <v>3009</v>
      </c>
      <c r="AA60" s="1028">
        <v>34621</v>
      </c>
      <c r="AB60" s="1028">
        <v>31404</v>
      </c>
      <c r="AC60" s="1028">
        <v>66025</v>
      </c>
    </row>
    <row r="61" spans="1:29" x14ac:dyDescent="0.3">
      <c r="A61" s="949"/>
      <c r="B61" s="496" t="s">
        <v>911</v>
      </c>
      <c r="C61" s="492">
        <v>494</v>
      </c>
      <c r="D61" s="1028">
        <v>407</v>
      </c>
      <c r="E61" s="1028">
        <v>901</v>
      </c>
      <c r="F61" s="1028">
        <v>10</v>
      </c>
      <c r="G61" s="1028"/>
      <c r="H61" s="1028">
        <v>10</v>
      </c>
      <c r="I61" s="1028">
        <v>3523</v>
      </c>
      <c r="J61" s="1028">
        <v>4859</v>
      </c>
      <c r="K61" s="1028">
        <v>8382</v>
      </c>
      <c r="L61" s="1028">
        <v>23132</v>
      </c>
      <c r="M61" s="1028">
        <v>22401</v>
      </c>
      <c r="N61" s="1028">
        <v>45533</v>
      </c>
      <c r="O61" s="1028">
        <v>131</v>
      </c>
      <c r="P61" s="1028">
        <v>123</v>
      </c>
      <c r="Q61" s="1028">
        <v>254</v>
      </c>
      <c r="R61" s="1028">
        <v>6515</v>
      </c>
      <c r="S61" s="1028">
        <v>1006</v>
      </c>
      <c r="T61" s="1028">
        <v>7521</v>
      </c>
      <c r="U61" s="1028">
        <v>12</v>
      </c>
      <c r="V61" s="1028"/>
      <c r="W61" s="1028">
        <v>12</v>
      </c>
      <c r="X61" s="1028">
        <v>1581</v>
      </c>
      <c r="Y61" s="1028">
        <v>1221</v>
      </c>
      <c r="Z61" s="1028">
        <v>2802</v>
      </c>
      <c r="AA61" s="1028">
        <v>35398</v>
      </c>
      <c r="AB61" s="1028">
        <v>30017</v>
      </c>
      <c r="AC61" s="1028">
        <v>65415</v>
      </c>
    </row>
    <row r="62" spans="1:29" x14ac:dyDescent="0.3">
      <c r="A62" s="949"/>
      <c r="B62" s="496" t="s">
        <v>910</v>
      </c>
      <c r="C62" s="492">
        <v>276</v>
      </c>
      <c r="D62" s="1028">
        <v>340</v>
      </c>
      <c r="E62" s="1028">
        <v>616</v>
      </c>
      <c r="F62" s="1028">
        <v>6</v>
      </c>
      <c r="G62" s="1028">
        <v>2</v>
      </c>
      <c r="H62" s="1028">
        <v>8</v>
      </c>
      <c r="I62" s="1028">
        <v>3113</v>
      </c>
      <c r="J62" s="1028">
        <v>4464</v>
      </c>
      <c r="K62" s="1028">
        <v>7577</v>
      </c>
      <c r="L62" s="1028">
        <v>20785</v>
      </c>
      <c r="M62" s="1028">
        <v>23406</v>
      </c>
      <c r="N62" s="1028">
        <v>44191</v>
      </c>
      <c r="O62" s="1028">
        <v>108</v>
      </c>
      <c r="P62" s="1028">
        <v>139</v>
      </c>
      <c r="Q62" s="1028">
        <v>247</v>
      </c>
      <c r="R62" s="1028">
        <v>4677</v>
      </c>
      <c r="S62" s="1028">
        <v>1593</v>
      </c>
      <c r="T62" s="1028">
        <v>6270</v>
      </c>
      <c r="U62" s="1028">
        <v>17</v>
      </c>
      <c r="V62" s="1028">
        <v>14</v>
      </c>
      <c r="W62" s="1028">
        <v>31</v>
      </c>
      <c r="X62" s="1028">
        <v>422</v>
      </c>
      <c r="Y62" s="1028">
        <v>923</v>
      </c>
      <c r="Z62" s="1028">
        <v>1345</v>
      </c>
      <c r="AA62" s="1028">
        <v>29404</v>
      </c>
      <c r="AB62" s="1028">
        <v>30881</v>
      </c>
      <c r="AC62" s="1028">
        <v>60285</v>
      </c>
    </row>
    <row r="63" spans="1:29" x14ac:dyDescent="0.3">
      <c r="A63" s="949"/>
      <c r="B63" s="496" t="s">
        <v>909</v>
      </c>
      <c r="C63" s="492">
        <v>217</v>
      </c>
      <c r="D63" s="1028">
        <v>216</v>
      </c>
      <c r="E63" s="1028">
        <v>433</v>
      </c>
      <c r="F63" s="1028">
        <v>1</v>
      </c>
      <c r="G63" s="1028">
        <v>4</v>
      </c>
      <c r="H63" s="1028">
        <v>5</v>
      </c>
      <c r="I63" s="1028">
        <v>2534</v>
      </c>
      <c r="J63" s="1028">
        <v>4183</v>
      </c>
      <c r="K63" s="1028">
        <v>6717</v>
      </c>
      <c r="L63" s="1028">
        <v>17543</v>
      </c>
      <c r="M63" s="1028">
        <v>21755</v>
      </c>
      <c r="N63" s="1028">
        <v>39298</v>
      </c>
      <c r="O63" s="1028">
        <v>105</v>
      </c>
      <c r="P63" s="1028">
        <v>107</v>
      </c>
      <c r="Q63" s="1028">
        <v>212</v>
      </c>
      <c r="R63" s="1028">
        <v>4439</v>
      </c>
      <c r="S63" s="1028">
        <v>930</v>
      </c>
      <c r="T63" s="1028">
        <v>5369</v>
      </c>
      <c r="U63" s="1028">
        <v>20</v>
      </c>
      <c r="V63" s="1028">
        <v>4</v>
      </c>
      <c r="W63" s="1028">
        <v>24</v>
      </c>
      <c r="X63" s="1028">
        <v>196</v>
      </c>
      <c r="Y63" s="1028">
        <v>528</v>
      </c>
      <c r="Z63" s="1028">
        <v>724</v>
      </c>
      <c r="AA63" s="1028">
        <v>25055</v>
      </c>
      <c r="AB63" s="1028">
        <v>27727</v>
      </c>
      <c r="AC63" s="1028">
        <v>52782</v>
      </c>
    </row>
    <row r="64" spans="1:29" x14ac:dyDescent="0.3">
      <c r="A64" s="949"/>
      <c r="B64" s="496" t="s">
        <v>908</v>
      </c>
      <c r="C64" s="492">
        <v>167</v>
      </c>
      <c r="D64" s="1028">
        <v>129</v>
      </c>
      <c r="E64" s="1028">
        <v>296</v>
      </c>
      <c r="F64" s="1028">
        <v>0</v>
      </c>
      <c r="G64" s="1028">
        <v>0</v>
      </c>
      <c r="H64" s="1028">
        <v>0</v>
      </c>
      <c r="I64" s="1028">
        <v>2343</v>
      </c>
      <c r="J64" s="1028">
        <v>3873</v>
      </c>
      <c r="K64" s="1028">
        <v>6216</v>
      </c>
      <c r="L64" s="1028">
        <v>18525</v>
      </c>
      <c r="M64" s="1028">
        <v>22303</v>
      </c>
      <c r="N64" s="1028">
        <v>40828</v>
      </c>
      <c r="O64" s="1028">
        <v>113</v>
      </c>
      <c r="P64" s="1028">
        <v>84</v>
      </c>
      <c r="Q64" s="1028">
        <v>197</v>
      </c>
      <c r="R64" s="1028">
        <v>5595</v>
      </c>
      <c r="S64" s="1028">
        <v>845</v>
      </c>
      <c r="T64" s="1028">
        <v>6440</v>
      </c>
      <c r="U64" s="1028">
        <v>11</v>
      </c>
      <c r="V64" s="1028">
        <v>0</v>
      </c>
      <c r="W64" s="1028">
        <v>11</v>
      </c>
      <c r="X64" s="1028">
        <v>213</v>
      </c>
      <c r="Y64" s="1028">
        <v>479</v>
      </c>
      <c r="Z64" s="1028">
        <v>692</v>
      </c>
      <c r="AA64" s="1028">
        <v>26967</v>
      </c>
      <c r="AB64" s="1028">
        <v>27713</v>
      </c>
      <c r="AC64" s="1028">
        <v>54680</v>
      </c>
    </row>
    <row r="65" spans="1:29" x14ac:dyDescent="0.3">
      <c r="A65" s="949">
        <v>10</v>
      </c>
      <c r="B65" s="488" t="s">
        <v>21</v>
      </c>
      <c r="C65" s="492"/>
      <c r="D65" s="1028"/>
      <c r="E65" s="1028"/>
      <c r="F65" s="1028"/>
      <c r="G65" s="1028"/>
      <c r="H65" s="1028"/>
      <c r="I65" s="1028"/>
      <c r="J65" s="1028"/>
      <c r="K65" s="1028"/>
      <c r="L65" s="1028"/>
      <c r="M65" s="1028"/>
      <c r="N65" s="1028"/>
      <c r="O65" s="1028"/>
      <c r="P65" s="1028"/>
      <c r="Q65" s="1028"/>
      <c r="R65" s="1028"/>
      <c r="S65" s="1028"/>
      <c r="T65" s="1028"/>
      <c r="U65" s="1028"/>
      <c r="V65" s="1028"/>
      <c r="W65" s="1028"/>
      <c r="X65" s="1028"/>
      <c r="Y65" s="1028"/>
      <c r="Z65" s="1028"/>
      <c r="AA65" s="1028"/>
      <c r="AB65" s="1028"/>
      <c r="AC65" s="1028"/>
    </row>
    <row r="66" spans="1:29" x14ac:dyDescent="0.3">
      <c r="A66" s="949"/>
      <c r="B66" s="488" t="s">
        <v>912</v>
      </c>
      <c r="C66" s="492">
        <v>6166</v>
      </c>
      <c r="D66" s="1028">
        <v>4963</v>
      </c>
      <c r="E66" s="1028">
        <v>11129</v>
      </c>
      <c r="F66" s="1028">
        <v>31</v>
      </c>
      <c r="G66" s="1028">
        <v>17</v>
      </c>
      <c r="H66" s="1028">
        <v>48</v>
      </c>
      <c r="I66" s="1028">
        <v>114994</v>
      </c>
      <c r="J66" s="1028">
        <v>135095</v>
      </c>
      <c r="K66" s="1028">
        <v>250089</v>
      </c>
      <c r="L66" s="1028">
        <v>784928</v>
      </c>
      <c r="M66" s="1028">
        <v>617558</v>
      </c>
      <c r="N66" s="1028">
        <v>1402486</v>
      </c>
      <c r="O66" s="1028">
        <v>5804</v>
      </c>
      <c r="P66" s="1028">
        <v>4764</v>
      </c>
      <c r="Q66" s="1028">
        <v>10568</v>
      </c>
      <c r="R66" s="1028">
        <v>113413</v>
      </c>
      <c r="S66" s="1028">
        <v>64446</v>
      </c>
      <c r="T66" s="1028">
        <v>177859</v>
      </c>
      <c r="U66" s="1028">
        <v>3400</v>
      </c>
      <c r="V66" s="1028">
        <v>3376</v>
      </c>
      <c r="W66" s="1028">
        <v>6776</v>
      </c>
      <c r="X66" s="1028">
        <v>16042</v>
      </c>
      <c r="Y66" s="1028">
        <v>12544</v>
      </c>
      <c r="Z66" s="1028">
        <v>28586</v>
      </c>
      <c r="AA66" s="1028">
        <v>1044778</v>
      </c>
      <c r="AB66" s="1028">
        <v>842763</v>
      </c>
      <c r="AC66" s="1028">
        <v>1887541</v>
      </c>
    </row>
    <row r="67" spans="1:29" x14ac:dyDescent="0.3">
      <c r="A67" s="949"/>
      <c r="B67" s="496" t="s">
        <v>911</v>
      </c>
      <c r="C67" s="492">
        <v>4799</v>
      </c>
      <c r="D67" s="1028">
        <v>3734</v>
      </c>
      <c r="E67" s="1028">
        <v>8533</v>
      </c>
      <c r="F67" s="1028">
        <v>35</v>
      </c>
      <c r="G67" s="1028">
        <v>29</v>
      </c>
      <c r="H67" s="1028">
        <v>64</v>
      </c>
      <c r="I67" s="1028">
        <v>97560</v>
      </c>
      <c r="J67" s="1028">
        <v>118747</v>
      </c>
      <c r="K67" s="1028">
        <v>216307</v>
      </c>
      <c r="L67" s="1028">
        <v>775408</v>
      </c>
      <c r="M67" s="1028">
        <v>592468</v>
      </c>
      <c r="N67" s="1028">
        <v>1367876</v>
      </c>
      <c r="O67" s="1028">
        <v>4508</v>
      </c>
      <c r="P67" s="1028">
        <v>4086</v>
      </c>
      <c r="Q67" s="1028">
        <v>8594</v>
      </c>
      <c r="R67" s="1028">
        <v>111752</v>
      </c>
      <c r="S67" s="1028">
        <v>55782</v>
      </c>
      <c r="T67" s="1028">
        <v>167534</v>
      </c>
      <c r="U67" s="1028">
        <v>3245</v>
      </c>
      <c r="V67" s="1028">
        <v>2666</v>
      </c>
      <c r="W67" s="1028">
        <v>5911</v>
      </c>
      <c r="X67" s="1028">
        <v>12359</v>
      </c>
      <c r="Y67" s="1028">
        <v>10484</v>
      </c>
      <c r="Z67" s="1028">
        <v>22843</v>
      </c>
      <c r="AA67" s="1028">
        <v>1009666</v>
      </c>
      <c r="AB67" s="1028">
        <v>787996</v>
      </c>
      <c r="AC67" s="1028">
        <v>1797662</v>
      </c>
    </row>
    <row r="68" spans="1:29" x14ac:dyDescent="0.3">
      <c r="A68" s="949"/>
      <c r="B68" s="496" t="s">
        <v>910</v>
      </c>
      <c r="C68" s="492">
        <v>4819</v>
      </c>
      <c r="D68" s="1028">
        <v>3202</v>
      </c>
      <c r="E68" s="1028">
        <v>8021</v>
      </c>
      <c r="F68" s="1028">
        <v>135</v>
      </c>
      <c r="G68" s="1028">
        <v>177</v>
      </c>
      <c r="H68" s="1028">
        <v>312</v>
      </c>
      <c r="I68" s="1028">
        <v>86719</v>
      </c>
      <c r="J68" s="1028">
        <v>99388</v>
      </c>
      <c r="K68" s="1028">
        <v>186107</v>
      </c>
      <c r="L68" s="1028">
        <v>712608</v>
      </c>
      <c r="M68" s="1028">
        <v>545854</v>
      </c>
      <c r="N68" s="1028">
        <v>1258462</v>
      </c>
      <c r="O68" s="1028">
        <v>3856</v>
      </c>
      <c r="P68" s="1028">
        <v>3072</v>
      </c>
      <c r="Q68" s="1028">
        <v>6928</v>
      </c>
      <c r="R68" s="1028">
        <v>103346</v>
      </c>
      <c r="S68" s="1028">
        <v>50683</v>
      </c>
      <c r="T68" s="1028">
        <v>154029</v>
      </c>
      <c r="U68" s="1028">
        <v>17256</v>
      </c>
      <c r="V68" s="1028">
        <v>5035</v>
      </c>
      <c r="W68" s="1028">
        <v>22291</v>
      </c>
      <c r="X68" s="1028">
        <v>9405</v>
      </c>
      <c r="Y68" s="1028">
        <v>7575</v>
      </c>
      <c r="Z68" s="1028">
        <v>16980</v>
      </c>
      <c r="AA68" s="1028">
        <v>938144</v>
      </c>
      <c r="AB68" s="1028">
        <v>714986</v>
      </c>
      <c r="AC68" s="1028">
        <v>1653130</v>
      </c>
    </row>
    <row r="69" spans="1:29" x14ac:dyDescent="0.3">
      <c r="A69" s="949"/>
      <c r="B69" s="496" t="s">
        <v>909</v>
      </c>
      <c r="C69" s="492">
        <v>4380</v>
      </c>
      <c r="D69" s="1028">
        <v>3050</v>
      </c>
      <c r="E69" s="1028">
        <v>7430</v>
      </c>
      <c r="F69" s="1028">
        <v>468</v>
      </c>
      <c r="G69" s="1028">
        <v>469</v>
      </c>
      <c r="H69" s="1028">
        <v>937</v>
      </c>
      <c r="I69" s="1028">
        <v>67586</v>
      </c>
      <c r="J69" s="1028">
        <v>87425</v>
      </c>
      <c r="K69" s="1028">
        <v>155011</v>
      </c>
      <c r="L69" s="1028">
        <v>681018</v>
      </c>
      <c r="M69" s="1028">
        <v>526227</v>
      </c>
      <c r="N69" s="1028">
        <v>1207245</v>
      </c>
      <c r="O69" s="1028">
        <v>3780</v>
      </c>
      <c r="P69" s="1028">
        <v>3456</v>
      </c>
      <c r="Q69" s="1028">
        <v>7236</v>
      </c>
      <c r="R69" s="1028">
        <v>94560</v>
      </c>
      <c r="S69" s="1028">
        <v>45181</v>
      </c>
      <c r="T69" s="1028">
        <v>139741</v>
      </c>
      <c r="U69" s="1028">
        <v>5540</v>
      </c>
      <c r="V69" s="1028">
        <v>7185</v>
      </c>
      <c r="W69" s="1028">
        <v>12725</v>
      </c>
      <c r="X69" s="1028">
        <v>7635</v>
      </c>
      <c r="Y69" s="1028">
        <v>6880</v>
      </c>
      <c r="Z69" s="1028">
        <v>14515</v>
      </c>
      <c r="AA69" s="1028">
        <v>864967</v>
      </c>
      <c r="AB69" s="1028">
        <v>679873</v>
      </c>
      <c r="AC69" s="1028">
        <v>1544840</v>
      </c>
    </row>
    <row r="70" spans="1:29" x14ac:dyDescent="0.3">
      <c r="A70" s="949"/>
      <c r="B70" s="496" t="s">
        <v>908</v>
      </c>
      <c r="C70" s="492">
        <v>3589</v>
      </c>
      <c r="D70" s="1028">
        <v>2328</v>
      </c>
      <c r="E70" s="1028">
        <v>5917</v>
      </c>
      <c r="F70" s="1028">
        <v>470</v>
      </c>
      <c r="G70" s="1028">
        <v>414</v>
      </c>
      <c r="H70" s="1028">
        <v>884</v>
      </c>
      <c r="I70" s="1028">
        <v>63874</v>
      </c>
      <c r="J70" s="1028">
        <v>83554</v>
      </c>
      <c r="K70" s="1028">
        <v>147428</v>
      </c>
      <c r="L70" s="1028">
        <v>650213</v>
      </c>
      <c r="M70" s="1028">
        <v>497400</v>
      </c>
      <c r="N70" s="1028">
        <v>1147613</v>
      </c>
      <c r="O70" s="1028">
        <v>3623</v>
      </c>
      <c r="P70" s="1028">
        <v>3377</v>
      </c>
      <c r="Q70" s="1028">
        <v>7000</v>
      </c>
      <c r="R70" s="1028">
        <v>97626</v>
      </c>
      <c r="S70" s="1028">
        <v>40902</v>
      </c>
      <c r="T70" s="1028">
        <v>138528</v>
      </c>
      <c r="U70" s="1028">
        <v>5824</v>
      </c>
      <c r="V70" s="1028">
        <v>9742</v>
      </c>
      <c r="W70" s="1028">
        <v>15566</v>
      </c>
      <c r="X70" s="1028">
        <v>7727</v>
      </c>
      <c r="Y70" s="1028">
        <v>7389</v>
      </c>
      <c r="Z70" s="1028">
        <v>15116</v>
      </c>
      <c r="AA70" s="1028">
        <v>832946</v>
      </c>
      <c r="AB70" s="1028">
        <v>645106</v>
      </c>
      <c r="AC70" s="1028">
        <v>1478052</v>
      </c>
    </row>
    <row r="71" spans="1:29" x14ac:dyDescent="0.3">
      <c r="A71" s="949">
        <v>11</v>
      </c>
      <c r="B71" s="488" t="s">
        <v>22</v>
      </c>
      <c r="C71" s="492"/>
      <c r="D71" s="1028"/>
      <c r="E71" s="1028"/>
      <c r="F71" s="1028"/>
      <c r="G71" s="1028"/>
      <c r="H71" s="1028"/>
      <c r="I71" s="1028"/>
      <c r="J71" s="1028"/>
      <c r="K71" s="1028"/>
      <c r="L71" s="1028"/>
      <c r="M71" s="1028"/>
      <c r="N71" s="1028"/>
      <c r="O71" s="1028"/>
      <c r="P71" s="1028"/>
      <c r="Q71" s="1028"/>
      <c r="R71" s="1028"/>
      <c r="S71" s="1028"/>
      <c r="T71" s="1028"/>
      <c r="U71" s="1028"/>
      <c r="V71" s="1028"/>
      <c r="W71" s="1028"/>
      <c r="X71" s="1028"/>
      <c r="Y71" s="1028"/>
      <c r="Z71" s="1028"/>
      <c r="AA71" s="1028"/>
      <c r="AB71" s="1028"/>
      <c r="AC71" s="1028"/>
    </row>
    <row r="72" spans="1:29" x14ac:dyDescent="0.3">
      <c r="A72" s="949"/>
      <c r="B72" s="488" t="s">
        <v>912</v>
      </c>
      <c r="C72" s="492">
        <v>2728</v>
      </c>
      <c r="D72" s="1028">
        <v>4155</v>
      </c>
      <c r="E72" s="1028">
        <v>6883</v>
      </c>
      <c r="F72" s="1028">
        <v>18</v>
      </c>
      <c r="G72" s="1028">
        <v>47</v>
      </c>
      <c r="H72" s="1028">
        <v>65</v>
      </c>
      <c r="I72" s="1028">
        <v>58231</v>
      </c>
      <c r="J72" s="1028">
        <v>103720</v>
      </c>
      <c r="K72" s="1028">
        <v>161951</v>
      </c>
      <c r="L72" s="1028">
        <v>410158</v>
      </c>
      <c r="M72" s="1028">
        <v>433001</v>
      </c>
      <c r="N72" s="1028">
        <v>843159</v>
      </c>
      <c r="O72" s="1028">
        <v>2395</v>
      </c>
      <c r="P72" s="1028">
        <v>2055</v>
      </c>
      <c r="Q72" s="1028">
        <v>4450</v>
      </c>
      <c r="R72" s="1028">
        <v>67479</v>
      </c>
      <c r="S72" s="1028">
        <v>35855</v>
      </c>
      <c r="T72" s="1028">
        <v>103334</v>
      </c>
      <c r="U72" s="1028">
        <v>776</v>
      </c>
      <c r="V72" s="1028">
        <v>888</v>
      </c>
      <c r="W72" s="1028">
        <v>1664</v>
      </c>
      <c r="X72" s="1028">
        <v>12766</v>
      </c>
      <c r="Y72" s="1028">
        <v>11290</v>
      </c>
      <c r="Z72" s="1028">
        <v>24056</v>
      </c>
      <c r="AA72" s="1028">
        <v>554551</v>
      </c>
      <c r="AB72" s="1028">
        <v>591011</v>
      </c>
      <c r="AC72" s="1028">
        <v>1145562</v>
      </c>
    </row>
    <row r="73" spans="1:29" x14ac:dyDescent="0.3">
      <c r="A73" s="949"/>
      <c r="B73" s="496" t="s">
        <v>911</v>
      </c>
      <c r="C73" s="492">
        <v>1784</v>
      </c>
      <c r="D73" s="1028">
        <v>2385</v>
      </c>
      <c r="E73" s="1028">
        <v>4169</v>
      </c>
      <c r="F73" s="1028">
        <v>16</v>
      </c>
      <c r="G73" s="1028">
        <v>32</v>
      </c>
      <c r="H73" s="1028">
        <v>48</v>
      </c>
      <c r="I73" s="1028">
        <v>57199</v>
      </c>
      <c r="J73" s="1028">
        <v>98973</v>
      </c>
      <c r="K73" s="1028">
        <v>156172</v>
      </c>
      <c r="L73" s="1028">
        <v>405310</v>
      </c>
      <c r="M73" s="1028">
        <v>417253</v>
      </c>
      <c r="N73" s="1028">
        <v>822563</v>
      </c>
      <c r="O73" s="1028">
        <v>1801</v>
      </c>
      <c r="P73" s="1028">
        <v>1734</v>
      </c>
      <c r="Q73" s="1028">
        <v>3535</v>
      </c>
      <c r="R73" s="1028">
        <v>63957</v>
      </c>
      <c r="S73" s="1028">
        <v>31839</v>
      </c>
      <c r="T73" s="1028">
        <v>95796</v>
      </c>
      <c r="U73" s="1028">
        <v>298</v>
      </c>
      <c r="V73" s="1028">
        <v>522</v>
      </c>
      <c r="W73" s="1028">
        <v>820</v>
      </c>
      <c r="X73" s="1028">
        <v>11781</v>
      </c>
      <c r="Y73" s="1028">
        <v>9648</v>
      </c>
      <c r="Z73" s="1028">
        <v>21429</v>
      </c>
      <c r="AA73" s="1028">
        <v>542146</v>
      </c>
      <c r="AB73" s="1028">
        <v>562386</v>
      </c>
      <c r="AC73" s="1028">
        <v>1104532</v>
      </c>
    </row>
    <row r="74" spans="1:29" x14ac:dyDescent="0.3">
      <c r="A74" s="949"/>
      <c r="B74" s="496" t="s">
        <v>910</v>
      </c>
      <c r="C74" s="492">
        <v>2046</v>
      </c>
      <c r="D74" s="1028">
        <v>2502</v>
      </c>
      <c r="E74" s="1028">
        <v>4548</v>
      </c>
      <c r="F74" s="1028">
        <v>104</v>
      </c>
      <c r="G74" s="1028">
        <v>142</v>
      </c>
      <c r="H74" s="1028">
        <v>246</v>
      </c>
      <c r="I74" s="1028">
        <v>50192</v>
      </c>
      <c r="J74" s="1028">
        <v>80377</v>
      </c>
      <c r="K74" s="1028">
        <v>130569</v>
      </c>
      <c r="L74" s="1028">
        <v>392179</v>
      </c>
      <c r="M74" s="1028">
        <v>389514</v>
      </c>
      <c r="N74" s="1028">
        <v>781693</v>
      </c>
      <c r="O74" s="1028">
        <v>1596</v>
      </c>
      <c r="P74" s="1028">
        <v>1331</v>
      </c>
      <c r="Q74" s="1028">
        <v>2927</v>
      </c>
      <c r="R74" s="1028">
        <v>61163</v>
      </c>
      <c r="S74" s="1028">
        <v>28798</v>
      </c>
      <c r="T74" s="1028">
        <v>89961</v>
      </c>
      <c r="U74" s="1028">
        <v>693</v>
      </c>
      <c r="V74" s="1028">
        <v>991</v>
      </c>
      <c r="W74" s="1028">
        <v>1684</v>
      </c>
      <c r="X74" s="1028">
        <v>9840</v>
      </c>
      <c r="Y74" s="1028">
        <v>7691</v>
      </c>
      <c r="Z74" s="1028">
        <v>17531</v>
      </c>
      <c r="AA74" s="1028">
        <v>517813</v>
      </c>
      <c r="AB74" s="1028">
        <v>511346</v>
      </c>
      <c r="AC74" s="1028">
        <v>1029159</v>
      </c>
    </row>
    <row r="75" spans="1:29" x14ac:dyDescent="0.3">
      <c r="A75" s="949"/>
      <c r="B75" s="496" t="s">
        <v>909</v>
      </c>
      <c r="C75" s="492">
        <v>1810</v>
      </c>
      <c r="D75" s="1028">
        <v>2356</v>
      </c>
      <c r="E75" s="1028">
        <v>4166</v>
      </c>
      <c r="F75" s="1028">
        <v>80</v>
      </c>
      <c r="G75" s="1028">
        <v>230</v>
      </c>
      <c r="H75" s="1028">
        <v>310</v>
      </c>
      <c r="I75" s="1028">
        <v>41587</v>
      </c>
      <c r="J75" s="1028">
        <v>69928</v>
      </c>
      <c r="K75" s="1028">
        <v>111515</v>
      </c>
      <c r="L75" s="1028">
        <v>354321</v>
      </c>
      <c r="M75" s="1028">
        <v>368329</v>
      </c>
      <c r="N75" s="1028">
        <v>722650</v>
      </c>
      <c r="O75" s="1028">
        <v>2059</v>
      </c>
      <c r="P75" s="1028">
        <v>1672</v>
      </c>
      <c r="Q75" s="1028">
        <v>3731</v>
      </c>
      <c r="R75" s="1028">
        <v>49706</v>
      </c>
      <c r="S75" s="1028">
        <v>21579</v>
      </c>
      <c r="T75" s="1028">
        <v>71285</v>
      </c>
      <c r="U75" s="1028">
        <v>1621</v>
      </c>
      <c r="V75" s="1028">
        <v>1778</v>
      </c>
      <c r="W75" s="1028">
        <v>3399</v>
      </c>
      <c r="X75" s="1028">
        <v>9303</v>
      </c>
      <c r="Y75" s="1028">
        <v>7182</v>
      </c>
      <c r="Z75" s="1028">
        <v>16485</v>
      </c>
      <c r="AA75" s="1028">
        <v>460487</v>
      </c>
      <c r="AB75" s="1028">
        <v>473054</v>
      </c>
      <c r="AC75" s="1028">
        <v>933541</v>
      </c>
    </row>
    <row r="76" spans="1:29" x14ac:dyDescent="0.3">
      <c r="A76" s="949"/>
      <c r="B76" s="496" t="s">
        <v>908</v>
      </c>
      <c r="C76" s="492">
        <v>1855</v>
      </c>
      <c r="D76" s="1028">
        <v>1991</v>
      </c>
      <c r="E76" s="1028">
        <v>3846</v>
      </c>
      <c r="F76" s="1028">
        <v>154</v>
      </c>
      <c r="G76" s="1028">
        <v>287</v>
      </c>
      <c r="H76" s="1028">
        <v>441</v>
      </c>
      <c r="I76" s="1028">
        <v>39800</v>
      </c>
      <c r="J76" s="1028">
        <v>69046</v>
      </c>
      <c r="K76" s="1028">
        <v>108846</v>
      </c>
      <c r="L76" s="1028">
        <v>353487</v>
      </c>
      <c r="M76" s="1028">
        <v>368952</v>
      </c>
      <c r="N76" s="1028">
        <v>722439</v>
      </c>
      <c r="O76" s="1028">
        <v>1917</v>
      </c>
      <c r="P76" s="1028">
        <v>1507</v>
      </c>
      <c r="Q76" s="1028">
        <v>3424</v>
      </c>
      <c r="R76" s="1028">
        <v>50412</v>
      </c>
      <c r="S76" s="1028">
        <v>22284</v>
      </c>
      <c r="T76" s="1028">
        <v>72696</v>
      </c>
      <c r="U76" s="1028">
        <v>1175</v>
      </c>
      <c r="V76" s="1028">
        <v>1577</v>
      </c>
      <c r="W76" s="1028">
        <v>2752</v>
      </c>
      <c r="X76" s="1028">
        <v>8489</v>
      </c>
      <c r="Y76" s="1028">
        <v>5960</v>
      </c>
      <c r="Z76" s="1028">
        <v>14449</v>
      </c>
      <c r="AA76" s="1028">
        <v>457289</v>
      </c>
      <c r="AB76" s="1028">
        <v>471604</v>
      </c>
      <c r="AC76" s="1028">
        <v>928893</v>
      </c>
    </row>
    <row r="77" spans="1:29" x14ac:dyDescent="0.3">
      <c r="A77" s="949">
        <v>12</v>
      </c>
      <c r="B77" s="488" t="s">
        <v>23</v>
      </c>
      <c r="C77" s="492"/>
      <c r="D77" s="1028"/>
      <c r="E77" s="1028"/>
      <c r="F77" s="1028"/>
      <c r="G77" s="1028"/>
      <c r="H77" s="1028"/>
      <c r="I77" s="1028"/>
      <c r="J77" s="1028"/>
      <c r="K77" s="1028"/>
      <c r="L77" s="1028"/>
      <c r="M77" s="1028"/>
      <c r="N77" s="1028"/>
      <c r="O77" s="1028"/>
      <c r="P77" s="1028"/>
      <c r="Q77" s="1028"/>
      <c r="R77" s="1028"/>
      <c r="S77" s="1028"/>
      <c r="T77" s="1028"/>
      <c r="U77" s="1028"/>
      <c r="V77" s="1028"/>
      <c r="W77" s="1028"/>
      <c r="X77" s="1028"/>
      <c r="Y77" s="1028"/>
      <c r="Z77" s="1028"/>
      <c r="AA77" s="1028"/>
      <c r="AB77" s="1028"/>
      <c r="AC77" s="1028"/>
    </row>
    <row r="78" spans="1:29" ht="15.5" x14ac:dyDescent="0.35">
      <c r="A78" s="949"/>
      <c r="B78" s="488" t="s">
        <v>912</v>
      </c>
      <c r="C78" s="502">
        <v>965</v>
      </c>
      <c r="D78" s="1029">
        <v>976</v>
      </c>
      <c r="E78" s="1029">
        <v>1941</v>
      </c>
      <c r="F78" s="1030">
        <v>11</v>
      </c>
      <c r="G78" s="1029">
        <v>1</v>
      </c>
      <c r="H78" s="1029">
        <v>12</v>
      </c>
      <c r="I78" s="1030">
        <v>17483.189180107529</v>
      </c>
      <c r="J78" s="1030">
        <v>21603.8006672427</v>
      </c>
      <c r="K78" s="1030">
        <v>39086.989847350233</v>
      </c>
      <c r="L78" s="1030">
        <v>120207.7165418587</v>
      </c>
      <c r="M78" s="1030">
        <v>138775.80774769589</v>
      </c>
      <c r="N78" s="1030">
        <v>258983.52428955451</v>
      </c>
      <c r="O78" s="1030">
        <v>747</v>
      </c>
      <c r="P78" s="1030">
        <v>917</v>
      </c>
      <c r="Q78" s="1030">
        <v>1664</v>
      </c>
      <c r="R78" s="1030">
        <v>9049</v>
      </c>
      <c r="S78" s="1030">
        <v>9910</v>
      </c>
      <c r="T78" s="1030">
        <v>18959</v>
      </c>
      <c r="U78" s="1030">
        <v>184</v>
      </c>
      <c r="V78" s="1030">
        <v>223</v>
      </c>
      <c r="W78" s="1030">
        <v>407</v>
      </c>
      <c r="X78" s="1030">
        <v>1531</v>
      </c>
      <c r="Y78" s="1030">
        <v>1183</v>
      </c>
      <c r="Z78" s="1030">
        <v>2714</v>
      </c>
      <c r="AA78" s="1030">
        <v>150177.90572196621</v>
      </c>
      <c r="AB78" s="1030">
        <v>173589.60841493859</v>
      </c>
      <c r="AC78" s="1030">
        <v>323767.51413690468</v>
      </c>
    </row>
    <row r="79" spans="1:29" x14ac:dyDescent="0.3">
      <c r="A79" s="949"/>
      <c r="B79" s="496" t="s">
        <v>911</v>
      </c>
      <c r="C79" s="492">
        <v>1028</v>
      </c>
      <c r="D79" s="1028">
        <v>1055</v>
      </c>
      <c r="E79" s="1028">
        <v>2083</v>
      </c>
      <c r="F79" s="1028">
        <v>44</v>
      </c>
      <c r="G79" s="1028">
        <v>38</v>
      </c>
      <c r="H79" s="1028">
        <v>82</v>
      </c>
      <c r="I79" s="1028">
        <v>15071</v>
      </c>
      <c r="J79" s="1028">
        <v>18862</v>
      </c>
      <c r="K79" s="1028">
        <v>33933</v>
      </c>
      <c r="L79" s="1028">
        <v>119249</v>
      </c>
      <c r="M79" s="1028">
        <v>141142</v>
      </c>
      <c r="N79" s="1028">
        <v>260391</v>
      </c>
      <c r="O79" s="1028">
        <v>970</v>
      </c>
      <c r="P79" s="1028">
        <v>917</v>
      </c>
      <c r="Q79" s="1028">
        <v>1887</v>
      </c>
      <c r="R79" s="1028">
        <v>8944</v>
      </c>
      <c r="S79" s="1028">
        <v>9189</v>
      </c>
      <c r="T79" s="1028">
        <v>18133</v>
      </c>
      <c r="U79" s="1028">
        <v>333</v>
      </c>
      <c r="V79" s="1028">
        <v>204</v>
      </c>
      <c r="W79" s="1028">
        <v>537</v>
      </c>
      <c r="X79" s="1028">
        <v>1504</v>
      </c>
      <c r="Y79" s="1028">
        <v>1101</v>
      </c>
      <c r="Z79" s="1028">
        <v>2605</v>
      </c>
      <c r="AA79" s="1028">
        <v>147143</v>
      </c>
      <c r="AB79" s="1028">
        <v>172508</v>
      </c>
      <c r="AC79" s="1028">
        <v>319651</v>
      </c>
    </row>
    <row r="80" spans="1:29" x14ac:dyDescent="0.3">
      <c r="A80" s="949"/>
      <c r="B80" s="496" t="s">
        <v>910</v>
      </c>
      <c r="C80" s="492">
        <v>1100</v>
      </c>
      <c r="D80" s="1028">
        <v>1012</v>
      </c>
      <c r="E80" s="1028">
        <v>2112</v>
      </c>
      <c r="F80" s="1028">
        <v>136</v>
      </c>
      <c r="G80" s="1028">
        <v>134</v>
      </c>
      <c r="H80" s="1028">
        <v>270</v>
      </c>
      <c r="I80" s="1028">
        <v>13471</v>
      </c>
      <c r="J80" s="1028">
        <v>16133</v>
      </c>
      <c r="K80" s="1028">
        <v>29604</v>
      </c>
      <c r="L80" s="1028">
        <v>107717</v>
      </c>
      <c r="M80" s="1028">
        <v>128469</v>
      </c>
      <c r="N80" s="1028">
        <v>236186</v>
      </c>
      <c r="O80" s="1028">
        <v>730</v>
      </c>
      <c r="P80" s="1028">
        <v>753</v>
      </c>
      <c r="Q80" s="1028">
        <v>1483</v>
      </c>
      <c r="R80" s="1028">
        <v>8214</v>
      </c>
      <c r="S80" s="1028">
        <v>8687</v>
      </c>
      <c r="T80" s="1028">
        <v>16901</v>
      </c>
      <c r="U80" s="1028">
        <v>324</v>
      </c>
      <c r="V80" s="1028">
        <v>236</v>
      </c>
      <c r="W80" s="1028">
        <v>560</v>
      </c>
      <c r="X80" s="1028">
        <v>1504</v>
      </c>
      <c r="Y80" s="1028">
        <v>965</v>
      </c>
      <c r="Z80" s="1028">
        <v>2469</v>
      </c>
      <c r="AA80" s="1028">
        <v>133196</v>
      </c>
      <c r="AB80" s="1028">
        <v>156389</v>
      </c>
      <c r="AC80" s="1028">
        <v>289585</v>
      </c>
    </row>
    <row r="81" spans="1:29" x14ac:dyDescent="0.3">
      <c r="A81" s="949"/>
      <c r="B81" s="496" t="s">
        <v>909</v>
      </c>
      <c r="C81" s="492">
        <v>1027</v>
      </c>
      <c r="D81" s="1028">
        <v>897</v>
      </c>
      <c r="E81" s="1028">
        <v>1924</v>
      </c>
      <c r="F81" s="1028">
        <v>118</v>
      </c>
      <c r="G81" s="1028">
        <v>214</v>
      </c>
      <c r="H81" s="1028">
        <v>332</v>
      </c>
      <c r="I81" s="1028">
        <v>12488</v>
      </c>
      <c r="J81" s="1028">
        <v>16079</v>
      </c>
      <c r="K81" s="1028">
        <v>28567</v>
      </c>
      <c r="L81" s="1028">
        <v>107453</v>
      </c>
      <c r="M81" s="1028">
        <v>129428</v>
      </c>
      <c r="N81" s="1028">
        <v>236881</v>
      </c>
      <c r="O81" s="1028">
        <v>1049</v>
      </c>
      <c r="P81" s="1028">
        <v>1240</v>
      </c>
      <c r="Q81" s="1028">
        <v>2289</v>
      </c>
      <c r="R81" s="1028">
        <v>8515</v>
      </c>
      <c r="S81" s="1028">
        <v>8198</v>
      </c>
      <c r="T81" s="1028">
        <v>16713</v>
      </c>
      <c r="U81" s="1028">
        <v>591</v>
      </c>
      <c r="V81" s="1028">
        <v>678</v>
      </c>
      <c r="W81" s="1028">
        <v>1269</v>
      </c>
      <c r="X81" s="1028">
        <v>990</v>
      </c>
      <c r="Y81" s="1028">
        <v>523</v>
      </c>
      <c r="Z81" s="1028">
        <v>1513</v>
      </c>
      <c r="AA81" s="1028">
        <v>132231</v>
      </c>
      <c r="AB81" s="1028">
        <v>157257</v>
      </c>
      <c r="AC81" s="1028">
        <v>289488</v>
      </c>
    </row>
    <row r="82" spans="1:29" x14ac:dyDescent="0.3">
      <c r="A82" s="949"/>
      <c r="B82" s="496" t="s">
        <v>908</v>
      </c>
      <c r="C82" s="492">
        <v>1121</v>
      </c>
      <c r="D82" s="1028">
        <v>794</v>
      </c>
      <c r="E82" s="1028">
        <v>1915</v>
      </c>
      <c r="F82" s="1028">
        <v>95</v>
      </c>
      <c r="G82" s="1028">
        <v>179</v>
      </c>
      <c r="H82" s="1028">
        <v>274</v>
      </c>
      <c r="I82" s="1028">
        <v>12156</v>
      </c>
      <c r="J82" s="1028">
        <v>15978</v>
      </c>
      <c r="K82" s="1028">
        <v>28134</v>
      </c>
      <c r="L82" s="1028">
        <v>105035</v>
      </c>
      <c r="M82" s="1028">
        <v>127077</v>
      </c>
      <c r="N82" s="1028">
        <v>232112</v>
      </c>
      <c r="O82" s="1028">
        <v>876</v>
      </c>
      <c r="P82" s="1028">
        <v>717</v>
      </c>
      <c r="Q82" s="1028">
        <v>1593</v>
      </c>
      <c r="R82" s="1028">
        <v>8354</v>
      </c>
      <c r="S82" s="1028">
        <v>8197</v>
      </c>
      <c r="T82" s="1028">
        <v>16551</v>
      </c>
      <c r="U82" s="1028">
        <v>899</v>
      </c>
      <c r="V82" s="1028">
        <v>1050</v>
      </c>
      <c r="W82" s="1028">
        <v>1949</v>
      </c>
      <c r="X82" s="1028">
        <v>913</v>
      </c>
      <c r="Y82" s="1028">
        <v>419</v>
      </c>
      <c r="Z82" s="1028">
        <v>1332</v>
      </c>
      <c r="AA82" s="1028">
        <v>129449</v>
      </c>
      <c r="AB82" s="1028">
        <v>154411</v>
      </c>
      <c r="AC82" s="1028">
        <v>283860</v>
      </c>
    </row>
    <row r="83" spans="1:29" x14ac:dyDescent="0.3">
      <c r="A83" s="949">
        <v>13</v>
      </c>
      <c r="B83" s="488" t="s">
        <v>24</v>
      </c>
      <c r="C83" s="492"/>
      <c r="D83" s="1028"/>
      <c r="E83" s="1028"/>
      <c r="F83" s="1028"/>
      <c r="G83" s="1028"/>
      <c r="H83" s="1028"/>
      <c r="I83" s="1028"/>
      <c r="J83" s="1028"/>
      <c r="K83" s="1028"/>
      <c r="L83" s="1028"/>
      <c r="M83" s="1028"/>
      <c r="N83" s="1028"/>
      <c r="O83" s="1028"/>
      <c r="P83" s="1028"/>
      <c r="Q83" s="1028"/>
      <c r="R83" s="1028"/>
      <c r="S83" s="1028"/>
      <c r="T83" s="1028"/>
      <c r="U83" s="1028"/>
      <c r="V83" s="1028"/>
      <c r="W83" s="1028"/>
      <c r="X83" s="1028"/>
      <c r="Y83" s="1028"/>
      <c r="Z83" s="1028"/>
      <c r="AA83" s="1028"/>
      <c r="AB83" s="1028"/>
      <c r="AC83" s="1028"/>
    </row>
    <row r="84" spans="1:29" x14ac:dyDescent="0.3">
      <c r="A84" s="949"/>
      <c r="B84" s="488" t="s">
        <v>912</v>
      </c>
      <c r="C84" s="492">
        <v>1788</v>
      </c>
      <c r="D84" s="1028">
        <v>2085</v>
      </c>
      <c r="E84" s="1028">
        <v>3873</v>
      </c>
      <c r="F84" s="1028"/>
      <c r="G84" s="1028"/>
      <c r="H84" s="1028"/>
      <c r="I84" s="1028">
        <v>25877</v>
      </c>
      <c r="J84" s="1028">
        <v>41663</v>
      </c>
      <c r="K84" s="1028">
        <v>67540</v>
      </c>
      <c r="L84" s="1028">
        <v>146544</v>
      </c>
      <c r="M84" s="1028">
        <v>143979</v>
      </c>
      <c r="N84" s="1028">
        <v>290523</v>
      </c>
      <c r="O84" s="1028">
        <v>594</v>
      </c>
      <c r="P84" s="1028">
        <v>406</v>
      </c>
      <c r="Q84" s="1028">
        <v>1000</v>
      </c>
      <c r="R84" s="1028">
        <v>9448</v>
      </c>
      <c r="S84" s="1028">
        <v>10836</v>
      </c>
      <c r="T84" s="1028">
        <v>20284</v>
      </c>
      <c r="U84" s="1028">
        <v>695</v>
      </c>
      <c r="V84" s="1028">
        <v>800</v>
      </c>
      <c r="W84" s="1028">
        <v>1495</v>
      </c>
      <c r="X84" s="1028">
        <v>5379</v>
      </c>
      <c r="Y84" s="1028">
        <v>6217</v>
      </c>
      <c r="Z84" s="1028">
        <v>11596</v>
      </c>
      <c r="AA84" s="1028">
        <v>190325</v>
      </c>
      <c r="AB84" s="1028">
        <v>205986</v>
      </c>
      <c r="AC84" s="1028">
        <v>396311</v>
      </c>
    </row>
    <row r="85" spans="1:29" x14ac:dyDescent="0.3">
      <c r="A85" s="949"/>
      <c r="B85" s="496" t="s">
        <v>911</v>
      </c>
      <c r="C85" s="492">
        <v>1879</v>
      </c>
      <c r="D85" s="1028">
        <v>1923</v>
      </c>
      <c r="E85" s="1028">
        <v>3802</v>
      </c>
      <c r="F85" s="1028">
        <v>41</v>
      </c>
      <c r="G85" s="1028">
        <v>82</v>
      </c>
      <c r="H85" s="1028">
        <v>123</v>
      </c>
      <c r="I85" s="1028">
        <v>30709</v>
      </c>
      <c r="J85" s="1028">
        <v>41398</v>
      </c>
      <c r="K85" s="1028">
        <v>72107</v>
      </c>
      <c r="L85" s="1028">
        <v>145870</v>
      </c>
      <c r="M85" s="1028">
        <v>147226</v>
      </c>
      <c r="N85" s="1028">
        <v>293096</v>
      </c>
      <c r="O85" s="1028">
        <v>777</v>
      </c>
      <c r="P85" s="1028">
        <v>483</v>
      </c>
      <c r="Q85" s="1028">
        <v>1260</v>
      </c>
      <c r="R85" s="1028">
        <v>9080</v>
      </c>
      <c r="S85" s="1028">
        <v>10909</v>
      </c>
      <c r="T85" s="1028">
        <v>19989</v>
      </c>
      <c r="U85" s="1028">
        <v>410</v>
      </c>
      <c r="V85" s="1028">
        <v>489</v>
      </c>
      <c r="W85" s="1028">
        <v>899</v>
      </c>
      <c r="X85" s="1028">
        <v>4188</v>
      </c>
      <c r="Y85" s="1028">
        <v>4959</v>
      </c>
      <c r="Z85" s="1028">
        <v>9147</v>
      </c>
      <c r="AA85" s="1028">
        <v>192954</v>
      </c>
      <c r="AB85" s="1028">
        <v>207469</v>
      </c>
      <c r="AC85" s="1028">
        <v>400423</v>
      </c>
    </row>
    <row r="86" spans="1:29" x14ac:dyDescent="0.3">
      <c r="A86" s="949"/>
      <c r="B86" s="496" t="s">
        <v>910</v>
      </c>
      <c r="C86" s="492">
        <v>2412</v>
      </c>
      <c r="D86" s="1028">
        <v>2033</v>
      </c>
      <c r="E86" s="1028">
        <v>4445</v>
      </c>
      <c r="F86" s="1028">
        <v>117</v>
      </c>
      <c r="G86" s="1028">
        <v>180</v>
      </c>
      <c r="H86" s="1028">
        <v>297</v>
      </c>
      <c r="I86" s="1028">
        <v>29946</v>
      </c>
      <c r="J86" s="1028">
        <v>36342</v>
      </c>
      <c r="K86" s="1028">
        <v>66288</v>
      </c>
      <c r="L86" s="1028">
        <v>141590</v>
      </c>
      <c r="M86" s="1028">
        <v>147415</v>
      </c>
      <c r="N86" s="1028">
        <v>289005</v>
      </c>
      <c r="O86" s="1028">
        <v>1183</v>
      </c>
      <c r="P86" s="1028">
        <v>646</v>
      </c>
      <c r="Q86" s="1028">
        <v>1829</v>
      </c>
      <c r="R86" s="1028">
        <v>12879</v>
      </c>
      <c r="S86" s="1028">
        <v>12592</v>
      </c>
      <c r="T86" s="1028">
        <v>25471</v>
      </c>
      <c r="U86" s="1028">
        <v>840</v>
      </c>
      <c r="V86" s="1028">
        <v>769</v>
      </c>
      <c r="W86" s="1028">
        <v>1609</v>
      </c>
      <c r="X86" s="1028">
        <v>4509</v>
      </c>
      <c r="Y86" s="1028">
        <v>5401</v>
      </c>
      <c r="Z86" s="1028">
        <v>9910</v>
      </c>
      <c r="AA86" s="1028">
        <v>193476</v>
      </c>
      <c r="AB86" s="1028">
        <v>205378</v>
      </c>
      <c r="AC86" s="1028">
        <v>398854</v>
      </c>
    </row>
    <row r="87" spans="1:29" x14ac:dyDescent="0.3">
      <c r="A87" s="949"/>
      <c r="B87" s="496" t="s">
        <v>909</v>
      </c>
      <c r="C87" s="492">
        <v>2080</v>
      </c>
      <c r="D87" s="1028">
        <v>1909</v>
      </c>
      <c r="E87" s="1028">
        <v>3989</v>
      </c>
      <c r="F87" s="1028">
        <v>94</v>
      </c>
      <c r="G87" s="1028">
        <v>156</v>
      </c>
      <c r="H87" s="1028">
        <v>250</v>
      </c>
      <c r="I87" s="1028">
        <v>28673</v>
      </c>
      <c r="J87" s="1028">
        <v>34950</v>
      </c>
      <c r="K87" s="1028">
        <v>63623</v>
      </c>
      <c r="L87" s="1028">
        <v>154680</v>
      </c>
      <c r="M87" s="1028">
        <v>147209</v>
      </c>
      <c r="N87" s="1028">
        <v>301889</v>
      </c>
      <c r="O87" s="1028">
        <v>931</v>
      </c>
      <c r="P87" s="1028">
        <v>620</v>
      </c>
      <c r="Q87" s="1028">
        <v>1551</v>
      </c>
      <c r="R87" s="1028">
        <v>8951</v>
      </c>
      <c r="S87" s="1028">
        <v>6660</v>
      </c>
      <c r="T87" s="1028">
        <v>15611</v>
      </c>
      <c r="U87" s="1028">
        <v>994</v>
      </c>
      <c r="V87" s="1028">
        <v>1123</v>
      </c>
      <c r="W87" s="1028">
        <v>2117</v>
      </c>
      <c r="X87" s="1028">
        <v>2846</v>
      </c>
      <c r="Y87" s="1028">
        <v>3540</v>
      </c>
      <c r="Z87" s="1028">
        <v>6386</v>
      </c>
      <c r="AA87" s="1028">
        <v>199249</v>
      </c>
      <c r="AB87" s="1028">
        <v>196167</v>
      </c>
      <c r="AC87" s="1028">
        <v>395416</v>
      </c>
    </row>
    <row r="88" spans="1:29" x14ac:dyDescent="0.3">
      <c r="A88" s="949"/>
      <c r="B88" s="496" t="s">
        <v>908</v>
      </c>
      <c r="C88" s="492">
        <v>1392</v>
      </c>
      <c r="D88" s="1028">
        <v>1291</v>
      </c>
      <c r="E88" s="1028">
        <v>2683</v>
      </c>
      <c r="F88" s="1028">
        <v>143</v>
      </c>
      <c r="G88" s="1028">
        <v>174</v>
      </c>
      <c r="H88" s="1028">
        <v>317</v>
      </c>
      <c r="I88" s="1028">
        <v>29721</v>
      </c>
      <c r="J88" s="1028">
        <v>36407</v>
      </c>
      <c r="K88" s="1028">
        <v>66128</v>
      </c>
      <c r="L88" s="1028">
        <v>151657</v>
      </c>
      <c r="M88" s="1028">
        <v>152874</v>
      </c>
      <c r="N88" s="1028">
        <v>304531</v>
      </c>
      <c r="O88" s="1028">
        <v>1031</v>
      </c>
      <c r="P88" s="1028">
        <v>719</v>
      </c>
      <c r="Q88" s="1028">
        <v>1750</v>
      </c>
      <c r="R88" s="1028">
        <v>8584</v>
      </c>
      <c r="S88" s="1028">
        <v>4354</v>
      </c>
      <c r="T88" s="1028">
        <v>12938</v>
      </c>
      <c r="U88" s="1028">
        <v>124</v>
      </c>
      <c r="V88" s="1028">
        <v>116</v>
      </c>
      <c r="W88" s="1028">
        <v>240</v>
      </c>
      <c r="X88" s="1028">
        <v>2618</v>
      </c>
      <c r="Y88" s="1028">
        <v>2894</v>
      </c>
      <c r="Z88" s="1028">
        <v>5512</v>
      </c>
      <c r="AA88" s="1028">
        <v>195270</v>
      </c>
      <c r="AB88" s="1028">
        <v>198829</v>
      </c>
      <c r="AC88" s="1028">
        <v>394099</v>
      </c>
    </row>
    <row r="89" spans="1:29" x14ac:dyDescent="0.3">
      <c r="A89" s="949">
        <v>14</v>
      </c>
      <c r="B89" s="488" t="s">
        <v>25</v>
      </c>
      <c r="C89" s="492"/>
      <c r="D89" s="1028"/>
      <c r="E89" s="1028"/>
      <c r="F89" s="1028"/>
      <c r="G89" s="1028"/>
      <c r="H89" s="1028"/>
      <c r="I89" s="1028"/>
      <c r="J89" s="1028"/>
      <c r="K89" s="1028"/>
      <c r="L89" s="1028"/>
      <c r="M89" s="1028"/>
      <c r="N89" s="1028"/>
      <c r="O89" s="1028"/>
      <c r="P89" s="1028"/>
      <c r="Q89" s="1028"/>
      <c r="R89" s="1028"/>
      <c r="S89" s="1028"/>
      <c r="T89" s="1028"/>
      <c r="U89" s="1028"/>
      <c r="V89" s="1028"/>
      <c r="W89" s="1028"/>
      <c r="X89" s="1028"/>
      <c r="Y89" s="1028"/>
      <c r="Z89" s="1028"/>
      <c r="AA89" s="1028"/>
      <c r="AB89" s="1028"/>
      <c r="AC89" s="1028"/>
    </row>
    <row r="90" spans="1:29" x14ac:dyDescent="0.3">
      <c r="A90" s="949"/>
      <c r="B90" s="488" t="s">
        <v>912</v>
      </c>
      <c r="C90" s="492">
        <v>1403</v>
      </c>
      <c r="D90" s="1028">
        <v>879</v>
      </c>
      <c r="E90" s="1028">
        <v>2282</v>
      </c>
      <c r="F90" s="1028">
        <v>13</v>
      </c>
      <c r="G90" s="1028">
        <v>66</v>
      </c>
      <c r="H90" s="1028">
        <v>79</v>
      </c>
      <c r="I90" s="1028">
        <v>46427</v>
      </c>
      <c r="J90" s="1028">
        <v>66974</v>
      </c>
      <c r="K90" s="1028">
        <v>113401</v>
      </c>
      <c r="L90" s="1028">
        <v>357852</v>
      </c>
      <c r="M90" s="1028">
        <v>352306</v>
      </c>
      <c r="N90" s="1028">
        <v>710158</v>
      </c>
      <c r="O90" s="1028">
        <v>2335</v>
      </c>
      <c r="P90" s="1028">
        <v>1265</v>
      </c>
      <c r="Q90" s="1028">
        <v>3600</v>
      </c>
      <c r="R90" s="1028">
        <v>39069</v>
      </c>
      <c r="S90" s="1028">
        <v>26247</v>
      </c>
      <c r="T90" s="1028">
        <v>65316</v>
      </c>
      <c r="U90" s="1028">
        <v>998</v>
      </c>
      <c r="V90" s="1028">
        <v>533</v>
      </c>
      <c r="W90" s="1028">
        <v>1531</v>
      </c>
      <c r="X90" s="1028">
        <v>2729</v>
      </c>
      <c r="Y90" s="1028">
        <v>1684</v>
      </c>
      <c r="Z90" s="1028">
        <v>4413</v>
      </c>
      <c r="AA90" s="1028">
        <v>450826</v>
      </c>
      <c r="AB90" s="1028">
        <v>449954</v>
      </c>
      <c r="AC90" s="1028">
        <v>900780</v>
      </c>
    </row>
    <row r="91" spans="1:29" x14ac:dyDescent="0.3">
      <c r="A91" s="949"/>
      <c r="B91" s="496" t="s">
        <v>911</v>
      </c>
      <c r="C91" s="492">
        <v>2039</v>
      </c>
      <c r="D91" s="1028">
        <v>1113</v>
      </c>
      <c r="E91" s="1028">
        <v>3152</v>
      </c>
      <c r="F91" s="1028">
        <v>14</v>
      </c>
      <c r="G91" s="1028">
        <v>66</v>
      </c>
      <c r="H91" s="1028">
        <v>80</v>
      </c>
      <c r="I91" s="1028">
        <v>48894</v>
      </c>
      <c r="J91" s="1028">
        <v>63574</v>
      </c>
      <c r="K91" s="1028">
        <v>112468</v>
      </c>
      <c r="L91" s="1028">
        <v>362777</v>
      </c>
      <c r="M91" s="1028">
        <v>347379</v>
      </c>
      <c r="N91" s="1028">
        <v>710156</v>
      </c>
      <c r="O91" s="1028">
        <v>2051</v>
      </c>
      <c r="P91" s="1028">
        <v>1087</v>
      </c>
      <c r="Q91" s="1028">
        <v>3138</v>
      </c>
      <c r="R91" s="1028">
        <v>31177</v>
      </c>
      <c r="S91" s="1028">
        <v>14953</v>
      </c>
      <c r="T91" s="1028">
        <v>46130</v>
      </c>
      <c r="U91" s="1028">
        <v>906</v>
      </c>
      <c r="V91" s="1028">
        <v>440</v>
      </c>
      <c r="W91" s="1028">
        <v>1346</v>
      </c>
      <c r="X91" s="1028">
        <v>2248</v>
      </c>
      <c r="Y91" s="1028">
        <v>1247</v>
      </c>
      <c r="Z91" s="1028">
        <v>3495</v>
      </c>
      <c r="AA91" s="1028">
        <v>450106</v>
      </c>
      <c r="AB91" s="1028">
        <v>429859</v>
      </c>
      <c r="AC91" s="1028">
        <v>879965</v>
      </c>
    </row>
    <row r="92" spans="1:29" x14ac:dyDescent="0.3">
      <c r="A92" s="949"/>
      <c r="B92" s="496" t="s">
        <v>910</v>
      </c>
      <c r="C92" s="492">
        <v>1738</v>
      </c>
      <c r="D92" s="1028">
        <v>919</v>
      </c>
      <c r="E92" s="1028">
        <v>2657</v>
      </c>
      <c r="F92" s="1028">
        <v>18</v>
      </c>
      <c r="G92" s="1028">
        <v>63</v>
      </c>
      <c r="H92" s="1028">
        <v>81</v>
      </c>
      <c r="I92" s="1028">
        <v>42929</v>
      </c>
      <c r="J92" s="1028">
        <v>62500</v>
      </c>
      <c r="K92" s="1028">
        <v>105429</v>
      </c>
      <c r="L92" s="1028">
        <v>314684</v>
      </c>
      <c r="M92" s="1028">
        <v>312130</v>
      </c>
      <c r="N92" s="1028">
        <v>626814</v>
      </c>
      <c r="O92" s="1028">
        <v>2901</v>
      </c>
      <c r="P92" s="1028">
        <v>1184</v>
      </c>
      <c r="Q92" s="1028">
        <v>4085</v>
      </c>
      <c r="R92" s="1028">
        <v>28104</v>
      </c>
      <c r="S92" s="1028">
        <v>14712</v>
      </c>
      <c r="T92" s="1028">
        <v>42816</v>
      </c>
      <c r="U92" s="1028">
        <v>1160</v>
      </c>
      <c r="V92" s="1028">
        <v>800</v>
      </c>
      <c r="W92" s="1028">
        <v>1960</v>
      </c>
      <c r="X92" s="1028">
        <v>1815</v>
      </c>
      <c r="Y92" s="1028">
        <v>1030</v>
      </c>
      <c r="Z92" s="1028">
        <v>2845</v>
      </c>
      <c r="AA92" s="1028">
        <v>393349</v>
      </c>
      <c r="AB92" s="1028">
        <v>393338</v>
      </c>
      <c r="AC92" s="1028">
        <v>786687</v>
      </c>
    </row>
    <row r="93" spans="1:29" x14ac:dyDescent="0.3">
      <c r="A93" s="949"/>
      <c r="B93" s="496" t="s">
        <v>909</v>
      </c>
      <c r="C93" s="492">
        <v>2469</v>
      </c>
      <c r="D93" s="1028">
        <v>1020</v>
      </c>
      <c r="E93" s="1028">
        <v>3489</v>
      </c>
      <c r="F93" s="1028">
        <v>33</v>
      </c>
      <c r="G93" s="1028">
        <v>74</v>
      </c>
      <c r="H93" s="1028">
        <v>107</v>
      </c>
      <c r="I93" s="1028">
        <v>42783</v>
      </c>
      <c r="J93" s="1028">
        <v>63051</v>
      </c>
      <c r="K93" s="1028">
        <v>105834</v>
      </c>
      <c r="L93" s="1028">
        <v>330828</v>
      </c>
      <c r="M93" s="1028">
        <v>329263</v>
      </c>
      <c r="N93" s="1028">
        <v>660091</v>
      </c>
      <c r="O93" s="1028">
        <v>3061</v>
      </c>
      <c r="P93" s="1028">
        <v>1602</v>
      </c>
      <c r="Q93" s="1028">
        <v>4663</v>
      </c>
      <c r="R93" s="1028">
        <v>26918</v>
      </c>
      <c r="S93" s="1028">
        <v>11213</v>
      </c>
      <c r="T93" s="1028">
        <v>38131</v>
      </c>
      <c r="U93" s="1028">
        <v>672</v>
      </c>
      <c r="V93" s="1028">
        <v>1256</v>
      </c>
      <c r="W93" s="1028">
        <v>1928</v>
      </c>
      <c r="X93" s="1028">
        <v>2095</v>
      </c>
      <c r="Y93" s="1028">
        <v>1222</v>
      </c>
      <c r="Z93" s="1028">
        <v>3317</v>
      </c>
      <c r="AA93" s="1028">
        <v>408859</v>
      </c>
      <c r="AB93" s="1028">
        <v>408701</v>
      </c>
      <c r="AC93" s="1028">
        <v>817560</v>
      </c>
    </row>
    <row r="94" spans="1:29" x14ac:dyDescent="0.3">
      <c r="A94" s="949"/>
      <c r="B94" s="496" t="s">
        <v>908</v>
      </c>
      <c r="C94" s="492">
        <v>2108</v>
      </c>
      <c r="D94" s="1028">
        <v>795</v>
      </c>
      <c r="E94" s="1028">
        <v>2903</v>
      </c>
      <c r="F94" s="1028">
        <v>46</v>
      </c>
      <c r="G94" s="1028">
        <v>110</v>
      </c>
      <c r="H94" s="1028">
        <v>156</v>
      </c>
      <c r="I94" s="1028">
        <v>33887</v>
      </c>
      <c r="J94" s="1028">
        <v>47852</v>
      </c>
      <c r="K94" s="1028">
        <v>81739</v>
      </c>
      <c r="L94" s="1028">
        <v>311311</v>
      </c>
      <c r="M94" s="1028">
        <v>299576</v>
      </c>
      <c r="N94" s="1028">
        <v>610887</v>
      </c>
      <c r="O94" s="1028">
        <v>3541</v>
      </c>
      <c r="P94" s="1028">
        <v>1525</v>
      </c>
      <c r="Q94" s="1028">
        <v>5066</v>
      </c>
      <c r="R94" s="1028">
        <v>23940</v>
      </c>
      <c r="S94" s="1028">
        <v>9279</v>
      </c>
      <c r="T94" s="1028">
        <v>33219</v>
      </c>
      <c r="U94" s="1028">
        <v>656</v>
      </c>
      <c r="V94" s="1028">
        <v>1280</v>
      </c>
      <c r="W94" s="1028">
        <v>1936</v>
      </c>
      <c r="X94" s="1028">
        <v>2252</v>
      </c>
      <c r="Y94" s="1028">
        <v>1326</v>
      </c>
      <c r="Z94" s="1028">
        <v>3578</v>
      </c>
      <c r="AA94" s="1028">
        <v>377741</v>
      </c>
      <c r="AB94" s="1028">
        <v>361743</v>
      </c>
      <c r="AC94" s="1028">
        <v>739484</v>
      </c>
    </row>
    <row r="95" spans="1:29" x14ac:dyDescent="0.3">
      <c r="A95" s="949">
        <v>15</v>
      </c>
      <c r="B95" s="488" t="s">
        <v>26</v>
      </c>
      <c r="C95" s="492"/>
      <c r="D95" s="1028"/>
      <c r="E95" s="1028"/>
      <c r="F95" s="1028"/>
      <c r="G95" s="1028"/>
      <c r="H95" s="1028"/>
      <c r="I95" s="1028"/>
      <c r="J95" s="1028"/>
      <c r="K95" s="1028"/>
      <c r="L95" s="1028"/>
      <c r="M95" s="1028"/>
      <c r="N95" s="1028"/>
      <c r="O95" s="1028"/>
      <c r="P95" s="1028"/>
      <c r="Q95" s="1028"/>
      <c r="R95" s="1028"/>
      <c r="S95" s="1028"/>
      <c r="T95" s="1028"/>
      <c r="U95" s="1028"/>
      <c r="V95" s="1028"/>
      <c r="W95" s="1028"/>
      <c r="X95" s="1028"/>
      <c r="Y95" s="1028"/>
      <c r="Z95" s="1028"/>
      <c r="AA95" s="1028"/>
      <c r="AB95" s="1028"/>
      <c r="AC95" s="1028"/>
    </row>
    <row r="96" spans="1:29" x14ac:dyDescent="0.3">
      <c r="A96" s="949"/>
      <c r="B96" s="488" t="s">
        <v>912</v>
      </c>
      <c r="C96" s="492">
        <v>5875</v>
      </c>
      <c r="D96" s="1028">
        <v>5791</v>
      </c>
      <c r="E96" s="1028">
        <v>11666</v>
      </c>
      <c r="F96" s="1028">
        <v>53</v>
      </c>
      <c r="G96" s="1028">
        <v>139</v>
      </c>
      <c r="H96" s="1028">
        <v>192</v>
      </c>
      <c r="I96" s="1028">
        <v>133710.0222699205</v>
      </c>
      <c r="J96" s="1028">
        <v>165748.1682663851</v>
      </c>
      <c r="K96" s="1028">
        <v>299458.19053630572</v>
      </c>
      <c r="L96" s="1028">
        <v>1047345.47594226</v>
      </c>
      <c r="M96" s="1028">
        <v>992910.17476320686</v>
      </c>
      <c r="N96" s="1028">
        <v>2040255.650705467</v>
      </c>
      <c r="O96" s="1028">
        <v>4829</v>
      </c>
      <c r="P96" s="1028">
        <v>3667</v>
      </c>
      <c r="Q96" s="1028">
        <v>8496</v>
      </c>
      <c r="R96" s="1028">
        <v>152049</v>
      </c>
      <c r="S96" s="1028">
        <v>105031</v>
      </c>
      <c r="T96" s="1028">
        <v>257080</v>
      </c>
      <c r="U96" s="1028">
        <v>1770</v>
      </c>
      <c r="V96" s="1028">
        <v>1253</v>
      </c>
      <c r="W96" s="1028">
        <v>3023</v>
      </c>
      <c r="X96" s="1028">
        <v>9178</v>
      </c>
      <c r="Y96" s="1028">
        <v>9015</v>
      </c>
      <c r="Z96" s="1028">
        <v>18193</v>
      </c>
      <c r="AA96" s="1028">
        <v>1354809.498212181</v>
      </c>
      <c r="AB96" s="1028">
        <v>1283554.343029592</v>
      </c>
      <c r="AC96" s="1028">
        <v>2638363.8412417732</v>
      </c>
    </row>
    <row r="97" spans="1:29" x14ac:dyDescent="0.3">
      <c r="A97" s="949"/>
      <c r="B97" s="496" t="s">
        <v>911</v>
      </c>
      <c r="C97" s="492">
        <v>6045</v>
      </c>
      <c r="D97" s="1028">
        <v>5148</v>
      </c>
      <c r="E97" s="1028">
        <v>11193</v>
      </c>
      <c r="F97" s="1028">
        <v>44</v>
      </c>
      <c r="G97" s="1028">
        <v>183</v>
      </c>
      <c r="H97" s="1028">
        <v>227</v>
      </c>
      <c r="I97" s="1028">
        <v>118528</v>
      </c>
      <c r="J97" s="1028">
        <v>142088</v>
      </c>
      <c r="K97" s="1028">
        <v>260616</v>
      </c>
      <c r="L97" s="1028">
        <v>982974</v>
      </c>
      <c r="M97" s="1028">
        <v>923326</v>
      </c>
      <c r="N97" s="1028">
        <v>1906300</v>
      </c>
      <c r="O97" s="1028">
        <v>4862</v>
      </c>
      <c r="P97" s="1028">
        <v>3664</v>
      </c>
      <c r="Q97" s="1028">
        <v>8526</v>
      </c>
      <c r="R97" s="1028">
        <v>134943</v>
      </c>
      <c r="S97" s="1028">
        <v>94970</v>
      </c>
      <c r="T97" s="1028">
        <v>229913</v>
      </c>
      <c r="U97" s="1028">
        <v>1847</v>
      </c>
      <c r="V97" s="1028">
        <v>1196</v>
      </c>
      <c r="W97" s="1028">
        <v>3043</v>
      </c>
      <c r="X97" s="1028">
        <v>8761</v>
      </c>
      <c r="Y97" s="1028">
        <v>7961</v>
      </c>
      <c r="Z97" s="1028">
        <v>16722</v>
      </c>
      <c r="AA97" s="1028">
        <v>1258004</v>
      </c>
      <c r="AB97" s="1028">
        <v>1178536</v>
      </c>
      <c r="AC97" s="1028">
        <v>2436540</v>
      </c>
    </row>
    <row r="98" spans="1:29" x14ac:dyDescent="0.3">
      <c r="A98" s="949"/>
      <c r="B98" s="496" t="s">
        <v>910</v>
      </c>
      <c r="C98" s="492">
        <v>5752</v>
      </c>
      <c r="D98" s="1028">
        <v>5276</v>
      </c>
      <c r="E98" s="1028">
        <v>11028</v>
      </c>
      <c r="F98" s="1028">
        <v>60</v>
      </c>
      <c r="G98" s="1028">
        <v>189</v>
      </c>
      <c r="H98" s="1028">
        <v>249</v>
      </c>
      <c r="I98" s="1028">
        <v>120083</v>
      </c>
      <c r="J98" s="1028">
        <v>159105</v>
      </c>
      <c r="K98" s="1028">
        <v>279188</v>
      </c>
      <c r="L98" s="1028">
        <v>944677</v>
      </c>
      <c r="M98" s="1028">
        <v>924391</v>
      </c>
      <c r="N98" s="1028">
        <v>1869068</v>
      </c>
      <c r="O98" s="1028">
        <v>4112</v>
      </c>
      <c r="P98" s="1028">
        <v>3219</v>
      </c>
      <c r="Q98" s="1028">
        <v>7331</v>
      </c>
      <c r="R98" s="1028">
        <v>138523</v>
      </c>
      <c r="S98" s="1028">
        <v>115311</v>
      </c>
      <c r="T98" s="1028">
        <v>253834</v>
      </c>
      <c r="U98" s="1028">
        <v>3120</v>
      </c>
      <c r="V98" s="1028">
        <v>2664</v>
      </c>
      <c r="W98" s="1028">
        <v>5784</v>
      </c>
      <c r="X98" s="1028">
        <v>7274</v>
      </c>
      <c r="Y98" s="1028">
        <v>6681</v>
      </c>
      <c r="Z98" s="1028">
        <v>13955</v>
      </c>
      <c r="AA98" s="1028">
        <v>1223601</v>
      </c>
      <c r="AB98" s="1028">
        <v>1216836</v>
      </c>
      <c r="AC98" s="1028">
        <v>2440437</v>
      </c>
    </row>
    <row r="99" spans="1:29" x14ac:dyDescent="0.3">
      <c r="A99" s="949"/>
      <c r="B99" s="496" t="s">
        <v>909</v>
      </c>
      <c r="C99" s="492">
        <v>8422</v>
      </c>
      <c r="D99" s="1028">
        <v>6566</v>
      </c>
      <c r="E99" s="1028">
        <v>14988</v>
      </c>
      <c r="F99" s="1028">
        <v>160</v>
      </c>
      <c r="G99" s="1028">
        <v>368</v>
      </c>
      <c r="H99" s="1028">
        <v>528</v>
      </c>
      <c r="I99" s="1028">
        <v>104832</v>
      </c>
      <c r="J99" s="1028">
        <v>134324</v>
      </c>
      <c r="K99" s="1028">
        <v>239156</v>
      </c>
      <c r="L99" s="1028">
        <v>848754</v>
      </c>
      <c r="M99" s="1028">
        <v>865942</v>
      </c>
      <c r="N99" s="1028">
        <v>1714696</v>
      </c>
      <c r="O99" s="1028">
        <v>5429</v>
      </c>
      <c r="P99" s="1028">
        <v>4444</v>
      </c>
      <c r="Q99" s="1028">
        <v>9873</v>
      </c>
      <c r="R99" s="1028">
        <v>113722</v>
      </c>
      <c r="S99" s="1028">
        <v>80771</v>
      </c>
      <c r="T99" s="1028">
        <v>194493</v>
      </c>
      <c r="U99" s="1028">
        <v>1182</v>
      </c>
      <c r="V99" s="1028">
        <v>1520</v>
      </c>
      <c r="W99" s="1028">
        <v>2702</v>
      </c>
      <c r="X99" s="1028">
        <v>6382</v>
      </c>
      <c r="Y99" s="1028">
        <v>5074</v>
      </c>
      <c r="Z99" s="1028">
        <v>11456</v>
      </c>
      <c r="AA99" s="1028">
        <v>1088883</v>
      </c>
      <c r="AB99" s="1028">
        <v>1099009</v>
      </c>
      <c r="AC99" s="1028">
        <v>2187892</v>
      </c>
    </row>
    <row r="100" spans="1:29" x14ac:dyDescent="0.3">
      <c r="A100" s="949"/>
      <c r="B100" s="496" t="s">
        <v>908</v>
      </c>
      <c r="C100" s="492">
        <v>8070</v>
      </c>
      <c r="D100" s="1028">
        <v>5230</v>
      </c>
      <c r="E100" s="1028">
        <v>13300</v>
      </c>
      <c r="F100" s="1028">
        <v>152</v>
      </c>
      <c r="G100" s="1028">
        <v>316</v>
      </c>
      <c r="H100" s="1028">
        <v>468</v>
      </c>
      <c r="I100" s="1028">
        <v>93614</v>
      </c>
      <c r="J100" s="1028">
        <v>118327</v>
      </c>
      <c r="K100" s="1028">
        <v>211941</v>
      </c>
      <c r="L100" s="1028">
        <v>768616</v>
      </c>
      <c r="M100" s="1028">
        <v>789369</v>
      </c>
      <c r="N100" s="1028">
        <v>1557985</v>
      </c>
      <c r="O100" s="1028">
        <v>3391</v>
      </c>
      <c r="P100" s="1028">
        <v>3055</v>
      </c>
      <c r="Q100" s="1028">
        <v>6446</v>
      </c>
      <c r="R100" s="1028">
        <v>113795</v>
      </c>
      <c r="S100" s="1028">
        <v>73333</v>
      </c>
      <c r="T100" s="1028">
        <v>187128</v>
      </c>
      <c r="U100" s="1028">
        <v>1284</v>
      </c>
      <c r="V100" s="1028">
        <v>1795</v>
      </c>
      <c r="W100" s="1028">
        <v>3079</v>
      </c>
      <c r="X100" s="1028">
        <v>4495</v>
      </c>
      <c r="Y100" s="1028">
        <v>3652</v>
      </c>
      <c r="Z100" s="1028">
        <v>8147</v>
      </c>
      <c r="AA100" s="1028">
        <v>993417</v>
      </c>
      <c r="AB100" s="1028">
        <v>995077</v>
      </c>
      <c r="AC100" s="1028">
        <v>1988494</v>
      </c>
    </row>
    <row r="101" spans="1:29" s="390" customFormat="1" ht="14.5" x14ac:dyDescent="0.35">
      <c r="A101" s="949">
        <v>16</v>
      </c>
      <c r="B101" s="488" t="s">
        <v>27</v>
      </c>
      <c r="C101" s="492"/>
      <c r="D101" s="1028"/>
      <c r="E101" s="1028"/>
      <c r="F101" s="1028"/>
      <c r="G101" s="1028"/>
      <c r="H101" s="1028"/>
      <c r="I101" s="1028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028"/>
      <c r="X101" s="1028"/>
      <c r="Y101" s="1028"/>
      <c r="Z101" s="1028"/>
      <c r="AA101" s="1028"/>
      <c r="AB101" s="1028"/>
      <c r="AC101" s="1028"/>
    </row>
    <row r="102" spans="1:29" s="390" customFormat="1" ht="14.5" x14ac:dyDescent="0.35">
      <c r="A102" s="949"/>
      <c r="B102" s="488" t="s">
        <v>912</v>
      </c>
      <c r="C102" s="492">
        <v>2894</v>
      </c>
      <c r="D102" s="1028">
        <v>6082</v>
      </c>
      <c r="E102" s="1028">
        <v>8976</v>
      </c>
      <c r="F102" s="1028">
        <v>14</v>
      </c>
      <c r="G102" s="1028">
        <v>58</v>
      </c>
      <c r="H102" s="1028">
        <v>72</v>
      </c>
      <c r="I102" s="1028">
        <v>45041.841042487184</v>
      </c>
      <c r="J102" s="1028">
        <v>117816.4149951648</v>
      </c>
      <c r="K102" s="1028">
        <v>162858.256037652</v>
      </c>
      <c r="L102" s="1028">
        <v>401393.10789953702</v>
      </c>
      <c r="M102" s="1028">
        <v>535121.11412930279</v>
      </c>
      <c r="N102" s="1028">
        <v>936514.22202883975</v>
      </c>
      <c r="O102" s="1028">
        <v>1333</v>
      </c>
      <c r="P102" s="1028">
        <v>2023</v>
      </c>
      <c r="Q102" s="1028">
        <v>3356</v>
      </c>
      <c r="R102" s="1028">
        <v>54281</v>
      </c>
      <c r="S102" s="1028">
        <v>40081</v>
      </c>
      <c r="T102" s="1028">
        <v>94362</v>
      </c>
      <c r="U102" s="1028">
        <v>1999</v>
      </c>
      <c r="V102" s="1028">
        <v>1280</v>
      </c>
      <c r="W102" s="1028">
        <v>3279</v>
      </c>
      <c r="X102" s="1028">
        <v>5701</v>
      </c>
      <c r="Y102" s="1028">
        <v>9181</v>
      </c>
      <c r="Z102" s="1028">
        <v>14882</v>
      </c>
      <c r="AA102" s="1028">
        <v>512656.94894202409</v>
      </c>
      <c r="AB102" s="1028">
        <v>711642.52912446763</v>
      </c>
      <c r="AC102" s="1028">
        <v>1224299.4780664919</v>
      </c>
    </row>
    <row r="103" spans="1:29" s="390" customFormat="1" ht="14.5" x14ac:dyDescent="0.35">
      <c r="A103" s="949"/>
      <c r="B103" s="496" t="s">
        <v>911</v>
      </c>
      <c r="C103" s="492">
        <v>3387</v>
      </c>
      <c r="D103" s="1028">
        <v>5747</v>
      </c>
      <c r="E103" s="1028">
        <v>9134</v>
      </c>
      <c r="F103" s="1028">
        <v>75</v>
      </c>
      <c r="G103" s="1028">
        <v>281</v>
      </c>
      <c r="H103" s="1028">
        <v>356</v>
      </c>
      <c r="I103" s="1028">
        <v>50946</v>
      </c>
      <c r="J103" s="1028">
        <v>121630</v>
      </c>
      <c r="K103" s="1028">
        <v>172576</v>
      </c>
      <c r="L103" s="1028">
        <v>439560</v>
      </c>
      <c r="M103" s="1028">
        <v>576826</v>
      </c>
      <c r="N103" s="1028">
        <v>1016386</v>
      </c>
      <c r="O103" s="1028">
        <v>1284</v>
      </c>
      <c r="P103" s="1028">
        <v>1836</v>
      </c>
      <c r="Q103" s="1028">
        <v>3120</v>
      </c>
      <c r="R103" s="1028">
        <v>53625</v>
      </c>
      <c r="S103" s="1028">
        <v>35512</v>
      </c>
      <c r="T103" s="1028">
        <v>89137</v>
      </c>
      <c r="U103" s="1028">
        <v>580</v>
      </c>
      <c r="V103" s="1028">
        <v>1032</v>
      </c>
      <c r="W103" s="1028">
        <v>1612</v>
      </c>
      <c r="X103" s="1028">
        <v>5115</v>
      </c>
      <c r="Y103" s="1028">
        <v>7009</v>
      </c>
      <c r="Z103" s="1028">
        <v>12124</v>
      </c>
      <c r="AA103" s="1028">
        <v>554572</v>
      </c>
      <c r="AB103" s="1028">
        <v>749873</v>
      </c>
      <c r="AC103" s="1028">
        <v>1304445</v>
      </c>
    </row>
    <row r="104" spans="1:29" s="390" customFormat="1" ht="14.5" x14ac:dyDescent="0.35">
      <c r="A104" s="949"/>
      <c r="B104" s="496" t="s">
        <v>910</v>
      </c>
      <c r="C104" s="492">
        <v>3184</v>
      </c>
      <c r="D104" s="1028">
        <v>5554</v>
      </c>
      <c r="E104" s="1028">
        <v>8738</v>
      </c>
      <c r="F104" s="1028">
        <v>207</v>
      </c>
      <c r="G104" s="1028">
        <v>745</v>
      </c>
      <c r="H104" s="1028">
        <v>952</v>
      </c>
      <c r="I104" s="1028">
        <v>45876</v>
      </c>
      <c r="J104" s="1028">
        <v>120643</v>
      </c>
      <c r="K104" s="1028">
        <v>166519</v>
      </c>
      <c r="L104" s="1028">
        <v>454250</v>
      </c>
      <c r="M104" s="1028">
        <v>633728</v>
      </c>
      <c r="N104" s="1028">
        <v>1087978</v>
      </c>
      <c r="O104" s="1028">
        <v>1498</v>
      </c>
      <c r="P104" s="1028">
        <v>1621</v>
      </c>
      <c r="Q104" s="1028">
        <v>3119</v>
      </c>
      <c r="R104" s="1028">
        <v>49106</v>
      </c>
      <c r="S104" s="1028">
        <v>33686</v>
      </c>
      <c r="T104" s="1028">
        <v>82792</v>
      </c>
      <c r="U104" s="1028">
        <v>1278</v>
      </c>
      <c r="V104" s="1028">
        <v>3429</v>
      </c>
      <c r="W104" s="1028">
        <v>4707</v>
      </c>
      <c r="X104" s="1028">
        <v>4226</v>
      </c>
      <c r="Y104" s="1028">
        <v>5505</v>
      </c>
      <c r="Z104" s="1028">
        <v>9731</v>
      </c>
      <c r="AA104" s="1028">
        <v>559625</v>
      </c>
      <c r="AB104" s="1028">
        <v>804911</v>
      </c>
      <c r="AC104" s="1028">
        <v>1364536</v>
      </c>
    </row>
    <row r="105" spans="1:29" s="390" customFormat="1" ht="14.5" x14ac:dyDescent="0.35">
      <c r="A105" s="949"/>
      <c r="B105" s="496" t="s">
        <v>909</v>
      </c>
      <c r="C105" s="492">
        <v>2817</v>
      </c>
      <c r="D105" s="1028">
        <v>4687</v>
      </c>
      <c r="E105" s="1028">
        <v>7504</v>
      </c>
      <c r="F105" s="1028">
        <v>197</v>
      </c>
      <c r="G105" s="1028">
        <v>676</v>
      </c>
      <c r="H105" s="1028">
        <v>873</v>
      </c>
      <c r="I105" s="1028">
        <v>40871</v>
      </c>
      <c r="J105" s="1028">
        <v>97643</v>
      </c>
      <c r="K105" s="1028">
        <v>138514</v>
      </c>
      <c r="L105" s="1028">
        <v>393073</v>
      </c>
      <c r="M105" s="1028">
        <v>509484</v>
      </c>
      <c r="N105" s="1028">
        <v>902557</v>
      </c>
      <c r="O105" s="1028">
        <v>1269</v>
      </c>
      <c r="P105" s="1028">
        <v>1221</v>
      </c>
      <c r="Q105" s="1028">
        <v>2490</v>
      </c>
      <c r="R105" s="1028">
        <v>41613</v>
      </c>
      <c r="S105" s="1028">
        <v>30834</v>
      </c>
      <c r="T105" s="1028">
        <v>72447</v>
      </c>
      <c r="U105" s="1028">
        <v>1308</v>
      </c>
      <c r="V105" s="1028">
        <v>4365</v>
      </c>
      <c r="W105" s="1028">
        <v>5673</v>
      </c>
      <c r="X105" s="1028">
        <v>3701</v>
      </c>
      <c r="Y105" s="1028">
        <v>4094</v>
      </c>
      <c r="Z105" s="1028">
        <v>7795</v>
      </c>
      <c r="AA105" s="1028">
        <v>484849</v>
      </c>
      <c r="AB105" s="1028">
        <v>653004</v>
      </c>
      <c r="AC105" s="1028">
        <v>1137853</v>
      </c>
    </row>
    <row r="106" spans="1:29" s="390" customFormat="1" ht="14.5" x14ac:dyDescent="0.35">
      <c r="A106" s="949"/>
      <c r="B106" s="496" t="s">
        <v>908</v>
      </c>
      <c r="C106" s="492">
        <v>2503</v>
      </c>
      <c r="D106" s="1028">
        <v>4183</v>
      </c>
      <c r="E106" s="1028">
        <v>6686</v>
      </c>
      <c r="F106" s="1028">
        <v>204</v>
      </c>
      <c r="G106" s="1028">
        <v>685</v>
      </c>
      <c r="H106" s="1028">
        <v>889</v>
      </c>
      <c r="I106" s="1028">
        <v>37756</v>
      </c>
      <c r="J106" s="1028">
        <v>88754</v>
      </c>
      <c r="K106" s="1028">
        <v>126510</v>
      </c>
      <c r="L106" s="1028">
        <v>375536</v>
      </c>
      <c r="M106" s="1028">
        <v>505771</v>
      </c>
      <c r="N106" s="1028">
        <v>881307</v>
      </c>
      <c r="O106" s="1028">
        <v>1078</v>
      </c>
      <c r="P106" s="1028">
        <v>967</v>
      </c>
      <c r="Q106" s="1028">
        <v>2045</v>
      </c>
      <c r="R106" s="1028">
        <v>37153</v>
      </c>
      <c r="S106" s="1028">
        <v>29567</v>
      </c>
      <c r="T106" s="1028">
        <v>66720</v>
      </c>
      <c r="U106" s="1028">
        <v>1142</v>
      </c>
      <c r="V106" s="1028">
        <v>4851</v>
      </c>
      <c r="W106" s="1028">
        <v>5993</v>
      </c>
      <c r="X106" s="1028">
        <v>2828</v>
      </c>
      <c r="Y106" s="1028">
        <v>2864</v>
      </c>
      <c r="Z106" s="1028">
        <v>5692</v>
      </c>
      <c r="AA106" s="1028">
        <v>458200</v>
      </c>
      <c r="AB106" s="1028">
        <v>637642</v>
      </c>
      <c r="AC106" s="1028">
        <v>1095842</v>
      </c>
    </row>
    <row r="107" spans="1:29" s="391" customFormat="1" x14ac:dyDescent="0.3">
      <c r="A107" s="949">
        <v>17</v>
      </c>
      <c r="B107" s="488" t="s">
        <v>28</v>
      </c>
      <c r="C107" s="492"/>
      <c r="D107" s="1028"/>
      <c r="E107" s="1028"/>
      <c r="F107" s="1028"/>
      <c r="G107" s="1028"/>
      <c r="H107" s="1028"/>
      <c r="I107" s="1028"/>
      <c r="J107" s="1028"/>
      <c r="K107" s="1028"/>
      <c r="L107" s="1028"/>
      <c r="M107" s="1028"/>
      <c r="N107" s="1028"/>
      <c r="O107" s="1028"/>
      <c r="P107" s="1028"/>
      <c r="Q107" s="1028"/>
      <c r="R107" s="1028"/>
      <c r="S107" s="1028"/>
      <c r="T107" s="1028"/>
      <c r="U107" s="1028"/>
      <c r="V107" s="1028"/>
      <c r="W107" s="1028"/>
      <c r="X107" s="1028"/>
      <c r="Y107" s="1028"/>
      <c r="Z107" s="1028"/>
      <c r="AA107" s="1028"/>
      <c r="AB107" s="1028"/>
      <c r="AC107" s="1028"/>
    </row>
    <row r="108" spans="1:29" s="391" customFormat="1" x14ac:dyDescent="0.3">
      <c r="A108" s="949"/>
      <c r="B108" s="488" t="s">
        <v>912</v>
      </c>
      <c r="C108" s="492">
        <v>10</v>
      </c>
      <c r="D108" s="1028">
        <v>8</v>
      </c>
      <c r="E108" s="1028">
        <v>18</v>
      </c>
      <c r="F108" s="1028"/>
      <c r="G108" s="1028"/>
      <c r="H108" s="1028"/>
      <c r="I108" s="1028">
        <v>129</v>
      </c>
      <c r="J108" s="1028">
        <v>284</v>
      </c>
      <c r="K108" s="1028">
        <v>413</v>
      </c>
      <c r="L108" s="1028">
        <v>1247</v>
      </c>
      <c r="M108" s="1028">
        <v>2185</v>
      </c>
      <c r="N108" s="1028">
        <v>3432</v>
      </c>
      <c r="O108" s="1028"/>
      <c r="P108" s="1028"/>
      <c r="Q108" s="1028"/>
      <c r="R108" s="1028">
        <v>247</v>
      </c>
      <c r="S108" s="1028">
        <v>412</v>
      </c>
      <c r="T108" s="1028">
        <v>659</v>
      </c>
      <c r="U108" s="1028">
        <v>24</v>
      </c>
      <c r="V108" s="1028">
        <v>132</v>
      </c>
      <c r="W108" s="1028">
        <v>156</v>
      </c>
      <c r="X108" s="1028"/>
      <c r="Y108" s="1028"/>
      <c r="Z108" s="1028"/>
      <c r="AA108" s="1028">
        <v>1657</v>
      </c>
      <c r="AB108" s="1028">
        <v>3021</v>
      </c>
      <c r="AC108" s="1028">
        <v>4678</v>
      </c>
    </row>
    <row r="109" spans="1:29" s="391" customFormat="1" x14ac:dyDescent="0.3">
      <c r="A109" s="949"/>
      <c r="B109" s="496" t="s">
        <v>911</v>
      </c>
      <c r="C109" s="492">
        <v>15</v>
      </c>
      <c r="D109" s="1028">
        <v>3</v>
      </c>
      <c r="E109" s="1028">
        <v>18</v>
      </c>
      <c r="F109" s="1028"/>
      <c r="G109" s="1028"/>
      <c r="H109" s="1028"/>
      <c r="I109" s="1028">
        <v>155</v>
      </c>
      <c r="J109" s="1028">
        <v>318</v>
      </c>
      <c r="K109" s="1028">
        <v>473</v>
      </c>
      <c r="L109" s="1028">
        <v>1187</v>
      </c>
      <c r="M109" s="1028">
        <v>2103</v>
      </c>
      <c r="N109" s="1028">
        <v>3290</v>
      </c>
      <c r="O109" s="1028"/>
      <c r="P109" s="1028"/>
      <c r="Q109" s="1028"/>
      <c r="R109" s="1028">
        <v>195</v>
      </c>
      <c r="S109" s="1028">
        <v>314</v>
      </c>
      <c r="T109" s="1028">
        <v>509</v>
      </c>
      <c r="U109" s="1028">
        <v>19</v>
      </c>
      <c r="V109" s="1028">
        <v>131</v>
      </c>
      <c r="W109" s="1028">
        <v>150</v>
      </c>
      <c r="X109" s="1028"/>
      <c r="Y109" s="1028"/>
      <c r="Z109" s="1028"/>
      <c r="AA109" s="1028">
        <v>1571</v>
      </c>
      <c r="AB109" s="1028">
        <v>2869</v>
      </c>
      <c r="AC109" s="1028">
        <v>4440</v>
      </c>
    </row>
    <row r="110" spans="1:29" s="391" customFormat="1" x14ac:dyDescent="0.3">
      <c r="A110" s="949"/>
      <c r="B110" s="496" t="s">
        <v>910</v>
      </c>
      <c r="C110" s="492">
        <v>6</v>
      </c>
      <c r="D110" s="1028">
        <v>2</v>
      </c>
      <c r="E110" s="1028">
        <v>8</v>
      </c>
      <c r="F110" s="1028">
        <v>0</v>
      </c>
      <c r="G110" s="1028">
        <v>0</v>
      </c>
      <c r="H110" s="1028">
        <v>0</v>
      </c>
      <c r="I110" s="1028">
        <v>70</v>
      </c>
      <c r="J110" s="1028">
        <v>23</v>
      </c>
      <c r="K110" s="1028">
        <v>93</v>
      </c>
      <c r="L110" s="1028">
        <v>740</v>
      </c>
      <c r="M110" s="1028">
        <v>1738</v>
      </c>
      <c r="N110" s="1028">
        <v>2478</v>
      </c>
      <c r="O110" s="1028">
        <v>0</v>
      </c>
      <c r="P110" s="1028">
        <v>0</v>
      </c>
      <c r="Q110" s="1028">
        <v>0</v>
      </c>
      <c r="R110" s="1028">
        <v>245</v>
      </c>
      <c r="S110" s="1028">
        <v>185</v>
      </c>
      <c r="T110" s="1028">
        <v>430</v>
      </c>
      <c r="U110" s="1028">
        <v>0</v>
      </c>
      <c r="V110" s="1028">
        <v>0</v>
      </c>
      <c r="W110" s="1028">
        <v>0</v>
      </c>
      <c r="X110" s="1028">
        <v>47</v>
      </c>
      <c r="Y110" s="1028">
        <v>91</v>
      </c>
      <c r="Z110" s="1028">
        <v>138</v>
      </c>
      <c r="AA110" s="1028">
        <v>1108</v>
      </c>
      <c r="AB110" s="1028">
        <v>2039</v>
      </c>
      <c r="AC110" s="1028">
        <v>3147</v>
      </c>
    </row>
    <row r="111" spans="1:29" s="391" customFormat="1" x14ac:dyDescent="0.3">
      <c r="A111" s="949"/>
      <c r="B111" s="496" t="s">
        <v>909</v>
      </c>
      <c r="C111" s="492">
        <v>6</v>
      </c>
      <c r="D111" s="1028">
        <v>2</v>
      </c>
      <c r="E111" s="1028">
        <v>8</v>
      </c>
      <c r="F111" s="1028">
        <v>0</v>
      </c>
      <c r="G111" s="1028">
        <v>0</v>
      </c>
      <c r="H111" s="1028">
        <v>0</v>
      </c>
      <c r="I111" s="1028">
        <v>26</v>
      </c>
      <c r="J111" s="1028">
        <v>28</v>
      </c>
      <c r="K111" s="1028">
        <v>54</v>
      </c>
      <c r="L111" s="1028">
        <v>798</v>
      </c>
      <c r="M111" s="1028">
        <v>1746</v>
      </c>
      <c r="N111" s="1028">
        <v>2544</v>
      </c>
      <c r="O111" s="1028">
        <v>0</v>
      </c>
      <c r="P111" s="1028">
        <v>0</v>
      </c>
      <c r="Q111" s="1028">
        <v>0</v>
      </c>
      <c r="R111" s="1028">
        <v>112</v>
      </c>
      <c r="S111" s="1028">
        <v>24</v>
      </c>
      <c r="T111" s="1028">
        <v>136</v>
      </c>
      <c r="U111" s="1028">
        <v>0</v>
      </c>
      <c r="V111" s="1028">
        <v>0</v>
      </c>
      <c r="W111" s="1028">
        <v>0</v>
      </c>
      <c r="X111" s="1028">
        <v>57</v>
      </c>
      <c r="Y111" s="1028">
        <v>98</v>
      </c>
      <c r="Z111" s="1028">
        <v>155</v>
      </c>
      <c r="AA111" s="1028">
        <v>999</v>
      </c>
      <c r="AB111" s="1028">
        <v>1898</v>
      </c>
      <c r="AC111" s="1028">
        <v>2897</v>
      </c>
    </row>
    <row r="112" spans="1:29" s="390" customFormat="1" ht="14.5" x14ac:dyDescent="0.35">
      <c r="A112" s="949">
        <v>18</v>
      </c>
      <c r="B112" s="494" t="s">
        <v>72</v>
      </c>
      <c r="C112" s="492"/>
      <c r="D112" s="1028"/>
      <c r="E112" s="1028"/>
      <c r="F112" s="1028"/>
      <c r="G112" s="1028"/>
      <c r="H112" s="1028"/>
      <c r="I112" s="1028"/>
      <c r="J112" s="1028"/>
      <c r="K112" s="1028"/>
      <c r="L112" s="1028"/>
      <c r="M112" s="1028"/>
      <c r="N112" s="1028"/>
      <c r="O112" s="1028"/>
      <c r="P112" s="1028"/>
      <c r="Q112" s="1028"/>
      <c r="R112" s="1028"/>
      <c r="S112" s="1028"/>
      <c r="T112" s="1028"/>
      <c r="U112" s="1028"/>
      <c r="V112" s="1028"/>
      <c r="W112" s="1028"/>
      <c r="X112" s="1028"/>
      <c r="Y112" s="1028"/>
      <c r="Z112" s="1028"/>
      <c r="AA112" s="1028"/>
      <c r="AB112" s="1028"/>
      <c r="AC112" s="1028"/>
    </row>
    <row r="113" spans="1:29" s="390" customFormat="1" ht="14.5" x14ac:dyDescent="0.35">
      <c r="A113" s="949"/>
      <c r="B113" s="488" t="s">
        <v>912</v>
      </c>
      <c r="C113" s="492"/>
      <c r="D113" s="1028"/>
      <c r="E113" s="1028"/>
      <c r="F113" s="1028"/>
      <c r="G113" s="1028"/>
      <c r="H113" s="1028"/>
      <c r="I113" s="1028"/>
      <c r="J113" s="1028"/>
      <c r="K113" s="1028"/>
      <c r="L113" s="1028">
        <v>121</v>
      </c>
      <c r="M113" s="1028">
        <v>299</v>
      </c>
      <c r="N113" s="1028">
        <v>420</v>
      </c>
      <c r="O113" s="1028"/>
      <c r="P113" s="1028"/>
      <c r="Q113" s="1028"/>
      <c r="R113" s="1028">
        <v>71</v>
      </c>
      <c r="S113" s="1028">
        <v>22</v>
      </c>
      <c r="T113" s="1028">
        <v>93</v>
      </c>
      <c r="U113" s="1028"/>
      <c r="V113" s="1028"/>
      <c r="W113" s="1028"/>
      <c r="X113" s="1028"/>
      <c r="Y113" s="1028"/>
      <c r="Z113" s="1028"/>
      <c r="AA113" s="1028">
        <v>192</v>
      </c>
      <c r="AB113" s="1028">
        <v>321</v>
      </c>
      <c r="AC113" s="1028">
        <v>513</v>
      </c>
    </row>
    <row r="114" spans="1:29" s="390" customFormat="1" ht="14.5" x14ac:dyDescent="0.35">
      <c r="A114" s="949"/>
      <c r="B114" s="496" t="s">
        <v>911</v>
      </c>
      <c r="C114" s="492"/>
      <c r="D114" s="1028"/>
      <c r="E114" s="1028"/>
      <c r="F114" s="1028"/>
      <c r="G114" s="1028"/>
      <c r="H114" s="1028"/>
      <c r="I114" s="1028"/>
      <c r="J114" s="1028"/>
      <c r="K114" s="1028"/>
      <c r="L114" s="1028">
        <v>14</v>
      </c>
      <c r="M114" s="1028">
        <v>74</v>
      </c>
      <c r="N114" s="1028">
        <v>88</v>
      </c>
      <c r="O114" s="1028"/>
      <c r="P114" s="1028"/>
      <c r="Q114" s="1028"/>
      <c r="R114" s="1028"/>
      <c r="S114" s="1028"/>
      <c r="T114" s="1028"/>
      <c r="U114" s="1028"/>
      <c r="V114" s="1028"/>
      <c r="W114" s="1028"/>
      <c r="X114" s="1028"/>
      <c r="Y114" s="1028"/>
      <c r="Z114" s="1028"/>
      <c r="AA114" s="1028">
        <v>14</v>
      </c>
      <c r="AB114" s="1028">
        <v>74</v>
      </c>
      <c r="AC114" s="1028">
        <v>88</v>
      </c>
    </row>
    <row r="115" spans="1:29" s="390" customFormat="1" ht="14.5" x14ac:dyDescent="0.35">
      <c r="A115" s="949"/>
      <c r="B115" s="496" t="s">
        <v>910</v>
      </c>
      <c r="C115" s="492">
        <v>0</v>
      </c>
      <c r="D115" s="1028">
        <v>0</v>
      </c>
      <c r="E115" s="1028">
        <v>0</v>
      </c>
      <c r="F115" s="1028">
        <v>0</v>
      </c>
      <c r="G115" s="1028">
        <v>0</v>
      </c>
      <c r="H115" s="1028">
        <v>0</v>
      </c>
      <c r="I115" s="1028">
        <v>0</v>
      </c>
      <c r="J115" s="1028">
        <v>26</v>
      </c>
      <c r="K115" s="1028">
        <v>26</v>
      </c>
      <c r="L115" s="1028">
        <v>133</v>
      </c>
      <c r="M115" s="1028">
        <v>401</v>
      </c>
      <c r="N115" s="1028">
        <v>534</v>
      </c>
      <c r="O115" s="1028">
        <v>0</v>
      </c>
      <c r="P115" s="1028">
        <v>0</v>
      </c>
      <c r="Q115" s="1028">
        <v>0</v>
      </c>
      <c r="R115" s="1028">
        <v>0</v>
      </c>
      <c r="S115" s="1028">
        <v>0</v>
      </c>
      <c r="T115" s="1028">
        <v>0</v>
      </c>
      <c r="U115" s="1028">
        <v>0</v>
      </c>
      <c r="V115" s="1028">
        <v>0</v>
      </c>
      <c r="W115" s="1028">
        <v>0</v>
      </c>
      <c r="X115" s="1028">
        <v>0</v>
      </c>
      <c r="Y115" s="1028">
        <v>0</v>
      </c>
      <c r="Z115" s="1028">
        <v>0</v>
      </c>
      <c r="AA115" s="1028">
        <v>133</v>
      </c>
      <c r="AB115" s="1028">
        <v>427</v>
      </c>
      <c r="AC115" s="1028">
        <v>560</v>
      </c>
    </row>
    <row r="116" spans="1:29" s="390" customFormat="1" ht="14.5" x14ac:dyDescent="0.35">
      <c r="A116" s="949"/>
      <c r="B116" s="496" t="s">
        <v>909</v>
      </c>
      <c r="C116" s="492">
        <v>0</v>
      </c>
      <c r="D116" s="1028">
        <v>0</v>
      </c>
      <c r="E116" s="1028">
        <v>0</v>
      </c>
      <c r="F116" s="1028">
        <v>0</v>
      </c>
      <c r="G116" s="1028">
        <v>0</v>
      </c>
      <c r="H116" s="1028">
        <v>0</v>
      </c>
      <c r="I116" s="1028">
        <v>0</v>
      </c>
      <c r="J116" s="1028">
        <v>26</v>
      </c>
      <c r="K116" s="1028">
        <v>26</v>
      </c>
      <c r="L116" s="1028">
        <v>133</v>
      </c>
      <c r="M116" s="1028">
        <v>401</v>
      </c>
      <c r="N116" s="1028">
        <v>534</v>
      </c>
      <c r="O116" s="1028">
        <v>0</v>
      </c>
      <c r="P116" s="1028">
        <v>0</v>
      </c>
      <c r="Q116" s="1028">
        <v>0</v>
      </c>
      <c r="R116" s="1028">
        <v>0</v>
      </c>
      <c r="S116" s="1028">
        <v>0</v>
      </c>
      <c r="T116" s="1028">
        <v>0</v>
      </c>
      <c r="U116" s="1028">
        <v>0</v>
      </c>
      <c r="V116" s="1028">
        <v>0</v>
      </c>
      <c r="W116" s="1028">
        <v>0</v>
      </c>
      <c r="X116" s="1028">
        <v>0</v>
      </c>
      <c r="Y116" s="1028">
        <v>0</v>
      </c>
      <c r="Z116" s="1028">
        <v>0</v>
      </c>
      <c r="AA116" s="1028">
        <v>133</v>
      </c>
      <c r="AB116" s="1028">
        <v>427</v>
      </c>
      <c r="AC116" s="1028">
        <v>560</v>
      </c>
    </row>
    <row r="117" spans="1:29" s="390" customFormat="1" ht="14.5" x14ac:dyDescent="0.35">
      <c r="A117" s="949"/>
      <c r="B117" s="496" t="s">
        <v>908</v>
      </c>
      <c r="C117" s="492">
        <v>0</v>
      </c>
      <c r="D117" s="1028">
        <v>0</v>
      </c>
      <c r="E117" s="1028">
        <v>0</v>
      </c>
      <c r="F117" s="1028">
        <v>0</v>
      </c>
      <c r="G117" s="1028">
        <v>0</v>
      </c>
      <c r="H117" s="1028">
        <v>0</v>
      </c>
      <c r="I117" s="1028">
        <v>0</v>
      </c>
      <c r="J117" s="1028">
        <v>26</v>
      </c>
      <c r="K117" s="1028">
        <v>26</v>
      </c>
      <c r="L117" s="1028">
        <v>127</v>
      </c>
      <c r="M117" s="1028">
        <v>392</v>
      </c>
      <c r="N117" s="1028">
        <v>519</v>
      </c>
      <c r="O117" s="1028">
        <v>0</v>
      </c>
      <c r="P117" s="1028">
        <v>0</v>
      </c>
      <c r="Q117" s="1028">
        <v>0</v>
      </c>
      <c r="R117" s="1028">
        <v>0</v>
      </c>
      <c r="S117" s="1028">
        <v>0</v>
      </c>
      <c r="T117" s="1028">
        <v>0</v>
      </c>
      <c r="U117" s="1028">
        <v>0</v>
      </c>
      <c r="V117" s="1028">
        <v>0</v>
      </c>
      <c r="W117" s="1028">
        <v>0</v>
      </c>
      <c r="X117" s="1028">
        <v>0</v>
      </c>
      <c r="Y117" s="1028">
        <v>0</v>
      </c>
      <c r="Z117" s="1028">
        <v>0</v>
      </c>
      <c r="AA117" s="1028">
        <v>127</v>
      </c>
      <c r="AB117" s="1028">
        <v>418</v>
      </c>
      <c r="AC117" s="1028">
        <v>545</v>
      </c>
    </row>
    <row r="118" spans="1:29" s="390" customFormat="1" ht="14.5" x14ac:dyDescent="0.35">
      <c r="A118" s="949">
        <v>19</v>
      </c>
      <c r="B118" s="488" t="s">
        <v>29</v>
      </c>
      <c r="C118" s="492"/>
      <c r="D118" s="1028"/>
      <c r="E118" s="1028"/>
      <c r="F118" s="1028"/>
      <c r="G118" s="1028"/>
      <c r="H118" s="1028"/>
      <c r="I118" s="1028"/>
      <c r="J118" s="1028"/>
      <c r="K118" s="1028"/>
      <c r="L118" s="1028"/>
      <c r="M118" s="1028"/>
      <c r="N118" s="1028"/>
      <c r="O118" s="1028"/>
      <c r="P118" s="1028"/>
      <c r="Q118" s="1028"/>
      <c r="R118" s="1028"/>
      <c r="S118" s="1028"/>
      <c r="T118" s="1028"/>
      <c r="U118" s="1028"/>
      <c r="V118" s="1028"/>
      <c r="W118" s="1028"/>
      <c r="X118" s="1028"/>
      <c r="Y118" s="1028"/>
      <c r="Z118" s="1028"/>
      <c r="AA118" s="1028"/>
      <c r="AB118" s="1028"/>
      <c r="AC118" s="1028"/>
    </row>
    <row r="119" spans="1:29" s="390" customFormat="1" ht="14.5" x14ac:dyDescent="0.35">
      <c r="A119" s="949"/>
      <c r="B119" s="488" t="s">
        <v>912</v>
      </c>
      <c r="C119" s="492">
        <v>4364</v>
      </c>
      <c r="D119" s="1028">
        <v>3568</v>
      </c>
      <c r="E119" s="1028">
        <v>7932</v>
      </c>
      <c r="F119" s="1028">
        <v>1</v>
      </c>
      <c r="G119" s="1028">
        <v>15</v>
      </c>
      <c r="H119" s="1028">
        <v>16</v>
      </c>
      <c r="I119" s="1028">
        <v>216393.0954548672</v>
      </c>
      <c r="J119" s="1028">
        <v>253968.0625789669</v>
      </c>
      <c r="K119" s="1028">
        <v>470361.15803383407</v>
      </c>
      <c r="L119" s="1028">
        <v>1039897.4732560921</v>
      </c>
      <c r="M119" s="1028">
        <v>918469.23210127233</v>
      </c>
      <c r="N119" s="1028">
        <v>1958366.7053573639</v>
      </c>
      <c r="O119" s="1028">
        <v>25182</v>
      </c>
      <c r="P119" s="1028">
        <v>25586</v>
      </c>
      <c r="Q119" s="1028">
        <v>50768</v>
      </c>
      <c r="R119" s="1028">
        <v>127069</v>
      </c>
      <c r="S119" s="1028">
        <v>76659</v>
      </c>
      <c r="T119" s="1028">
        <v>203728</v>
      </c>
      <c r="U119" s="1028">
        <v>2917</v>
      </c>
      <c r="V119" s="1028">
        <v>1603</v>
      </c>
      <c r="W119" s="1028">
        <v>4520</v>
      </c>
      <c r="X119" s="1028">
        <v>21628</v>
      </c>
      <c r="Y119" s="1028">
        <v>17929</v>
      </c>
      <c r="Z119" s="1028">
        <v>39557</v>
      </c>
      <c r="AA119" s="1028">
        <v>1437451.5687109591</v>
      </c>
      <c r="AB119" s="1028">
        <v>1297797.2946802389</v>
      </c>
      <c r="AC119" s="1028">
        <v>2735248.8633911982</v>
      </c>
    </row>
    <row r="120" spans="1:29" s="390" customFormat="1" ht="14.5" x14ac:dyDescent="0.35">
      <c r="A120" s="949"/>
      <c r="B120" s="496" t="s">
        <v>911</v>
      </c>
      <c r="C120" s="492">
        <v>4283</v>
      </c>
      <c r="D120" s="1028">
        <v>3571</v>
      </c>
      <c r="E120" s="1028">
        <v>7854</v>
      </c>
      <c r="F120" s="1028"/>
      <c r="G120" s="1028">
        <v>16</v>
      </c>
      <c r="H120" s="1028">
        <v>16</v>
      </c>
      <c r="I120" s="1028">
        <v>201345</v>
      </c>
      <c r="J120" s="1028">
        <v>239046</v>
      </c>
      <c r="K120" s="1028">
        <v>440391</v>
      </c>
      <c r="L120" s="1028">
        <v>1143205</v>
      </c>
      <c r="M120" s="1028">
        <v>953119</v>
      </c>
      <c r="N120" s="1028">
        <v>2096324</v>
      </c>
      <c r="O120" s="1028">
        <v>21509</v>
      </c>
      <c r="P120" s="1028">
        <v>20506</v>
      </c>
      <c r="Q120" s="1028">
        <v>42015</v>
      </c>
      <c r="R120" s="1028">
        <v>114323</v>
      </c>
      <c r="S120" s="1028">
        <v>61488</v>
      </c>
      <c r="T120" s="1028">
        <v>175811</v>
      </c>
      <c r="U120" s="1028">
        <v>1563</v>
      </c>
      <c r="V120" s="1028">
        <v>858</v>
      </c>
      <c r="W120" s="1028">
        <v>2421</v>
      </c>
      <c r="X120" s="1028">
        <v>19680</v>
      </c>
      <c r="Y120" s="1028">
        <v>15653</v>
      </c>
      <c r="Z120" s="1028">
        <v>35333</v>
      </c>
      <c r="AA120" s="1028">
        <v>1505908</v>
      </c>
      <c r="AB120" s="1028">
        <v>1294257</v>
      </c>
      <c r="AC120" s="1028">
        <v>2800165</v>
      </c>
    </row>
    <row r="121" spans="1:29" s="390" customFormat="1" ht="14.5" x14ac:dyDescent="0.35">
      <c r="A121" s="949"/>
      <c r="B121" s="496" t="s">
        <v>910</v>
      </c>
      <c r="C121" s="492">
        <v>3676</v>
      </c>
      <c r="D121" s="1028">
        <v>2477</v>
      </c>
      <c r="E121" s="1028">
        <v>6153</v>
      </c>
      <c r="F121" s="1028">
        <v>91</v>
      </c>
      <c r="G121" s="1028">
        <v>58</v>
      </c>
      <c r="H121" s="1028">
        <v>149</v>
      </c>
      <c r="I121" s="1028">
        <v>159236</v>
      </c>
      <c r="J121" s="1028">
        <v>184377</v>
      </c>
      <c r="K121" s="1028">
        <v>343613</v>
      </c>
      <c r="L121" s="1028">
        <v>1067537</v>
      </c>
      <c r="M121" s="1028">
        <v>947070</v>
      </c>
      <c r="N121" s="1028">
        <v>2014607</v>
      </c>
      <c r="O121" s="1028">
        <v>21531</v>
      </c>
      <c r="P121" s="1028">
        <v>19739</v>
      </c>
      <c r="Q121" s="1028">
        <v>41270</v>
      </c>
      <c r="R121" s="1028">
        <v>103265</v>
      </c>
      <c r="S121" s="1028">
        <v>56449</v>
      </c>
      <c r="T121" s="1028">
        <v>159714</v>
      </c>
      <c r="U121" s="1028">
        <v>2298</v>
      </c>
      <c r="V121" s="1028">
        <v>1272</v>
      </c>
      <c r="W121" s="1028">
        <v>3570</v>
      </c>
      <c r="X121" s="1028">
        <v>16402</v>
      </c>
      <c r="Y121" s="1028">
        <v>13083</v>
      </c>
      <c r="Z121" s="1028">
        <v>29485</v>
      </c>
      <c r="AA121" s="1028">
        <v>1374036</v>
      </c>
      <c r="AB121" s="1028">
        <v>1224525</v>
      </c>
      <c r="AC121" s="1028">
        <v>2598561</v>
      </c>
    </row>
    <row r="122" spans="1:29" s="390" customFormat="1" ht="14.5" x14ac:dyDescent="0.35">
      <c r="A122" s="949"/>
      <c r="B122" s="496" t="s">
        <v>909</v>
      </c>
      <c r="C122" s="492">
        <v>3006</v>
      </c>
      <c r="D122" s="1028">
        <v>2441</v>
      </c>
      <c r="E122" s="1028">
        <v>5447</v>
      </c>
      <c r="F122" s="1028">
        <v>427</v>
      </c>
      <c r="G122" s="1028">
        <v>449</v>
      </c>
      <c r="H122" s="1028">
        <v>876</v>
      </c>
      <c r="I122" s="1028">
        <v>125638</v>
      </c>
      <c r="J122" s="1028">
        <v>159465</v>
      </c>
      <c r="K122" s="1028">
        <v>285103</v>
      </c>
      <c r="L122" s="1028">
        <v>908857</v>
      </c>
      <c r="M122" s="1028">
        <v>802319</v>
      </c>
      <c r="N122" s="1028">
        <v>1711176</v>
      </c>
      <c r="O122" s="1028">
        <v>18338</v>
      </c>
      <c r="P122" s="1028">
        <v>20012</v>
      </c>
      <c r="Q122" s="1028">
        <v>38350</v>
      </c>
      <c r="R122" s="1028">
        <v>75946</v>
      </c>
      <c r="S122" s="1028">
        <v>43555</v>
      </c>
      <c r="T122" s="1028">
        <v>119501</v>
      </c>
      <c r="U122" s="1028">
        <v>1866</v>
      </c>
      <c r="V122" s="1028">
        <v>1011</v>
      </c>
      <c r="W122" s="1028">
        <v>2877</v>
      </c>
      <c r="X122" s="1028">
        <v>10498</v>
      </c>
      <c r="Y122" s="1028">
        <v>8326</v>
      </c>
      <c r="Z122" s="1028">
        <v>18824</v>
      </c>
      <c r="AA122" s="1028">
        <v>1144576</v>
      </c>
      <c r="AB122" s="1028">
        <v>1037578</v>
      </c>
      <c r="AC122" s="1028">
        <v>2182154</v>
      </c>
    </row>
    <row r="123" spans="1:29" x14ac:dyDescent="0.3">
      <c r="A123" s="949"/>
      <c r="B123" s="496" t="s">
        <v>908</v>
      </c>
      <c r="C123" s="492">
        <v>2383</v>
      </c>
      <c r="D123" s="1028">
        <v>1710</v>
      </c>
      <c r="E123" s="1028">
        <v>4093</v>
      </c>
      <c r="F123" s="1028">
        <v>264</v>
      </c>
      <c r="G123" s="1028">
        <v>379</v>
      </c>
      <c r="H123" s="1028">
        <v>643</v>
      </c>
      <c r="I123" s="1028">
        <v>100896</v>
      </c>
      <c r="J123" s="1028">
        <v>121265</v>
      </c>
      <c r="K123" s="1028">
        <v>222161</v>
      </c>
      <c r="L123" s="1028">
        <v>817593</v>
      </c>
      <c r="M123" s="1028">
        <v>703775</v>
      </c>
      <c r="N123" s="1028">
        <v>1521368</v>
      </c>
      <c r="O123" s="1028">
        <v>20714</v>
      </c>
      <c r="P123" s="1028">
        <v>21793</v>
      </c>
      <c r="Q123" s="1028">
        <v>42507</v>
      </c>
      <c r="R123" s="1028">
        <v>76043</v>
      </c>
      <c r="S123" s="1028">
        <v>45751</v>
      </c>
      <c r="T123" s="1028">
        <v>121794</v>
      </c>
      <c r="U123" s="1028">
        <v>1545</v>
      </c>
      <c r="V123" s="1028">
        <v>847</v>
      </c>
      <c r="W123" s="1028">
        <v>2392</v>
      </c>
      <c r="X123" s="1028">
        <v>8300</v>
      </c>
      <c r="Y123" s="1028">
        <v>6086</v>
      </c>
      <c r="Z123" s="1028">
        <v>14386</v>
      </c>
      <c r="AA123" s="1028">
        <v>1027738</v>
      </c>
      <c r="AB123" s="1028">
        <v>901606</v>
      </c>
      <c r="AC123" s="1028">
        <v>1929344</v>
      </c>
    </row>
    <row r="124" spans="1:29" x14ac:dyDescent="0.3">
      <c r="A124" s="949">
        <v>20</v>
      </c>
      <c r="B124" s="488" t="s">
        <v>30</v>
      </c>
      <c r="C124" s="492"/>
      <c r="D124" s="1028"/>
      <c r="E124" s="1028"/>
      <c r="F124" s="1028"/>
      <c r="G124" s="1028"/>
      <c r="H124" s="1028"/>
      <c r="I124" s="1028"/>
      <c r="J124" s="1028"/>
      <c r="K124" s="1028"/>
      <c r="L124" s="1028"/>
      <c r="M124" s="1028"/>
      <c r="N124" s="1028"/>
      <c r="O124" s="1028"/>
      <c r="P124" s="1028"/>
      <c r="Q124" s="1028"/>
      <c r="R124" s="1028"/>
      <c r="S124" s="1028"/>
      <c r="T124" s="1028"/>
      <c r="U124" s="1028"/>
      <c r="V124" s="1028"/>
      <c r="W124" s="1028"/>
      <c r="X124" s="1028"/>
      <c r="Y124" s="1028"/>
      <c r="Z124" s="1028"/>
      <c r="AA124" s="1028"/>
      <c r="AB124" s="1028"/>
      <c r="AC124" s="1028"/>
    </row>
    <row r="125" spans="1:29" x14ac:dyDescent="0.3">
      <c r="A125" s="949"/>
      <c r="B125" s="488" t="s">
        <v>912</v>
      </c>
      <c r="C125" s="492">
        <v>13171</v>
      </c>
      <c r="D125" s="1028">
        <v>11362</v>
      </c>
      <c r="E125" s="1028">
        <v>24533</v>
      </c>
      <c r="F125" s="1028">
        <v>33</v>
      </c>
      <c r="G125" s="1028">
        <v>28</v>
      </c>
      <c r="H125" s="1028">
        <v>61</v>
      </c>
      <c r="I125" s="1028">
        <v>323993.35373261332</v>
      </c>
      <c r="J125" s="1028">
        <v>342042.62374309328</v>
      </c>
      <c r="K125" s="1028">
        <v>666035.9774757066</v>
      </c>
      <c r="L125" s="1028">
        <v>2044038.101926012</v>
      </c>
      <c r="M125" s="1028">
        <v>1644917.445032604</v>
      </c>
      <c r="N125" s="1028">
        <v>3688955.546958616</v>
      </c>
      <c r="O125" s="1028">
        <v>16976</v>
      </c>
      <c r="P125" s="1028">
        <v>12170</v>
      </c>
      <c r="Q125" s="1028">
        <v>29146</v>
      </c>
      <c r="R125" s="1028">
        <v>235878</v>
      </c>
      <c r="S125" s="1028">
        <v>181098</v>
      </c>
      <c r="T125" s="1028">
        <v>416976</v>
      </c>
      <c r="U125" s="1028">
        <v>4313</v>
      </c>
      <c r="V125" s="1028">
        <v>4492</v>
      </c>
      <c r="W125" s="1028">
        <v>8805</v>
      </c>
      <c r="X125" s="1028">
        <v>13138</v>
      </c>
      <c r="Y125" s="1028">
        <v>11479</v>
      </c>
      <c r="Z125" s="1028">
        <v>24617</v>
      </c>
      <c r="AA125" s="1028">
        <v>2651540.4556586249</v>
      </c>
      <c r="AB125" s="1028">
        <v>2207589.0687756981</v>
      </c>
      <c r="AC125" s="1028">
        <v>4859129.5244343234</v>
      </c>
    </row>
    <row r="126" spans="1:29" x14ac:dyDescent="0.3">
      <c r="A126" s="949"/>
      <c r="B126" s="496" t="s">
        <v>911</v>
      </c>
      <c r="C126" s="492">
        <v>10115</v>
      </c>
      <c r="D126" s="1028">
        <v>7717</v>
      </c>
      <c r="E126" s="1028">
        <v>17832</v>
      </c>
      <c r="F126" s="1028">
        <v>121</v>
      </c>
      <c r="G126" s="1028">
        <v>69</v>
      </c>
      <c r="H126" s="1028">
        <v>190</v>
      </c>
      <c r="I126" s="1028">
        <v>283304</v>
      </c>
      <c r="J126" s="1028">
        <v>303894</v>
      </c>
      <c r="K126" s="1028">
        <v>587198</v>
      </c>
      <c r="L126" s="1028">
        <v>1968964</v>
      </c>
      <c r="M126" s="1028">
        <v>1529764</v>
      </c>
      <c r="N126" s="1028">
        <v>3498728</v>
      </c>
      <c r="O126" s="1028">
        <v>25594</v>
      </c>
      <c r="P126" s="1028">
        <v>21182</v>
      </c>
      <c r="Q126" s="1028">
        <v>46776</v>
      </c>
      <c r="R126" s="1028">
        <v>236517</v>
      </c>
      <c r="S126" s="1028">
        <v>157882</v>
      </c>
      <c r="T126" s="1028">
        <v>394399</v>
      </c>
      <c r="U126" s="1028">
        <v>7580</v>
      </c>
      <c r="V126" s="1028">
        <v>4905</v>
      </c>
      <c r="W126" s="1028">
        <v>12485</v>
      </c>
      <c r="X126" s="1028">
        <v>10636</v>
      </c>
      <c r="Y126" s="1028">
        <v>9599</v>
      </c>
      <c r="Z126" s="1028">
        <v>20235</v>
      </c>
      <c r="AA126" s="1028">
        <v>2542831</v>
      </c>
      <c r="AB126" s="1028">
        <v>2035012</v>
      </c>
      <c r="AC126" s="1028">
        <v>4577843</v>
      </c>
    </row>
    <row r="127" spans="1:29" x14ac:dyDescent="0.3">
      <c r="A127" s="949"/>
      <c r="B127" s="496" t="s">
        <v>910</v>
      </c>
      <c r="C127" s="492">
        <v>9358</v>
      </c>
      <c r="D127" s="1028">
        <v>6393</v>
      </c>
      <c r="E127" s="1028">
        <v>15751</v>
      </c>
      <c r="F127" s="1028">
        <v>385</v>
      </c>
      <c r="G127" s="1028">
        <v>349</v>
      </c>
      <c r="H127" s="1028">
        <v>734</v>
      </c>
      <c r="I127" s="1028">
        <v>244931</v>
      </c>
      <c r="J127" s="1028">
        <v>319628</v>
      </c>
      <c r="K127" s="1028">
        <v>564559</v>
      </c>
      <c r="L127" s="1028">
        <v>1955828</v>
      </c>
      <c r="M127" s="1028">
        <v>1538148</v>
      </c>
      <c r="N127" s="1028">
        <v>3493976</v>
      </c>
      <c r="O127" s="1028">
        <v>14155</v>
      </c>
      <c r="P127" s="1028">
        <v>10540</v>
      </c>
      <c r="Q127" s="1028">
        <v>24695</v>
      </c>
      <c r="R127" s="1028">
        <v>236423</v>
      </c>
      <c r="S127" s="1028">
        <v>157788</v>
      </c>
      <c r="T127" s="1028">
        <v>394211</v>
      </c>
      <c r="U127" s="1028">
        <v>22503</v>
      </c>
      <c r="V127" s="1028">
        <v>13879</v>
      </c>
      <c r="W127" s="1028">
        <v>36382</v>
      </c>
      <c r="X127" s="1028">
        <v>8314</v>
      </c>
      <c r="Y127" s="1028">
        <v>7527</v>
      </c>
      <c r="Z127" s="1028">
        <v>15841</v>
      </c>
      <c r="AA127" s="1028">
        <v>2491897</v>
      </c>
      <c r="AB127" s="1028">
        <v>2054252</v>
      </c>
      <c r="AC127" s="1028">
        <v>4546149</v>
      </c>
    </row>
    <row r="128" spans="1:29" x14ac:dyDescent="0.3">
      <c r="A128" s="949"/>
      <c r="B128" s="496" t="s">
        <v>909</v>
      </c>
      <c r="C128" s="492">
        <v>7122</v>
      </c>
      <c r="D128" s="1028">
        <v>4861</v>
      </c>
      <c r="E128" s="1028">
        <v>11983</v>
      </c>
      <c r="F128" s="1028">
        <v>760</v>
      </c>
      <c r="G128" s="1028">
        <v>716</v>
      </c>
      <c r="H128" s="1028">
        <v>1476</v>
      </c>
      <c r="I128" s="1028">
        <v>225266</v>
      </c>
      <c r="J128" s="1028">
        <v>253236</v>
      </c>
      <c r="K128" s="1028">
        <v>478502</v>
      </c>
      <c r="L128" s="1028">
        <v>1866422</v>
      </c>
      <c r="M128" s="1028">
        <v>1526553</v>
      </c>
      <c r="N128" s="1028">
        <v>3392975</v>
      </c>
      <c r="O128" s="1028">
        <v>13295</v>
      </c>
      <c r="P128" s="1028">
        <v>10337</v>
      </c>
      <c r="Q128" s="1028">
        <v>23632</v>
      </c>
      <c r="R128" s="1028">
        <v>183077</v>
      </c>
      <c r="S128" s="1028">
        <v>140057</v>
      </c>
      <c r="T128" s="1028">
        <v>323134</v>
      </c>
      <c r="U128" s="1028">
        <v>9835</v>
      </c>
      <c r="V128" s="1028">
        <v>8013</v>
      </c>
      <c r="W128" s="1028">
        <v>17848</v>
      </c>
      <c r="X128" s="1028">
        <v>8085</v>
      </c>
      <c r="Y128" s="1028">
        <v>7837</v>
      </c>
      <c r="Z128" s="1028">
        <v>15922</v>
      </c>
      <c r="AA128" s="1028">
        <v>2313862</v>
      </c>
      <c r="AB128" s="1028">
        <v>1951610</v>
      </c>
      <c r="AC128" s="1028">
        <v>4265472</v>
      </c>
    </row>
    <row r="129" spans="1:29" x14ac:dyDescent="0.3">
      <c r="A129" s="949"/>
      <c r="B129" s="496" t="s">
        <v>908</v>
      </c>
      <c r="C129" s="492">
        <v>4923</v>
      </c>
      <c r="D129" s="1028">
        <v>3873</v>
      </c>
      <c r="E129" s="1028">
        <v>8796</v>
      </c>
      <c r="F129" s="1028">
        <v>1007</v>
      </c>
      <c r="G129" s="1028">
        <v>1165</v>
      </c>
      <c r="H129" s="1028">
        <v>2172</v>
      </c>
      <c r="I129" s="1028">
        <v>218561</v>
      </c>
      <c r="J129" s="1028">
        <v>242682</v>
      </c>
      <c r="K129" s="1028">
        <v>461243</v>
      </c>
      <c r="L129" s="1028">
        <v>1855670</v>
      </c>
      <c r="M129" s="1028">
        <v>1496019</v>
      </c>
      <c r="N129" s="1028">
        <v>3351689</v>
      </c>
      <c r="O129" s="1028">
        <v>11414</v>
      </c>
      <c r="P129" s="1028">
        <v>8570</v>
      </c>
      <c r="Q129" s="1028">
        <v>19984</v>
      </c>
      <c r="R129" s="1028">
        <v>215778</v>
      </c>
      <c r="S129" s="1028">
        <v>139431</v>
      </c>
      <c r="T129" s="1028">
        <v>355209</v>
      </c>
      <c r="U129" s="1028">
        <v>10018</v>
      </c>
      <c r="V129" s="1028">
        <v>7692</v>
      </c>
      <c r="W129" s="1028">
        <v>17710</v>
      </c>
      <c r="X129" s="1028">
        <v>7053</v>
      </c>
      <c r="Y129" s="1028">
        <v>6470</v>
      </c>
      <c r="Z129" s="1028">
        <v>13523</v>
      </c>
      <c r="AA129" s="1028">
        <v>2324424</v>
      </c>
      <c r="AB129" s="1028">
        <v>1905902</v>
      </c>
      <c r="AC129" s="1028">
        <v>4230326</v>
      </c>
    </row>
    <row r="130" spans="1:29" x14ac:dyDescent="0.3">
      <c r="A130" s="949">
        <v>21</v>
      </c>
      <c r="B130" s="488" t="s">
        <v>31</v>
      </c>
      <c r="C130" s="492"/>
      <c r="D130" s="1028"/>
      <c r="E130" s="1028"/>
      <c r="F130" s="1028"/>
      <c r="G130" s="1028"/>
      <c r="H130" s="1028"/>
      <c r="I130" s="1028"/>
      <c r="J130" s="1028"/>
      <c r="K130" s="1028"/>
      <c r="L130" s="1028"/>
      <c r="M130" s="1028"/>
      <c r="N130" s="1028"/>
      <c r="O130" s="1028"/>
      <c r="P130" s="1028"/>
      <c r="Q130" s="1028"/>
      <c r="R130" s="1028"/>
      <c r="S130" s="1028"/>
      <c r="T130" s="1028"/>
      <c r="U130" s="1028"/>
      <c r="V130" s="1028"/>
      <c r="W130" s="1028"/>
      <c r="X130" s="1028"/>
      <c r="Y130" s="1028"/>
      <c r="Z130" s="1028"/>
      <c r="AA130" s="1028"/>
      <c r="AB130" s="1028"/>
      <c r="AC130" s="1028"/>
    </row>
    <row r="131" spans="1:29" x14ac:dyDescent="0.3">
      <c r="A131" s="949"/>
      <c r="B131" s="488" t="s">
        <v>912</v>
      </c>
      <c r="C131" s="492">
        <v>1139</v>
      </c>
      <c r="D131" s="1028">
        <v>1211</v>
      </c>
      <c r="E131" s="1028">
        <v>2350</v>
      </c>
      <c r="F131" s="1028">
        <v>4</v>
      </c>
      <c r="G131" s="1028">
        <v>8</v>
      </c>
      <c r="H131" s="1028">
        <v>12</v>
      </c>
      <c r="I131" s="1028">
        <v>5962.3042499296371</v>
      </c>
      <c r="J131" s="1028">
        <v>6576.591049817056</v>
      </c>
      <c r="K131" s="1028">
        <v>12538.895299746689</v>
      </c>
      <c r="L131" s="1028">
        <v>52550.43287362792</v>
      </c>
      <c r="M131" s="1028">
        <v>50229.887137630169</v>
      </c>
      <c r="N131" s="1028">
        <v>102780.3200112581</v>
      </c>
      <c r="O131" s="1028">
        <v>499</v>
      </c>
      <c r="P131" s="1028">
        <v>525</v>
      </c>
      <c r="Q131" s="1028">
        <v>1024</v>
      </c>
      <c r="R131" s="1028">
        <v>1476</v>
      </c>
      <c r="S131" s="1028">
        <v>2607</v>
      </c>
      <c r="T131" s="1028">
        <v>4083</v>
      </c>
      <c r="U131" s="1028">
        <v>144</v>
      </c>
      <c r="V131" s="1028">
        <v>74</v>
      </c>
      <c r="W131" s="1028">
        <v>218</v>
      </c>
      <c r="X131" s="1028"/>
      <c r="Y131" s="1028"/>
      <c r="Z131" s="1028"/>
      <c r="AA131" s="1028">
        <v>61774.737123557563</v>
      </c>
      <c r="AB131" s="1028">
        <v>61231.478187447217</v>
      </c>
      <c r="AC131" s="1028">
        <v>123006.21531100479</v>
      </c>
    </row>
    <row r="132" spans="1:29" x14ac:dyDescent="0.3">
      <c r="A132" s="949"/>
      <c r="B132" s="496" t="s">
        <v>911</v>
      </c>
      <c r="C132" s="492">
        <v>725</v>
      </c>
      <c r="D132" s="1028">
        <v>723</v>
      </c>
      <c r="E132" s="1028">
        <v>1448</v>
      </c>
      <c r="F132" s="1028"/>
      <c r="G132" s="1028">
        <v>6</v>
      </c>
      <c r="H132" s="1028">
        <v>6</v>
      </c>
      <c r="I132" s="1028">
        <v>4940</v>
      </c>
      <c r="J132" s="1028">
        <v>5528</v>
      </c>
      <c r="K132" s="1028">
        <v>10468</v>
      </c>
      <c r="L132" s="1028">
        <v>58171</v>
      </c>
      <c r="M132" s="1028">
        <v>54386</v>
      </c>
      <c r="N132" s="1028">
        <v>112557</v>
      </c>
      <c r="O132" s="1028">
        <v>555</v>
      </c>
      <c r="P132" s="1028">
        <v>419</v>
      </c>
      <c r="Q132" s="1028">
        <v>974</v>
      </c>
      <c r="R132" s="1028">
        <v>1682</v>
      </c>
      <c r="S132" s="1028">
        <v>2967</v>
      </c>
      <c r="T132" s="1028">
        <v>4649</v>
      </c>
      <c r="U132" s="1028">
        <v>161</v>
      </c>
      <c r="V132" s="1028">
        <v>125</v>
      </c>
      <c r="W132" s="1028">
        <v>286</v>
      </c>
      <c r="X132" s="1028"/>
      <c r="Y132" s="1028"/>
      <c r="Z132" s="1028"/>
      <c r="AA132" s="1028">
        <v>66234</v>
      </c>
      <c r="AB132" s="1028">
        <v>64154</v>
      </c>
      <c r="AC132" s="1028">
        <v>130388</v>
      </c>
    </row>
    <row r="133" spans="1:29" x14ac:dyDescent="0.3">
      <c r="A133" s="949"/>
      <c r="B133" s="496" t="s">
        <v>910</v>
      </c>
      <c r="C133" s="492">
        <v>624</v>
      </c>
      <c r="D133" s="1028">
        <v>569</v>
      </c>
      <c r="E133" s="1028">
        <v>1193</v>
      </c>
      <c r="F133" s="1028">
        <v>0</v>
      </c>
      <c r="G133" s="1028">
        <v>12</v>
      </c>
      <c r="H133" s="1028">
        <v>12</v>
      </c>
      <c r="I133" s="1028">
        <v>4813</v>
      </c>
      <c r="J133" s="1028">
        <v>5649</v>
      </c>
      <c r="K133" s="1028">
        <v>10462</v>
      </c>
      <c r="L133" s="1028">
        <v>61246</v>
      </c>
      <c r="M133" s="1028">
        <v>60261</v>
      </c>
      <c r="N133" s="1028">
        <v>121507</v>
      </c>
      <c r="O133" s="1028">
        <v>396</v>
      </c>
      <c r="P133" s="1028">
        <v>269</v>
      </c>
      <c r="Q133" s="1028">
        <v>665</v>
      </c>
      <c r="R133" s="1028">
        <v>1637</v>
      </c>
      <c r="S133" s="1028">
        <v>2607</v>
      </c>
      <c r="T133" s="1028">
        <v>4244</v>
      </c>
      <c r="U133" s="1028">
        <v>200</v>
      </c>
      <c r="V133" s="1028">
        <v>216</v>
      </c>
      <c r="W133" s="1028">
        <v>416</v>
      </c>
      <c r="X133" s="1028">
        <v>0</v>
      </c>
      <c r="Y133" s="1028">
        <v>0</v>
      </c>
      <c r="Z133" s="1028">
        <v>0</v>
      </c>
      <c r="AA133" s="1028">
        <v>68916</v>
      </c>
      <c r="AB133" s="1028">
        <v>69583</v>
      </c>
      <c r="AC133" s="1028">
        <v>138499</v>
      </c>
    </row>
    <row r="134" spans="1:29" x14ac:dyDescent="0.3">
      <c r="A134" s="949"/>
      <c r="B134" s="496" t="s">
        <v>909</v>
      </c>
      <c r="C134" s="492">
        <v>538</v>
      </c>
      <c r="D134" s="1028">
        <v>507</v>
      </c>
      <c r="E134" s="1028">
        <v>1045</v>
      </c>
      <c r="F134" s="1028">
        <v>2</v>
      </c>
      <c r="G134" s="1028">
        <v>10</v>
      </c>
      <c r="H134" s="1028">
        <v>12</v>
      </c>
      <c r="I134" s="1028">
        <v>4689</v>
      </c>
      <c r="J134" s="1028">
        <v>5087</v>
      </c>
      <c r="K134" s="1028">
        <v>9776</v>
      </c>
      <c r="L134" s="1028">
        <v>54042</v>
      </c>
      <c r="M134" s="1028">
        <v>55248</v>
      </c>
      <c r="N134" s="1028">
        <v>109290</v>
      </c>
      <c r="O134" s="1028">
        <v>187</v>
      </c>
      <c r="P134" s="1028">
        <v>90</v>
      </c>
      <c r="Q134" s="1028">
        <v>277</v>
      </c>
      <c r="R134" s="1028">
        <v>1383</v>
      </c>
      <c r="S134" s="1028">
        <v>2573</v>
      </c>
      <c r="T134" s="1028">
        <v>3956</v>
      </c>
      <c r="U134" s="1028">
        <v>77</v>
      </c>
      <c r="V134" s="1028">
        <v>105</v>
      </c>
      <c r="W134" s="1028">
        <v>182</v>
      </c>
      <c r="X134" s="1028">
        <v>0</v>
      </c>
      <c r="Y134" s="1028">
        <v>0</v>
      </c>
      <c r="Z134" s="1028">
        <v>0</v>
      </c>
      <c r="AA134" s="1028">
        <v>60918</v>
      </c>
      <c r="AB134" s="1028">
        <v>63620</v>
      </c>
      <c r="AC134" s="1028">
        <v>124538</v>
      </c>
    </row>
    <row r="135" spans="1:29" x14ac:dyDescent="0.3">
      <c r="A135" s="949"/>
      <c r="B135" s="496" t="s">
        <v>908</v>
      </c>
      <c r="C135" s="492">
        <v>601</v>
      </c>
      <c r="D135" s="1028">
        <v>487</v>
      </c>
      <c r="E135" s="1028">
        <v>1088</v>
      </c>
      <c r="F135" s="1028">
        <v>1</v>
      </c>
      <c r="G135" s="1028">
        <v>10</v>
      </c>
      <c r="H135" s="1028">
        <v>11</v>
      </c>
      <c r="I135" s="1028">
        <v>4143</v>
      </c>
      <c r="J135" s="1028">
        <v>4296</v>
      </c>
      <c r="K135" s="1028">
        <v>8439</v>
      </c>
      <c r="L135" s="1028">
        <v>48415</v>
      </c>
      <c r="M135" s="1028">
        <v>48928</v>
      </c>
      <c r="N135" s="1028">
        <v>97343</v>
      </c>
      <c r="O135" s="1028">
        <v>137</v>
      </c>
      <c r="P135" s="1028">
        <v>93</v>
      </c>
      <c r="Q135" s="1028">
        <v>230</v>
      </c>
      <c r="R135" s="1028">
        <v>1288</v>
      </c>
      <c r="S135" s="1028">
        <v>1788</v>
      </c>
      <c r="T135" s="1028">
        <v>3076</v>
      </c>
      <c r="U135" s="1028">
        <v>94</v>
      </c>
      <c r="V135" s="1028">
        <v>96</v>
      </c>
      <c r="W135" s="1028">
        <v>190</v>
      </c>
      <c r="X135" s="1028">
        <v>0</v>
      </c>
      <c r="Y135" s="1028">
        <v>0</v>
      </c>
      <c r="Z135" s="1028">
        <v>0</v>
      </c>
      <c r="AA135" s="1028">
        <v>54679</v>
      </c>
      <c r="AB135" s="1028">
        <v>55698</v>
      </c>
      <c r="AC135" s="1028">
        <v>110377</v>
      </c>
    </row>
    <row r="136" spans="1:29" x14ac:dyDescent="0.3">
      <c r="A136" s="949">
        <v>22</v>
      </c>
      <c r="B136" s="488" t="s">
        <v>32</v>
      </c>
      <c r="C136" s="492"/>
      <c r="D136" s="1028"/>
      <c r="E136" s="1028"/>
      <c r="F136" s="1028"/>
      <c r="G136" s="1028"/>
      <c r="H136" s="1028"/>
      <c r="I136" s="1028"/>
      <c r="J136" s="1028"/>
      <c r="K136" s="1028"/>
      <c r="L136" s="1028"/>
      <c r="M136" s="1028"/>
      <c r="N136" s="1028"/>
      <c r="O136" s="1028"/>
      <c r="P136" s="1028"/>
      <c r="Q136" s="1028"/>
      <c r="R136" s="1028"/>
      <c r="S136" s="1028"/>
      <c r="T136" s="1028"/>
      <c r="U136" s="1028"/>
      <c r="V136" s="1028"/>
      <c r="W136" s="1028"/>
      <c r="X136" s="1028"/>
      <c r="Y136" s="1028"/>
      <c r="Z136" s="1028"/>
      <c r="AA136" s="1028"/>
      <c r="AB136" s="1028"/>
      <c r="AC136" s="1028"/>
    </row>
    <row r="137" spans="1:29" x14ac:dyDescent="0.3">
      <c r="A137" s="949"/>
      <c r="B137" s="488" t="s">
        <v>912</v>
      </c>
      <c r="C137" s="492">
        <v>525</v>
      </c>
      <c r="D137" s="1028">
        <v>534</v>
      </c>
      <c r="E137" s="1028">
        <v>1059</v>
      </c>
      <c r="F137" s="1028">
        <v>0</v>
      </c>
      <c r="G137" s="1028">
        <v>0</v>
      </c>
      <c r="H137" s="1028">
        <v>0</v>
      </c>
      <c r="I137" s="1028">
        <v>6070.575757575758</v>
      </c>
      <c r="J137" s="1028">
        <v>9701.636363636364</v>
      </c>
      <c r="K137" s="1028">
        <v>15772.21212121212</v>
      </c>
      <c r="L137" s="1028">
        <v>36319.909090909088</v>
      </c>
      <c r="M137" s="1028">
        <v>43550.242424242417</v>
      </c>
      <c r="N137" s="1028">
        <v>79870.15151515152</v>
      </c>
      <c r="O137" s="1028">
        <v>122</v>
      </c>
      <c r="P137" s="1028">
        <v>135</v>
      </c>
      <c r="Q137" s="1028">
        <v>257</v>
      </c>
      <c r="R137" s="1028">
        <v>1288</v>
      </c>
      <c r="S137" s="1028">
        <v>2288</v>
      </c>
      <c r="T137" s="1028">
        <v>3576</v>
      </c>
      <c r="U137" s="1028">
        <v>458</v>
      </c>
      <c r="V137" s="1028">
        <v>455</v>
      </c>
      <c r="W137" s="1028">
        <v>913</v>
      </c>
      <c r="X137" s="1028">
        <v>234</v>
      </c>
      <c r="Y137" s="1028">
        <v>251</v>
      </c>
      <c r="Z137" s="1028">
        <v>485</v>
      </c>
      <c r="AA137" s="1028">
        <v>45017.484848484848</v>
      </c>
      <c r="AB137" s="1028">
        <v>56914.878787878777</v>
      </c>
      <c r="AC137" s="1028">
        <v>101932.3636363636</v>
      </c>
    </row>
    <row r="138" spans="1:29" x14ac:dyDescent="0.3">
      <c r="A138" s="949"/>
      <c r="B138" s="496" t="s">
        <v>911</v>
      </c>
      <c r="C138" s="492">
        <v>458</v>
      </c>
      <c r="D138" s="1028">
        <v>331</v>
      </c>
      <c r="E138" s="1028">
        <v>789</v>
      </c>
      <c r="F138" s="1028">
        <v>1</v>
      </c>
      <c r="G138" s="1028">
        <v>2</v>
      </c>
      <c r="H138" s="1028">
        <v>3</v>
      </c>
      <c r="I138" s="1028">
        <v>5673</v>
      </c>
      <c r="J138" s="1028">
        <v>8432</v>
      </c>
      <c r="K138" s="1028">
        <v>14105</v>
      </c>
      <c r="L138" s="1028">
        <v>35954</v>
      </c>
      <c r="M138" s="1028">
        <v>41489</v>
      </c>
      <c r="N138" s="1028">
        <v>77443</v>
      </c>
      <c r="O138" s="1028">
        <v>280</v>
      </c>
      <c r="P138" s="1028">
        <v>363</v>
      </c>
      <c r="Q138" s="1028">
        <v>643</v>
      </c>
      <c r="R138" s="1028">
        <v>988</v>
      </c>
      <c r="S138" s="1028">
        <v>2013</v>
      </c>
      <c r="T138" s="1028">
        <v>3001</v>
      </c>
      <c r="U138" s="1028">
        <v>31</v>
      </c>
      <c r="V138" s="1028">
        <v>55</v>
      </c>
      <c r="W138" s="1028">
        <v>86</v>
      </c>
      <c r="X138" s="1028">
        <v>203</v>
      </c>
      <c r="Y138" s="1028">
        <v>180</v>
      </c>
      <c r="Z138" s="1028">
        <v>383</v>
      </c>
      <c r="AA138" s="1028">
        <v>43588</v>
      </c>
      <c r="AB138" s="1028">
        <v>52865</v>
      </c>
      <c r="AC138" s="1028">
        <v>96453</v>
      </c>
    </row>
    <row r="139" spans="1:29" x14ac:dyDescent="0.3">
      <c r="A139" s="949"/>
      <c r="B139" s="496" t="s">
        <v>910</v>
      </c>
      <c r="C139" s="492">
        <v>469</v>
      </c>
      <c r="D139" s="1028">
        <v>364</v>
      </c>
      <c r="E139" s="1028">
        <v>833</v>
      </c>
      <c r="F139" s="1028">
        <v>0</v>
      </c>
      <c r="G139" s="1028">
        <v>0</v>
      </c>
      <c r="H139" s="1028">
        <v>0</v>
      </c>
      <c r="I139" s="1028">
        <v>4039</v>
      </c>
      <c r="J139" s="1028">
        <v>6124</v>
      </c>
      <c r="K139" s="1028">
        <v>10163</v>
      </c>
      <c r="L139" s="1028">
        <v>36840</v>
      </c>
      <c r="M139" s="1028">
        <v>45359</v>
      </c>
      <c r="N139" s="1028">
        <v>82199</v>
      </c>
      <c r="O139" s="1028">
        <v>177</v>
      </c>
      <c r="P139" s="1028">
        <v>129</v>
      </c>
      <c r="Q139" s="1028">
        <v>306</v>
      </c>
      <c r="R139" s="1028">
        <v>1334</v>
      </c>
      <c r="S139" s="1028">
        <v>2236</v>
      </c>
      <c r="T139" s="1028">
        <v>3570</v>
      </c>
      <c r="U139" s="1028">
        <v>172</v>
      </c>
      <c r="V139" s="1028">
        <v>214</v>
      </c>
      <c r="W139" s="1028">
        <v>386</v>
      </c>
      <c r="X139" s="1028">
        <v>73</v>
      </c>
      <c r="Y139" s="1028">
        <v>54</v>
      </c>
      <c r="Z139" s="1028">
        <v>127</v>
      </c>
      <c r="AA139" s="1028">
        <v>43104</v>
      </c>
      <c r="AB139" s="1028">
        <v>54480</v>
      </c>
      <c r="AC139" s="1028">
        <v>97584</v>
      </c>
    </row>
    <row r="140" spans="1:29" x14ac:dyDescent="0.3">
      <c r="A140" s="949"/>
      <c r="B140" s="496" t="s">
        <v>909</v>
      </c>
      <c r="C140" s="492">
        <v>492</v>
      </c>
      <c r="D140" s="1028">
        <v>378</v>
      </c>
      <c r="E140" s="1028">
        <v>870</v>
      </c>
      <c r="F140" s="1028">
        <v>10</v>
      </c>
      <c r="G140" s="1028">
        <v>23</v>
      </c>
      <c r="H140" s="1028">
        <v>33</v>
      </c>
      <c r="I140" s="1028">
        <v>4146</v>
      </c>
      <c r="J140" s="1028">
        <v>6139</v>
      </c>
      <c r="K140" s="1028">
        <v>10285</v>
      </c>
      <c r="L140" s="1028">
        <v>33881</v>
      </c>
      <c r="M140" s="1028">
        <v>39321</v>
      </c>
      <c r="N140" s="1028">
        <v>73202</v>
      </c>
      <c r="O140" s="1028">
        <v>114</v>
      </c>
      <c r="P140" s="1028">
        <v>70</v>
      </c>
      <c r="Q140" s="1028">
        <v>184</v>
      </c>
      <c r="R140" s="1028">
        <v>1083</v>
      </c>
      <c r="S140" s="1028">
        <v>1666</v>
      </c>
      <c r="T140" s="1028">
        <v>2749</v>
      </c>
      <c r="U140" s="1028">
        <v>48</v>
      </c>
      <c r="V140" s="1028">
        <v>48</v>
      </c>
      <c r="W140" s="1028">
        <v>96</v>
      </c>
      <c r="X140" s="1028">
        <v>70</v>
      </c>
      <c r="Y140" s="1028">
        <v>52</v>
      </c>
      <c r="Z140" s="1028">
        <v>122</v>
      </c>
      <c r="AA140" s="1028">
        <v>39844</v>
      </c>
      <c r="AB140" s="1028">
        <v>47697</v>
      </c>
      <c r="AC140" s="1028">
        <v>87541</v>
      </c>
    </row>
    <row r="141" spans="1:29" x14ac:dyDescent="0.3">
      <c r="A141" s="949"/>
      <c r="B141" s="496" t="s">
        <v>908</v>
      </c>
      <c r="C141" s="492">
        <v>475</v>
      </c>
      <c r="D141" s="1028">
        <v>678</v>
      </c>
      <c r="E141" s="1028">
        <v>1153</v>
      </c>
      <c r="F141" s="1028">
        <v>29</v>
      </c>
      <c r="G141" s="1028">
        <v>46</v>
      </c>
      <c r="H141" s="1028">
        <v>75</v>
      </c>
      <c r="I141" s="1028">
        <v>3760</v>
      </c>
      <c r="J141" s="1028">
        <v>5817</v>
      </c>
      <c r="K141" s="1028">
        <v>9577</v>
      </c>
      <c r="L141" s="1028">
        <v>33868</v>
      </c>
      <c r="M141" s="1028">
        <v>38949</v>
      </c>
      <c r="N141" s="1028">
        <v>72817</v>
      </c>
      <c r="O141" s="1028">
        <v>118</v>
      </c>
      <c r="P141" s="1028">
        <v>85</v>
      </c>
      <c r="Q141" s="1028">
        <v>203</v>
      </c>
      <c r="R141" s="1028">
        <v>1159</v>
      </c>
      <c r="S141" s="1028">
        <v>1853</v>
      </c>
      <c r="T141" s="1028">
        <v>3012</v>
      </c>
      <c r="U141" s="1028">
        <v>0</v>
      </c>
      <c r="V141" s="1028">
        <v>0</v>
      </c>
      <c r="W141" s="1028">
        <v>0</v>
      </c>
      <c r="X141" s="1028">
        <v>52</v>
      </c>
      <c r="Y141" s="1028">
        <v>42</v>
      </c>
      <c r="Z141" s="1028">
        <v>94</v>
      </c>
      <c r="AA141" s="1028">
        <v>39461</v>
      </c>
      <c r="AB141" s="1028">
        <v>47470</v>
      </c>
      <c r="AC141" s="1028">
        <v>86931</v>
      </c>
    </row>
    <row r="142" spans="1:29" x14ac:dyDescent="0.3">
      <c r="A142" s="949">
        <v>23</v>
      </c>
      <c r="B142" s="488" t="s">
        <v>33</v>
      </c>
      <c r="C142" s="492"/>
      <c r="D142" s="1028"/>
      <c r="E142" s="1028"/>
      <c r="F142" s="1028"/>
      <c r="G142" s="1028"/>
      <c r="H142" s="1028"/>
      <c r="I142" s="1028"/>
      <c r="J142" s="1028"/>
      <c r="K142" s="1028"/>
      <c r="L142" s="1028"/>
      <c r="M142" s="1028"/>
      <c r="N142" s="1028"/>
      <c r="O142" s="1028"/>
      <c r="P142" s="1028"/>
      <c r="Q142" s="1028"/>
      <c r="R142" s="1028"/>
      <c r="S142" s="1028"/>
      <c r="T142" s="1028"/>
      <c r="U142" s="1028"/>
      <c r="V142" s="1028"/>
      <c r="W142" s="1028"/>
      <c r="X142" s="1028"/>
      <c r="Y142" s="1028"/>
      <c r="Z142" s="1028"/>
      <c r="AA142" s="1028"/>
      <c r="AB142" s="1028"/>
      <c r="AC142" s="1028"/>
    </row>
    <row r="143" spans="1:29" x14ac:dyDescent="0.3">
      <c r="A143" s="949"/>
      <c r="B143" s="488" t="s">
        <v>912</v>
      </c>
      <c r="C143" s="492">
        <v>667</v>
      </c>
      <c r="D143" s="1028">
        <v>579</v>
      </c>
      <c r="E143" s="1028">
        <v>1246</v>
      </c>
      <c r="F143" s="1028"/>
      <c r="G143" s="1028"/>
      <c r="H143" s="1028"/>
      <c r="I143" s="1028">
        <v>2522</v>
      </c>
      <c r="J143" s="1028">
        <v>3063</v>
      </c>
      <c r="K143" s="1028">
        <v>5585</v>
      </c>
      <c r="L143" s="1028">
        <v>16401</v>
      </c>
      <c r="M143" s="1028">
        <v>15075</v>
      </c>
      <c r="N143" s="1028">
        <v>31476</v>
      </c>
      <c r="O143" s="1028">
        <v>20</v>
      </c>
      <c r="P143" s="1028">
        <v>9</v>
      </c>
      <c r="Q143" s="1028">
        <v>29</v>
      </c>
      <c r="R143" s="1028">
        <v>4563</v>
      </c>
      <c r="S143" s="1028">
        <v>5699</v>
      </c>
      <c r="T143" s="1028">
        <v>10262</v>
      </c>
      <c r="U143" s="1028">
        <v>3</v>
      </c>
      <c r="V143" s="1028">
        <v>3</v>
      </c>
      <c r="W143" s="1028">
        <v>6</v>
      </c>
      <c r="X143" s="1028">
        <v>5</v>
      </c>
      <c r="Y143" s="1028">
        <v>2</v>
      </c>
      <c r="Z143" s="1028">
        <v>7</v>
      </c>
      <c r="AA143" s="1028">
        <v>24181</v>
      </c>
      <c r="AB143" s="1028">
        <v>24430</v>
      </c>
      <c r="AC143" s="1028">
        <v>48611</v>
      </c>
    </row>
    <row r="144" spans="1:29" x14ac:dyDescent="0.3">
      <c r="A144" s="949"/>
      <c r="B144" s="496" t="s">
        <v>911</v>
      </c>
      <c r="C144" s="492">
        <v>634</v>
      </c>
      <c r="D144" s="1028">
        <v>565</v>
      </c>
      <c r="E144" s="1028">
        <v>1199</v>
      </c>
      <c r="F144" s="1028"/>
      <c r="G144" s="1028"/>
      <c r="H144" s="1028"/>
      <c r="I144" s="1028">
        <v>2398</v>
      </c>
      <c r="J144" s="1028">
        <v>3210</v>
      </c>
      <c r="K144" s="1028">
        <v>5608</v>
      </c>
      <c r="L144" s="1028">
        <v>16905</v>
      </c>
      <c r="M144" s="1028">
        <v>16249</v>
      </c>
      <c r="N144" s="1028">
        <v>33154</v>
      </c>
      <c r="O144" s="1028">
        <v>39</v>
      </c>
      <c r="P144" s="1028">
        <v>16</v>
      </c>
      <c r="Q144" s="1028">
        <v>55</v>
      </c>
      <c r="R144" s="1028">
        <v>3200</v>
      </c>
      <c r="S144" s="1028">
        <v>3530</v>
      </c>
      <c r="T144" s="1028">
        <v>6730</v>
      </c>
      <c r="U144" s="1028"/>
      <c r="V144" s="1028"/>
      <c r="W144" s="1028"/>
      <c r="X144" s="1028">
        <v>15</v>
      </c>
      <c r="Y144" s="1028">
        <v>10</v>
      </c>
      <c r="Z144" s="1028">
        <v>25</v>
      </c>
      <c r="AA144" s="1028">
        <v>23191</v>
      </c>
      <c r="AB144" s="1028">
        <v>23580</v>
      </c>
      <c r="AC144" s="1028">
        <v>46771</v>
      </c>
    </row>
    <row r="145" spans="1:29" x14ac:dyDescent="0.3">
      <c r="A145" s="949"/>
      <c r="B145" s="496" t="s">
        <v>910</v>
      </c>
      <c r="C145" s="492">
        <v>551</v>
      </c>
      <c r="D145" s="1028">
        <v>436</v>
      </c>
      <c r="E145" s="1028">
        <v>987</v>
      </c>
      <c r="F145" s="1028">
        <v>56</v>
      </c>
      <c r="G145" s="1028">
        <v>59</v>
      </c>
      <c r="H145" s="1028">
        <v>115</v>
      </c>
      <c r="I145" s="1028">
        <v>1992</v>
      </c>
      <c r="J145" s="1028">
        <v>2478</v>
      </c>
      <c r="K145" s="1028">
        <v>4470</v>
      </c>
      <c r="L145" s="1028">
        <v>15802</v>
      </c>
      <c r="M145" s="1028">
        <v>14971</v>
      </c>
      <c r="N145" s="1028">
        <v>30773</v>
      </c>
      <c r="O145" s="1028">
        <v>61</v>
      </c>
      <c r="P145" s="1028">
        <v>42</v>
      </c>
      <c r="Q145" s="1028">
        <v>103</v>
      </c>
      <c r="R145" s="1028">
        <v>710</v>
      </c>
      <c r="S145" s="1028">
        <v>1480</v>
      </c>
      <c r="T145" s="1028">
        <v>2190</v>
      </c>
      <c r="U145" s="1028">
        <v>0</v>
      </c>
      <c r="V145" s="1028">
        <v>20</v>
      </c>
      <c r="W145" s="1028">
        <v>20</v>
      </c>
      <c r="X145" s="1028">
        <v>29</v>
      </c>
      <c r="Y145" s="1028">
        <v>23</v>
      </c>
      <c r="Z145" s="1028">
        <v>52</v>
      </c>
      <c r="AA145" s="1028">
        <v>19201</v>
      </c>
      <c r="AB145" s="1028">
        <v>19509</v>
      </c>
      <c r="AC145" s="1028">
        <v>38710</v>
      </c>
    </row>
    <row r="146" spans="1:29" x14ac:dyDescent="0.3">
      <c r="A146" s="949"/>
      <c r="B146" s="496" t="s">
        <v>909</v>
      </c>
      <c r="C146" s="492">
        <v>479</v>
      </c>
      <c r="D146" s="1028">
        <v>388</v>
      </c>
      <c r="E146" s="1028">
        <v>867</v>
      </c>
      <c r="F146" s="1028">
        <v>75</v>
      </c>
      <c r="G146" s="1028">
        <v>77</v>
      </c>
      <c r="H146" s="1028">
        <v>152</v>
      </c>
      <c r="I146" s="1028">
        <v>1982</v>
      </c>
      <c r="J146" s="1028">
        <v>2239</v>
      </c>
      <c r="K146" s="1028">
        <v>4221</v>
      </c>
      <c r="L146" s="1028">
        <v>13503</v>
      </c>
      <c r="M146" s="1028">
        <v>11793</v>
      </c>
      <c r="N146" s="1028">
        <v>25296</v>
      </c>
      <c r="O146" s="1028">
        <v>90</v>
      </c>
      <c r="P146" s="1028">
        <v>113</v>
      </c>
      <c r="Q146" s="1028">
        <v>203</v>
      </c>
      <c r="R146" s="1028">
        <v>676</v>
      </c>
      <c r="S146" s="1028">
        <v>1285</v>
      </c>
      <c r="T146" s="1028">
        <v>1961</v>
      </c>
      <c r="U146" s="1028">
        <v>304</v>
      </c>
      <c r="V146" s="1028">
        <v>159</v>
      </c>
      <c r="W146" s="1028">
        <v>463</v>
      </c>
      <c r="X146" s="1028">
        <v>47</v>
      </c>
      <c r="Y146" s="1028">
        <v>26</v>
      </c>
      <c r="Z146" s="1028">
        <v>73</v>
      </c>
      <c r="AA146" s="1028">
        <v>17156</v>
      </c>
      <c r="AB146" s="1028">
        <v>16080</v>
      </c>
      <c r="AC146" s="1028">
        <v>33236</v>
      </c>
    </row>
    <row r="147" spans="1:29" x14ac:dyDescent="0.3">
      <c r="A147" s="949"/>
      <c r="B147" s="496" t="s">
        <v>908</v>
      </c>
      <c r="C147" s="492">
        <v>415</v>
      </c>
      <c r="D147" s="1028">
        <v>368</v>
      </c>
      <c r="E147" s="1028">
        <v>783</v>
      </c>
      <c r="F147" s="1028">
        <v>77</v>
      </c>
      <c r="G147" s="1028">
        <v>112</v>
      </c>
      <c r="H147" s="1028">
        <v>189</v>
      </c>
      <c r="I147" s="1028">
        <v>1919</v>
      </c>
      <c r="J147" s="1028">
        <v>2096</v>
      </c>
      <c r="K147" s="1028">
        <v>4015</v>
      </c>
      <c r="L147" s="1028">
        <v>13095</v>
      </c>
      <c r="M147" s="1028">
        <v>11475</v>
      </c>
      <c r="N147" s="1028">
        <v>24570</v>
      </c>
      <c r="O147" s="1028">
        <v>215</v>
      </c>
      <c r="P147" s="1028">
        <v>255</v>
      </c>
      <c r="Q147" s="1028">
        <v>470</v>
      </c>
      <c r="R147" s="1028">
        <v>780</v>
      </c>
      <c r="S147" s="1028">
        <v>1465</v>
      </c>
      <c r="T147" s="1028">
        <v>2245</v>
      </c>
      <c r="U147" s="1028">
        <v>285</v>
      </c>
      <c r="V147" s="1028">
        <v>171</v>
      </c>
      <c r="W147" s="1028">
        <v>456</v>
      </c>
      <c r="X147" s="1028">
        <v>66</v>
      </c>
      <c r="Y147" s="1028">
        <v>44</v>
      </c>
      <c r="Z147" s="1028">
        <v>110</v>
      </c>
      <c r="AA147" s="1028">
        <v>16852</v>
      </c>
      <c r="AB147" s="1028">
        <v>15986</v>
      </c>
      <c r="AC147" s="1028">
        <v>32838</v>
      </c>
    </row>
    <row r="148" spans="1:29" x14ac:dyDescent="0.3">
      <c r="A148" s="949">
        <v>24</v>
      </c>
      <c r="B148" s="488" t="s">
        <v>34</v>
      </c>
      <c r="C148" s="492"/>
      <c r="D148" s="1028"/>
      <c r="E148" s="1028"/>
      <c r="F148" s="1028"/>
      <c r="G148" s="1028"/>
      <c r="H148" s="1028"/>
      <c r="I148" s="1028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  <c r="AA148" s="1028"/>
      <c r="AB148" s="1028"/>
      <c r="AC148" s="1028"/>
    </row>
    <row r="149" spans="1:29" x14ac:dyDescent="0.3">
      <c r="A149" s="949"/>
      <c r="B149" s="488" t="s">
        <v>912</v>
      </c>
      <c r="C149" s="492">
        <v>343</v>
      </c>
      <c r="D149" s="1028">
        <v>357</v>
      </c>
      <c r="E149" s="1028">
        <v>700</v>
      </c>
      <c r="F149" s="1028"/>
      <c r="G149" s="1028"/>
      <c r="H149" s="1028"/>
      <c r="I149" s="1028">
        <v>2956</v>
      </c>
      <c r="J149" s="1028">
        <v>4989</v>
      </c>
      <c r="K149" s="1028">
        <v>7945</v>
      </c>
      <c r="L149" s="1028">
        <v>17937</v>
      </c>
      <c r="M149" s="1028">
        <v>20612</v>
      </c>
      <c r="N149" s="1028">
        <v>38549</v>
      </c>
      <c r="O149" s="1028">
        <v>16</v>
      </c>
      <c r="P149" s="1028">
        <v>31</v>
      </c>
      <c r="Q149" s="1028">
        <v>47</v>
      </c>
      <c r="R149" s="1028">
        <v>843</v>
      </c>
      <c r="S149" s="1028">
        <v>1558</v>
      </c>
      <c r="T149" s="1028">
        <v>2401</v>
      </c>
      <c r="U149" s="1028">
        <v>844</v>
      </c>
      <c r="V149" s="1028">
        <v>820</v>
      </c>
      <c r="W149" s="1028">
        <v>1664</v>
      </c>
      <c r="X149" s="1028"/>
      <c r="Y149" s="1028"/>
      <c r="Z149" s="1028"/>
      <c r="AA149" s="1028">
        <v>22939</v>
      </c>
      <c r="AB149" s="1028">
        <v>28367</v>
      </c>
      <c r="AC149" s="1028">
        <v>51306</v>
      </c>
    </row>
    <row r="150" spans="1:29" x14ac:dyDescent="0.3">
      <c r="A150" s="949"/>
      <c r="B150" s="496" t="s">
        <v>911</v>
      </c>
      <c r="C150" s="492">
        <v>290</v>
      </c>
      <c r="D150" s="1028">
        <v>330</v>
      </c>
      <c r="E150" s="1028">
        <v>620</v>
      </c>
      <c r="F150" s="1028">
        <v>12</v>
      </c>
      <c r="G150" s="1028">
        <v>6</v>
      </c>
      <c r="H150" s="1028">
        <v>18</v>
      </c>
      <c r="I150" s="1028">
        <v>3276</v>
      </c>
      <c r="J150" s="1028">
        <v>5178</v>
      </c>
      <c r="K150" s="1028">
        <v>8454</v>
      </c>
      <c r="L150" s="1028">
        <v>18770</v>
      </c>
      <c r="M150" s="1028">
        <v>20444</v>
      </c>
      <c r="N150" s="1028">
        <v>39214</v>
      </c>
      <c r="O150" s="1028">
        <v>40</v>
      </c>
      <c r="P150" s="1028">
        <v>89</v>
      </c>
      <c r="Q150" s="1028">
        <v>129</v>
      </c>
      <c r="R150" s="1028">
        <v>859</v>
      </c>
      <c r="S150" s="1028">
        <v>1343</v>
      </c>
      <c r="T150" s="1028">
        <v>2202</v>
      </c>
      <c r="U150" s="1028">
        <v>310</v>
      </c>
      <c r="V150" s="1028">
        <v>276</v>
      </c>
      <c r="W150" s="1028">
        <v>586</v>
      </c>
      <c r="X150" s="1028"/>
      <c r="Y150" s="1028"/>
      <c r="Z150" s="1028"/>
      <c r="AA150" s="1028">
        <v>23557</v>
      </c>
      <c r="AB150" s="1028">
        <v>27666</v>
      </c>
      <c r="AC150" s="1028">
        <v>51223</v>
      </c>
    </row>
    <row r="151" spans="1:29" x14ac:dyDescent="0.3">
      <c r="A151" s="949"/>
      <c r="B151" s="496" t="s">
        <v>910</v>
      </c>
      <c r="C151" s="492">
        <v>279</v>
      </c>
      <c r="D151" s="1028">
        <v>314</v>
      </c>
      <c r="E151" s="1028">
        <v>593</v>
      </c>
      <c r="F151" s="1028">
        <v>23</v>
      </c>
      <c r="G151" s="1028">
        <v>30</v>
      </c>
      <c r="H151" s="1028">
        <v>53</v>
      </c>
      <c r="I151" s="1028">
        <v>2843</v>
      </c>
      <c r="J151" s="1028">
        <v>4252</v>
      </c>
      <c r="K151" s="1028">
        <v>7095</v>
      </c>
      <c r="L151" s="1028">
        <v>17600</v>
      </c>
      <c r="M151" s="1028">
        <v>19228</v>
      </c>
      <c r="N151" s="1028">
        <v>36828</v>
      </c>
      <c r="O151" s="1028">
        <v>42</v>
      </c>
      <c r="P151" s="1028">
        <v>71</v>
      </c>
      <c r="Q151" s="1028">
        <v>113</v>
      </c>
      <c r="R151" s="1028">
        <v>859</v>
      </c>
      <c r="S151" s="1028">
        <v>1210</v>
      </c>
      <c r="T151" s="1028">
        <v>2069</v>
      </c>
      <c r="U151" s="1028">
        <v>98</v>
      </c>
      <c r="V151" s="1028">
        <v>99</v>
      </c>
      <c r="W151" s="1028">
        <v>197</v>
      </c>
      <c r="X151" s="1028">
        <v>6</v>
      </c>
      <c r="Y151" s="1028">
        <v>0</v>
      </c>
      <c r="Z151" s="1028">
        <v>6</v>
      </c>
      <c r="AA151" s="1028">
        <v>21750</v>
      </c>
      <c r="AB151" s="1028">
        <v>25204</v>
      </c>
      <c r="AC151" s="1028">
        <v>46954</v>
      </c>
    </row>
    <row r="152" spans="1:29" x14ac:dyDescent="0.3">
      <c r="A152" s="949"/>
      <c r="B152" s="496" t="s">
        <v>909</v>
      </c>
      <c r="C152" s="492">
        <v>270</v>
      </c>
      <c r="D152" s="1028">
        <v>307</v>
      </c>
      <c r="E152" s="1028">
        <v>577</v>
      </c>
      <c r="F152" s="1028">
        <v>10</v>
      </c>
      <c r="G152" s="1028">
        <v>28</v>
      </c>
      <c r="H152" s="1028">
        <v>38</v>
      </c>
      <c r="I152" s="1028">
        <v>2063</v>
      </c>
      <c r="J152" s="1028">
        <v>3503</v>
      </c>
      <c r="K152" s="1028">
        <v>5566</v>
      </c>
      <c r="L152" s="1028">
        <v>16982</v>
      </c>
      <c r="M152" s="1028">
        <v>19252</v>
      </c>
      <c r="N152" s="1028">
        <v>36234</v>
      </c>
      <c r="O152" s="1028">
        <v>65</v>
      </c>
      <c r="P152" s="1028">
        <v>168</v>
      </c>
      <c r="Q152" s="1028">
        <v>233</v>
      </c>
      <c r="R152" s="1028">
        <v>842</v>
      </c>
      <c r="S152" s="1028">
        <v>1027</v>
      </c>
      <c r="T152" s="1028">
        <v>1869</v>
      </c>
      <c r="U152" s="1028">
        <v>17</v>
      </c>
      <c r="V152" s="1028">
        <v>21</v>
      </c>
      <c r="W152" s="1028">
        <v>38</v>
      </c>
      <c r="X152" s="1028">
        <v>6</v>
      </c>
      <c r="Y152" s="1028">
        <v>0</v>
      </c>
      <c r="Z152" s="1028">
        <v>6</v>
      </c>
      <c r="AA152" s="1028">
        <v>20255</v>
      </c>
      <c r="AB152" s="1028">
        <v>24306</v>
      </c>
      <c r="AC152" s="1028">
        <v>44561</v>
      </c>
    </row>
    <row r="153" spans="1:29" x14ac:dyDescent="0.3">
      <c r="A153" s="949"/>
      <c r="B153" s="496" t="s">
        <v>908</v>
      </c>
      <c r="C153" s="492">
        <v>235</v>
      </c>
      <c r="D153" s="1028">
        <v>257</v>
      </c>
      <c r="E153" s="1028">
        <v>492</v>
      </c>
      <c r="F153" s="1028">
        <v>6</v>
      </c>
      <c r="G153" s="1028">
        <v>12</v>
      </c>
      <c r="H153" s="1028">
        <v>18</v>
      </c>
      <c r="I153" s="1028">
        <v>2886</v>
      </c>
      <c r="J153" s="1028">
        <v>3412</v>
      </c>
      <c r="K153" s="1028">
        <v>6298</v>
      </c>
      <c r="L153" s="1028">
        <v>17428</v>
      </c>
      <c r="M153" s="1028">
        <v>18485</v>
      </c>
      <c r="N153" s="1028">
        <v>35913</v>
      </c>
      <c r="O153" s="1028">
        <v>86</v>
      </c>
      <c r="P153" s="1028">
        <v>150</v>
      </c>
      <c r="Q153" s="1028">
        <v>236</v>
      </c>
      <c r="R153" s="1028">
        <v>1262</v>
      </c>
      <c r="S153" s="1028">
        <v>1100</v>
      </c>
      <c r="T153" s="1028">
        <v>2362</v>
      </c>
      <c r="U153" s="1028">
        <v>69</v>
      </c>
      <c r="V153" s="1028">
        <v>59</v>
      </c>
      <c r="W153" s="1028">
        <v>128</v>
      </c>
      <c r="X153" s="1028">
        <v>15</v>
      </c>
      <c r="Y153" s="1028">
        <v>0</v>
      </c>
      <c r="Z153" s="1028">
        <v>15</v>
      </c>
      <c r="AA153" s="1028">
        <v>21987</v>
      </c>
      <c r="AB153" s="1028">
        <v>23475</v>
      </c>
      <c r="AC153" s="1028">
        <v>45462</v>
      </c>
    </row>
    <row r="154" spans="1:29" x14ac:dyDescent="0.3">
      <c r="A154" s="949">
        <v>25</v>
      </c>
      <c r="B154" s="488" t="s">
        <v>35</v>
      </c>
      <c r="C154" s="492"/>
      <c r="D154" s="1028"/>
      <c r="E154" s="1028"/>
      <c r="F154" s="1028"/>
      <c r="G154" s="1028"/>
      <c r="H154" s="1028"/>
      <c r="I154" s="1028"/>
      <c r="J154" s="1028"/>
      <c r="K154" s="1028"/>
      <c r="L154" s="1028"/>
      <c r="M154" s="1028"/>
      <c r="N154" s="1028"/>
      <c r="O154" s="1028"/>
      <c r="P154" s="1028"/>
      <c r="Q154" s="1028"/>
      <c r="R154" s="1028"/>
      <c r="S154" s="1028"/>
      <c r="T154" s="1028"/>
      <c r="U154" s="1028"/>
      <c r="V154" s="1028"/>
      <c r="W154" s="1028"/>
      <c r="X154" s="1028"/>
      <c r="Y154" s="1028"/>
      <c r="Z154" s="1028"/>
      <c r="AA154" s="1028"/>
      <c r="AB154" s="1028"/>
      <c r="AC154" s="1028"/>
    </row>
    <row r="155" spans="1:29" x14ac:dyDescent="0.3">
      <c r="A155" s="949"/>
      <c r="B155" s="488" t="s">
        <v>912</v>
      </c>
      <c r="C155" s="492">
        <v>2450</v>
      </c>
      <c r="D155" s="1028">
        <v>1640</v>
      </c>
      <c r="E155" s="1028">
        <v>4090</v>
      </c>
      <c r="F155" s="1028"/>
      <c r="G155" s="1028"/>
      <c r="H155" s="1028"/>
      <c r="I155" s="1028">
        <v>55500</v>
      </c>
      <c r="J155" s="1028">
        <v>58487</v>
      </c>
      <c r="K155" s="1028">
        <v>113987</v>
      </c>
      <c r="L155" s="1028">
        <v>403935</v>
      </c>
      <c r="M155" s="1028">
        <v>399412</v>
      </c>
      <c r="N155" s="1028">
        <v>803347</v>
      </c>
      <c r="O155" s="1028">
        <v>2140</v>
      </c>
      <c r="P155" s="1028">
        <v>1292</v>
      </c>
      <c r="Q155" s="1028">
        <v>3432</v>
      </c>
      <c r="R155" s="1028">
        <v>111800</v>
      </c>
      <c r="S155" s="1028">
        <v>50010</v>
      </c>
      <c r="T155" s="1028">
        <v>161810</v>
      </c>
      <c r="U155" s="1028">
        <v>604</v>
      </c>
      <c r="V155" s="1028">
        <v>1035</v>
      </c>
      <c r="W155" s="1028">
        <v>1639</v>
      </c>
      <c r="X155" s="1028">
        <v>6667</v>
      </c>
      <c r="Y155" s="1028">
        <v>6636</v>
      </c>
      <c r="Z155" s="1028">
        <v>13303</v>
      </c>
      <c r="AA155" s="1028">
        <v>583096</v>
      </c>
      <c r="AB155" s="1028">
        <v>518512</v>
      </c>
      <c r="AC155" s="1028">
        <v>1101608</v>
      </c>
    </row>
    <row r="156" spans="1:29" x14ac:dyDescent="0.3">
      <c r="A156" s="949"/>
      <c r="B156" s="496" t="s">
        <v>911</v>
      </c>
      <c r="C156" s="492">
        <v>2668</v>
      </c>
      <c r="D156" s="1028">
        <v>1550</v>
      </c>
      <c r="E156" s="1028">
        <v>4218</v>
      </c>
      <c r="F156" s="1028">
        <v>269</v>
      </c>
      <c r="G156" s="1028">
        <v>303</v>
      </c>
      <c r="H156" s="1028">
        <v>572</v>
      </c>
      <c r="I156" s="1028">
        <v>63227</v>
      </c>
      <c r="J156" s="1028">
        <v>56471</v>
      </c>
      <c r="K156" s="1028">
        <v>119698</v>
      </c>
      <c r="L156" s="1028">
        <v>402899</v>
      </c>
      <c r="M156" s="1028">
        <v>379256</v>
      </c>
      <c r="N156" s="1028">
        <v>782155</v>
      </c>
      <c r="O156" s="1028">
        <v>1920</v>
      </c>
      <c r="P156" s="1028">
        <v>1165</v>
      </c>
      <c r="Q156" s="1028">
        <v>3085</v>
      </c>
      <c r="R156" s="1028">
        <v>103764</v>
      </c>
      <c r="S156" s="1028">
        <v>47170</v>
      </c>
      <c r="T156" s="1028">
        <v>150934</v>
      </c>
      <c r="U156" s="1028">
        <v>651</v>
      </c>
      <c r="V156" s="1028">
        <v>899</v>
      </c>
      <c r="W156" s="1028">
        <v>1550</v>
      </c>
      <c r="X156" s="1028">
        <v>5769</v>
      </c>
      <c r="Y156" s="1028">
        <v>5898</v>
      </c>
      <c r="Z156" s="1028">
        <v>11667</v>
      </c>
      <c r="AA156" s="1028">
        <v>581167</v>
      </c>
      <c r="AB156" s="1028">
        <v>492712</v>
      </c>
      <c r="AC156" s="1028">
        <v>1073879</v>
      </c>
    </row>
    <row r="157" spans="1:29" x14ac:dyDescent="0.3">
      <c r="A157" s="949"/>
      <c r="B157" s="496" t="s">
        <v>910</v>
      </c>
      <c r="C157" s="492">
        <v>1955</v>
      </c>
      <c r="D157" s="1028">
        <v>1326</v>
      </c>
      <c r="E157" s="1028">
        <v>3281</v>
      </c>
      <c r="F157" s="1028">
        <v>352</v>
      </c>
      <c r="G157" s="1028">
        <v>378</v>
      </c>
      <c r="H157" s="1028">
        <v>730</v>
      </c>
      <c r="I157" s="1028">
        <v>48874</v>
      </c>
      <c r="J157" s="1028">
        <v>50344</v>
      </c>
      <c r="K157" s="1028">
        <v>99218</v>
      </c>
      <c r="L157" s="1028">
        <v>370312</v>
      </c>
      <c r="M157" s="1028">
        <v>368176</v>
      </c>
      <c r="N157" s="1028">
        <v>738488</v>
      </c>
      <c r="O157" s="1028">
        <v>2408</v>
      </c>
      <c r="P157" s="1028">
        <v>1394</v>
      </c>
      <c r="Q157" s="1028">
        <v>3802</v>
      </c>
      <c r="R157" s="1028">
        <v>94732</v>
      </c>
      <c r="S157" s="1028">
        <v>50884</v>
      </c>
      <c r="T157" s="1028">
        <v>145616</v>
      </c>
      <c r="U157" s="1028">
        <v>1321</v>
      </c>
      <c r="V157" s="1028">
        <v>2268</v>
      </c>
      <c r="W157" s="1028">
        <v>3589</v>
      </c>
      <c r="X157" s="1028">
        <v>5929</v>
      </c>
      <c r="Y157" s="1028">
        <v>6369</v>
      </c>
      <c r="Z157" s="1028">
        <v>12298</v>
      </c>
      <c r="AA157" s="1028">
        <v>525883</v>
      </c>
      <c r="AB157" s="1028">
        <v>481139</v>
      </c>
      <c r="AC157" s="1028">
        <v>1007022</v>
      </c>
    </row>
    <row r="158" spans="1:29" x14ac:dyDescent="0.3">
      <c r="A158" s="949"/>
      <c r="B158" s="496" t="s">
        <v>909</v>
      </c>
      <c r="C158" s="492">
        <v>1923</v>
      </c>
      <c r="D158" s="1028">
        <v>1423</v>
      </c>
      <c r="E158" s="1028">
        <v>3346</v>
      </c>
      <c r="F158" s="1028">
        <v>419</v>
      </c>
      <c r="G158" s="1028">
        <v>584</v>
      </c>
      <c r="H158" s="1028">
        <v>1003</v>
      </c>
      <c r="I158" s="1028">
        <v>47838</v>
      </c>
      <c r="J158" s="1028">
        <v>50717</v>
      </c>
      <c r="K158" s="1028">
        <v>98555</v>
      </c>
      <c r="L158" s="1028">
        <v>379994</v>
      </c>
      <c r="M158" s="1028">
        <v>367114</v>
      </c>
      <c r="N158" s="1028">
        <v>747108</v>
      </c>
      <c r="O158" s="1028">
        <v>1786</v>
      </c>
      <c r="P158" s="1028">
        <v>947</v>
      </c>
      <c r="Q158" s="1028">
        <v>2733</v>
      </c>
      <c r="R158" s="1028">
        <v>89412</v>
      </c>
      <c r="S158" s="1028">
        <v>34712</v>
      </c>
      <c r="T158" s="1028">
        <v>124124</v>
      </c>
      <c r="U158" s="1028">
        <v>3402</v>
      </c>
      <c r="V158" s="1028">
        <v>5748</v>
      </c>
      <c r="W158" s="1028">
        <v>9150</v>
      </c>
      <c r="X158" s="1028">
        <v>4452</v>
      </c>
      <c r="Y158" s="1028">
        <v>4458</v>
      </c>
      <c r="Z158" s="1028">
        <v>8910</v>
      </c>
      <c r="AA158" s="1028">
        <v>529226</v>
      </c>
      <c r="AB158" s="1028">
        <v>465703</v>
      </c>
      <c r="AC158" s="1028">
        <v>994929</v>
      </c>
    </row>
    <row r="159" spans="1:29" x14ac:dyDescent="0.3">
      <c r="A159" s="949"/>
      <c r="B159" s="496" t="s">
        <v>908</v>
      </c>
      <c r="C159" s="492">
        <v>2052</v>
      </c>
      <c r="D159" s="1028">
        <v>1670</v>
      </c>
      <c r="E159" s="1028">
        <v>3722</v>
      </c>
      <c r="F159" s="1028">
        <v>523</v>
      </c>
      <c r="G159" s="1028">
        <v>638</v>
      </c>
      <c r="H159" s="1028">
        <v>1161</v>
      </c>
      <c r="I159" s="1028">
        <v>40536</v>
      </c>
      <c r="J159" s="1028">
        <v>42541</v>
      </c>
      <c r="K159" s="1028">
        <v>83077</v>
      </c>
      <c r="L159" s="1028">
        <v>409140</v>
      </c>
      <c r="M159" s="1028">
        <v>371004</v>
      </c>
      <c r="N159" s="1028">
        <v>780144</v>
      </c>
      <c r="O159" s="1028">
        <v>2403</v>
      </c>
      <c r="P159" s="1028">
        <v>1194</v>
      </c>
      <c r="Q159" s="1028">
        <v>3597</v>
      </c>
      <c r="R159" s="1028">
        <v>95576</v>
      </c>
      <c r="S159" s="1028">
        <v>33942</v>
      </c>
      <c r="T159" s="1028">
        <v>129518</v>
      </c>
      <c r="U159" s="1028">
        <v>4329</v>
      </c>
      <c r="V159" s="1028">
        <v>5894</v>
      </c>
      <c r="W159" s="1028">
        <v>10223</v>
      </c>
      <c r="X159" s="1028">
        <v>3805</v>
      </c>
      <c r="Y159" s="1028">
        <v>3945</v>
      </c>
      <c r="Z159" s="1028">
        <v>7750</v>
      </c>
      <c r="AA159" s="1028">
        <v>558364</v>
      </c>
      <c r="AB159" s="1028">
        <v>460828</v>
      </c>
      <c r="AC159" s="1028">
        <v>1019192</v>
      </c>
    </row>
    <row r="160" spans="1:29" x14ac:dyDescent="0.3">
      <c r="A160" s="949">
        <v>26</v>
      </c>
      <c r="B160" s="488" t="s">
        <v>36</v>
      </c>
      <c r="C160" s="492"/>
      <c r="D160" s="1028"/>
      <c r="E160" s="1028"/>
      <c r="F160" s="1028"/>
      <c r="G160" s="1028"/>
      <c r="H160" s="1028"/>
      <c r="I160" s="1028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  <c r="AA160" s="1028"/>
      <c r="AB160" s="1028"/>
      <c r="AC160" s="1028"/>
    </row>
    <row r="161" spans="1:29" x14ac:dyDescent="0.3">
      <c r="A161" s="949"/>
      <c r="B161" s="488" t="s">
        <v>912</v>
      </c>
      <c r="C161" s="492">
        <v>375</v>
      </c>
      <c r="D161" s="1028">
        <v>325</v>
      </c>
      <c r="E161" s="1028">
        <v>700</v>
      </c>
      <c r="F161" s="1028"/>
      <c r="G161" s="1028"/>
      <c r="H161" s="1028"/>
      <c r="I161" s="1028">
        <v>14309.076315789471</v>
      </c>
      <c r="J161" s="1028">
        <v>15069.7649122807</v>
      </c>
      <c r="K161" s="1028">
        <v>29378.84122807017</v>
      </c>
      <c r="L161" s="1028">
        <v>30198.49298245614</v>
      </c>
      <c r="M161" s="1028">
        <v>35163.247368421064</v>
      </c>
      <c r="N161" s="1028">
        <v>65361.740350877197</v>
      </c>
      <c r="O161" s="1028">
        <v>38</v>
      </c>
      <c r="P161" s="1028">
        <v>25</v>
      </c>
      <c r="Q161" s="1028">
        <v>63</v>
      </c>
      <c r="R161" s="1028">
        <v>2556</v>
      </c>
      <c r="S161" s="1028">
        <v>1036</v>
      </c>
      <c r="T161" s="1028">
        <v>3592</v>
      </c>
      <c r="U161" s="1028">
        <v>16</v>
      </c>
      <c r="V161" s="1028">
        <v>4</v>
      </c>
      <c r="W161" s="1028">
        <v>20</v>
      </c>
      <c r="X161" s="1028">
        <v>566</v>
      </c>
      <c r="Y161" s="1028">
        <v>942</v>
      </c>
      <c r="Z161" s="1028">
        <v>1508</v>
      </c>
      <c r="AA161" s="1028">
        <v>48058.569298245609</v>
      </c>
      <c r="AB161" s="1028">
        <v>52565.012280701747</v>
      </c>
      <c r="AC161" s="1028">
        <v>100623.5815789474</v>
      </c>
    </row>
    <row r="162" spans="1:29" x14ac:dyDescent="0.3">
      <c r="A162" s="949"/>
      <c r="B162" s="496" t="s">
        <v>911</v>
      </c>
      <c r="C162" s="492">
        <v>325</v>
      </c>
      <c r="D162" s="1028">
        <v>278</v>
      </c>
      <c r="E162" s="1028">
        <v>603</v>
      </c>
      <c r="F162" s="1028"/>
      <c r="G162" s="1028"/>
      <c r="H162" s="1028"/>
      <c r="I162" s="1028">
        <v>13198</v>
      </c>
      <c r="J162" s="1028">
        <v>13394</v>
      </c>
      <c r="K162" s="1028">
        <v>26592</v>
      </c>
      <c r="L162" s="1028">
        <v>28264</v>
      </c>
      <c r="M162" s="1028">
        <v>33817</v>
      </c>
      <c r="N162" s="1028">
        <v>62081</v>
      </c>
      <c r="O162" s="1028">
        <v>29</v>
      </c>
      <c r="P162" s="1028">
        <v>25</v>
      </c>
      <c r="Q162" s="1028">
        <v>54</v>
      </c>
      <c r="R162" s="1028">
        <v>2438</v>
      </c>
      <c r="S162" s="1028">
        <v>1357</v>
      </c>
      <c r="T162" s="1028">
        <v>3795</v>
      </c>
      <c r="U162" s="1028">
        <v>11</v>
      </c>
      <c r="V162" s="1028">
        <v>8</v>
      </c>
      <c r="W162" s="1028">
        <v>19</v>
      </c>
      <c r="X162" s="1028">
        <v>556</v>
      </c>
      <c r="Y162" s="1028">
        <v>943</v>
      </c>
      <c r="Z162" s="1028">
        <v>1499</v>
      </c>
      <c r="AA162" s="1028">
        <v>44821</v>
      </c>
      <c r="AB162" s="1028">
        <v>49822</v>
      </c>
      <c r="AC162" s="1028">
        <v>94643</v>
      </c>
    </row>
    <row r="163" spans="1:29" x14ac:dyDescent="0.3">
      <c r="A163" s="949"/>
      <c r="B163" s="496" t="s">
        <v>910</v>
      </c>
      <c r="C163" s="492">
        <v>271</v>
      </c>
      <c r="D163" s="1028">
        <v>325</v>
      </c>
      <c r="E163" s="1028">
        <v>596</v>
      </c>
      <c r="F163" s="1028">
        <v>0</v>
      </c>
      <c r="G163" s="1028">
        <v>2</v>
      </c>
      <c r="H163" s="1028">
        <v>2</v>
      </c>
      <c r="I163" s="1028">
        <v>12865</v>
      </c>
      <c r="J163" s="1028">
        <v>13359</v>
      </c>
      <c r="K163" s="1028">
        <v>26224</v>
      </c>
      <c r="L163" s="1028">
        <v>26875</v>
      </c>
      <c r="M163" s="1028">
        <v>32921</v>
      </c>
      <c r="N163" s="1028">
        <v>59796</v>
      </c>
      <c r="O163" s="1028">
        <v>15</v>
      </c>
      <c r="P163" s="1028">
        <v>16</v>
      </c>
      <c r="Q163" s="1028">
        <v>31</v>
      </c>
      <c r="R163" s="1028">
        <v>2806</v>
      </c>
      <c r="S163" s="1028">
        <v>1056</v>
      </c>
      <c r="T163" s="1028">
        <v>3862</v>
      </c>
      <c r="U163" s="1028">
        <v>1</v>
      </c>
      <c r="V163" s="1028">
        <v>6</v>
      </c>
      <c r="W163" s="1028">
        <v>7</v>
      </c>
      <c r="X163" s="1028">
        <v>354</v>
      </c>
      <c r="Y163" s="1028">
        <v>381</v>
      </c>
      <c r="Z163" s="1028">
        <v>735</v>
      </c>
      <c r="AA163" s="1028">
        <v>43187</v>
      </c>
      <c r="AB163" s="1028">
        <v>48066</v>
      </c>
      <c r="AC163" s="1028">
        <v>91253</v>
      </c>
    </row>
    <row r="164" spans="1:29" x14ac:dyDescent="0.3">
      <c r="A164" s="949"/>
      <c r="B164" s="496" t="s">
        <v>909</v>
      </c>
      <c r="C164" s="492">
        <v>291</v>
      </c>
      <c r="D164" s="1028">
        <v>217</v>
      </c>
      <c r="E164" s="1028">
        <v>508</v>
      </c>
      <c r="F164" s="1028">
        <v>21</v>
      </c>
      <c r="G164" s="1028">
        <v>46</v>
      </c>
      <c r="H164" s="1028">
        <v>67</v>
      </c>
      <c r="I164" s="1028">
        <v>11531</v>
      </c>
      <c r="J164" s="1028">
        <v>11728</v>
      </c>
      <c r="K164" s="1028">
        <v>23259</v>
      </c>
      <c r="L164" s="1028">
        <v>22863</v>
      </c>
      <c r="M164" s="1028">
        <v>28309</v>
      </c>
      <c r="N164" s="1028">
        <v>51172</v>
      </c>
      <c r="O164" s="1028">
        <v>52</v>
      </c>
      <c r="P164" s="1028">
        <v>54</v>
      </c>
      <c r="Q164" s="1028">
        <v>106</v>
      </c>
      <c r="R164" s="1028">
        <v>2866</v>
      </c>
      <c r="S164" s="1028">
        <v>1122</v>
      </c>
      <c r="T164" s="1028">
        <v>3988</v>
      </c>
      <c r="U164" s="1028">
        <v>0</v>
      </c>
      <c r="V164" s="1028">
        <v>0</v>
      </c>
      <c r="W164" s="1028">
        <v>0</v>
      </c>
      <c r="X164" s="1028">
        <v>532</v>
      </c>
      <c r="Y164" s="1028">
        <v>492</v>
      </c>
      <c r="Z164" s="1028">
        <v>1024</v>
      </c>
      <c r="AA164" s="1028">
        <v>38156</v>
      </c>
      <c r="AB164" s="1028">
        <v>41968</v>
      </c>
      <c r="AC164" s="1028">
        <v>80124</v>
      </c>
    </row>
    <row r="165" spans="1:29" x14ac:dyDescent="0.3">
      <c r="A165" s="949"/>
      <c r="B165" s="496" t="s">
        <v>908</v>
      </c>
      <c r="C165" s="492">
        <v>510</v>
      </c>
      <c r="D165" s="1028">
        <v>292</v>
      </c>
      <c r="E165" s="1028">
        <v>802</v>
      </c>
      <c r="F165" s="1028">
        <v>12</v>
      </c>
      <c r="G165" s="1028">
        <v>54</v>
      </c>
      <c r="H165" s="1028">
        <v>66</v>
      </c>
      <c r="I165" s="1028">
        <v>9375</v>
      </c>
      <c r="J165" s="1028">
        <v>10261</v>
      </c>
      <c r="K165" s="1028">
        <v>19636</v>
      </c>
      <c r="L165" s="1028">
        <v>23585</v>
      </c>
      <c r="M165" s="1028">
        <v>28067</v>
      </c>
      <c r="N165" s="1028">
        <v>51652</v>
      </c>
      <c r="O165" s="1028">
        <v>97</v>
      </c>
      <c r="P165" s="1028">
        <v>71</v>
      </c>
      <c r="Q165" s="1028">
        <v>168</v>
      </c>
      <c r="R165" s="1028">
        <v>2803</v>
      </c>
      <c r="S165" s="1028">
        <v>1239</v>
      </c>
      <c r="T165" s="1028">
        <v>4042</v>
      </c>
      <c r="U165" s="1028">
        <v>7</v>
      </c>
      <c r="V165" s="1028">
        <v>6</v>
      </c>
      <c r="W165" s="1028">
        <v>13</v>
      </c>
      <c r="X165" s="1028">
        <v>505</v>
      </c>
      <c r="Y165" s="1028">
        <v>458</v>
      </c>
      <c r="Z165" s="1028">
        <v>963</v>
      </c>
      <c r="AA165" s="1028">
        <v>36894</v>
      </c>
      <c r="AB165" s="1028">
        <v>40448</v>
      </c>
      <c r="AC165" s="1028">
        <v>77342</v>
      </c>
    </row>
    <row r="166" spans="1:29" x14ac:dyDescent="0.3">
      <c r="A166" s="949">
        <v>27</v>
      </c>
      <c r="B166" s="488" t="s">
        <v>37</v>
      </c>
      <c r="C166" s="492"/>
      <c r="D166" s="1028"/>
      <c r="E166" s="1028"/>
      <c r="F166" s="1028"/>
      <c r="G166" s="1028"/>
      <c r="H166" s="1028"/>
      <c r="I166" s="1028"/>
      <c r="J166" s="1028"/>
      <c r="K166" s="1028"/>
      <c r="L166" s="1028"/>
      <c r="M166" s="1028"/>
      <c r="N166" s="1028"/>
      <c r="O166" s="1028"/>
      <c r="P166" s="1028"/>
      <c r="Q166" s="1028"/>
      <c r="R166" s="1028"/>
      <c r="S166" s="1028"/>
      <c r="T166" s="1028"/>
      <c r="U166" s="1028"/>
      <c r="V166" s="1028"/>
      <c r="W166" s="1028"/>
      <c r="X166" s="1028"/>
      <c r="Y166" s="1028"/>
      <c r="Z166" s="1028"/>
      <c r="AA166" s="1028"/>
      <c r="AB166" s="1028"/>
      <c r="AC166" s="1028"/>
    </row>
    <row r="167" spans="1:29" x14ac:dyDescent="0.3">
      <c r="A167" s="949"/>
      <c r="B167" s="488" t="s">
        <v>912</v>
      </c>
      <c r="C167" s="492">
        <v>3790</v>
      </c>
      <c r="D167" s="1028">
        <v>4882</v>
      </c>
      <c r="E167" s="1028">
        <v>8672</v>
      </c>
      <c r="F167" s="1028">
        <v>3</v>
      </c>
      <c r="G167" s="1028">
        <v>14</v>
      </c>
      <c r="H167" s="1028">
        <v>17</v>
      </c>
      <c r="I167" s="1028">
        <v>56380.608695652183</v>
      </c>
      <c r="J167" s="1028">
        <v>67277.25</v>
      </c>
      <c r="K167" s="1028">
        <v>123657.8586956522</v>
      </c>
      <c r="L167" s="1028">
        <v>338689.15217391303</v>
      </c>
      <c r="M167" s="1028">
        <v>302757.77898550732</v>
      </c>
      <c r="N167" s="1028">
        <v>641446.93115942029</v>
      </c>
      <c r="O167" s="1028">
        <v>3323</v>
      </c>
      <c r="P167" s="1028">
        <v>3598</v>
      </c>
      <c r="Q167" s="1028">
        <v>6921</v>
      </c>
      <c r="R167" s="1028">
        <v>53637</v>
      </c>
      <c r="S167" s="1028">
        <v>56448</v>
      </c>
      <c r="T167" s="1028">
        <v>110085</v>
      </c>
      <c r="U167" s="1028">
        <v>888</v>
      </c>
      <c r="V167" s="1028">
        <v>894</v>
      </c>
      <c r="W167" s="1028">
        <v>1782</v>
      </c>
      <c r="X167" s="1028">
        <v>10132</v>
      </c>
      <c r="Y167" s="1028">
        <v>13232</v>
      </c>
      <c r="Z167" s="1028">
        <v>23364</v>
      </c>
      <c r="AA167" s="1028">
        <v>466842.76086956519</v>
      </c>
      <c r="AB167" s="1028">
        <v>449103.02898550732</v>
      </c>
      <c r="AC167" s="1028">
        <v>915945.78985507251</v>
      </c>
    </row>
    <row r="168" spans="1:29" x14ac:dyDescent="0.3">
      <c r="A168" s="949"/>
      <c r="B168" s="496" t="s">
        <v>911</v>
      </c>
      <c r="C168" s="492">
        <v>4946</v>
      </c>
      <c r="D168" s="1028">
        <v>5379</v>
      </c>
      <c r="E168" s="1028">
        <v>10325</v>
      </c>
      <c r="F168" s="1028">
        <v>28</v>
      </c>
      <c r="G168" s="1028">
        <v>41</v>
      </c>
      <c r="H168" s="1028">
        <v>69</v>
      </c>
      <c r="I168" s="1028">
        <v>46929</v>
      </c>
      <c r="J168" s="1028">
        <v>63149</v>
      </c>
      <c r="K168" s="1028">
        <v>110078</v>
      </c>
      <c r="L168" s="1028">
        <v>321099</v>
      </c>
      <c r="M168" s="1028">
        <v>292462</v>
      </c>
      <c r="N168" s="1028">
        <v>613561</v>
      </c>
      <c r="O168" s="1028">
        <v>2631</v>
      </c>
      <c r="P168" s="1028">
        <v>3183</v>
      </c>
      <c r="Q168" s="1028">
        <v>5814</v>
      </c>
      <c r="R168" s="1028">
        <v>48756</v>
      </c>
      <c r="S168" s="1028">
        <v>47416</v>
      </c>
      <c r="T168" s="1028">
        <v>96172</v>
      </c>
      <c r="U168" s="1028">
        <v>748</v>
      </c>
      <c r="V168" s="1028">
        <v>952</v>
      </c>
      <c r="W168" s="1028">
        <v>1700</v>
      </c>
      <c r="X168" s="1028">
        <v>9479</v>
      </c>
      <c r="Y168" s="1028">
        <v>11546</v>
      </c>
      <c r="Z168" s="1028">
        <v>21025</v>
      </c>
      <c r="AA168" s="1028">
        <v>434616</v>
      </c>
      <c r="AB168" s="1028">
        <v>424128</v>
      </c>
      <c r="AC168" s="1028">
        <v>858744</v>
      </c>
    </row>
    <row r="169" spans="1:29" x14ac:dyDescent="0.3">
      <c r="A169" s="949"/>
      <c r="B169" s="496" t="s">
        <v>910</v>
      </c>
      <c r="C169" s="492">
        <v>4628</v>
      </c>
      <c r="D169" s="1028">
        <v>4938</v>
      </c>
      <c r="E169" s="1028">
        <v>9566</v>
      </c>
      <c r="F169" s="1028">
        <v>142</v>
      </c>
      <c r="G169" s="1028">
        <v>169</v>
      </c>
      <c r="H169" s="1028">
        <v>311</v>
      </c>
      <c r="I169" s="1028">
        <v>43610</v>
      </c>
      <c r="J169" s="1028">
        <v>60696</v>
      </c>
      <c r="K169" s="1028">
        <v>104306</v>
      </c>
      <c r="L169" s="1028">
        <v>302634</v>
      </c>
      <c r="M169" s="1028">
        <v>284359</v>
      </c>
      <c r="N169" s="1028">
        <v>586993</v>
      </c>
      <c r="O169" s="1028">
        <v>1905</v>
      </c>
      <c r="P169" s="1028">
        <v>2394</v>
      </c>
      <c r="Q169" s="1028">
        <v>4299</v>
      </c>
      <c r="R169" s="1028">
        <v>56209</v>
      </c>
      <c r="S169" s="1028">
        <v>52491</v>
      </c>
      <c r="T169" s="1028">
        <v>108700</v>
      </c>
      <c r="U169" s="1028">
        <v>617</v>
      </c>
      <c r="V169" s="1028">
        <v>696</v>
      </c>
      <c r="W169" s="1028">
        <v>1313</v>
      </c>
      <c r="X169" s="1028">
        <v>8499</v>
      </c>
      <c r="Y169" s="1028">
        <v>9348</v>
      </c>
      <c r="Z169" s="1028">
        <v>17847</v>
      </c>
      <c r="AA169" s="1028">
        <v>418244</v>
      </c>
      <c r="AB169" s="1028">
        <v>415091</v>
      </c>
      <c r="AC169" s="1028">
        <v>833335</v>
      </c>
    </row>
    <row r="170" spans="1:29" x14ac:dyDescent="0.3">
      <c r="A170" s="949"/>
      <c r="B170" s="496" t="s">
        <v>909</v>
      </c>
      <c r="C170" s="492">
        <v>4111</v>
      </c>
      <c r="D170" s="1028">
        <v>4888</v>
      </c>
      <c r="E170" s="1028">
        <v>8999</v>
      </c>
      <c r="F170" s="1028">
        <v>307</v>
      </c>
      <c r="G170" s="1028">
        <v>315</v>
      </c>
      <c r="H170" s="1028">
        <v>622</v>
      </c>
      <c r="I170" s="1028">
        <v>39950</v>
      </c>
      <c r="J170" s="1028">
        <v>68143</v>
      </c>
      <c r="K170" s="1028">
        <v>108093</v>
      </c>
      <c r="L170" s="1028">
        <v>308617</v>
      </c>
      <c r="M170" s="1028">
        <v>312191</v>
      </c>
      <c r="N170" s="1028">
        <v>620808</v>
      </c>
      <c r="O170" s="1028">
        <v>2866</v>
      </c>
      <c r="P170" s="1028">
        <v>3692</v>
      </c>
      <c r="Q170" s="1028">
        <v>6558</v>
      </c>
      <c r="R170" s="1028">
        <v>62421</v>
      </c>
      <c r="S170" s="1028">
        <v>46930</v>
      </c>
      <c r="T170" s="1028">
        <v>109351</v>
      </c>
      <c r="U170" s="1028">
        <v>600</v>
      </c>
      <c r="V170" s="1028">
        <v>948</v>
      </c>
      <c r="W170" s="1028">
        <v>1548</v>
      </c>
      <c r="X170" s="1028">
        <v>6459</v>
      </c>
      <c r="Y170" s="1028">
        <v>7025</v>
      </c>
      <c r="Z170" s="1028">
        <v>13484</v>
      </c>
      <c r="AA170" s="1028">
        <v>425331</v>
      </c>
      <c r="AB170" s="1028">
        <v>444132</v>
      </c>
      <c r="AC170" s="1028">
        <v>869463</v>
      </c>
    </row>
    <row r="171" spans="1:29" x14ac:dyDescent="0.3">
      <c r="A171" s="949"/>
      <c r="B171" s="496" t="s">
        <v>908</v>
      </c>
      <c r="C171" s="492">
        <v>4382</v>
      </c>
      <c r="D171" s="1028">
        <v>4713</v>
      </c>
      <c r="E171" s="1028">
        <v>9095</v>
      </c>
      <c r="F171" s="1028">
        <v>369</v>
      </c>
      <c r="G171" s="1028">
        <v>367</v>
      </c>
      <c r="H171" s="1028">
        <v>736</v>
      </c>
      <c r="I171" s="1028">
        <v>36272</v>
      </c>
      <c r="J171" s="1028">
        <v>69660</v>
      </c>
      <c r="K171" s="1028">
        <v>105932</v>
      </c>
      <c r="L171" s="1028">
        <v>320967</v>
      </c>
      <c r="M171" s="1028">
        <v>359648</v>
      </c>
      <c r="N171" s="1028">
        <v>680615</v>
      </c>
      <c r="O171" s="1028">
        <v>2747</v>
      </c>
      <c r="P171" s="1028">
        <v>3760</v>
      </c>
      <c r="Q171" s="1028">
        <v>6507</v>
      </c>
      <c r="R171" s="1028">
        <v>65061</v>
      </c>
      <c r="S171" s="1028">
        <v>38109</v>
      </c>
      <c r="T171" s="1028">
        <v>103170</v>
      </c>
      <c r="U171" s="1028">
        <v>578</v>
      </c>
      <c r="V171" s="1028">
        <v>986</v>
      </c>
      <c r="W171" s="1028">
        <v>1564</v>
      </c>
      <c r="X171" s="1028">
        <v>6354</v>
      </c>
      <c r="Y171" s="1028">
        <v>5603</v>
      </c>
      <c r="Z171" s="1028">
        <v>11957</v>
      </c>
      <c r="AA171" s="1028">
        <v>436730</v>
      </c>
      <c r="AB171" s="1028">
        <v>482846</v>
      </c>
      <c r="AC171" s="1028">
        <v>919576</v>
      </c>
    </row>
    <row r="172" spans="1:29" x14ac:dyDescent="0.3">
      <c r="A172" s="949">
        <v>28</v>
      </c>
      <c r="B172" s="488" t="s">
        <v>38</v>
      </c>
      <c r="C172" s="492"/>
      <c r="D172" s="1028"/>
      <c r="E172" s="1028"/>
      <c r="F172" s="1028"/>
      <c r="G172" s="1028"/>
      <c r="H172" s="1028"/>
      <c r="I172" s="1028"/>
      <c r="J172" s="1028"/>
      <c r="K172" s="1028"/>
      <c r="L172" s="1028"/>
      <c r="M172" s="1028"/>
      <c r="N172" s="1028"/>
      <c r="O172" s="1028"/>
      <c r="P172" s="1028"/>
      <c r="Q172" s="1028"/>
      <c r="R172" s="1028"/>
      <c r="S172" s="1028"/>
      <c r="T172" s="1028"/>
      <c r="U172" s="1028"/>
      <c r="V172" s="1028"/>
      <c r="W172" s="1028"/>
      <c r="X172" s="1028"/>
      <c r="Y172" s="1028"/>
      <c r="Z172" s="1028"/>
      <c r="AA172" s="1028"/>
      <c r="AB172" s="1028"/>
      <c r="AC172" s="1028"/>
    </row>
    <row r="173" spans="1:29" x14ac:dyDescent="0.3">
      <c r="A173" s="949"/>
      <c r="B173" s="488" t="s">
        <v>912</v>
      </c>
      <c r="C173" s="492">
        <v>5572</v>
      </c>
      <c r="D173" s="1028">
        <v>6524</v>
      </c>
      <c r="E173" s="1028">
        <v>12096</v>
      </c>
      <c r="F173" s="1028">
        <v>14</v>
      </c>
      <c r="G173" s="1028">
        <v>48</v>
      </c>
      <c r="H173" s="1028">
        <v>62</v>
      </c>
      <c r="I173" s="1028">
        <v>141723.4314451408</v>
      </c>
      <c r="J173" s="1028">
        <v>178776.75251290039</v>
      </c>
      <c r="K173" s="1028">
        <v>320500.18395804119</v>
      </c>
      <c r="L173" s="1028">
        <v>1032187.589830693</v>
      </c>
      <c r="M173" s="1028">
        <v>962106.65864848078</v>
      </c>
      <c r="N173" s="1028">
        <v>1994294.248479174</v>
      </c>
      <c r="O173" s="1028">
        <v>7170</v>
      </c>
      <c r="P173" s="1028">
        <v>4171</v>
      </c>
      <c r="Q173" s="1028">
        <v>11341</v>
      </c>
      <c r="R173" s="1028">
        <v>96879</v>
      </c>
      <c r="S173" s="1028">
        <v>49367</v>
      </c>
      <c r="T173" s="1028">
        <v>146246</v>
      </c>
      <c r="U173" s="1028">
        <v>1302</v>
      </c>
      <c r="V173" s="1028">
        <v>1696</v>
      </c>
      <c r="W173" s="1028">
        <v>2998</v>
      </c>
      <c r="X173" s="1028">
        <v>74005</v>
      </c>
      <c r="Y173" s="1028">
        <v>73875</v>
      </c>
      <c r="Z173" s="1028">
        <v>147880</v>
      </c>
      <c r="AA173" s="1028">
        <v>1358853.0212758339</v>
      </c>
      <c r="AB173" s="1028">
        <v>1276564.4111613811</v>
      </c>
      <c r="AC173" s="1028">
        <v>2635417.432437215</v>
      </c>
    </row>
    <row r="174" spans="1:29" x14ac:dyDescent="0.3">
      <c r="A174" s="949"/>
      <c r="B174" s="496" t="s">
        <v>911</v>
      </c>
      <c r="C174" s="492">
        <v>6913</v>
      </c>
      <c r="D174" s="1028">
        <v>6915</v>
      </c>
      <c r="E174" s="1028">
        <v>13828</v>
      </c>
      <c r="F174" s="1028">
        <v>145</v>
      </c>
      <c r="G174" s="1028">
        <v>161</v>
      </c>
      <c r="H174" s="1028">
        <v>306</v>
      </c>
      <c r="I174" s="1028">
        <v>140674</v>
      </c>
      <c r="J174" s="1028">
        <v>169589</v>
      </c>
      <c r="K174" s="1028">
        <v>310263</v>
      </c>
      <c r="L174" s="1028">
        <v>1124079</v>
      </c>
      <c r="M174" s="1028">
        <v>978715</v>
      </c>
      <c r="N174" s="1028">
        <v>2102794</v>
      </c>
      <c r="O174" s="1028">
        <v>5357</v>
      </c>
      <c r="P174" s="1028">
        <v>3332</v>
      </c>
      <c r="Q174" s="1028">
        <v>8689</v>
      </c>
      <c r="R174" s="1028">
        <v>86322</v>
      </c>
      <c r="S174" s="1028">
        <v>37439</v>
      </c>
      <c r="T174" s="1028">
        <v>123761</v>
      </c>
      <c r="U174" s="1028">
        <v>1869</v>
      </c>
      <c r="V174" s="1028">
        <v>1868</v>
      </c>
      <c r="W174" s="1028">
        <v>3737</v>
      </c>
      <c r="X174" s="1028">
        <v>64924</v>
      </c>
      <c r="Y174" s="1028">
        <v>61038</v>
      </c>
      <c r="Z174" s="1028">
        <v>125962</v>
      </c>
      <c r="AA174" s="1028">
        <v>1430283</v>
      </c>
      <c r="AB174" s="1028">
        <v>1259057</v>
      </c>
      <c r="AC174" s="1028">
        <v>2689340</v>
      </c>
    </row>
    <row r="175" spans="1:29" x14ac:dyDescent="0.3">
      <c r="A175" s="949"/>
      <c r="B175" s="496" t="s">
        <v>910</v>
      </c>
      <c r="C175" s="492">
        <v>6588</v>
      </c>
      <c r="D175" s="1028">
        <v>6379</v>
      </c>
      <c r="E175" s="1028">
        <v>12967</v>
      </c>
      <c r="F175" s="1028">
        <v>166</v>
      </c>
      <c r="G175" s="1028">
        <v>104</v>
      </c>
      <c r="H175" s="1028">
        <v>270</v>
      </c>
      <c r="I175" s="1028">
        <v>113499</v>
      </c>
      <c r="J175" s="1028">
        <v>134819</v>
      </c>
      <c r="K175" s="1028">
        <v>248318</v>
      </c>
      <c r="L175" s="1028">
        <v>1014468</v>
      </c>
      <c r="M175" s="1028">
        <v>924253</v>
      </c>
      <c r="N175" s="1028">
        <v>1938721</v>
      </c>
      <c r="O175" s="1028">
        <v>7736</v>
      </c>
      <c r="P175" s="1028">
        <v>4554</v>
      </c>
      <c r="Q175" s="1028">
        <v>12290</v>
      </c>
      <c r="R175" s="1028">
        <v>82769</v>
      </c>
      <c r="S175" s="1028">
        <v>36538</v>
      </c>
      <c r="T175" s="1028">
        <v>119307</v>
      </c>
      <c r="U175" s="1028">
        <v>3930</v>
      </c>
      <c r="V175" s="1028">
        <v>3916</v>
      </c>
      <c r="W175" s="1028">
        <v>7846</v>
      </c>
      <c r="X175" s="1028">
        <v>49148</v>
      </c>
      <c r="Y175" s="1028">
        <v>43923</v>
      </c>
      <c r="Z175" s="1028">
        <v>93071</v>
      </c>
      <c r="AA175" s="1028">
        <v>1278304</v>
      </c>
      <c r="AB175" s="1028">
        <v>1154486</v>
      </c>
      <c r="AC175" s="1028">
        <v>2432790</v>
      </c>
    </row>
    <row r="176" spans="1:29" x14ac:dyDescent="0.3">
      <c r="A176" s="949"/>
      <c r="B176" s="496" t="s">
        <v>909</v>
      </c>
      <c r="C176" s="492">
        <v>5478</v>
      </c>
      <c r="D176" s="1028">
        <v>5372</v>
      </c>
      <c r="E176" s="1028">
        <v>10850</v>
      </c>
      <c r="F176" s="1028">
        <v>261</v>
      </c>
      <c r="G176" s="1028">
        <v>203</v>
      </c>
      <c r="H176" s="1028">
        <v>464</v>
      </c>
      <c r="I176" s="1028">
        <v>115851</v>
      </c>
      <c r="J176" s="1028">
        <v>130222</v>
      </c>
      <c r="K176" s="1028">
        <v>246073</v>
      </c>
      <c r="L176" s="1028">
        <v>907391</v>
      </c>
      <c r="M176" s="1028">
        <v>853674</v>
      </c>
      <c r="N176" s="1028">
        <v>1761065</v>
      </c>
      <c r="O176" s="1028">
        <v>5382</v>
      </c>
      <c r="P176" s="1028">
        <v>3845</v>
      </c>
      <c r="Q176" s="1028">
        <v>9227</v>
      </c>
      <c r="R176" s="1028">
        <v>80436</v>
      </c>
      <c r="S176" s="1028">
        <v>30826</v>
      </c>
      <c r="T176" s="1028">
        <v>111262</v>
      </c>
      <c r="U176" s="1028">
        <v>6419</v>
      </c>
      <c r="V176" s="1028">
        <v>6578</v>
      </c>
      <c r="W176" s="1028">
        <v>12997</v>
      </c>
      <c r="X176" s="1028">
        <v>29968</v>
      </c>
      <c r="Y176" s="1028">
        <v>24611</v>
      </c>
      <c r="Z176" s="1028">
        <v>54579</v>
      </c>
      <c r="AA176" s="1028">
        <v>1151186</v>
      </c>
      <c r="AB176" s="1028">
        <v>1055331</v>
      </c>
      <c r="AC176" s="1028">
        <v>2206517</v>
      </c>
    </row>
    <row r="177" spans="1:29" x14ac:dyDescent="0.3">
      <c r="A177" s="949"/>
      <c r="B177" s="496" t="s">
        <v>908</v>
      </c>
      <c r="C177" s="492">
        <v>5296</v>
      </c>
      <c r="D177" s="1028">
        <v>5145</v>
      </c>
      <c r="E177" s="1028">
        <v>10441</v>
      </c>
      <c r="F177" s="1028">
        <v>116</v>
      </c>
      <c r="G177" s="1028">
        <v>160</v>
      </c>
      <c r="H177" s="1028">
        <v>276</v>
      </c>
      <c r="I177" s="1028">
        <v>84372</v>
      </c>
      <c r="J177" s="1028">
        <v>106455</v>
      </c>
      <c r="K177" s="1028">
        <v>190827</v>
      </c>
      <c r="L177" s="1028">
        <v>886191</v>
      </c>
      <c r="M177" s="1028">
        <v>843108</v>
      </c>
      <c r="N177" s="1028">
        <v>1729299</v>
      </c>
      <c r="O177" s="1028">
        <v>7179</v>
      </c>
      <c r="P177" s="1028">
        <v>3756</v>
      </c>
      <c r="Q177" s="1028">
        <v>10935</v>
      </c>
      <c r="R177" s="1028">
        <v>77667</v>
      </c>
      <c r="S177" s="1028">
        <v>25025</v>
      </c>
      <c r="T177" s="1028">
        <v>102692</v>
      </c>
      <c r="U177" s="1028">
        <v>5540</v>
      </c>
      <c r="V177" s="1028">
        <v>5983</v>
      </c>
      <c r="W177" s="1028">
        <v>11523</v>
      </c>
      <c r="X177" s="1028">
        <v>16105</v>
      </c>
      <c r="Y177" s="1028">
        <v>12315</v>
      </c>
      <c r="Z177" s="1028">
        <v>28420</v>
      </c>
      <c r="AA177" s="1028">
        <v>1082466</v>
      </c>
      <c r="AB177" s="1028">
        <v>1001947</v>
      </c>
      <c r="AC177" s="1028">
        <v>2084413</v>
      </c>
    </row>
    <row r="178" spans="1:29" x14ac:dyDescent="0.3">
      <c r="A178" s="949">
        <v>29</v>
      </c>
      <c r="B178" s="488" t="s">
        <v>39</v>
      </c>
      <c r="C178" s="492"/>
      <c r="D178" s="1028"/>
      <c r="E178" s="1028"/>
      <c r="F178" s="1028"/>
      <c r="G178" s="1028"/>
      <c r="H178" s="1028"/>
      <c r="I178" s="1028"/>
      <c r="J178" s="1028"/>
      <c r="K178" s="1028"/>
      <c r="L178" s="1028"/>
      <c r="M178" s="1028"/>
      <c r="N178" s="1028"/>
      <c r="O178" s="1028"/>
      <c r="P178" s="1028"/>
      <c r="Q178" s="1028"/>
      <c r="R178" s="1028"/>
      <c r="S178" s="1028"/>
      <c r="T178" s="1028"/>
      <c r="U178" s="1028"/>
      <c r="V178" s="1028"/>
      <c r="W178" s="1028"/>
      <c r="X178" s="1028"/>
      <c r="Y178" s="1028"/>
      <c r="Z178" s="1028"/>
      <c r="AA178" s="1028"/>
      <c r="AB178" s="1028"/>
      <c r="AC178" s="1028"/>
    </row>
    <row r="179" spans="1:29" x14ac:dyDescent="0.3">
      <c r="A179" s="949"/>
      <c r="B179" s="488" t="s">
        <v>912</v>
      </c>
      <c r="C179" s="492">
        <v>385</v>
      </c>
      <c r="D179" s="1028">
        <v>332</v>
      </c>
      <c r="E179" s="1028">
        <v>717</v>
      </c>
      <c r="F179" s="1028">
        <v>18</v>
      </c>
      <c r="G179" s="1028">
        <v>25</v>
      </c>
      <c r="H179" s="1028">
        <v>43</v>
      </c>
      <c r="I179" s="1028">
        <v>2265.7777777777778</v>
      </c>
      <c r="J179" s="1028">
        <v>3570.7777777777778</v>
      </c>
      <c r="K179" s="1028">
        <v>5836.5555555555557</v>
      </c>
      <c r="L179" s="1028">
        <v>12176.777777777779</v>
      </c>
      <c r="M179" s="1028">
        <v>12555</v>
      </c>
      <c r="N179" s="1028">
        <v>24731.777777777781</v>
      </c>
      <c r="O179" s="1028">
        <v>21</v>
      </c>
      <c r="P179" s="1028">
        <v>16</v>
      </c>
      <c r="Q179" s="1028">
        <v>37</v>
      </c>
      <c r="R179" s="1028">
        <v>1072</v>
      </c>
      <c r="S179" s="1028">
        <v>929</v>
      </c>
      <c r="T179" s="1028">
        <v>2001</v>
      </c>
      <c r="U179" s="1028">
        <v>41</v>
      </c>
      <c r="V179" s="1028">
        <v>6</v>
      </c>
      <c r="W179" s="1028">
        <v>47</v>
      </c>
      <c r="X179" s="1028">
        <v>167</v>
      </c>
      <c r="Y179" s="1028">
        <v>271</v>
      </c>
      <c r="Z179" s="1028">
        <v>438</v>
      </c>
      <c r="AA179" s="1028">
        <v>16146.55555555556</v>
      </c>
      <c r="AB179" s="1028">
        <v>17704.777777777781</v>
      </c>
      <c r="AC179" s="1028">
        <v>33851.333333333343</v>
      </c>
    </row>
    <row r="180" spans="1:29" x14ac:dyDescent="0.3">
      <c r="A180" s="949"/>
      <c r="B180" s="496" t="s">
        <v>911</v>
      </c>
      <c r="C180" s="492">
        <v>337</v>
      </c>
      <c r="D180" s="1028">
        <v>315</v>
      </c>
      <c r="E180" s="1028">
        <v>652</v>
      </c>
      <c r="F180" s="1028">
        <v>18</v>
      </c>
      <c r="G180" s="1028">
        <v>25</v>
      </c>
      <c r="H180" s="1028">
        <v>43</v>
      </c>
      <c r="I180" s="1028">
        <v>2421</v>
      </c>
      <c r="J180" s="1028">
        <v>3565</v>
      </c>
      <c r="K180" s="1028">
        <v>5986</v>
      </c>
      <c r="L180" s="1028">
        <v>12268</v>
      </c>
      <c r="M180" s="1028">
        <v>12538</v>
      </c>
      <c r="N180" s="1028">
        <v>24806</v>
      </c>
      <c r="O180" s="1028">
        <v>18</v>
      </c>
      <c r="P180" s="1028">
        <v>11</v>
      </c>
      <c r="Q180" s="1028">
        <v>29</v>
      </c>
      <c r="R180" s="1028">
        <v>994</v>
      </c>
      <c r="S180" s="1028">
        <v>777</v>
      </c>
      <c r="T180" s="1028">
        <v>1771</v>
      </c>
      <c r="U180" s="1028">
        <v>50</v>
      </c>
      <c r="V180" s="1028">
        <v>5</v>
      </c>
      <c r="W180" s="1028">
        <v>55</v>
      </c>
      <c r="X180" s="1028">
        <v>168</v>
      </c>
      <c r="Y180" s="1028">
        <v>251</v>
      </c>
      <c r="Z180" s="1028">
        <v>419</v>
      </c>
      <c r="AA180" s="1028">
        <v>16274</v>
      </c>
      <c r="AB180" s="1028">
        <v>17487</v>
      </c>
      <c r="AC180" s="1028">
        <v>33761</v>
      </c>
    </row>
    <row r="181" spans="1:29" x14ac:dyDescent="0.3">
      <c r="A181" s="949"/>
      <c r="B181" s="496" t="s">
        <v>910</v>
      </c>
      <c r="C181" s="492">
        <v>115</v>
      </c>
      <c r="D181" s="1028">
        <v>80</v>
      </c>
      <c r="E181" s="1028">
        <v>195</v>
      </c>
      <c r="F181" s="1028">
        <v>34</v>
      </c>
      <c r="G181" s="1028">
        <v>30</v>
      </c>
      <c r="H181" s="1028">
        <v>64</v>
      </c>
      <c r="I181" s="1028">
        <v>2929</v>
      </c>
      <c r="J181" s="1028">
        <v>4001</v>
      </c>
      <c r="K181" s="1028">
        <v>6930</v>
      </c>
      <c r="L181" s="1028">
        <v>12295</v>
      </c>
      <c r="M181" s="1028">
        <v>12533</v>
      </c>
      <c r="N181" s="1028">
        <v>24828</v>
      </c>
      <c r="O181" s="1028">
        <v>32</v>
      </c>
      <c r="P181" s="1028">
        <v>11</v>
      </c>
      <c r="Q181" s="1028">
        <v>43</v>
      </c>
      <c r="R181" s="1028">
        <v>1088</v>
      </c>
      <c r="S181" s="1028">
        <v>1179</v>
      </c>
      <c r="T181" s="1028">
        <v>2267</v>
      </c>
      <c r="U181" s="1028">
        <v>61</v>
      </c>
      <c r="V181" s="1028">
        <v>11</v>
      </c>
      <c r="W181" s="1028">
        <v>72</v>
      </c>
      <c r="X181" s="1028">
        <v>153</v>
      </c>
      <c r="Y181" s="1028">
        <v>222</v>
      </c>
      <c r="Z181" s="1028">
        <v>375</v>
      </c>
      <c r="AA181" s="1028">
        <v>16707</v>
      </c>
      <c r="AB181" s="1028">
        <v>18067</v>
      </c>
      <c r="AC181" s="1028">
        <v>34774</v>
      </c>
    </row>
    <row r="182" spans="1:29" x14ac:dyDescent="0.3">
      <c r="A182" s="949"/>
      <c r="B182" s="496" t="s">
        <v>909</v>
      </c>
      <c r="C182" s="492">
        <v>215</v>
      </c>
      <c r="D182" s="1028">
        <v>195</v>
      </c>
      <c r="E182" s="1028">
        <v>410</v>
      </c>
      <c r="F182" s="1028">
        <v>43</v>
      </c>
      <c r="G182" s="1028">
        <v>44</v>
      </c>
      <c r="H182" s="1028">
        <v>87</v>
      </c>
      <c r="I182" s="1028">
        <v>17445</v>
      </c>
      <c r="J182" s="1028">
        <v>10667</v>
      </c>
      <c r="K182" s="1028">
        <v>28112</v>
      </c>
      <c r="L182" s="1028">
        <v>14134</v>
      </c>
      <c r="M182" s="1028">
        <v>12730</v>
      </c>
      <c r="N182" s="1028">
        <v>26864</v>
      </c>
      <c r="O182" s="1028">
        <v>23</v>
      </c>
      <c r="P182" s="1028">
        <v>18</v>
      </c>
      <c r="Q182" s="1028">
        <v>41</v>
      </c>
      <c r="R182" s="1028">
        <v>1035</v>
      </c>
      <c r="S182" s="1028">
        <v>1164</v>
      </c>
      <c r="T182" s="1028">
        <v>2199</v>
      </c>
      <c r="U182" s="1028">
        <v>34</v>
      </c>
      <c r="V182" s="1028">
        <v>6</v>
      </c>
      <c r="W182" s="1028">
        <v>40</v>
      </c>
      <c r="X182" s="1028">
        <v>120</v>
      </c>
      <c r="Y182" s="1028">
        <v>198</v>
      </c>
      <c r="Z182" s="1028">
        <v>318</v>
      </c>
      <c r="AA182" s="1028">
        <v>33049</v>
      </c>
      <c r="AB182" s="1028">
        <v>25022</v>
      </c>
      <c r="AC182" s="1028">
        <v>58071</v>
      </c>
    </row>
    <row r="183" spans="1:29" x14ac:dyDescent="0.3">
      <c r="A183" s="949"/>
      <c r="B183" s="496" t="s">
        <v>908</v>
      </c>
      <c r="C183" s="492">
        <v>211</v>
      </c>
      <c r="D183" s="1028">
        <v>188</v>
      </c>
      <c r="E183" s="1028">
        <v>399</v>
      </c>
      <c r="F183" s="1028">
        <v>37</v>
      </c>
      <c r="G183" s="1028">
        <v>42</v>
      </c>
      <c r="H183" s="1028">
        <v>79</v>
      </c>
      <c r="I183" s="1028">
        <v>8508</v>
      </c>
      <c r="J183" s="1028">
        <v>6515</v>
      </c>
      <c r="K183" s="1028">
        <v>15023</v>
      </c>
      <c r="L183" s="1028">
        <v>11531</v>
      </c>
      <c r="M183" s="1028">
        <v>12039</v>
      </c>
      <c r="N183" s="1028">
        <v>23570</v>
      </c>
      <c r="O183" s="1028">
        <v>22</v>
      </c>
      <c r="P183" s="1028">
        <v>34</v>
      </c>
      <c r="Q183" s="1028">
        <v>56</v>
      </c>
      <c r="R183" s="1028">
        <v>1033</v>
      </c>
      <c r="S183" s="1028">
        <v>1070</v>
      </c>
      <c r="T183" s="1028">
        <v>2103</v>
      </c>
      <c r="U183" s="1028">
        <v>37</v>
      </c>
      <c r="V183" s="1028">
        <v>10</v>
      </c>
      <c r="W183" s="1028">
        <v>47</v>
      </c>
      <c r="X183" s="1028">
        <v>110</v>
      </c>
      <c r="Y183" s="1028">
        <v>185</v>
      </c>
      <c r="Z183" s="1028">
        <v>295</v>
      </c>
      <c r="AA183" s="1028">
        <v>21489</v>
      </c>
      <c r="AB183" s="1028">
        <v>20083</v>
      </c>
      <c r="AC183" s="1028">
        <v>41572</v>
      </c>
    </row>
    <row r="184" spans="1:29" x14ac:dyDescent="0.3">
      <c r="A184" s="949">
        <v>30</v>
      </c>
      <c r="B184" s="488" t="s">
        <v>40</v>
      </c>
      <c r="C184" s="492"/>
      <c r="D184" s="1028"/>
      <c r="E184" s="1028"/>
      <c r="F184" s="1028"/>
      <c r="G184" s="1028"/>
      <c r="H184" s="1028"/>
      <c r="I184" s="1028"/>
      <c r="J184" s="1028"/>
      <c r="K184" s="1028"/>
      <c r="L184" s="1028"/>
      <c r="M184" s="1028"/>
      <c r="N184" s="1028"/>
      <c r="O184" s="1028"/>
      <c r="P184" s="1028"/>
      <c r="Q184" s="1028"/>
      <c r="R184" s="1028"/>
      <c r="S184" s="1028"/>
      <c r="T184" s="1028"/>
      <c r="U184" s="1028"/>
      <c r="V184" s="1028"/>
      <c r="W184" s="1028"/>
      <c r="X184" s="1028"/>
      <c r="Y184" s="1028"/>
      <c r="Z184" s="1028"/>
      <c r="AA184" s="1028"/>
      <c r="AB184" s="1028"/>
      <c r="AC184" s="1028"/>
    </row>
    <row r="185" spans="1:29" x14ac:dyDescent="0.3">
      <c r="A185" s="949"/>
      <c r="B185" s="488" t="s">
        <v>912</v>
      </c>
      <c r="C185" s="492">
        <v>11248</v>
      </c>
      <c r="D185" s="1028">
        <v>15362</v>
      </c>
      <c r="E185" s="1028">
        <v>26610</v>
      </c>
      <c r="F185" s="1028">
        <v>391</v>
      </c>
      <c r="G185" s="1028">
        <v>787</v>
      </c>
      <c r="H185" s="1028">
        <v>1178</v>
      </c>
      <c r="I185" s="1028">
        <v>198868.83654456801</v>
      </c>
      <c r="J185" s="1028">
        <v>273417.68673043873</v>
      </c>
      <c r="K185" s="1028">
        <v>472286.52327500662</v>
      </c>
      <c r="L185" s="1028">
        <v>1302943.907380267</v>
      </c>
      <c r="M185" s="1028">
        <v>1289393.3613470041</v>
      </c>
      <c r="N185" s="1028">
        <v>2592337.2687272709</v>
      </c>
      <c r="O185" s="1028">
        <v>2609</v>
      </c>
      <c r="P185" s="1028">
        <v>2495</v>
      </c>
      <c r="Q185" s="1028">
        <v>5104</v>
      </c>
      <c r="R185" s="1028">
        <v>201845</v>
      </c>
      <c r="S185" s="1028">
        <v>51660</v>
      </c>
      <c r="T185" s="1028">
        <v>253505</v>
      </c>
      <c r="U185" s="1028">
        <v>14566</v>
      </c>
      <c r="V185" s="1028">
        <v>11302</v>
      </c>
      <c r="W185" s="1028">
        <v>25868</v>
      </c>
      <c r="X185" s="1028">
        <v>13408</v>
      </c>
      <c r="Y185" s="1028">
        <v>14692</v>
      </c>
      <c r="Z185" s="1028">
        <v>28100</v>
      </c>
      <c r="AA185" s="1028">
        <v>1745879.743924835</v>
      </c>
      <c r="AB185" s="1028">
        <v>1659109.048077442</v>
      </c>
      <c r="AC185" s="1028">
        <v>3404988.7920022779</v>
      </c>
    </row>
    <row r="186" spans="1:29" x14ac:dyDescent="0.3">
      <c r="A186" s="949"/>
      <c r="B186" s="496" t="s">
        <v>911</v>
      </c>
      <c r="C186" s="492">
        <v>13457</v>
      </c>
      <c r="D186" s="1028">
        <v>15410</v>
      </c>
      <c r="E186" s="1028">
        <v>28867</v>
      </c>
      <c r="F186" s="1028">
        <v>925</v>
      </c>
      <c r="G186" s="1028">
        <v>3116</v>
      </c>
      <c r="H186" s="1028">
        <v>4041</v>
      </c>
      <c r="I186" s="1028">
        <v>198013</v>
      </c>
      <c r="J186" s="1028">
        <v>266073</v>
      </c>
      <c r="K186" s="1028">
        <v>464086</v>
      </c>
      <c r="L186" s="1028">
        <v>1243667</v>
      </c>
      <c r="M186" s="1028">
        <v>1248155</v>
      </c>
      <c r="N186" s="1028">
        <v>2491822</v>
      </c>
      <c r="O186" s="1028">
        <v>8126</v>
      </c>
      <c r="P186" s="1028">
        <v>6603</v>
      </c>
      <c r="Q186" s="1028">
        <v>14729</v>
      </c>
      <c r="R186" s="1028">
        <v>213546</v>
      </c>
      <c r="S186" s="1028">
        <v>49168</v>
      </c>
      <c r="T186" s="1028">
        <v>262714</v>
      </c>
      <c r="U186" s="1028">
        <v>7290</v>
      </c>
      <c r="V186" s="1028">
        <v>9324</v>
      </c>
      <c r="W186" s="1028">
        <v>16614</v>
      </c>
      <c r="X186" s="1028">
        <v>13088</v>
      </c>
      <c r="Y186" s="1028">
        <v>13366</v>
      </c>
      <c r="Z186" s="1028">
        <v>26454</v>
      </c>
      <c r="AA186" s="1028">
        <v>1698112</v>
      </c>
      <c r="AB186" s="1028">
        <v>1611215</v>
      </c>
      <c r="AC186" s="1028">
        <v>3309327</v>
      </c>
    </row>
    <row r="187" spans="1:29" x14ac:dyDescent="0.3">
      <c r="A187" s="949"/>
      <c r="B187" s="496" t="s">
        <v>910</v>
      </c>
      <c r="C187" s="492">
        <v>17443</v>
      </c>
      <c r="D187" s="1028">
        <v>16968</v>
      </c>
      <c r="E187" s="1028">
        <v>34411</v>
      </c>
      <c r="F187" s="1028">
        <v>1696</v>
      </c>
      <c r="G187" s="1028">
        <v>5007</v>
      </c>
      <c r="H187" s="1028">
        <v>6703</v>
      </c>
      <c r="I187" s="1028">
        <v>185725</v>
      </c>
      <c r="J187" s="1028">
        <v>278930</v>
      </c>
      <c r="K187" s="1028">
        <v>464655</v>
      </c>
      <c r="L187" s="1028">
        <v>1182067</v>
      </c>
      <c r="M187" s="1028">
        <v>1280466</v>
      </c>
      <c r="N187" s="1028">
        <v>2462533</v>
      </c>
      <c r="O187" s="1028">
        <v>9155</v>
      </c>
      <c r="P187" s="1028">
        <v>6392</v>
      </c>
      <c r="Q187" s="1028">
        <v>15547</v>
      </c>
      <c r="R187" s="1028">
        <v>247335</v>
      </c>
      <c r="S187" s="1028">
        <v>61174</v>
      </c>
      <c r="T187" s="1028">
        <v>308509</v>
      </c>
      <c r="U187" s="1028">
        <v>6676</v>
      </c>
      <c r="V187" s="1028">
        <v>14108</v>
      </c>
      <c r="W187" s="1028">
        <v>20784</v>
      </c>
      <c r="X187" s="1028">
        <v>12056</v>
      </c>
      <c r="Y187" s="1028">
        <v>11241</v>
      </c>
      <c r="Z187" s="1028">
        <v>23297</v>
      </c>
      <c r="AA187" s="1028">
        <v>1662153</v>
      </c>
      <c r="AB187" s="1028">
        <v>1674286</v>
      </c>
      <c r="AC187" s="1028">
        <v>3336439</v>
      </c>
    </row>
    <row r="188" spans="1:29" x14ac:dyDescent="0.3">
      <c r="A188" s="949"/>
      <c r="B188" s="496" t="s">
        <v>909</v>
      </c>
      <c r="C188" s="492">
        <v>15828</v>
      </c>
      <c r="D188" s="1028">
        <v>14832</v>
      </c>
      <c r="E188" s="1028">
        <v>30660</v>
      </c>
      <c r="F188" s="1028">
        <v>2470</v>
      </c>
      <c r="G188" s="1028">
        <v>7309</v>
      </c>
      <c r="H188" s="1028">
        <v>9779</v>
      </c>
      <c r="I188" s="1028">
        <v>184265</v>
      </c>
      <c r="J188" s="1028">
        <v>295673</v>
      </c>
      <c r="K188" s="1028">
        <v>479938</v>
      </c>
      <c r="L188" s="1028">
        <v>1260037</v>
      </c>
      <c r="M188" s="1028">
        <v>1330973</v>
      </c>
      <c r="N188" s="1028">
        <v>2591010</v>
      </c>
      <c r="O188" s="1028">
        <v>9095</v>
      </c>
      <c r="P188" s="1028">
        <v>6817</v>
      </c>
      <c r="Q188" s="1028">
        <v>15912</v>
      </c>
      <c r="R188" s="1028">
        <v>284382</v>
      </c>
      <c r="S188" s="1028">
        <v>63535</v>
      </c>
      <c r="T188" s="1028">
        <v>347917</v>
      </c>
      <c r="U188" s="1028">
        <v>10615</v>
      </c>
      <c r="V188" s="1028">
        <v>12496</v>
      </c>
      <c r="W188" s="1028">
        <v>23111</v>
      </c>
      <c r="X188" s="1028">
        <v>11494</v>
      </c>
      <c r="Y188" s="1028">
        <v>10490</v>
      </c>
      <c r="Z188" s="1028">
        <v>21984</v>
      </c>
      <c r="AA188" s="1028">
        <v>1778186</v>
      </c>
      <c r="AB188" s="1028">
        <v>1742125</v>
      </c>
      <c r="AC188" s="1028">
        <v>3520311</v>
      </c>
    </row>
    <row r="189" spans="1:29" x14ac:dyDescent="0.3">
      <c r="A189" s="949"/>
      <c r="B189" s="496" t="s">
        <v>908</v>
      </c>
      <c r="C189" s="492">
        <v>13699</v>
      </c>
      <c r="D189" s="1028">
        <v>12121</v>
      </c>
      <c r="E189" s="1028">
        <v>25820</v>
      </c>
      <c r="F189" s="1028">
        <v>3281</v>
      </c>
      <c r="G189" s="1028">
        <v>9144</v>
      </c>
      <c r="H189" s="1028">
        <v>12425</v>
      </c>
      <c r="I189" s="1028">
        <v>169812</v>
      </c>
      <c r="J189" s="1028">
        <v>274576</v>
      </c>
      <c r="K189" s="1028">
        <v>444388</v>
      </c>
      <c r="L189" s="1028">
        <v>1206721</v>
      </c>
      <c r="M189" s="1028">
        <v>1287997</v>
      </c>
      <c r="N189" s="1028">
        <v>2494718</v>
      </c>
      <c r="O189" s="1028">
        <v>7406</v>
      </c>
      <c r="P189" s="1028">
        <v>5383</v>
      </c>
      <c r="Q189" s="1028">
        <v>12789</v>
      </c>
      <c r="R189" s="1028">
        <v>314888</v>
      </c>
      <c r="S189" s="1028">
        <v>62697</v>
      </c>
      <c r="T189" s="1028">
        <v>377585</v>
      </c>
      <c r="U189" s="1028">
        <v>9959</v>
      </c>
      <c r="V189" s="1028">
        <v>15892</v>
      </c>
      <c r="W189" s="1028">
        <v>25851</v>
      </c>
      <c r="X189" s="1028">
        <v>11104</v>
      </c>
      <c r="Y189" s="1028">
        <v>9516</v>
      </c>
      <c r="Z189" s="1028">
        <v>20620</v>
      </c>
      <c r="AA189" s="1028">
        <v>1736870</v>
      </c>
      <c r="AB189" s="1028">
        <v>1677326</v>
      </c>
      <c r="AC189" s="1028">
        <v>3414196</v>
      </c>
    </row>
    <row r="190" spans="1:29" x14ac:dyDescent="0.3">
      <c r="A190" s="949">
        <v>30</v>
      </c>
      <c r="B190" s="488" t="s">
        <v>41</v>
      </c>
      <c r="C190" s="492"/>
      <c r="D190" s="1028"/>
      <c r="E190" s="1028"/>
      <c r="F190" s="1028"/>
      <c r="G190" s="1028"/>
      <c r="H190" s="1028"/>
      <c r="I190" s="1028"/>
      <c r="J190" s="1028"/>
      <c r="K190" s="1028"/>
      <c r="L190" s="1028"/>
      <c r="M190" s="1028"/>
      <c r="N190" s="1028"/>
      <c r="O190" s="1028"/>
      <c r="P190" s="1028"/>
      <c r="Q190" s="1028"/>
      <c r="R190" s="1028"/>
      <c r="S190" s="1028"/>
      <c r="T190" s="1028"/>
      <c r="U190" s="1028"/>
      <c r="V190" s="1028"/>
      <c r="W190" s="1028"/>
      <c r="X190" s="1028"/>
      <c r="Y190" s="1028"/>
      <c r="Z190" s="1028"/>
      <c r="AA190" s="1028"/>
      <c r="AB190" s="1028"/>
      <c r="AC190" s="1028"/>
    </row>
    <row r="191" spans="1:29" x14ac:dyDescent="0.3">
      <c r="A191" s="949"/>
      <c r="B191" s="488" t="s">
        <v>912</v>
      </c>
      <c r="C191" s="492">
        <v>4624</v>
      </c>
      <c r="D191" s="1028">
        <v>2606</v>
      </c>
      <c r="E191" s="1028">
        <v>7230</v>
      </c>
      <c r="F191" s="1028">
        <v>34</v>
      </c>
      <c r="G191" s="1028">
        <v>38</v>
      </c>
      <c r="H191" s="1028">
        <v>72</v>
      </c>
      <c r="I191" s="1028">
        <v>91115.137973616351</v>
      </c>
      <c r="J191" s="1028">
        <v>126029.4294508423</v>
      </c>
      <c r="K191" s="1028">
        <v>217144.56742445871</v>
      </c>
      <c r="L191" s="1028">
        <v>669112.3414574489</v>
      </c>
      <c r="M191" s="1028">
        <v>678078.30541872815</v>
      </c>
      <c r="N191" s="1028">
        <v>1347190.6468761771</v>
      </c>
      <c r="O191" s="1028">
        <v>4079</v>
      </c>
      <c r="P191" s="1028">
        <v>3485</v>
      </c>
      <c r="Q191" s="1028">
        <v>7564</v>
      </c>
      <c r="R191" s="1028">
        <v>42693</v>
      </c>
      <c r="S191" s="1028">
        <v>37059</v>
      </c>
      <c r="T191" s="1028">
        <v>79752</v>
      </c>
      <c r="U191" s="1028">
        <v>1820</v>
      </c>
      <c r="V191" s="1028">
        <v>1360</v>
      </c>
      <c r="W191" s="1028">
        <v>3180</v>
      </c>
      <c r="X191" s="1028">
        <v>5111</v>
      </c>
      <c r="Y191" s="1028">
        <v>4318</v>
      </c>
      <c r="Z191" s="1028">
        <v>9429</v>
      </c>
      <c r="AA191" s="1028">
        <v>818588.47943106527</v>
      </c>
      <c r="AB191" s="1028">
        <v>852973.73486957047</v>
      </c>
      <c r="AC191" s="1028">
        <v>1671562.214300636</v>
      </c>
    </row>
    <row r="192" spans="1:29" x14ac:dyDescent="0.3">
      <c r="A192" s="949"/>
      <c r="B192" s="496" t="s">
        <v>911</v>
      </c>
      <c r="C192" s="492">
        <v>4442</v>
      </c>
      <c r="D192" s="1028">
        <v>2525</v>
      </c>
      <c r="E192" s="1028">
        <v>6967</v>
      </c>
      <c r="F192" s="1028">
        <v>57</v>
      </c>
      <c r="G192" s="1028">
        <v>43</v>
      </c>
      <c r="H192" s="1028">
        <v>100</v>
      </c>
      <c r="I192" s="1028">
        <v>89767</v>
      </c>
      <c r="J192" s="1028">
        <v>117315</v>
      </c>
      <c r="K192" s="1028">
        <v>207082</v>
      </c>
      <c r="L192" s="1028">
        <v>638370</v>
      </c>
      <c r="M192" s="1028">
        <v>633953</v>
      </c>
      <c r="N192" s="1028">
        <v>1272323</v>
      </c>
      <c r="O192" s="1028">
        <v>4386</v>
      </c>
      <c r="P192" s="1028">
        <v>3529</v>
      </c>
      <c r="Q192" s="1028">
        <v>7915</v>
      </c>
      <c r="R192" s="1028">
        <v>50261</v>
      </c>
      <c r="S192" s="1028">
        <v>41291</v>
      </c>
      <c r="T192" s="1028">
        <v>91552</v>
      </c>
      <c r="U192" s="1028">
        <v>1532</v>
      </c>
      <c r="V192" s="1028">
        <v>1590</v>
      </c>
      <c r="W192" s="1028">
        <v>3122</v>
      </c>
      <c r="X192" s="1028">
        <v>4538</v>
      </c>
      <c r="Y192" s="1028">
        <v>3081</v>
      </c>
      <c r="Z192" s="1028">
        <v>7619</v>
      </c>
      <c r="AA192" s="1028">
        <v>793353</v>
      </c>
      <c r="AB192" s="1028">
        <v>803327</v>
      </c>
      <c r="AC192" s="1028">
        <v>1596680</v>
      </c>
    </row>
    <row r="193" spans="1:29" x14ac:dyDescent="0.3">
      <c r="A193" s="949"/>
      <c r="B193" s="496" t="s">
        <v>910</v>
      </c>
      <c r="C193" s="492">
        <v>4228</v>
      </c>
      <c r="D193" s="1028">
        <v>2487</v>
      </c>
      <c r="E193" s="1028">
        <v>6715</v>
      </c>
      <c r="F193" s="1028">
        <v>106</v>
      </c>
      <c r="G193" s="1028">
        <v>74</v>
      </c>
      <c r="H193" s="1028">
        <v>180</v>
      </c>
      <c r="I193" s="1028">
        <v>86425</v>
      </c>
      <c r="J193" s="1028">
        <v>109813</v>
      </c>
      <c r="K193" s="1028">
        <v>196238</v>
      </c>
      <c r="L193" s="1028">
        <v>617563</v>
      </c>
      <c r="M193" s="1028">
        <v>634298</v>
      </c>
      <c r="N193" s="1028">
        <v>1251861</v>
      </c>
      <c r="O193" s="1028">
        <v>4791</v>
      </c>
      <c r="P193" s="1028">
        <v>3180</v>
      </c>
      <c r="Q193" s="1028">
        <v>7971</v>
      </c>
      <c r="R193" s="1028">
        <v>56054</v>
      </c>
      <c r="S193" s="1028">
        <v>43630</v>
      </c>
      <c r="T193" s="1028">
        <v>99684</v>
      </c>
      <c r="U193" s="1028">
        <v>2276</v>
      </c>
      <c r="V193" s="1028">
        <v>2203</v>
      </c>
      <c r="W193" s="1028">
        <v>4479</v>
      </c>
      <c r="X193" s="1028">
        <v>3866</v>
      </c>
      <c r="Y193" s="1028">
        <v>2792</v>
      </c>
      <c r="Z193" s="1028">
        <v>6658</v>
      </c>
      <c r="AA193" s="1028">
        <v>775309</v>
      </c>
      <c r="AB193" s="1028">
        <v>798477</v>
      </c>
      <c r="AC193" s="1028">
        <v>1573786</v>
      </c>
    </row>
    <row r="194" spans="1:29" x14ac:dyDescent="0.3">
      <c r="A194" s="949"/>
      <c r="B194" s="496" t="s">
        <v>909</v>
      </c>
      <c r="C194" s="492">
        <v>3507</v>
      </c>
      <c r="D194" s="1028">
        <v>2001</v>
      </c>
      <c r="E194" s="1028">
        <v>5508</v>
      </c>
      <c r="F194" s="1028">
        <v>203</v>
      </c>
      <c r="G194" s="1028">
        <v>170</v>
      </c>
      <c r="H194" s="1028">
        <v>373</v>
      </c>
      <c r="I194" s="1028">
        <v>81042</v>
      </c>
      <c r="J194" s="1028">
        <v>103478</v>
      </c>
      <c r="K194" s="1028">
        <v>184520</v>
      </c>
      <c r="L194" s="1028">
        <v>519501</v>
      </c>
      <c r="M194" s="1028">
        <v>559280</v>
      </c>
      <c r="N194" s="1028">
        <v>1078781</v>
      </c>
      <c r="O194" s="1028">
        <v>3310</v>
      </c>
      <c r="P194" s="1028">
        <v>2292</v>
      </c>
      <c r="Q194" s="1028">
        <v>5602</v>
      </c>
      <c r="R194" s="1028">
        <v>60653</v>
      </c>
      <c r="S194" s="1028">
        <v>45728</v>
      </c>
      <c r="T194" s="1028">
        <v>106381</v>
      </c>
      <c r="U194" s="1028">
        <v>923</v>
      </c>
      <c r="V194" s="1028">
        <v>1290</v>
      </c>
      <c r="W194" s="1028">
        <v>2213</v>
      </c>
      <c r="X194" s="1028">
        <v>3629</v>
      </c>
      <c r="Y194" s="1028">
        <v>2601</v>
      </c>
      <c r="Z194" s="1028">
        <v>6230</v>
      </c>
      <c r="AA194" s="1028">
        <v>672768</v>
      </c>
      <c r="AB194" s="1028">
        <v>716840</v>
      </c>
      <c r="AC194" s="1028">
        <v>1389608</v>
      </c>
    </row>
    <row r="195" spans="1:29" x14ac:dyDescent="0.3">
      <c r="A195" s="949"/>
      <c r="B195" s="496" t="s">
        <v>908</v>
      </c>
      <c r="C195" s="492">
        <v>2191</v>
      </c>
      <c r="D195" s="1028">
        <v>1239</v>
      </c>
      <c r="E195" s="1028">
        <v>3430</v>
      </c>
      <c r="F195" s="1028">
        <v>106</v>
      </c>
      <c r="G195" s="1028">
        <v>123</v>
      </c>
      <c r="H195" s="1028">
        <v>229</v>
      </c>
      <c r="I195" s="1028">
        <v>83964</v>
      </c>
      <c r="J195" s="1028">
        <v>104787</v>
      </c>
      <c r="K195" s="1028">
        <v>188751</v>
      </c>
      <c r="L195" s="1028">
        <v>536108</v>
      </c>
      <c r="M195" s="1028">
        <v>565609</v>
      </c>
      <c r="N195" s="1028">
        <v>1101717</v>
      </c>
      <c r="O195" s="1028">
        <v>3247</v>
      </c>
      <c r="P195" s="1028">
        <v>2187</v>
      </c>
      <c r="Q195" s="1028">
        <v>5434</v>
      </c>
      <c r="R195" s="1028">
        <v>71055</v>
      </c>
      <c r="S195" s="1028">
        <v>48142</v>
      </c>
      <c r="T195" s="1028">
        <v>119197</v>
      </c>
      <c r="U195" s="1028">
        <v>1445</v>
      </c>
      <c r="V195" s="1028">
        <v>1078</v>
      </c>
      <c r="W195" s="1028">
        <v>2523</v>
      </c>
      <c r="X195" s="1028">
        <v>3113</v>
      </c>
      <c r="Y195" s="1028">
        <v>2067</v>
      </c>
      <c r="Z195" s="1028">
        <v>5180</v>
      </c>
      <c r="AA195" s="1028">
        <v>701229</v>
      </c>
      <c r="AB195" s="1028">
        <v>725232</v>
      </c>
      <c r="AC195" s="1028">
        <v>1426461</v>
      </c>
    </row>
    <row r="196" spans="1:29" ht="28" x14ac:dyDescent="0.3">
      <c r="A196" s="949">
        <v>31</v>
      </c>
      <c r="B196" s="495" t="s">
        <v>60</v>
      </c>
      <c r="C196" s="492"/>
      <c r="D196" s="1028"/>
      <c r="E196" s="1028"/>
      <c r="F196" s="1028"/>
      <c r="G196" s="1028"/>
      <c r="H196" s="1028"/>
      <c r="I196" s="1028"/>
      <c r="J196" s="1028"/>
      <c r="K196" s="1028"/>
      <c r="L196" s="1028"/>
      <c r="M196" s="1028"/>
      <c r="N196" s="1028"/>
      <c r="O196" s="1028"/>
      <c r="P196" s="1028"/>
      <c r="Q196" s="1028"/>
      <c r="R196" s="1028"/>
      <c r="S196" s="1028"/>
      <c r="T196" s="1028"/>
      <c r="U196" s="1028"/>
      <c r="V196" s="1028"/>
      <c r="W196" s="1028"/>
      <c r="X196" s="1028"/>
      <c r="Y196" s="1028"/>
      <c r="Z196" s="1028"/>
      <c r="AA196" s="1028"/>
      <c r="AB196" s="1028"/>
      <c r="AC196" s="1028"/>
    </row>
    <row r="197" spans="1:29" x14ac:dyDescent="0.3">
      <c r="A197" s="949"/>
      <c r="B197" s="488" t="s">
        <v>912</v>
      </c>
      <c r="C197" s="492">
        <v>0</v>
      </c>
      <c r="D197" s="1028">
        <v>2</v>
      </c>
      <c r="E197" s="1028">
        <v>2</v>
      </c>
      <c r="F197" s="1028"/>
      <c r="G197" s="1028"/>
      <c r="H197" s="1028"/>
      <c r="I197" s="1028">
        <v>268</v>
      </c>
      <c r="J197" s="1028">
        <v>641</v>
      </c>
      <c r="K197" s="1028">
        <v>909</v>
      </c>
      <c r="L197" s="1028">
        <v>4742</v>
      </c>
      <c r="M197" s="1028">
        <v>5273</v>
      </c>
      <c r="N197" s="1028">
        <v>10015</v>
      </c>
      <c r="O197" s="1028">
        <v>44</v>
      </c>
      <c r="P197" s="1028">
        <v>18</v>
      </c>
      <c r="Q197" s="1028">
        <v>62</v>
      </c>
      <c r="R197" s="1028">
        <v>1502</v>
      </c>
      <c r="S197" s="1028">
        <v>397</v>
      </c>
      <c r="T197" s="1028">
        <v>1899</v>
      </c>
      <c r="U197" s="1028"/>
      <c r="V197" s="1028"/>
      <c r="W197" s="1028"/>
      <c r="X197" s="1028">
        <v>51</v>
      </c>
      <c r="Y197" s="1028">
        <v>71</v>
      </c>
      <c r="Z197" s="1028">
        <v>122</v>
      </c>
      <c r="AA197" s="1028">
        <v>6607</v>
      </c>
      <c r="AB197" s="1028">
        <v>6402</v>
      </c>
      <c r="AC197" s="1028">
        <v>13009</v>
      </c>
    </row>
    <row r="198" spans="1:29" x14ac:dyDescent="0.3">
      <c r="A198" s="949"/>
      <c r="B198" s="496" t="s">
        <v>911</v>
      </c>
      <c r="C198" s="492"/>
      <c r="D198" s="1028"/>
      <c r="E198" s="1028"/>
      <c r="F198" s="1028"/>
      <c r="G198" s="1028"/>
      <c r="H198" s="1028"/>
      <c r="I198" s="1028">
        <v>305</v>
      </c>
      <c r="J198" s="1028">
        <v>543</v>
      </c>
      <c r="K198" s="1028">
        <v>848</v>
      </c>
      <c r="L198" s="1028">
        <v>4656</v>
      </c>
      <c r="M198" s="1028">
        <v>5103</v>
      </c>
      <c r="N198" s="1028">
        <v>9759</v>
      </c>
      <c r="O198" s="1028"/>
      <c r="P198" s="1028"/>
      <c r="Q198" s="1028"/>
      <c r="R198" s="1028">
        <v>1686</v>
      </c>
      <c r="S198" s="1028">
        <v>422</v>
      </c>
      <c r="T198" s="1028">
        <v>2108</v>
      </c>
      <c r="U198" s="1028"/>
      <c r="V198" s="1028"/>
      <c r="W198" s="1028"/>
      <c r="X198" s="1028">
        <v>36</v>
      </c>
      <c r="Y198" s="1028">
        <v>54</v>
      </c>
      <c r="Z198" s="1028">
        <v>90</v>
      </c>
      <c r="AA198" s="1028">
        <v>6683</v>
      </c>
      <c r="AB198" s="1028">
        <v>6122</v>
      </c>
      <c r="AC198" s="1028">
        <v>12805</v>
      </c>
    </row>
    <row r="199" spans="1:29" x14ac:dyDescent="0.3">
      <c r="A199" s="949"/>
      <c r="B199" s="496" t="s">
        <v>910</v>
      </c>
      <c r="C199" s="492">
        <v>0</v>
      </c>
      <c r="D199" s="1028">
        <v>0</v>
      </c>
      <c r="E199" s="1028">
        <v>0</v>
      </c>
      <c r="F199" s="1028">
        <v>0</v>
      </c>
      <c r="G199" s="1028">
        <v>0</v>
      </c>
      <c r="H199" s="1028">
        <v>0</v>
      </c>
      <c r="I199" s="1028">
        <v>259</v>
      </c>
      <c r="J199" s="1028">
        <v>508</v>
      </c>
      <c r="K199" s="1028">
        <v>767</v>
      </c>
      <c r="L199" s="1028">
        <v>4020</v>
      </c>
      <c r="M199" s="1028">
        <v>4681</v>
      </c>
      <c r="N199" s="1028">
        <v>8701</v>
      </c>
      <c r="O199" s="1028">
        <v>0</v>
      </c>
      <c r="P199" s="1028">
        <v>0</v>
      </c>
      <c r="Q199" s="1028">
        <v>0</v>
      </c>
      <c r="R199" s="1028">
        <v>1647</v>
      </c>
      <c r="S199" s="1028">
        <v>397</v>
      </c>
      <c r="T199" s="1028">
        <v>2044</v>
      </c>
      <c r="U199" s="1028">
        <v>0</v>
      </c>
      <c r="V199" s="1028">
        <v>0</v>
      </c>
      <c r="W199" s="1028">
        <v>0</v>
      </c>
      <c r="X199" s="1028">
        <v>22</v>
      </c>
      <c r="Y199" s="1028">
        <v>36</v>
      </c>
      <c r="Z199" s="1028">
        <v>58</v>
      </c>
      <c r="AA199" s="1028">
        <v>5948</v>
      </c>
      <c r="AB199" s="1028">
        <v>5622</v>
      </c>
      <c r="AC199" s="1028">
        <v>11570</v>
      </c>
    </row>
    <row r="200" spans="1:29" x14ac:dyDescent="0.3">
      <c r="A200" s="949"/>
      <c r="B200" s="496" t="s">
        <v>909</v>
      </c>
      <c r="C200" s="492">
        <v>0</v>
      </c>
      <c r="D200" s="1028">
        <v>0</v>
      </c>
      <c r="E200" s="1028">
        <v>0</v>
      </c>
      <c r="F200" s="1028">
        <v>0</v>
      </c>
      <c r="G200" s="1028">
        <v>0</v>
      </c>
      <c r="H200" s="1028">
        <v>0</v>
      </c>
      <c r="I200" s="1028">
        <v>188</v>
      </c>
      <c r="J200" s="1028">
        <v>433</v>
      </c>
      <c r="K200" s="1028">
        <v>621</v>
      </c>
      <c r="L200" s="1028">
        <v>3436</v>
      </c>
      <c r="M200" s="1028">
        <v>4165</v>
      </c>
      <c r="N200" s="1028">
        <v>7601</v>
      </c>
      <c r="O200" s="1028">
        <v>0</v>
      </c>
      <c r="P200" s="1028">
        <v>0</v>
      </c>
      <c r="Q200" s="1028">
        <v>0</v>
      </c>
      <c r="R200" s="1028">
        <v>1685</v>
      </c>
      <c r="S200" s="1028">
        <v>381</v>
      </c>
      <c r="T200" s="1028">
        <v>2066</v>
      </c>
      <c r="U200" s="1028">
        <v>0</v>
      </c>
      <c r="V200" s="1028">
        <v>0</v>
      </c>
      <c r="W200" s="1028">
        <v>0</v>
      </c>
      <c r="X200" s="1028">
        <v>11</v>
      </c>
      <c r="Y200" s="1028">
        <v>26</v>
      </c>
      <c r="Z200" s="1028">
        <v>37</v>
      </c>
      <c r="AA200" s="1028">
        <v>5320</v>
      </c>
      <c r="AB200" s="1028">
        <v>5005</v>
      </c>
      <c r="AC200" s="1028">
        <v>10325</v>
      </c>
    </row>
    <row r="201" spans="1:29" x14ac:dyDescent="0.3">
      <c r="A201" s="949"/>
      <c r="B201" s="496" t="s">
        <v>908</v>
      </c>
      <c r="C201" s="492">
        <v>0</v>
      </c>
      <c r="D201" s="1028">
        <v>0</v>
      </c>
      <c r="E201" s="1028">
        <v>0</v>
      </c>
      <c r="F201" s="1028">
        <v>0</v>
      </c>
      <c r="G201" s="1028">
        <v>0</v>
      </c>
      <c r="H201" s="1028">
        <v>0</v>
      </c>
      <c r="I201" s="1028">
        <v>175</v>
      </c>
      <c r="J201" s="1028">
        <v>308</v>
      </c>
      <c r="K201" s="1028">
        <v>483</v>
      </c>
      <c r="L201" s="1028">
        <v>3127</v>
      </c>
      <c r="M201" s="1028">
        <v>3834</v>
      </c>
      <c r="N201" s="1028">
        <v>6961</v>
      </c>
      <c r="O201" s="1028">
        <v>0</v>
      </c>
      <c r="P201" s="1028">
        <v>0</v>
      </c>
      <c r="Q201" s="1028">
        <v>0</v>
      </c>
      <c r="R201" s="1028">
        <v>1686</v>
      </c>
      <c r="S201" s="1028">
        <v>355</v>
      </c>
      <c r="T201" s="1028">
        <v>2041</v>
      </c>
      <c r="U201" s="1028">
        <v>0</v>
      </c>
      <c r="V201" s="1028">
        <v>0</v>
      </c>
      <c r="W201" s="1028">
        <v>0</v>
      </c>
      <c r="X201" s="1028">
        <v>6</v>
      </c>
      <c r="Y201" s="1028">
        <v>14</v>
      </c>
      <c r="Z201" s="1028">
        <v>20</v>
      </c>
      <c r="AA201" s="1028">
        <v>4994</v>
      </c>
      <c r="AB201" s="1028">
        <v>4511</v>
      </c>
      <c r="AC201" s="1028">
        <v>9505</v>
      </c>
    </row>
    <row r="202" spans="1:29" x14ac:dyDescent="0.3">
      <c r="A202" s="949">
        <v>32</v>
      </c>
      <c r="B202" s="497" t="s">
        <v>42</v>
      </c>
      <c r="C202" s="492"/>
      <c r="D202" s="1028"/>
      <c r="E202" s="1028"/>
      <c r="F202" s="1028"/>
      <c r="G202" s="1028"/>
      <c r="H202" s="1028"/>
      <c r="I202" s="1028"/>
      <c r="J202" s="1028"/>
      <c r="K202" s="1028"/>
      <c r="L202" s="1028"/>
      <c r="M202" s="1028"/>
      <c r="N202" s="1028"/>
      <c r="O202" s="1028"/>
      <c r="P202" s="1028"/>
      <c r="Q202" s="1028"/>
      <c r="R202" s="1028"/>
      <c r="S202" s="1028"/>
      <c r="T202" s="1028"/>
      <c r="U202" s="1028"/>
      <c r="V202" s="1028"/>
      <c r="W202" s="1028"/>
      <c r="X202" s="1028"/>
      <c r="Y202" s="1028"/>
      <c r="Z202" s="1028"/>
      <c r="AA202" s="1028"/>
      <c r="AB202" s="1028"/>
      <c r="AC202" s="1028"/>
    </row>
    <row r="203" spans="1:29" x14ac:dyDescent="0.3">
      <c r="A203" s="949"/>
      <c r="B203" s="488" t="s">
        <v>912</v>
      </c>
      <c r="C203" s="492">
        <v>127</v>
      </c>
      <c r="D203" s="1028">
        <v>77</v>
      </c>
      <c r="E203" s="1028">
        <v>204</v>
      </c>
      <c r="F203" s="1028">
        <v>1</v>
      </c>
      <c r="G203" s="1028">
        <v>4</v>
      </c>
      <c r="H203" s="1028">
        <v>5</v>
      </c>
      <c r="I203" s="1028">
        <v>4326</v>
      </c>
      <c r="J203" s="1028">
        <v>5130</v>
      </c>
      <c r="K203" s="1028">
        <v>9456</v>
      </c>
      <c r="L203" s="1028">
        <v>44093</v>
      </c>
      <c r="M203" s="1028">
        <v>41382</v>
      </c>
      <c r="N203" s="1028">
        <v>85475</v>
      </c>
      <c r="O203" s="1028">
        <v>45</v>
      </c>
      <c r="P203" s="1028">
        <v>29</v>
      </c>
      <c r="Q203" s="1028">
        <v>74</v>
      </c>
      <c r="R203" s="1028">
        <v>2411</v>
      </c>
      <c r="S203" s="1028">
        <v>2567</v>
      </c>
      <c r="T203" s="1028">
        <v>4978</v>
      </c>
      <c r="U203" s="1028">
        <v>19</v>
      </c>
      <c r="V203" s="1028">
        <v>9</v>
      </c>
      <c r="W203" s="1028">
        <v>28</v>
      </c>
      <c r="X203" s="1028">
        <v>1146</v>
      </c>
      <c r="Y203" s="1028">
        <v>958</v>
      </c>
      <c r="Z203" s="1028">
        <v>2104</v>
      </c>
      <c r="AA203" s="1028">
        <v>52168</v>
      </c>
      <c r="AB203" s="1028">
        <v>50156</v>
      </c>
      <c r="AC203" s="1028">
        <v>102324</v>
      </c>
    </row>
    <row r="204" spans="1:29" x14ac:dyDescent="0.3">
      <c r="A204" s="949"/>
      <c r="B204" s="496" t="s">
        <v>911</v>
      </c>
      <c r="C204" s="492">
        <v>286</v>
      </c>
      <c r="D204" s="1028">
        <v>173</v>
      </c>
      <c r="E204" s="1028">
        <v>459</v>
      </c>
      <c r="F204" s="1028">
        <v>2</v>
      </c>
      <c r="G204" s="1028">
        <v>10</v>
      </c>
      <c r="H204" s="1028">
        <v>12</v>
      </c>
      <c r="I204" s="1028">
        <v>5209</v>
      </c>
      <c r="J204" s="1028">
        <v>5840</v>
      </c>
      <c r="K204" s="1028">
        <v>11049</v>
      </c>
      <c r="L204" s="1028">
        <v>44432</v>
      </c>
      <c r="M204" s="1028">
        <v>37731</v>
      </c>
      <c r="N204" s="1028">
        <v>82163</v>
      </c>
      <c r="O204" s="1028">
        <v>76</v>
      </c>
      <c r="P204" s="1028">
        <v>59</v>
      </c>
      <c r="Q204" s="1028">
        <v>135</v>
      </c>
      <c r="R204" s="1028">
        <v>2409</v>
      </c>
      <c r="S204" s="1028">
        <v>2297</v>
      </c>
      <c r="T204" s="1028">
        <v>4706</v>
      </c>
      <c r="U204" s="1028">
        <v>18</v>
      </c>
      <c r="V204" s="1028">
        <v>18</v>
      </c>
      <c r="W204" s="1028">
        <v>36</v>
      </c>
      <c r="X204" s="1028">
        <v>1106</v>
      </c>
      <c r="Y204" s="1028">
        <v>885</v>
      </c>
      <c r="Z204" s="1028">
        <v>1991</v>
      </c>
      <c r="AA204" s="1028">
        <v>53538</v>
      </c>
      <c r="AB204" s="1028">
        <v>47013</v>
      </c>
      <c r="AC204" s="1028">
        <v>100551</v>
      </c>
    </row>
    <row r="205" spans="1:29" x14ac:dyDescent="0.3">
      <c r="A205" s="949"/>
      <c r="B205" s="496" t="s">
        <v>910</v>
      </c>
      <c r="C205" s="492">
        <v>452</v>
      </c>
      <c r="D205" s="1028">
        <v>220</v>
      </c>
      <c r="E205" s="1028">
        <v>672</v>
      </c>
      <c r="F205" s="1028">
        <v>2</v>
      </c>
      <c r="G205" s="1028">
        <v>10</v>
      </c>
      <c r="H205" s="1028">
        <v>12</v>
      </c>
      <c r="I205" s="1028">
        <v>5919</v>
      </c>
      <c r="J205" s="1028">
        <v>6287</v>
      </c>
      <c r="K205" s="1028">
        <v>12206</v>
      </c>
      <c r="L205" s="1028">
        <v>38810</v>
      </c>
      <c r="M205" s="1028">
        <v>34214</v>
      </c>
      <c r="N205" s="1028">
        <v>73024</v>
      </c>
      <c r="O205" s="1028">
        <v>116</v>
      </c>
      <c r="P205" s="1028">
        <v>133</v>
      </c>
      <c r="Q205" s="1028">
        <v>249</v>
      </c>
      <c r="R205" s="1028">
        <v>2243</v>
      </c>
      <c r="S205" s="1028">
        <v>2632</v>
      </c>
      <c r="T205" s="1028">
        <v>4875</v>
      </c>
      <c r="U205" s="1028">
        <v>15</v>
      </c>
      <c r="V205" s="1028">
        <v>13</v>
      </c>
      <c r="W205" s="1028">
        <v>28</v>
      </c>
      <c r="X205" s="1028">
        <v>871</v>
      </c>
      <c r="Y205" s="1028">
        <v>723</v>
      </c>
      <c r="Z205" s="1028">
        <v>1594</v>
      </c>
      <c r="AA205" s="1028">
        <v>48428</v>
      </c>
      <c r="AB205" s="1028">
        <v>44232</v>
      </c>
      <c r="AC205" s="1028">
        <v>92660</v>
      </c>
    </row>
    <row r="206" spans="1:29" x14ac:dyDescent="0.3">
      <c r="A206" s="949"/>
      <c r="B206" s="496" t="s">
        <v>909</v>
      </c>
      <c r="C206" s="492">
        <v>388</v>
      </c>
      <c r="D206" s="1028">
        <v>227</v>
      </c>
      <c r="E206" s="1028">
        <v>615</v>
      </c>
      <c r="F206" s="1028">
        <v>0</v>
      </c>
      <c r="G206" s="1028">
        <v>0</v>
      </c>
      <c r="H206" s="1028">
        <v>0</v>
      </c>
      <c r="I206" s="1028">
        <v>5941</v>
      </c>
      <c r="J206" s="1028">
        <v>5877</v>
      </c>
      <c r="K206" s="1028">
        <v>11818</v>
      </c>
      <c r="L206" s="1028">
        <v>37816</v>
      </c>
      <c r="M206" s="1028">
        <v>30459</v>
      </c>
      <c r="N206" s="1028">
        <v>68275</v>
      </c>
      <c r="O206" s="1028">
        <v>67</v>
      </c>
      <c r="P206" s="1028">
        <v>64</v>
      </c>
      <c r="Q206" s="1028">
        <v>131</v>
      </c>
      <c r="R206" s="1028">
        <v>2274</v>
      </c>
      <c r="S206" s="1028">
        <v>2126</v>
      </c>
      <c r="T206" s="1028">
        <v>4400</v>
      </c>
      <c r="U206" s="1028">
        <v>149</v>
      </c>
      <c r="V206" s="1028">
        <v>221</v>
      </c>
      <c r="W206" s="1028">
        <v>370</v>
      </c>
      <c r="X206" s="1028">
        <v>396</v>
      </c>
      <c r="Y206" s="1028">
        <v>242</v>
      </c>
      <c r="Z206" s="1028">
        <v>638</v>
      </c>
      <c r="AA206" s="1028">
        <v>47031</v>
      </c>
      <c r="AB206" s="1028">
        <v>39216</v>
      </c>
      <c r="AC206" s="1028">
        <v>86247</v>
      </c>
    </row>
    <row r="207" spans="1:29" x14ac:dyDescent="0.3">
      <c r="A207" s="949"/>
      <c r="B207" s="496" t="s">
        <v>908</v>
      </c>
      <c r="C207" s="492">
        <v>147</v>
      </c>
      <c r="D207" s="1028">
        <v>79</v>
      </c>
      <c r="E207" s="1028">
        <v>226</v>
      </c>
      <c r="F207" s="1028">
        <v>0</v>
      </c>
      <c r="G207" s="1028">
        <v>0</v>
      </c>
      <c r="H207" s="1028">
        <v>0</v>
      </c>
      <c r="I207" s="1028">
        <v>6452</v>
      </c>
      <c r="J207" s="1028">
        <v>5691</v>
      </c>
      <c r="K207" s="1028">
        <v>12143</v>
      </c>
      <c r="L207" s="1028">
        <v>34528</v>
      </c>
      <c r="M207" s="1028">
        <v>29821</v>
      </c>
      <c r="N207" s="1028">
        <v>64349</v>
      </c>
      <c r="O207" s="1028">
        <v>117</v>
      </c>
      <c r="P207" s="1028">
        <v>125</v>
      </c>
      <c r="Q207" s="1028">
        <v>242</v>
      </c>
      <c r="R207" s="1028">
        <v>2443</v>
      </c>
      <c r="S207" s="1028">
        <v>1992</v>
      </c>
      <c r="T207" s="1028">
        <v>4435</v>
      </c>
      <c r="U207" s="1028">
        <v>68</v>
      </c>
      <c r="V207" s="1028">
        <v>112</v>
      </c>
      <c r="W207" s="1028">
        <v>180</v>
      </c>
      <c r="X207" s="1028">
        <v>701</v>
      </c>
      <c r="Y207" s="1028">
        <v>427</v>
      </c>
      <c r="Z207" s="1028">
        <v>1128</v>
      </c>
      <c r="AA207" s="1028">
        <v>44456</v>
      </c>
      <c r="AB207" s="1028">
        <v>38247</v>
      </c>
      <c r="AC207" s="1028">
        <v>82703</v>
      </c>
    </row>
    <row r="208" spans="1:29" x14ac:dyDescent="0.3">
      <c r="A208" s="949">
        <v>33</v>
      </c>
      <c r="B208" s="488" t="s">
        <v>43</v>
      </c>
      <c r="C208" s="492"/>
      <c r="D208" s="1028"/>
      <c r="E208" s="1028"/>
      <c r="F208" s="1028"/>
      <c r="G208" s="1028"/>
      <c r="H208" s="1028"/>
      <c r="I208" s="1028"/>
      <c r="J208" s="1028"/>
      <c r="K208" s="1028"/>
      <c r="L208" s="1028"/>
      <c r="M208" s="1028"/>
      <c r="N208" s="1028"/>
      <c r="O208" s="1028"/>
      <c r="P208" s="1028"/>
      <c r="Q208" s="1028"/>
      <c r="R208" s="1028"/>
      <c r="S208" s="1028"/>
      <c r="T208" s="1028"/>
      <c r="U208" s="1028"/>
      <c r="V208" s="1028"/>
      <c r="W208" s="1028"/>
      <c r="X208" s="1028"/>
      <c r="Y208" s="1028"/>
      <c r="Z208" s="1028"/>
      <c r="AA208" s="1028"/>
      <c r="AB208" s="1028"/>
      <c r="AC208" s="1028"/>
    </row>
    <row r="209" spans="1:29" x14ac:dyDescent="0.3">
      <c r="A209" s="949"/>
      <c r="B209" s="488" t="s">
        <v>912</v>
      </c>
      <c r="C209" s="492">
        <v>14232</v>
      </c>
      <c r="D209" s="1028">
        <v>10820</v>
      </c>
      <c r="E209" s="1028">
        <v>25052</v>
      </c>
      <c r="F209" s="1028">
        <v>19</v>
      </c>
      <c r="G209" s="1028">
        <v>67</v>
      </c>
      <c r="H209" s="1028">
        <v>86</v>
      </c>
      <c r="I209" s="1028">
        <v>384775.43753676751</v>
      </c>
      <c r="J209" s="1028">
        <v>478525.19088520581</v>
      </c>
      <c r="K209" s="1028">
        <v>863300.62842197332</v>
      </c>
      <c r="L209" s="1028">
        <v>3041322.0317932921</v>
      </c>
      <c r="M209" s="1028">
        <v>2864997.9604184041</v>
      </c>
      <c r="N209" s="1028">
        <v>5906319.9922116958</v>
      </c>
      <c r="O209" s="1028">
        <v>12042</v>
      </c>
      <c r="P209" s="1028">
        <v>8295</v>
      </c>
      <c r="Q209" s="1028">
        <v>20337</v>
      </c>
      <c r="R209" s="1028">
        <v>217314</v>
      </c>
      <c r="S209" s="1028">
        <v>116732</v>
      </c>
      <c r="T209" s="1028">
        <v>334046</v>
      </c>
      <c r="U209" s="1028">
        <v>12275</v>
      </c>
      <c r="V209" s="1028">
        <v>9096</v>
      </c>
      <c r="W209" s="1028">
        <v>21371</v>
      </c>
      <c r="X209" s="1028">
        <v>46821</v>
      </c>
      <c r="Y209" s="1028">
        <v>27619</v>
      </c>
      <c r="Z209" s="1028">
        <v>74440</v>
      </c>
      <c r="AA209" s="1028">
        <v>3728800.4693300598</v>
      </c>
      <c r="AB209" s="1028">
        <v>3516152.1513036089</v>
      </c>
      <c r="AC209" s="1028">
        <v>7244952.6206336692</v>
      </c>
    </row>
    <row r="210" spans="1:29" x14ac:dyDescent="0.3">
      <c r="A210" s="949"/>
      <c r="B210" s="496" t="s">
        <v>911</v>
      </c>
      <c r="C210" s="492">
        <v>11988</v>
      </c>
      <c r="D210" s="1028">
        <v>9725</v>
      </c>
      <c r="E210" s="1028">
        <v>21713</v>
      </c>
      <c r="F210" s="1028">
        <v>15</v>
      </c>
      <c r="G210" s="1028">
        <v>62</v>
      </c>
      <c r="H210" s="1028">
        <v>77</v>
      </c>
      <c r="I210" s="1028">
        <v>348726</v>
      </c>
      <c r="J210" s="1028">
        <v>411389</v>
      </c>
      <c r="K210" s="1028">
        <v>760115</v>
      </c>
      <c r="L210" s="1028">
        <v>3033329</v>
      </c>
      <c r="M210" s="1028">
        <v>2745769</v>
      </c>
      <c r="N210" s="1028">
        <v>5779098</v>
      </c>
      <c r="O210" s="1028">
        <v>17801</v>
      </c>
      <c r="P210" s="1028">
        <v>9432</v>
      </c>
      <c r="Q210" s="1028">
        <v>27233</v>
      </c>
      <c r="R210" s="1028">
        <v>217394</v>
      </c>
      <c r="S210" s="1028">
        <v>103605</v>
      </c>
      <c r="T210" s="1028">
        <v>320999</v>
      </c>
      <c r="U210" s="1028">
        <v>3435</v>
      </c>
      <c r="V210" s="1028">
        <v>2854</v>
      </c>
      <c r="W210" s="1028">
        <v>6289</v>
      </c>
      <c r="X210" s="1028">
        <v>36630</v>
      </c>
      <c r="Y210" s="1028">
        <v>21270</v>
      </c>
      <c r="Z210" s="1028">
        <v>57900</v>
      </c>
      <c r="AA210" s="1028">
        <v>3669318</v>
      </c>
      <c r="AB210" s="1028">
        <v>3304106</v>
      </c>
      <c r="AC210" s="1028">
        <v>6973424</v>
      </c>
    </row>
    <row r="211" spans="1:29" x14ac:dyDescent="0.3">
      <c r="A211" s="949"/>
      <c r="B211" s="496" t="s">
        <v>910</v>
      </c>
      <c r="C211" s="492">
        <v>11560</v>
      </c>
      <c r="D211" s="1028">
        <v>8246</v>
      </c>
      <c r="E211" s="1028">
        <v>19806</v>
      </c>
      <c r="F211" s="1028">
        <v>234</v>
      </c>
      <c r="G211" s="1028">
        <v>381</v>
      </c>
      <c r="H211" s="1028">
        <v>615</v>
      </c>
      <c r="I211" s="1028">
        <v>278090</v>
      </c>
      <c r="J211" s="1028">
        <v>353448</v>
      </c>
      <c r="K211" s="1028">
        <v>631538</v>
      </c>
      <c r="L211" s="1028">
        <v>2820340</v>
      </c>
      <c r="M211" s="1028">
        <v>2727844</v>
      </c>
      <c r="N211" s="1028">
        <v>5548184</v>
      </c>
      <c r="O211" s="1028">
        <v>30530</v>
      </c>
      <c r="P211" s="1028">
        <v>23307</v>
      </c>
      <c r="Q211" s="1028">
        <v>53837</v>
      </c>
      <c r="R211" s="1028">
        <v>215020</v>
      </c>
      <c r="S211" s="1028">
        <v>112030</v>
      </c>
      <c r="T211" s="1028">
        <v>327050</v>
      </c>
      <c r="U211" s="1028">
        <v>8672</v>
      </c>
      <c r="V211" s="1028">
        <v>9459</v>
      </c>
      <c r="W211" s="1028">
        <v>18131</v>
      </c>
      <c r="X211" s="1028">
        <v>32566</v>
      </c>
      <c r="Y211" s="1028">
        <v>19340</v>
      </c>
      <c r="Z211" s="1028">
        <v>51906</v>
      </c>
      <c r="AA211" s="1028">
        <v>3397012</v>
      </c>
      <c r="AB211" s="1028">
        <v>3254055</v>
      </c>
      <c r="AC211" s="1028">
        <v>6651067</v>
      </c>
    </row>
    <row r="212" spans="1:29" x14ac:dyDescent="0.3">
      <c r="A212" s="949"/>
      <c r="B212" s="496" t="s">
        <v>909</v>
      </c>
      <c r="C212" s="492">
        <v>13693</v>
      </c>
      <c r="D212" s="1028">
        <v>10071</v>
      </c>
      <c r="E212" s="1028">
        <v>23764</v>
      </c>
      <c r="F212" s="1028">
        <v>217</v>
      </c>
      <c r="G212" s="1028">
        <v>320</v>
      </c>
      <c r="H212" s="1028">
        <v>537</v>
      </c>
      <c r="I212" s="1028">
        <v>237350</v>
      </c>
      <c r="J212" s="1028">
        <v>331801</v>
      </c>
      <c r="K212" s="1028">
        <v>569151</v>
      </c>
      <c r="L212" s="1028">
        <v>2636040</v>
      </c>
      <c r="M212" s="1028">
        <v>2765496</v>
      </c>
      <c r="N212" s="1028">
        <v>5401536</v>
      </c>
      <c r="O212" s="1028">
        <v>13318</v>
      </c>
      <c r="P212" s="1028">
        <v>11152</v>
      </c>
      <c r="Q212" s="1028">
        <v>24470</v>
      </c>
      <c r="R212" s="1028">
        <v>198868</v>
      </c>
      <c r="S212" s="1028">
        <v>103325</v>
      </c>
      <c r="T212" s="1028">
        <v>302193</v>
      </c>
      <c r="U212" s="1028">
        <v>10660</v>
      </c>
      <c r="V212" s="1028">
        <v>14266</v>
      </c>
      <c r="W212" s="1028">
        <v>24926</v>
      </c>
      <c r="X212" s="1028">
        <v>26504</v>
      </c>
      <c r="Y212" s="1028">
        <v>15133</v>
      </c>
      <c r="Z212" s="1028">
        <v>41637</v>
      </c>
      <c r="AA212" s="1028">
        <v>3136650</v>
      </c>
      <c r="AB212" s="1028">
        <v>3251564</v>
      </c>
      <c r="AC212" s="1028">
        <v>6388214</v>
      </c>
    </row>
    <row r="213" spans="1:29" x14ac:dyDescent="0.3">
      <c r="A213" s="949"/>
      <c r="B213" s="496" t="s">
        <v>908</v>
      </c>
      <c r="C213" s="492">
        <v>11715</v>
      </c>
      <c r="D213" s="1028">
        <v>7404</v>
      </c>
      <c r="E213" s="1028">
        <v>19119</v>
      </c>
      <c r="F213" s="1028">
        <v>326</v>
      </c>
      <c r="G213" s="1028">
        <v>431</v>
      </c>
      <c r="H213" s="1028">
        <v>757</v>
      </c>
      <c r="I213" s="1028">
        <v>260167</v>
      </c>
      <c r="J213" s="1028">
        <v>336882</v>
      </c>
      <c r="K213" s="1028">
        <v>597049</v>
      </c>
      <c r="L213" s="1028">
        <v>2675777</v>
      </c>
      <c r="M213" s="1028">
        <v>2791519</v>
      </c>
      <c r="N213" s="1028">
        <v>5467296</v>
      </c>
      <c r="O213" s="1028">
        <v>20411</v>
      </c>
      <c r="P213" s="1028">
        <v>16930</v>
      </c>
      <c r="Q213" s="1028">
        <v>37341</v>
      </c>
      <c r="R213" s="1028">
        <v>181658</v>
      </c>
      <c r="S213" s="1028">
        <v>95328</v>
      </c>
      <c r="T213" s="1028">
        <v>276986</v>
      </c>
      <c r="U213" s="1028">
        <v>17599</v>
      </c>
      <c r="V213" s="1028">
        <v>19016</v>
      </c>
      <c r="W213" s="1028">
        <v>36615</v>
      </c>
      <c r="X213" s="1028">
        <v>21867</v>
      </c>
      <c r="Y213" s="1028">
        <v>12337</v>
      </c>
      <c r="Z213" s="1028">
        <v>34204</v>
      </c>
      <c r="AA213" s="1028">
        <v>3189520</v>
      </c>
      <c r="AB213" s="1028">
        <v>3279847</v>
      </c>
      <c r="AC213" s="1028">
        <v>6469367</v>
      </c>
    </row>
    <row r="214" spans="1:29" x14ac:dyDescent="0.3">
      <c r="A214" s="949">
        <v>34</v>
      </c>
      <c r="B214" s="488" t="s">
        <v>44</v>
      </c>
      <c r="C214" s="492"/>
      <c r="D214" s="1028"/>
      <c r="E214" s="1028"/>
      <c r="F214" s="1028"/>
      <c r="G214" s="1028"/>
      <c r="H214" s="1028"/>
      <c r="I214" s="1028"/>
      <c r="J214" s="1028"/>
      <c r="K214" s="1028"/>
      <c r="L214" s="1028"/>
      <c r="M214" s="1028"/>
      <c r="N214" s="1028"/>
      <c r="O214" s="1028"/>
      <c r="P214" s="1028"/>
      <c r="Q214" s="1028"/>
      <c r="R214" s="1028"/>
      <c r="S214" s="1028"/>
      <c r="T214" s="1028"/>
      <c r="U214" s="1028"/>
      <c r="V214" s="1028"/>
      <c r="W214" s="1028"/>
      <c r="X214" s="1028"/>
      <c r="Y214" s="1028"/>
      <c r="Z214" s="1028"/>
      <c r="AA214" s="1028"/>
      <c r="AB214" s="1028"/>
      <c r="AC214" s="1028"/>
    </row>
    <row r="215" spans="1:29" x14ac:dyDescent="0.3">
      <c r="A215" s="949"/>
      <c r="B215" s="488" t="s">
        <v>912</v>
      </c>
      <c r="C215" s="492">
        <v>4367</v>
      </c>
      <c r="D215" s="1028">
        <v>2919</v>
      </c>
      <c r="E215" s="1028">
        <v>7286</v>
      </c>
      <c r="F215" s="1028"/>
      <c r="G215" s="1028"/>
      <c r="H215" s="1028"/>
      <c r="I215" s="1028">
        <v>44361.322300952699</v>
      </c>
      <c r="J215" s="1028">
        <v>60690.591526825112</v>
      </c>
      <c r="K215" s="1028">
        <v>105051.9138277778</v>
      </c>
      <c r="L215" s="1028">
        <v>216847.233563972</v>
      </c>
      <c r="M215" s="1028">
        <v>214264.78354232531</v>
      </c>
      <c r="N215" s="1028">
        <v>431112.01710629731</v>
      </c>
      <c r="O215" s="1028">
        <v>474</v>
      </c>
      <c r="P215" s="1028">
        <v>420</v>
      </c>
      <c r="Q215" s="1028">
        <v>894</v>
      </c>
      <c r="R215" s="1028">
        <v>20974</v>
      </c>
      <c r="S215" s="1028">
        <v>7987</v>
      </c>
      <c r="T215" s="1028">
        <v>28961</v>
      </c>
      <c r="U215" s="1028">
        <v>239</v>
      </c>
      <c r="V215" s="1028">
        <v>98</v>
      </c>
      <c r="W215" s="1028">
        <v>337</v>
      </c>
      <c r="X215" s="1028">
        <v>3465</v>
      </c>
      <c r="Y215" s="1028">
        <v>2308</v>
      </c>
      <c r="Z215" s="1028">
        <v>5773</v>
      </c>
      <c r="AA215" s="1028">
        <v>290727.55586492468</v>
      </c>
      <c r="AB215" s="1028">
        <v>288687.37506915041</v>
      </c>
      <c r="AC215" s="1028">
        <v>579414.93093407503</v>
      </c>
    </row>
    <row r="216" spans="1:29" x14ac:dyDescent="0.3">
      <c r="A216" s="949"/>
      <c r="B216" s="496" t="s">
        <v>911</v>
      </c>
      <c r="C216" s="492">
        <v>2573</v>
      </c>
      <c r="D216" s="1028">
        <v>1900</v>
      </c>
      <c r="E216" s="1028">
        <v>4473</v>
      </c>
      <c r="F216" s="1028">
        <v>5</v>
      </c>
      <c r="G216" s="1028"/>
      <c r="H216" s="1028">
        <v>5</v>
      </c>
      <c r="I216" s="1028">
        <v>41134</v>
      </c>
      <c r="J216" s="1028">
        <v>53023</v>
      </c>
      <c r="K216" s="1028">
        <v>94157</v>
      </c>
      <c r="L216" s="1028">
        <v>217701</v>
      </c>
      <c r="M216" s="1028">
        <v>216121</v>
      </c>
      <c r="N216" s="1028">
        <v>433822</v>
      </c>
      <c r="O216" s="1028">
        <v>560</v>
      </c>
      <c r="P216" s="1028">
        <v>419</v>
      </c>
      <c r="Q216" s="1028">
        <v>979</v>
      </c>
      <c r="R216" s="1028">
        <v>20403</v>
      </c>
      <c r="S216" s="1028">
        <v>7638</v>
      </c>
      <c r="T216" s="1028">
        <v>28041</v>
      </c>
      <c r="U216" s="1028">
        <v>218</v>
      </c>
      <c r="V216" s="1028">
        <v>64</v>
      </c>
      <c r="W216" s="1028">
        <v>282</v>
      </c>
      <c r="X216" s="1028">
        <v>3555</v>
      </c>
      <c r="Y216" s="1028">
        <v>2390</v>
      </c>
      <c r="Z216" s="1028">
        <v>5945</v>
      </c>
      <c r="AA216" s="1028">
        <v>286149</v>
      </c>
      <c r="AB216" s="1028">
        <v>281555</v>
      </c>
      <c r="AC216" s="1028">
        <v>567704</v>
      </c>
    </row>
    <row r="217" spans="1:29" x14ac:dyDescent="0.3">
      <c r="A217" s="949"/>
      <c r="B217" s="496" t="s">
        <v>910</v>
      </c>
      <c r="C217" s="492">
        <v>4099</v>
      </c>
      <c r="D217" s="1028">
        <v>2533</v>
      </c>
      <c r="E217" s="1028">
        <v>6632</v>
      </c>
      <c r="F217" s="1028">
        <v>4</v>
      </c>
      <c r="G217" s="1028">
        <v>1</v>
      </c>
      <c r="H217" s="1028">
        <v>5</v>
      </c>
      <c r="I217" s="1028">
        <v>46493</v>
      </c>
      <c r="J217" s="1028">
        <v>61555</v>
      </c>
      <c r="K217" s="1028">
        <v>108048</v>
      </c>
      <c r="L217" s="1028">
        <v>227696</v>
      </c>
      <c r="M217" s="1028">
        <v>239419</v>
      </c>
      <c r="N217" s="1028">
        <v>467115</v>
      </c>
      <c r="O217" s="1028">
        <v>1231</v>
      </c>
      <c r="P217" s="1028">
        <v>1122</v>
      </c>
      <c r="Q217" s="1028">
        <v>2353</v>
      </c>
      <c r="R217" s="1028">
        <v>20926</v>
      </c>
      <c r="S217" s="1028">
        <v>7946</v>
      </c>
      <c r="T217" s="1028">
        <v>28872</v>
      </c>
      <c r="U217" s="1028">
        <v>450</v>
      </c>
      <c r="V217" s="1028">
        <v>176</v>
      </c>
      <c r="W217" s="1028">
        <v>626</v>
      </c>
      <c r="X217" s="1028">
        <v>3951</v>
      </c>
      <c r="Y217" s="1028">
        <v>2549</v>
      </c>
      <c r="Z217" s="1028">
        <v>6500</v>
      </c>
      <c r="AA217" s="1028">
        <v>304850</v>
      </c>
      <c r="AB217" s="1028">
        <v>315301</v>
      </c>
      <c r="AC217" s="1028">
        <v>620151</v>
      </c>
    </row>
    <row r="218" spans="1:29" x14ac:dyDescent="0.3">
      <c r="A218" s="949"/>
      <c r="B218" s="496" t="s">
        <v>909</v>
      </c>
      <c r="C218" s="492">
        <v>3449</v>
      </c>
      <c r="D218" s="1028">
        <v>2019</v>
      </c>
      <c r="E218" s="1028">
        <v>5468</v>
      </c>
      <c r="F218" s="1028">
        <v>21</v>
      </c>
      <c r="G218" s="1028">
        <v>13</v>
      </c>
      <c r="H218" s="1028">
        <v>34</v>
      </c>
      <c r="I218" s="1028">
        <v>34137</v>
      </c>
      <c r="J218" s="1028">
        <v>45833</v>
      </c>
      <c r="K218" s="1028">
        <v>79970</v>
      </c>
      <c r="L218" s="1028">
        <v>184770</v>
      </c>
      <c r="M218" s="1028">
        <v>185154</v>
      </c>
      <c r="N218" s="1028">
        <v>369924</v>
      </c>
      <c r="O218" s="1028">
        <v>1096</v>
      </c>
      <c r="P218" s="1028">
        <v>1078</v>
      </c>
      <c r="Q218" s="1028">
        <v>2174</v>
      </c>
      <c r="R218" s="1028">
        <v>21760</v>
      </c>
      <c r="S218" s="1028">
        <v>7924</v>
      </c>
      <c r="T218" s="1028">
        <v>29684</v>
      </c>
      <c r="U218" s="1028">
        <v>294</v>
      </c>
      <c r="V218" s="1028">
        <v>79</v>
      </c>
      <c r="W218" s="1028">
        <v>373</v>
      </c>
      <c r="X218" s="1028">
        <v>3366</v>
      </c>
      <c r="Y218" s="1028">
        <v>2286</v>
      </c>
      <c r="Z218" s="1028">
        <v>5652</v>
      </c>
      <c r="AA218" s="1028">
        <v>248893</v>
      </c>
      <c r="AB218" s="1028">
        <v>244386</v>
      </c>
      <c r="AC218" s="1028">
        <v>493279</v>
      </c>
    </row>
    <row r="219" spans="1:29" x14ac:dyDescent="0.3">
      <c r="A219" s="949"/>
      <c r="B219" s="496" t="s">
        <v>908</v>
      </c>
      <c r="C219" s="492">
        <v>2903</v>
      </c>
      <c r="D219" s="1028">
        <v>1759</v>
      </c>
      <c r="E219" s="1028">
        <v>4662</v>
      </c>
      <c r="F219" s="1028">
        <v>18</v>
      </c>
      <c r="G219" s="1028">
        <v>9</v>
      </c>
      <c r="H219" s="1028">
        <v>27</v>
      </c>
      <c r="I219" s="1028">
        <v>32342</v>
      </c>
      <c r="J219" s="1028">
        <v>39584</v>
      </c>
      <c r="K219" s="1028">
        <v>71926</v>
      </c>
      <c r="L219" s="1028">
        <v>177767</v>
      </c>
      <c r="M219" s="1028">
        <v>174137</v>
      </c>
      <c r="N219" s="1028">
        <v>351904</v>
      </c>
      <c r="O219" s="1028">
        <v>1174</v>
      </c>
      <c r="P219" s="1028">
        <v>1105</v>
      </c>
      <c r="Q219" s="1028">
        <v>2279</v>
      </c>
      <c r="R219" s="1028">
        <v>23572</v>
      </c>
      <c r="S219" s="1028">
        <v>8585</v>
      </c>
      <c r="T219" s="1028">
        <v>32157</v>
      </c>
      <c r="U219" s="1028">
        <v>215</v>
      </c>
      <c r="V219" s="1028">
        <v>70</v>
      </c>
      <c r="W219" s="1028">
        <v>285</v>
      </c>
      <c r="X219" s="1028">
        <v>3092</v>
      </c>
      <c r="Y219" s="1028">
        <v>1923</v>
      </c>
      <c r="Z219" s="1028">
        <v>5015</v>
      </c>
      <c r="AA219" s="1028">
        <v>241083</v>
      </c>
      <c r="AB219" s="1028">
        <v>227172</v>
      </c>
      <c r="AC219" s="1028">
        <v>468255</v>
      </c>
    </row>
    <row r="220" spans="1:29" x14ac:dyDescent="0.3">
      <c r="A220" s="949">
        <v>35</v>
      </c>
      <c r="B220" s="488" t="s">
        <v>45</v>
      </c>
      <c r="C220" s="492"/>
      <c r="D220" s="1028"/>
      <c r="E220" s="1028"/>
      <c r="F220" s="1028"/>
      <c r="G220" s="1028"/>
      <c r="H220" s="1028"/>
      <c r="I220" s="1028"/>
      <c r="J220" s="1028"/>
      <c r="K220" s="1028"/>
      <c r="L220" s="1028"/>
      <c r="M220" s="1028"/>
      <c r="N220" s="1028"/>
      <c r="O220" s="1028"/>
      <c r="P220" s="1028"/>
      <c r="Q220" s="1028"/>
      <c r="R220" s="1028"/>
      <c r="S220" s="1028"/>
      <c r="T220" s="1028"/>
      <c r="U220" s="1028"/>
      <c r="V220" s="1028"/>
      <c r="W220" s="1028"/>
      <c r="X220" s="1028"/>
      <c r="Y220" s="1028"/>
      <c r="Z220" s="1028"/>
      <c r="AA220" s="1028"/>
      <c r="AB220" s="1028"/>
      <c r="AC220" s="1028"/>
    </row>
    <row r="221" spans="1:29" x14ac:dyDescent="0.3">
      <c r="A221" s="949"/>
      <c r="B221" s="488" t="s">
        <v>912</v>
      </c>
      <c r="C221" s="492">
        <v>7931</v>
      </c>
      <c r="D221" s="1028">
        <v>4640</v>
      </c>
      <c r="E221" s="1028">
        <v>12571</v>
      </c>
      <c r="F221" s="1028">
        <v>313</v>
      </c>
      <c r="G221" s="1028">
        <v>262</v>
      </c>
      <c r="H221" s="1028">
        <v>575</v>
      </c>
      <c r="I221" s="1028">
        <v>130707.5</v>
      </c>
      <c r="J221" s="1028">
        <v>186439.66666666669</v>
      </c>
      <c r="K221" s="1028">
        <v>317147.16666666669</v>
      </c>
      <c r="L221" s="1028">
        <v>1086423.166666667</v>
      </c>
      <c r="M221" s="1028">
        <v>1048737.166666667</v>
      </c>
      <c r="N221" s="1028">
        <v>2135160.333333333</v>
      </c>
      <c r="O221" s="1028">
        <v>3010</v>
      </c>
      <c r="P221" s="1028">
        <v>2048</v>
      </c>
      <c r="Q221" s="1028">
        <v>5058</v>
      </c>
      <c r="R221" s="1028">
        <v>117229</v>
      </c>
      <c r="S221" s="1028">
        <v>77824</v>
      </c>
      <c r="T221" s="1028">
        <v>195053</v>
      </c>
      <c r="U221" s="1028">
        <v>5265</v>
      </c>
      <c r="V221" s="1028">
        <v>5237</v>
      </c>
      <c r="W221" s="1028">
        <v>10502</v>
      </c>
      <c r="X221" s="1028">
        <v>9922</v>
      </c>
      <c r="Y221" s="1028">
        <v>6880</v>
      </c>
      <c r="Z221" s="1028">
        <v>16802</v>
      </c>
      <c r="AA221" s="1028">
        <v>1360800.666666667</v>
      </c>
      <c r="AB221" s="1028">
        <v>1332067.833333333</v>
      </c>
      <c r="AC221" s="1028">
        <v>2692868.5</v>
      </c>
    </row>
    <row r="222" spans="1:29" x14ac:dyDescent="0.3">
      <c r="A222" s="949"/>
      <c r="B222" s="496" t="s">
        <v>911</v>
      </c>
      <c r="C222" s="492">
        <v>8683</v>
      </c>
      <c r="D222" s="1028">
        <v>5103</v>
      </c>
      <c r="E222" s="1028">
        <v>13786</v>
      </c>
      <c r="F222" s="1028">
        <v>688</v>
      </c>
      <c r="G222" s="1028">
        <v>614</v>
      </c>
      <c r="H222" s="1028">
        <v>1302</v>
      </c>
      <c r="I222" s="1028">
        <v>126244</v>
      </c>
      <c r="J222" s="1028">
        <v>177120</v>
      </c>
      <c r="K222" s="1028">
        <v>303364</v>
      </c>
      <c r="L222" s="1028">
        <v>1106488</v>
      </c>
      <c r="M222" s="1028">
        <v>1080500</v>
      </c>
      <c r="N222" s="1028">
        <v>2186988</v>
      </c>
      <c r="O222" s="1028">
        <v>3130</v>
      </c>
      <c r="P222" s="1028">
        <v>2013</v>
      </c>
      <c r="Q222" s="1028">
        <v>5143</v>
      </c>
      <c r="R222" s="1028">
        <v>117513</v>
      </c>
      <c r="S222" s="1028">
        <v>72433</v>
      </c>
      <c r="T222" s="1028">
        <v>189946</v>
      </c>
      <c r="U222" s="1028">
        <v>3291</v>
      </c>
      <c r="V222" s="1028">
        <v>2115</v>
      </c>
      <c r="W222" s="1028">
        <v>5406</v>
      </c>
      <c r="X222" s="1028">
        <v>9590</v>
      </c>
      <c r="Y222" s="1028">
        <v>6626</v>
      </c>
      <c r="Z222" s="1028">
        <v>16216</v>
      </c>
      <c r="AA222" s="1028">
        <v>1375627</v>
      </c>
      <c r="AB222" s="1028">
        <v>1346524</v>
      </c>
      <c r="AC222" s="1028">
        <v>2722151</v>
      </c>
    </row>
    <row r="223" spans="1:29" x14ac:dyDescent="0.3">
      <c r="A223" s="949"/>
      <c r="B223" s="496" t="s">
        <v>910</v>
      </c>
      <c r="C223" s="492">
        <v>8757</v>
      </c>
      <c r="D223" s="1028">
        <v>5173</v>
      </c>
      <c r="E223" s="1028">
        <v>13930</v>
      </c>
      <c r="F223" s="1028">
        <v>1003</v>
      </c>
      <c r="G223" s="1028">
        <v>963</v>
      </c>
      <c r="H223" s="1028">
        <v>1966</v>
      </c>
      <c r="I223" s="1028">
        <v>79405</v>
      </c>
      <c r="J223" s="1028">
        <v>108051</v>
      </c>
      <c r="K223" s="1028">
        <v>187456</v>
      </c>
      <c r="L223" s="1028">
        <v>863390</v>
      </c>
      <c r="M223" s="1028">
        <v>929778</v>
      </c>
      <c r="N223" s="1028">
        <v>1793168</v>
      </c>
      <c r="O223" s="1028">
        <v>3440</v>
      </c>
      <c r="P223" s="1028">
        <v>2372</v>
      </c>
      <c r="Q223" s="1028">
        <v>5812</v>
      </c>
      <c r="R223" s="1028">
        <v>116868</v>
      </c>
      <c r="S223" s="1028">
        <v>74479</v>
      </c>
      <c r="T223" s="1028">
        <v>191347</v>
      </c>
      <c r="U223" s="1028">
        <v>3381</v>
      </c>
      <c r="V223" s="1028">
        <v>3119</v>
      </c>
      <c r="W223" s="1028">
        <v>6500</v>
      </c>
      <c r="X223" s="1028">
        <v>9939</v>
      </c>
      <c r="Y223" s="1028">
        <v>5418</v>
      </c>
      <c r="Z223" s="1028">
        <v>15357</v>
      </c>
      <c r="AA223" s="1028">
        <v>1086183</v>
      </c>
      <c r="AB223" s="1028">
        <v>1129353</v>
      </c>
      <c r="AC223" s="1028">
        <v>2215536</v>
      </c>
    </row>
    <row r="224" spans="1:29" x14ac:dyDescent="0.3">
      <c r="A224" s="949"/>
      <c r="B224" s="496" t="s">
        <v>909</v>
      </c>
      <c r="C224" s="492">
        <v>8063</v>
      </c>
      <c r="D224" s="1028">
        <v>4773</v>
      </c>
      <c r="E224" s="1028">
        <v>12836</v>
      </c>
      <c r="F224" s="1028">
        <v>1195</v>
      </c>
      <c r="G224" s="1028">
        <v>983</v>
      </c>
      <c r="H224" s="1028">
        <v>2178</v>
      </c>
      <c r="I224" s="1028">
        <v>62665</v>
      </c>
      <c r="J224" s="1028">
        <v>90360</v>
      </c>
      <c r="K224" s="1028">
        <v>153025</v>
      </c>
      <c r="L224" s="1028">
        <v>865130</v>
      </c>
      <c r="M224" s="1028">
        <v>924953</v>
      </c>
      <c r="N224" s="1028">
        <v>1790083</v>
      </c>
      <c r="O224" s="1028">
        <v>3390</v>
      </c>
      <c r="P224" s="1028">
        <v>2129</v>
      </c>
      <c r="Q224" s="1028">
        <v>5519</v>
      </c>
      <c r="R224" s="1028">
        <v>114991</v>
      </c>
      <c r="S224" s="1028">
        <v>58776</v>
      </c>
      <c r="T224" s="1028">
        <v>173767</v>
      </c>
      <c r="U224" s="1028">
        <v>4859</v>
      </c>
      <c r="V224" s="1028">
        <v>3695</v>
      </c>
      <c r="W224" s="1028">
        <v>8554</v>
      </c>
      <c r="X224" s="1028">
        <v>9336</v>
      </c>
      <c r="Y224" s="1028">
        <v>5595</v>
      </c>
      <c r="Z224" s="1028">
        <v>14931</v>
      </c>
      <c r="AA224" s="1028">
        <v>1069629</v>
      </c>
      <c r="AB224" s="1028">
        <v>1091264</v>
      </c>
      <c r="AC224" s="1028">
        <v>2160893</v>
      </c>
    </row>
    <row r="225" spans="1:29" x14ac:dyDescent="0.3">
      <c r="A225" s="949"/>
      <c r="B225" s="496" t="s">
        <v>908</v>
      </c>
      <c r="C225" s="492">
        <v>7161</v>
      </c>
      <c r="D225" s="1028">
        <v>4570</v>
      </c>
      <c r="E225" s="1028">
        <v>11731</v>
      </c>
      <c r="F225" s="1028">
        <v>959</v>
      </c>
      <c r="G225" s="1028">
        <v>803</v>
      </c>
      <c r="H225" s="1028">
        <v>1762</v>
      </c>
      <c r="I225" s="1028">
        <v>66871</v>
      </c>
      <c r="J225" s="1028">
        <v>94793</v>
      </c>
      <c r="K225" s="1028">
        <v>161664</v>
      </c>
      <c r="L225" s="1028">
        <v>851156</v>
      </c>
      <c r="M225" s="1028">
        <v>874504</v>
      </c>
      <c r="N225" s="1028">
        <v>1725660</v>
      </c>
      <c r="O225" s="1028">
        <v>3120</v>
      </c>
      <c r="P225" s="1028">
        <v>2437</v>
      </c>
      <c r="Q225" s="1028">
        <v>5557</v>
      </c>
      <c r="R225" s="1028">
        <v>113292</v>
      </c>
      <c r="S225" s="1028">
        <v>55408</v>
      </c>
      <c r="T225" s="1028">
        <v>168700</v>
      </c>
      <c r="U225" s="1028">
        <v>4808</v>
      </c>
      <c r="V225" s="1028">
        <v>3628</v>
      </c>
      <c r="W225" s="1028">
        <v>8436</v>
      </c>
      <c r="X225" s="1028">
        <v>9144</v>
      </c>
      <c r="Y225" s="1028">
        <v>4756</v>
      </c>
      <c r="Z225" s="1028">
        <v>13900</v>
      </c>
      <c r="AA225" s="1028">
        <v>1056511</v>
      </c>
      <c r="AB225" s="1028">
        <v>1040899</v>
      </c>
      <c r="AC225" s="1028">
        <v>2097410</v>
      </c>
    </row>
  </sheetData>
  <mergeCells count="49">
    <mergeCell ref="C1:H1"/>
    <mergeCell ref="A220:A225"/>
    <mergeCell ref="A154:A159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08:A213"/>
    <mergeCell ref="A214:A219"/>
    <mergeCell ref="A148:A153"/>
    <mergeCell ref="A83:A88"/>
    <mergeCell ref="A89:A94"/>
    <mergeCell ref="A124:A129"/>
    <mergeCell ref="A130:A135"/>
    <mergeCell ref="A136:A141"/>
    <mergeCell ref="A142:A147"/>
    <mergeCell ref="A77:A82"/>
    <mergeCell ref="A95:A100"/>
    <mergeCell ref="A101:A106"/>
    <mergeCell ref="A107:A111"/>
    <mergeCell ref="A112:A117"/>
    <mergeCell ref="A118:A123"/>
    <mergeCell ref="A71:A76"/>
    <mergeCell ref="O2:Q2"/>
    <mergeCell ref="R2:T2"/>
    <mergeCell ref="U2:W2"/>
    <mergeCell ref="X2:Z2"/>
    <mergeCell ref="A41:A46"/>
    <mergeCell ref="A47:A52"/>
    <mergeCell ref="A53:A58"/>
    <mergeCell ref="A59:A64"/>
    <mergeCell ref="A65:A70"/>
    <mergeCell ref="A11:A16"/>
    <mergeCell ref="A17:A22"/>
    <mergeCell ref="A23:A28"/>
    <mergeCell ref="A29:A34"/>
    <mergeCell ref="A35:A40"/>
    <mergeCell ref="AA2:AC2"/>
    <mergeCell ref="I2:K2"/>
    <mergeCell ref="L2:N2"/>
    <mergeCell ref="A5:A10"/>
    <mergeCell ref="A2:A3"/>
    <mergeCell ref="B2:B3"/>
    <mergeCell ref="C2:E2"/>
    <mergeCell ref="F2:H2"/>
  </mergeCells>
  <pageMargins left="0.59055118110236227" right="0.35433070866141736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2022-23&amp;RT-43</oddFooter>
  </headerFooter>
  <rowBreaks count="1" manualBreakCount="1">
    <brk id="135" max="28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E0A7-6A12-41BF-BDE8-492A910BECA6}">
  <sheetPr codeName="Sheet8">
    <tabColor rgb="FF92D050"/>
  </sheetPr>
  <dimension ref="A1:AC225"/>
  <sheetViews>
    <sheetView showZeros="0" view="pageBreakPreview" zoomScale="94" zoomScaleSheetLayoutView="94" workbookViewId="0">
      <pane xSplit="2" ySplit="3" topLeftCell="Q32" activePane="bottomRight" state="frozen"/>
      <selection activeCell="S20" sqref="S20"/>
      <selection pane="topRight" activeCell="S20" sqref="S20"/>
      <selection pane="bottomLeft" activeCell="S20" sqref="S20"/>
      <selection pane="bottomRight" activeCell="T35" sqref="T35"/>
    </sheetView>
  </sheetViews>
  <sheetFormatPr defaultColWidth="9.1796875" defaultRowHeight="14" x14ac:dyDescent="0.35"/>
  <cols>
    <col min="1" max="1" width="4.453125" style="392" bestFit="1" customWidth="1"/>
    <col min="2" max="2" width="31" style="392" customWidth="1"/>
    <col min="3" max="5" width="10.1796875" style="1051" bestFit="1" customWidth="1"/>
    <col min="6" max="6" width="8.36328125" style="1051" bestFit="1" customWidth="1"/>
    <col min="7" max="7" width="8.54296875" style="1051" bestFit="1" customWidth="1"/>
    <col min="8" max="8" width="8.36328125" style="1051" bestFit="1" customWidth="1"/>
    <col min="9" max="11" width="11.26953125" style="1051" bestFit="1" customWidth="1"/>
    <col min="12" max="14" width="13.08984375" style="1051" bestFit="1" customWidth="1"/>
    <col min="15" max="15" width="8.36328125" style="1051" bestFit="1" customWidth="1"/>
    <col min="16" max="16" width="8.54296875" style="1051" bestFit="1" customWidth="1"/>
    <col min="17" max="17" width="10.1796875" style="1051" bestFit="1" customWidth="1"/>
    <col min="18" max="20" width="11.26953125" style="1051" bestFit="1" customWidth="1"/>
    <col min="21" max="21" width="8.36328125" style="1051" bestFit="1" customWidth="1"/>
    <col min="22" max="22" width="8.54296875" style="1051" bestFit="1" customWidth="1"/>
    <col min="23" max="26" width="10.1796875" style="1051" bestFit="1" customWidth="1"/>
    <col min="27" max="29" width="13.08984375" style="1051" bestFit="1" customWidth="1"/>
    <col min="30" max="16384" width="9.1796875" style="392"/>
  </cols>
  <sheetData>
    <row r="1" spans="1:29" s="504" customFormat="1" ht="18.649999999999999" customHeight="1" x14ac:dyDescent="0.35">
      <c r="B1" s="504" t="s">
        <v>978</v>
      </c>
      <c r="C1" s="1031" t="s">
        <v>1053</v>
      </c>
      <c r="D1" s="1031"/>
      <c r="E1" s="1031"/>
      <c r="F1" s="1031"/>
      <c r="G1" s="1031"/>
      <c r="H1" s="1031"/>
      <c r="I1" s="1031"/>
      <c r="J1" s="1031"/>
      <c r="K1" s="1031"/>
      <c r="L1" s="1031" t="str">
        <f>C1</f>
        <v>Student Enrolment Trends at Various Levels in Regular Mode Over the Last 5 Years</v>
      </c>
      <c r="M1" s="1031"/>
      <c r="N1" s="1031"/>
      <c r="O1" s="1031"/>
      <c r="P1" s="1031"/>
      <c r="Q1" s="1031"/>
      <c r="R1" s="1031"/>
      <c r="S1" s="1031"/>
      <c r="T1" s="1031"/>
      <c r="U1" s="1031" t="str">
        <f>L1</f>
        <v>Student Enrolment Trends at Various Levels in Regular Mode Over the Last 5 Years</v>
      </c>
      <c r="V1" s="1031"/>
      <c r="W1" s="1031"/>
      <c r="X1" s="1031"/>
      <c r="Y1" s="1031"/>
      <c r="Z1" s="1031"/>
      <c r="AA1" s="1031"/>
      <c r="AB1" s="1031"/>
      <c r="AC1" s="1031"/>
    </row>
    <row r="2" spans="1:29" s="507" customFormat="1" ht="14.5" customHeight="1" x14ac:dyDescent="0.35">
      <c r="A2" s="965" t="s">
        <v>974</v>
      </c>
      <c r="B2" s="962" t="s">
        <v>50</v>
      </c>
      <c r="C2" s="1032" t="s">
        <v>85</v>
      </c>
      <c r="D2" s="1033"/>
      <c r="E2" s="1033"/>
      <c r="F2" s="1032" t="s">
        <v>86</v>
      </c>
      <c r="G2" s="1033"/>
      <c r="H2" s="1033"/>
      <c r="I2" s="1032" t="s">
        <v>87</v>
      </c>
      <c r="J2" s="1033"/>
      <c r="K2" s="1033"/>
      <c r="L2" s="1032" t="s">
        <v>88</v>
      </c>
      <c r="M2" s="1033"/>
      <c r="N2" s="1033"/>
      <c r="O2" s="1032" t="s">
        <v>89</v>
      </c>
      <c r="P2" s="1033"/>
      <c r="Q2" s="1033"/>
      <c r="R2" s="1032" t="s">
        <v>90</v>
      </c>
      <c r="S2" s="1033"/>
      <c r="T2" s="1033"/>
      <c r="U2" s="1032" t="s">
        <v>91</v>
      </c>
      <c r="V2" s="1033"/>
      <c r="W2" s="1033"/>
      <c r="X2" s="1032" t="s">
        <v>92</v>
      </c>
      <c r="Y2" s="1033"/>
      <c r="Z2" s="1033"/>
      <c r="AA2" s="1032" t="s">
        <v>12</v>
      </c>
      <c r="AB2" s="1033"/>
      <c r="AC2" s="1033"/>
    </row>
    <row r="3" spans="1:29" s="507" customFormat="1" ht="18" customHeight="1" x14ac:dyDescent="0.35">
      <c r="A3" s="966"/>
      <c r="B3" s="962"/>
      <c r="C3" s="1034" t="s">
        <v>93</v>
      </c>
      <c r="D3" s="1034" t="s">
        <v>94</v>
      </c>
      <c r="E3" s="1034" t="s">
        <v>975</v>
      </c>
      <c r="F3" s="1034" t="s">
        <v>93</v>
      </c>
      <c r="G3" s="1034" t="s">
        <v>94</v>
      </c>
      <c r="H3" s="1034" t="s">
        <v>975</v>
      </c>
      <c r="I3" s="1034" t="s">
        <v>93</v>
      </c>
      <c r="J3" s="1034" t="s">
        <v>94</v>
      </c>
      <c r="K3" s="1034" t="s">
        <v>975</v>
      </c>
      <c r="L3" s="1034" t="s">
        <v>93</v>
      </c>
      <c r="M3" s="1034" t="s">
        <v>94</v>
      </c>
      <c r="N3" s="1034" t="s">
        <v>975</v>
      </c>
      <c r="O3" s="1034" t="s">
        <v>93</v>
      </c>
      <c r="P3" s="1034" t="s">
        <v>94</v>
      </c>
      <c r="Q3" s="1034" t="s">
        <v>975</v>
      </c>
      <c r="R3" s="1034" t="s">
        <v>93</v>
      </c>
      <c r="S3" s="1034" t="s">
        <v>94</v>
      </c>
      <c r="T3" s="1034" t="s">
        <v>975</v>
      </c>
      <c r="U3" s="1034" t="s">
        <v>93</v>
      </c>
      <c r="V3" s="1034" t="s">
        <v>94</v>
      </c>
      <c r="W3" s="1034" t="s">
        <v>975</v>
      </c>
      <c r="X3" s="1034" t="s">
        <v>93</v>
      </c>
      <c r="Y3" s="1034" t="s">
        <v>94</v>
      </c>
      <c r="Z3" s="1034" t="s">
        <v>975</v>
      </c>
      <c r="AA3" s="1034" t="s">
        <v>93</v>
      </c>
      <c r="AB3" s="1034" t="s">
        <v>94</v>
      </c>
      <c r="AC3" s="1034" t="s">
        <v>975</v>
      </c>
    </row>
    <row r="4" spans="1:29" s="507" customFormat="1" x14ac:dyDescent="0.35">
      <c r="A4" s="393">
        <v>1</v>
      </c>
      <c r="B4" s="394">
        <v>2</v>
      </c>
      <c r="C4" s="1035">
        <v>3</v>
      </c>
      <c r="D4" s="1036">
        <v>4</v>
      </c>
      <c r="E4" s="1035">
        <v>5</v>
      </c>
      <c r="F4" s="1035">
        <v>6</v>
      </c>
      <c r="G4" s="1036">
        <v>7</v>
      </c>
      <c r="H4" s="1035">
        <v>8</v>
      </c>
      <c r="I4" s="1035">
        <v>9</v>
      </c>
      <c r="J4" s="1036">
        <v>10</v>
      </c>
      <c r="K4" s="1035">
        <v>11</v>
      </c>
      <c r="L4" s="1035">
        <v>12</v>
      </c>
      <c r="M4" s="1036">
        <v>13</v>
      </c>
      <c r="N4" s="1035">
        <v>14</v>
      </c>
      <c r="O4" s="1035">
        <v>15</v>
      </c>
      <c r="P4" s="1036">
        <v>16</v>
      </c>
      <c r="Q4" s="1035">
        <v>17</v>
      </c>
      <c r="R4" s="1035">
        <v>18</v>
      </c>
      <c r="S4" s="1036">
        <v>19</v>
      </c>
      <c r="T4" s="1035">
        <v>20</v>
      </c>
      <c r="U4" s="1035">
        <v>21</v>
      </c>
      <c r="V4" s="1036">
        <v>22</v>
      </c>
      <c r="W4" s="1035">
        <v>23</v>
      </c>
      <c r="X4" s="1035">
        <v>24</v>
      </c>
      <c r="Y4" s="1036">
        <v>25</v>
      </c>
      <c r="Z4" s="1035">
        <v>26</v>
      </c>
      <c r="AA4" s="1035">
        <v>27</v>
      </c>
      <c r="AB4" s="1036">
        <v>28</v>
      </c>
      <c r="AC4" s="1036">
        <v>29</v>
      </c>
    </row>
    <row r="5" spans="1:29" x14ac:dyDescent="0.35">
      <c r="A5" s="963"/>
      <c r="B5" s="505" t="s">
        <v>913</v>
      </c>
      <c r="C5" s="1037"/>
      <c r="D5" s="1038"/>
      <c r="E5" s="1038"/>
      <c r="F5" s="1038"/>
      <c r="G5" s="1038"/>
      <c r="H5" s="1038"/>
      <c r="I5" s="1038"/>
      <c r="J5" s="1038"/>
      <c r="K5" s="1039"/>
      <c r="L5" s="1037"/>
      <c r="M5" s="1038"/>
      <c r="N5" s="1038"/>
      <c r="O5" s="1038"/>
      <c r="P5" s="1038"/>
      <c r="Q5" s="1038"/>
      <c r="R5" s="1038"/>
      <c r="S5" s="1038"/>
      <c r="T5" s="1039"/>
      <c r="U5" s="1037"/>
      <c r="V5" s="1038"/>
      <c r="W5" s="1038"/>
      <c r="X5" s="1038"/>
      <c r="Y5" s="1038"/>
      <c r="Z5" s="1038"/>
      <c r="AA5" s="1038"/>
      <c r="AB5" s="1038"/>
      <c r="AC5" s="1038"/>
    </row>
    <row r="6" spans="1:29" x14ac:dyDescent="0.35">
      <c r="A6" s="964"/>
      <c r="B6" s="505" t="s">
        <v>912</v>
      </c>
      <c r="C6" s="1037">
        <v>120953</v>
      </c>
      <c r="D6" s="1038">
        <v>112437</v>
      </c>
      <c r="E6" s="1038">
        <v>233390</v>
      </c>
      <c r="F6" s="1038">
        <v>1270</v>
      </c>
      <c r="G6" s="1038">
        <v>1964</v>
      </c>
      <c r="H6" s="1038">
        <v>3234</v>
      </c>
      <c r="I6" s="1038">
        <v>1753126</v>
      </c>
      <c r="J6" s="1038">
        <v>2269294</v>
      </c>
      <c r="K6" s="1039">
        <v>4022421</v>
      </c>
      <c r="L6" s="1037">
        <v>15863254</v>
      </c>
      <c r="M6" s="1038">
        <v>15404651</v>
      </c>
      <c r="N6" s="1038">
        <v>31267906</v>
      </c>
      <c r="O6" s="1038">
        <v>84246</v>
      </c>
      <c r="P6" s="1038">
        <v>75528</v>
      </c>
      <c r="Q6" s="1038">
        <v>159774</v>
      </c>
      <c r="R6" s="1038">
        <v>1852066</v>
      </c>
      <c r="S6" s="1038">
        <v>1129499</v>
      </c>
      <c r="T6" s="1039">
        <v>2981565</v>
      </c>
      <c r="U6" s="1037">
        <v>51717</v>
      </c>
      <c r="V6" s="1038">
        <v>59102</v>
      </c>
      <c r="W6" s="1038">
        <v>110819</v>
      </c>
      <c r="X6" s="1038">
        <v>284914</v>
      </c>
      <c r="Y6" s="1038">
        <v>253622</v>
      </c>
      <c r="Z6" s="1038">
        <v>538536</v>
      </c>
      <c r="AA6" s="1038">
        <v>20011547</v>
      </c>
      <c r="AB6" s="1038">
        <v>19306098</v>
      </c>
      <c r="AC6" s="1038">
        <v>39317644</v>
      </c>
    </row>
    <row r="7" spans="1:29" x14ac:dyDescent="0.35">
      <c r="A7" s="964"/>
      <c r="B7" s="395" t="s">
        <v>911</v>
      </c>
      <c r="C7" s="1037">
        <v>113902</v>
      </c>
      <c r="D7" s="1038">
        <v>98620</v>
      </c>
      <c r="E7" s="1038">
        <v>212522</v>
      </c>
      <c r="F7" s="1038">
        <v>3373</v>
      </c>
      <c r="G7" s="1038">
        <v>6118</v>
      </c>
      <c r="H7" s="1038">
        <v>9491</v>
      </c>
      <c r="I7" s="1038">
        <v>1646130</v>
      </c>
      <c r="J7" s="1038">
        <v>2108957</v>
      </c>
      <c r="K7" s="1039">
        <v>3755087</v>
      </c>
      <c r="L7" s="1037">
        <v>15807973</v>
      </c>
      <c r="M7" s="1038">
        <v>14895250</v>
      </c>
      <c r="N7" s="1038">
        <v>30703223</v>
      </c>
      <c r="O7" s="1038">
        <v>74052</v>
      </c>
      <c r="P7" s="1038">
        <v>65255</v>
      </c>
      <c r="Q7" s="1038">
        <v>139307</v>
      </c>
      <c r="R7" s="1038">
        <v>1811927</v>
      </c>
      <c r="S7" s="1038">
        <v>1002038</v>
      </c>
      <c r="T7" s="1039">
        <v>2813965</v>
      </c>
      <c r="U7" s="1037">
        <v>27509</v>
      </c>
      <c r="V7" s="1038">
        <v>25635</v>
      </c>
      <c r="W7" s="1038">
        <v>53144</v>
      </c>
      <c r="X7" s="1038">
        <v>248416</v>
      </c>
      <c r="Y7" s="1038">
        <v>211932</v>
      </c>
      <c r="Z7" s="1038">
        <v>460348</v>
      </c>
      <c r="AA7" s="1038">
        <v>19733282</v>
      </c>
      <c r="AB7" s="1038">
        <v>18413805</v>
      </c>
      <c r="AC7" s="1038">
        <v>38147087</v>
      </c>
    </row>
    <row r="8" spans="1:29" x14ac:dyDescent="0.35">
      <c r="A8" s="964"/>
      <c r="B8" s="395" t="s">
        <v>910</v>
      </c>
      <c r="C8" s="1040">
        <v>116756</v>
      </c>
      <c r="D8" s="1040">
        <v>95086</v>
      </c>
      <c r="E8" s="1040">
        <v>211842</v>
      </c>
      <c r="F8" s="1040">
        <v>6345</v>
      </c>
      <c r="G8" s="1040">
        <v>10399</v>
      </c>
      <c r="H8" s="1040">
        <v>16744</v>
      </c>
      <c r="I8" s="1040">
        <v>1496213</v>
      </c>
      <c r="J8" s="1040">
        <v>1955015</v>
      </c>
      <c r="K8" s="1040">
        <v>3451228</v>
      </c>
      <c r="L8" s="1040">
        <v>15009256</v>
      </c>
      <c r="M8" s="1040">
        <v>14687217</v>
      </c>
      <c r="N8" s="1040">
        <v>29696473</v>
      </c>
      <c r="O8" s="1040">
        <v>69158</v>
      </c>
      <c r="P8" s="1040">
        <v>60147</v>
      </c>
      <c r="Q8" s="1040">
        <v>129305</v>
      </c>
      <c r="R8" s="1040">
        <v>1797136</v>
      </c>
      <c r="S8" s="1040">
        <v>1021519</v>
      </c>
      <c r="T8" s="1040">
        <v>2818655</v>
      </c>
      <c r="U8" s="1040">
        <v>52362</v>
      </c>
      <c r="V8" s="1040">
        <v>47042</v>
      </c>
      <c r="W8" s="1040">
        <v>99404</v>
      </c>
      <c r="X8" s="1040">
        <v>211932</v>
      </c>
      <c r="Y8" s="1040">
        <v>173256</v>
      </c>
      <c r="Z8" s="1040">
        <v>385188</v>
      </c>
      <c r="AA8" s="1040">
        <v>18759158</v>
      </c>
      <c r="AB8" s="1040">
        <v>18049681</v>
      </c>
      <c r="AC8" s="1040">
        <v>36808839</v>
      </c>
    </row>
    <row r="9" spans="1:29" x14ac:dyDescent="0.35">
      <c r="A9" s="964"/>
      <c r="B9" s="395" t="s">
        <v>909</v>
      </c>
      <c r="C9" s="1041">
        <v>111400</v>
      </c>
      <c r="D9" s="1041">
        <v>91049</v>
      </c>
      <c r="E9" s="1041">
        <v>202449</v>
      </c>
      <c r="F9" s="1041">
        <v>9010</v>
      </c>
      <c r="G9" s="1041">
        <v>14855</v>
      </c>
      <c r="H9" s="1041">
        <v>23865</v>
      </c>
      <c r="I9" s="1041">
        <v>1355452</v>
      </c>
      <c r="J9" s="1041">
        <v>1835637</v>
      </c>
      <c r="K9" s="1041">
        <v>3191089</v>
      </c>
      <c r="L9" s="1041">
        <v>13817639</v>
      </c>
      <c r="M9" s="1041">
        <v>13911801</v>
      </c>
      <c r="N9" s="1041">
        <v>27729440</v>
      </c>
      <c r="O9" s="1041">
        <v>65483</v>
      </c>
      <c r="P9" s="1041">
        <v>62800</v>
      </c>
      <c r="Q9" s="1041">
        <v>128283</v>
      </c>
      <c r="R9" s="1041">
        <v>1681882</v>
      </c>
      <c r="S9" s="1041">
        <v>870620</v>
      </c>
      <c r="T9" s="1041">
        <v>2552502</v>
      </c>
      <c r="U9" s="1041">
        <v>55369</v>
      </c>
      <c r="V9" s="1041">
        <v>69754</v>
      </c>
      <c r="W9" s="1041">
        <v>125123</v>
      </c>
      <c r="X9" s="1041">
        <v>167938</v>
      </c>
      <c r="Y9" s="1041">
        <v>128748</v>
      </c>
      <c r="Z9" s="1041">
        <v>296686</v>
      </c>
      <c r="AA9" s="1041">
        <v>17264173</v>
      </c>
      <c r="AB9" s="1041">
        <v>16985264</v>
      </c>
      <c r="AC9" s="1041">
        <v>34249437</v>
      </c>
    </row>
    <row r="10" spans="1:29" x14ac:dyDescent="0.35">
      <c r="A10" s="964"/>
      <c r="B10" s="395" t="s">
        <v>908</v>
      </c>
      <c r="C10" s="1040">
        <v>95015</v>
      </c>
      <c r="D10" s="1040">
        <v>74102</v>
      </c>
      <c r="E10" s="1040">
        <v>169117</v>
      </c>
      <c r="F10" s="1040">
        <v>11623</v>
      </c>
      <c r="G10" s="1040">
        <v>19069</v>
      </c>
      <c r="H10" s="1040">
        <v>30692</v>
      </c>
      <c r="I10" s="1040">
        <v>1306690</v>
      </c>
      <c r="J10" s="1040">
        <v>1736745</v>
      </c>
      <c r="K10" s="1040">
        <v>3043435</v>
      </c>
      <c r="L10" s="1040">
        <v>13586745</v>
      </c>
      <c r="M10" s="1040">
        <v>13542118</v>
      </c>
      <c r="N10" s="1040">
        <v>27128863</v>
      </c>
      <c r="O10" s="1040">
        <v>64495</v>
      </c>
      <c r="P10" s="1040">
        <v>60825</v>
      </c>
      <c r="Q10" s="1040">
        <v>125320</v>
      </c>
      <c r="R10" s="1040">
        <v>1732260</v>
      </c>
      <c r="S10" s="1040">
        <v>836941</v>
      </c>
      <c r="T10" s="1040">
        <v>2569201</v>
      </c>
      <c r="U10" s="1040">
        <v>55074</v>
      </c>
      <c r="V10" s="1040">
        <v>64805</v>
      </c>
      <c r="W10" s="1040">
        <v>119879</v>
      </c>
      <c r="X10" s="1040">
        <v>138422</v>
      </c>
      <c r="Y10" s="1040">
        <v>102391</v>
      </c>
      <c r="Z10" s="1040">
        <v>240813</v>
      </c>
      <c r="AA10" s="1040">
        <v>16990324</v>
      </c>
      <c r="AB10" s="1040">
        <v>16436996</v>
      </c>
      <c r="AC10" s="1040">
        <v>33427320</v>
      </c>
    </row>
    <row r="11" spans="1:29" ht="15.5" x14ac:dyDescent="0.35">
      <c r="A11" s="963">
        <v>1</v>
      </c>
      <c r="B11" s="505" t="s">
        <v>116</v>
      </c>
      <c r="C11" s="1042"/>
      <c r="D11" s="1038"/>
      <c r="E11" s="1038"/>
      <c r="F11" s="1038"/>
      <c r="G11" s="1038"/>
      <c r="H11" s="1038"/>
      <c r="I11" s="1038"/>
      <c r="J11" s="1038"/>
      <c r="K11" s="1039"/>
      <c r="L11" s="1037"/>
      <c r="M11" s="1038"/>
      <c r="N11" s="1038"/>
      <c r="O11" s="1038"/>
      <c r="P11" s="1038"/>
      <c r="Q11" s="1038"/>
      <c r="R11" s="1038"/>
      <c r="S11" s="1038"/>
      <c r="T11" s="1039"/>
      <c r="U11" s="1037"/>
      <c r="V11" s="1038"/>
      <c r="W11" s="1038"/>
      <c r="X11" s="1038"/>
      <c r="Y11" s="1038"/>
      <c r="Z11" s="1038"/>
      <c r="AA11" s="1038"/>
      <c r="AB11" s="1038"/>
      <c r="AC11" s="1038"/>
    </row>
    <row r="12" spans="1:29" x14ac:dyDescent="0.35">
      <c r="A12" s="964"/>
      <c r="B12" s="505" t="s">
        <v>912</v>
      </c>
      <c r="C12" s="1037"/>
      <c r="D12" s="1038"/>
      <c r="E12" s="1038"/>
      <c r="F12" s="1038"/>
      <c r="G12" s="1038"/>
      <c r="H12" s="1038"/>
      <c r="I12" s="1038"/>
      <c r="J12" s="1038"/>
      <c r="K12" s="1039"/>
      <c r="L12" s="1037">
        <v>1156</v>
      </c>
      <c r="M12" s="1038">
        <v>1074</v>
      </c>
      <c r="N12" s="1038">
        <v>2230</v>
      </c>
      <c r="O12" s="1038"/>
      <c r="P12" s="1038"/>
      <c r="Q12" s="1038"/>
      <c r="R12" s="1038">
        <v>429</v>
      </c>
      <c r="S12" s="1038">
        <v>312</v>
      </c>
      <c r="T12" s="1039">
        <v>741</v>
      </c>
      <c r="U12" s="1037"/>
      <c r="V12" s="1038"/>
      <c r="W12" s="1038"/>
      <c r="X12" s="1038">
        <v>48</v>
      </c>
      <c r="Y12" s="1038">
        <v>131</v>
      </c>
      <c r="Z12" s="1038">
        <v>179</v>
      </c>
      <c r="AA12" s="1038">
        <v>1633</v>
      </c>
      <c r="AB12" s="1038">
        <v>1517</v>
      </c>
      <c r="AC12" s="1038">
        <v>3150</v>
      </c>
    </row>
    <row r="13" spans="1:29" x14ac:dyDescent="0.35">
      <c r="A13" s="964"/>
      <c r="B13" s="395" t="s">
        <v>911</v>
      </c>
      <c r="C13" s="1037">
        <v>5</v>
      </c>
      <c r="D13" s="1038">
        <v>9</v>
      </c>
      <c r="E13" s="1038">
        <v>14</v>
      </c>
      <c r="F13" s="1038"/>
      <c r="G13" s="1038"/>
      <c r="H13" s="1038"/>
      <c r="I13" s="1038">
        <v>69</v>
      </c>
      <c r="J13" s="1038">
        <v>283</v>
      </c>
      <c r="K13" s="1039">
        <v>352</v>
      </c>
      <c r="L13" s="1037">
        <v>2259</v>
      </c>
      <c r="M13" s="1038">
        <v>3231</v>
      </c>
      <c r="N13" s="1038">
        <v>5490</v>
      </c>
      <c r="O13" s="1038"/>
      <c r="P13" s="1038"/>
      <c r="Q13" s="1038"/>
      <c r="R13" s="1038">
        <v>544</v>
      </c>
      <c r="S13" s="1038">
        <v>377</v>
      </c>
      <c r="T13" s="1039">
        <v>921</v>
      </c>
      <c r="U13" s="1037">
        <v>39</v>
      </c>
      <c r="V13" s="1038">
        <v>33</v>
      </c>
      <c r="W13" s="1038">
        <v>72</v>
      </c>
      <c r="X13" s="1038">
        <v>193</v>
      </c>
      <c r="Y13" s="1038">
        <v>355</v>
      </c>
      <c r="Z13" s="1038">
        <v>548</v>
      </c>
      <c r="AA13" s="1038">
        <v>3109</v>
      </c>
      <c r="AB13" s="1038">
        <v>4288</v>
      </c>
      <c r="AC13" s="1038">
        <v>7397</v>
      </c>
    </row>
    <row r="14" spans="1:29" x14ac:dyDescent="0.35">
      <c r="A14" s="964"/>
      <c r="B14" s="395" t="s">
        <v>910</v>
      </c>
      <c r="C14" s="1040">
        <v>7</v>
      </c>
      <c r="D14" s="1040">
        <v>12</v>
      </c>
      <c r="E14" s="1040">
        <v>19</v>
      </c>
      <c r="F14" s="1040">
        <v>0</v>
      </c>
      <c r="G14" s="1040">
        <v>0</v>
      </c>
      <c r="H14" s="1040">
        <v>0</v>
      </c>
      <c r="I14" s="1040">
        <v>69</v>
      </c>
      <c r="J14" s="1040">
        <v>283</v>
      </c>
      <c r="K14" s="1040">
        <v>352</v>
      </c>
      <c r="L14" s="1040">
        <v>2473</v>
      </c>
      <c r="M14" s="1040">
        <v>3423</v>
      </c>
      <c r="N14" s="1040">
        <v>5896</v>
      </c>
      <c r="O14" s="1040">
        <v>14</v>
      </c>
      <c r="P14" s="1040">
        <v>0</v>
      </c>
      <c r="Q14" s="1040">
        <v>14</v>
      </c>
      <c r="R14" s="1040">
        <v>601</v>
      </c>
      <c r="S14" s="1040">
        <v>414</v>
      </c>
      <c r="T14" s="1040">
        <v>1015</v>
      </c>
      <c r="U14" s="1040">
        <v>39</v>
      </c>
      <c r="V14" s="1040">
        <v>33</v>
      </c>
      <c r="W14" s="1040">
        <v>72</v>
      </c>
      <c r="X14" s="1040">
        <v>145</v>
      </c>
      <c r="Y14" s="1040">
        <v>224</v>
      </c>
      <c r="Z14" s="1040">
        <v>369</v>
      </c>
      <c r="AA14" s="1040">
        <v>3348</v>
      </c>
      <c r="AB14" s="1040">
        <v>4389</v>
      </c>
      <c r="AC14" s="1040">
        <v>7737</v>
      </c>
    </row>
    <row r="15" spans="1:29" x14ac:dyDescent="0.35">
      <c r="A15" s="964"/>
      <c r="B15" s="395" t="s">
        <v>909</v>
      </c>
      <c r="C15" s="1041">
        <v>5</v>
      </c>
      <c r="D15" s="1041">
        <v>9</v>
      </c>
      <c r="E15" s="1041">
        <v>14</v>
      </c>
      <c r="F15" s="1041">
        <v>0</v>
      </c>
      <c r="G15" s="1041">
        <v>0</v>
      </c>
      <c r="H15" s="1041">
        <v>0</v>
      </c>
      <c r="I15" s="1041">
        <v>69</v>
      </c>
      <c r="J15" s="1041">
        <v>283</v>
      </c>
      <c r="K15" s="1041">
        <v>352</v>
      </c>
      <c r="L15" s="1041">
        <v>1933</v>
      </c>
      <c r="M15" s="1041">
        <v>2757</v>
      </c>
      <c r="N15" s="1041">
        <v>4690</v>
      </c>
      <c r="O15" s="1041">
        <v>0</v>
      </c>
      <c r="P15" s="1041">
        <v>0</v>
      </c>
      <c r="Q15" s="1041">
        <v>0</v>
      </c>
      <c r="R15" s="1041">
        <v>293</v>
      </c>
      <c r="S15" s="1041">
        <v>231</v>
      </c>
      <c r="T15" s="1041">
        <v>524</v>
      </c>
      <c r="U15" s="1041">
        <v>46</v>
      </c>
      <c r="V15" s="1041">
        <v>36</v>
      </c>
      <c r="W15" s="1041">
        <v>82</v>
      </c>
      <c r="X15" s="1041">
        <v>145</v>
      </c>
      <c r="Y15" s="1041">
        <v>224</v>
      </c>
      <c r="Z15" s="1041">
        <v>369</v>
      </c>
      <c r="AA15" s="1041">
        <v>2491</v>
      </c>
      <c r="AB15" s="1041">
        <v>3540</v>
      </c>
      <c r="AC15" s="1041">
        <v>6031</v>
      </c>
    </row>
    <row r="16" spans="1:29" x14ac:dyDescent="0.35">
      <c r="A16" s="964"/>
      <c r="B16" s="395" t="s">
        <v>908</v>
      </c>
      <c r="C16" s="1040">
        <v>44</v>
      </c>
      <c r="D16" s="1040">
        <v>23</v>
      </c>
      <c r="E16" s="1040">
        <v>67</v>
      </c>
      <c r="F16" s="1040">
        <v>0</v>
      </c>
      <c r="G16" s="1040">
        <v>0</v>
      </c>
      <c r="H16" s="1040">
        <v>0</v>
      </c>
      <c r="I16" s="1040">
        <v>133</v>
      </c>
      <c r="J16" s="1040">
        <v>322</v>
      </c>
      <c r="K16" s="1040">
        <v>455</v>
      </c>
      <c r="L16" s="1040">
        <v>2322</v>
      </c>
      <c r="M16" s="1040">
        <v>3573</v>
      </c>
      <c r="N16" s="1040">
        <v>5895</v>
      </c>
      <c r="O16" s="1040">
        <v>0</v>
      </c>
      <c r="P16" s="1040">
        <v>0</v>
      </c>
      <c r="Q16" s="1040">
        <v>0</v>
      </c>
      <c r="R16" s="1040">
        <v>525</v>
      </c>
      <c r="S16" s="1040">
        <v>325</v>
      </c>
      <c r="T16" s="1040">
        <v>850</v>
      </c>
      <c r="U16" s="1040">
        <v>0</v>
      </c>
      <c r="V16" s="1040">
        <v>0</v>
      </c>
      <c r="W16" s="1040">
        <v>0</v>
      </c>
      <c r="X16" s="1040">
        <v>46</v>
      </c>
      <c r="Y16" s="1040">
        <v>142</v>
      </c>
      <c r="Z16" s="1040">
        <v>188</v>
      </c>
      <c r="AA16" s="1040">
        <v>3070</v>
      </c>
      <c r="AB16" s="1040">
        <v>4385</v>
      </c>
      <c r="AC16" s="1040">
        <v>7455</v>
      </c>
    </row>
    <row r="17" spans="1:29" x14ac:dyDescent="0.35">
      <c r="A17" s="963">
        <v>2</v>
      </c>
      <c r="B17" s="505" t="s">
        <v>13</v>
      </c>
      <c r="C17" s="1037"/>
      <c r="D17" s="1038"/>
      <c r="E17" s="1038"/>
      <c r="F17" s="1038"/>
      <c r="G17" s="1038"/>
      <c r="H17" s="1038"/>
      <c r="I17" s="1038"/>
      <c r="J17" s="1038"/>
      <c r="K17" s="1039"/>
      <c r="L17" s="1037"/>
      <c r="M17" s="1038"/>
      <c r="N17" s="1038"/>
      <c r="O17" s="1038"/>
      <c r="P17" s="1038"/>
      <c r="Q17" s="1038"/>
      <c r="R17" s="1038"/>
      <c r="S17" s="1038"/>
      <c r="T17" s="1039"/>
      <c r="U17" s="1037"/>
      <c r="V17" s="1038"/>
      <c r="W17" s="1038"/>
      <c r="X17" s="1038"/>
      <c r="Y17" s="1038"/>
      <c r="Z17" s="1038"/>
      <c r="AA17" s="1038"/>
      <c r="AB17" s="1038"/>
      <c r="AC17" s="1038"/>
    </row>
    <row r="18" spans="1:29" x14ac:dyDescent="0.35">
      <c r="A18" s="964"/>
      <c r="B18" s="505" t="s">
        <v>912</v>
      </c>
      <c r="C18" s="1037">
        <v>3348</v>
      </c>
      <c r="D18" s="1038">
        <v>2846</v>
      </c>
      <c r="E18" s="1038">
        <v>6194</v>
      </c>
      <c r="F18" s="1038"/>
      <c r="G18" s="1038"/>
      <c r="H18" s="1038"/>
      <c r="I18" s="1038">
        <v>71750</v>
      </c>
      <c r="J18" s="1038">
        <v>75724</v>
      </c>
      <c r="K18" s="1039">
        <v>147474</v>
      </c>
      <c r="L18" s="1037">
        <v>670121</v>
      </c>
      <c r="M18" s="1038">
        <v>645574</v>
      </c>
      <c r="N18" s="1038">
        <v>1315695</v>
      </c>
      <c r="O18" s="1038">
        <v>378</v>
      </c>
      <c r="P18" s="1038">
        <v>246</v>
      </c>
      <c r="Q18" s="1038">
        <v>624</v>
      </c>
      <c r="R18" s="1038">
        <v>86574</v>
      </c>
      <c r="S18" s="1038">
        <v>59408</v>
      </c>
      <c r="T18" s="1039">
        <v>145982</v>
      </c>
      <c r="U18" s="1037">
        <v>174</v>
      </c>
      <c r="V18" s="1038">
        <v>34</v>
      </c>
      <c r="W18" s="1038">
        <v>208</v>
      </c>
      <c r="X18" s="1038">
        <v>7834</v>
      </c>
      <c r="Y18" s="1038">
        <v>5116</v>
      </c>
      <c r="Z18" s="1038">
        <v>12950</v>
      </c>
      <c r="AA18" s="1038">
        <v>840179</v>
      </c>
      <c r="AB18" s="1038">
        <v>788948</v>
      </c>
      <c r="AC18" s="1038">
        <v>1629127</v>
      </c>
    </row>
    <row r="19" spans="1:29" x14ac:dyDescent="0.35">
      <c r="A19" s="964"/>
      <c r="B19" s="395" t="s">
        <v>911</v>
      </c>
      <c r="C19" s="1037">
        <v>3237</v>
      </c>
      <c r="D19" s="1038">
        <v>2346</v>
      </c>
      <c r="E19" s="1038">
        <v>5583</v>
      </c>
      <c r="F19" s="1038">
        <v>7</v>
      </c>
      <c r="G19" s="1038">
        <v>16</v>
      </c>
      <c r="H19" s="1038">
        <v>23</v>
      </c>
      <c r="I19" s="1038">
        <v>74588</v>
      </c>
      <c r="J19" s="1038">
        <v>75554</v>
      </c>
      <c r="K19" s="1039">
        <v>150142</v>
      </c>
      <c r="L19" s="1037">
        <v>732340</v>
      </c>
      <c r="M19" s="1038">
        <v>671641</v>
      </c>
      <c r="N19" s="1038">
        <v>1403981</v>
      </c>
      <c r="O19" s="1038">
        <v>268</v>
      </c>
      <c r="P19" s="1038">
        <v>165</v>
      </c>
      <c r="Q19" s="1038">
        <v>433</v>
      </c>
      <c r="R19" s="1038">
        <v>95018</v>
      </c>
      <c r="S19" s="1038">
        <v>61430</v>
      </c>
      <c r="T19" s="1039">
        <v>156448</v>
      </c>
      <c r="U19" s="1037">
        <v>185</v>
      </c>
      <c r="V19" s="1038">
        <v>47</v>
      </c>
      <c r="W19" s="1038">
        <v>232</v>
      </c>
      <c r="X19" s="1038">
        <v>6754</v>
      </c>
      <c r="Y19" s="1038">
        <v>3762</v>
      </c>
      <c r="Z19" s="1038">
        <v>10516</v>
      </c>
      <c r="AA19" s="1038">
        <v>912397</v>
      </c>
      <c r="AB19" s="1038">
        <v>814961</v>
      </c>
      <c r="AC19" s="1038">
        <v>1727358</v>
      </c>
    </row>
    <row r="20" spans="1:29" x14ac:dyDescent="0.35">
      <c r="A20" s="964"/>
      <c r="B20" s="395" t="s">
        <v>910</v>
      </c>
      <c r="C20" s="1040">
        <v>4283</v>
      </c>
      <c r="D20" s="1040">
        <v>2708</v>
      </c>
      <c r="E20" s="1040">
        <v>6991</v>
      </c>
      <c r="F20" s="1040">
        <v>70</v>
      </c>
      <c r="G20" s="1040">
        <v>48</v>
      </c>
      <c r="H20" s="1040">
        <v>118</v>
      </c>
      <c r="I20" s="1040">
        <v>89655</v>
      </c>
      <c r="J20" s="1040">
        <v>91447</v>
      </c>
      <c r="K20" s="1040">
        <v>181102</v>
      </c>
      <c r="L20" s="1040">
        <v>765880</v>
      </c>
      <c r="M20" s="1040">
        <v>704221</v>
      </c>
      <c r="N20" s="1040">
        <v>1470101</v>
      </c>
      <c r="O20" s="1040">
        <v>187</v>
      </c>
      <c r="P20" s="1040">
        <v>135</v>
      </c>
      <c r="Q20" s="1040">
        <v>322</v>
      </c>
      <c r="R20" s="1040">
        <v>96256</v>
      </c>
      <c r="S20" s="1040">
        <v>66003</v>
      </c>
      <c r="T20" s="1040">
        <v>162259</v>
      </c>
      <c r="U20" s="1040">
        <v>356</v>
      </c>
      <c r="V20" s="1040">
        <v>442</v>
      </c>
      <c r="W20" s="1040">
        <v>798</v>
      </c>
      <c r="X20" s="1040">
        <v>8429</v>
      </c>
      <c r="Y20" s="1040">
        <v>4528</v>
      </c>
      <c r="Z20" s="1040">
        <v>12957</v>
      </c>
      <c r="AA20" s="1040">
        <v>965116</v>
      </c>
      <c r="AB20" s="1040">
        <v>869532</v>
      </c>
      <c r="AC20" s="1040">
        <v>1834648</v>
      </c>
    </row>
    <row r="21" spans="1:29" x14ac:dyDescent="0.35">
      <c r="A21" s="964"/>
      <c r="B21" s="395" t="s">
        <v>909</v>
      </c>
      <c r="C21" s="1041">
        <v>3837</v>
      </c>
      <c r="D21" s="1041">
        <v>2879</v>
      </c>
      <c r="E21" s="1041">
        <v>6716</v>
      </c>
      <c r="F21" s="1041">
        <v>175</v>
      </c>
      <c r="G21" s="1041">
        <v>102</v>
      </c>
      <c r="H21" s="1041">
        <v>277</v>
      </c>
      <c r="I21" s="1041">
        <v>88923</v>
      </c>
      <c r="J21" s="1041">
        <v>85176</v>
      </c>
      <c r="K21" s="1041">
        <v>174099</v>
      </c>
      <c r="L21" s="1041">
        <v>671286</v>
      </c>
      <c r="M21" s="1041">
        <v>602648</v>
      </c>
      <c r="N21" s="1041">
        <v>1273934</v>
      </c>
      <c r="O21" s="1041">
        <v>792</v>
      </c>
      <c r="P21" s="1041">
        <v>468</v>
      </c>
      <c r="Q21" s="1041">
        <v>1260</v>
      </c>
      <c r="R21" s="1041">
        <v>92704</v>
      </c>
      <c r="S21" s="1041">
        <v>59683</v>
      </c>
      <c r="T21" s="1041">
        <v>152387</v>
      </c>
      <c r="U21" s="1041">
        <v>3921</v>
      </c>
      <c r="V21" s="1041">
        <v>6903</v>
      </c>
      <c r="W21" s="1041">
        <v>10824</v>
      </c>
      <c r="X21" s="1041">
        <v>8650</v>
      </c>
      <c r="Y21" s="1041">
        <v>4362</v>
      </c>
      <c r="Z21" s="1041">
        <v>13012</v>
      </c>
      <c r="AA21" s="1041">
        <v>870288</v>
      </c>
      <c r="AB21" s="1041">
        <v>762221</v>
      </c>
      <c r="AC21" s="1041">
        <v>1632509</v>
      </c>
    </row>
    <row r="22" spans="1:29" x14ac:dyDescent="0.35">
      <c r="A22" s="964"/>
      <c r="B22" s="395" t="s">
        <v>908</v>
      </c>
      <c r="C22" s="1040">
        <v>3054</v>
      </c>
      <c r="D22" s="1040">
        <v>1927</v>
      </c>
      <c r="E22" s="1040">
        <v>4981</v>
      </c>
      <c r="F22" s="1040">
        <v>249</v>
      </c>
      <c r="G22" s="1040">
        <v>182</v>
      </c>
      <c r="H22" s="1040">
        <v>431</v>
      </c>
      <c r="I22" s="1040">
        <v>93827</v>
      </c>
      <c r="J22" s="1040">
        <v>82209</v>
      </c>
      <c r="K22" s="1040">
        <v>176036</v>
      </c>
      <c r="L22" s="1040">
        <v>653301</v>
      </c>
      <c r="M22" s="1040">
        <v>567063</v>
      </c>
      <c r="N22" s="1040">
        <v>1220364</v>
      </c>
      <c r="O22" s="1040">
        <v>837</v>
      </c>
      <c r="P22" s="1040">
        <v>498</v>
      </c>
      <c r="Q22" s="1040">
        <v>1335</v>
      </c>
      <c r="R22" s="1040">
        <v>97199</v>
      </c>
      <c r="S22" s="1040">
        <v>63905</v>
      </c>
      <c r="T22" s="1040">
        <v>161104</v>
      </c>
      <c r="U22" s="1040">
        <v>327</v>
      </c>
      <c r="V22" s="1040">
        <v>636</v>
      </c>
      <c r="W22" s="1040">
        <v>963</v>
      </c>
      <c r="X22" s="1040">
        <v>7389</v>
      </c>
      <c r="Y22" s="1040">
        <v>3578</v>
      </c>
      <c r="Z22" s="1040">
        <v>10967</v>
      </c>
      <c r="AA22" s="1040">
        <v>856183</v>
      </c>
      <c r="AB22" s="1040">
        <v>719998</v>
      </c>
      <c r="AC22" s="1040">
        <v>1576181</v>
      </c>
    </row>
    <row r="23" spans="1:29" x14ac:dyDescent="0.35">
      <c r="A23" s="963">
        <v>3</v>
      </c>
      <c r="B23" s="505" t="s">
        <v>14</v>
      </c>
      <c r="C23" s="1037"/>
      <c r="D23" s="1038"/>
      <c r="E23" s="1038"/>
      <c r="F23" s="1038"/>
      <c r="G23" s="1038"/>
      <c r="H23" s="1038"/>
      <c r="I23" s="1038"/>
      <c r="J23" s="1038"/>
      <c r="K23" s="1039"/>
      <c r="L23" s="1037"/>
      <c r="M23" s="1038"/>
      <c r="N23" s="1038"/>
      <c r="O23" s="1038"/>
      <c r="P23" s="1038"/>
      <c r="Q23" s="1038"/>
      <c r="R23" s="1038"/>
      <c r="S23" s="1038"/>
      <c r="T23" s="1039"/>
      <c r="U23" s="1037"/>
      <c r="V23" s="1038"/>
      <c r="W23" s="1038"/>
      <c r="X23" s="1038"/>
      <c r="Y23" s="1038"/>
      <c r="Z23" s="1038"/>
      <c r="AA23" s="1038"/>
      <c r="AB23" s="1038"/>
      <c r="AC23" s="1038"/>
    </row>
    <row r="24" spans="1:29" x14ac:dyDescent="0.35">
      <c r="A24" s="964"/>
      <c r="B24" s="505" t="s">
        <v>912</v>
      </c>
      <c r="C24" s="1037">
        <v>402</v>
      </c>
      <c r="D24" s="1038">
        <v>275</v>
      </c>
      <c r="E24" s="1038">
        <v>677</v>
      </c>
      <c r="F24" s="1038">
        <v>23</v>
      </c>
      <c r="G24" s="1038">
        <v>18</v>
      </c>
      <c r="H24" s="1038">
        <v>41</v>
      </c>
      <c r="I24" s="1038">
        <v>3848</v>
      </c>
      <c r="J24" s="1038">
        <v>3043</v>
      </c>
      <c r="K24" s="1039">
        <v>6891</v>
      </c>
      <c r="L24" s="1037">
        <v>21577</v>
      </c>
      <c r="M24" s="1038">
        <v>17759</v>
      </c>
      <c r="N24" s="1038">
        <v>39336</v>
      </c>
      <c r="O24" s="1038">
        <v>101</v>
      </c>
      <c r="P24" s="1038">
        <v>82</v>
      </c>
      <c r="Q24" s="1038">
        <v>183</v>
      </c>
      <c r="R24" s="1038">
        <v>1436</v>
      </c>
      <c r="S24" s="1038">
        <v>1632</v>
      </c>
      <c r="T24" s="1039">
        <v>3068</v>
      </c>
      <c r="U24" s="1037">
        <v>329</v>
      </c>
      <c r="V24" s="1038">
        <v>194</v>
      </c>
      <c r="W24" s="1038">
        <v>523</v>
      </c>
      <c r="X24" s="1038">
        <v>1113</v>
      </c>
      <c r="Y24" s="1038">
        <v>766</v>
      </c>
      <c r="Z24" s="1038">
        <v>1879</v>
      </c>
      <c r="AA24" s="1038">
        <v>28829</v>
      </c>
      <c r="AB24" s="1038">
        <v>23769</v>
      </c>
      <c r="AC24" s="1038">
        <v>52598</v>
      </c>
    </row>
    <row r="25" spans="1:29" x14ac:dyDescent="0.35">
      <c r="A25" s="964"/>
      <c r="B25" s="395" t="s">
        <v>911</v>
      </c>
      <c r="C25" s="1037">
        <v>441</v>
      </c>
      <c r="D25" s="1038">
        <v>240</v>
      </c>
      <c r="E25" s="1038">
        <v>681</v>
      </c>
      <c r="F25" s="1038"/>
      <c r="G25" s="1038"/>
      <c r="H25" s="1038"/>
      <c r="I25" s="1038">
        <v>4482</v>
      </c>
      <c r="J25" s="1038">
        <v>3399</v>
      </c>
      <c r="K25" s="1039">
        <v>7881</v>
      </c>
      <c r="L25" s="1037">
        <v>22113</v>
      </c>
      <c r="M25" s="1038">
        <v>17705</v>
      </c>
      <c r="N25" s="1038">
        <v>39818</v>
      </c>
      <c r="O25" s="1038">
        <v>126</v>
      </c>
      <c r="P25" s="1038">
        <v>80</v>
      </c>
      <c r="Q25" s="1038">
        <v>206</v>
      </c>
      <c r="R25" s="1038">
        <v>1315</v>
      </c>
      <c r="S25" s="1038">
        <v>1224</v>
      </c>
      <c r="T25" s="1039">
        <v>2539</v>
      </c>
      <c r="U25" s="1037">
        <v>329</v>
      </c>
      <c r="V25" s="1038">
        <v>163</v>
      </c>
      <c r="W25" s="1038">
        <v>492</v>
      </c>
      <c r="X25" s="1038">
        <v>1163</v>
      </c>
      <c r="Y25" s="1038">
        <v>715</v>
      </c>
      <c r="Z25" s="1038">
        <v>1878</v>
      </c>
      <c r="AA25" s="1038">
        <v>29969</v>
      </c>
      <c r="AB25" s="1038">
        <v>23526</v>
      </c>
      <c r="AC25" s="1038">
        <v>53495</v>
      </c>
    </row>
    <row r="26" spans="1:29" x14ac:dyDescent="0.35">
      <c r="A26" s="964"/>
      <c r="B26" s="395" t="s">
        <v>910</v>
      </c>
      <c r="C26" s="1040">
        <v>470</v>
      </c>
      <c r="D26" s="1040">
        <v>258</v>
      </c>
      <c r="E26" s="1040">
        <v>728</v>
      </c>
      <c r="F26" s="1040">
        <v>56</v>
      </c>
      <c r="G26" s="1040">
        <v>74</v>
      </c>
      <c r="H26" s="1040">
        <v>130</v>
      </c>
      <c r="I26" s="1040">
        <v>4281</v>
      </c>
      <c r="J26" s="1040">
        <v>3678</v>
      </c>
      <c r="K26" s="1040">
        <v>7959</v>
      </c>
      <c r="L26" s="1040">
        <v>19091</v>
      </c>
      <c r="M26" s="1040">
        <v>15895</v>
      </c>
      <c r="N26" s="1040">
        <v>34986</v>
      </c>
      <c r="O26" s="1040">
        <v>87</v>
      </c>
      <c r="P26" s="1040">
        <v>68</v>
      </c>
      <c r="Q26" s="1040">
        <v>155</v>
      </c>
      <c r="R26" s="1040">
        <v>1370</v>
      </c>
      <c r="S26" s="1040">
        <v>1081</v>
      </c>
      <c r="T26" s="1040">
        <v>2451</v>
      </c>
      <c r="U26" s="1040">
        <v>310</v>
      </c>
      <c r="V26" s="1040">
        <v>162</v>
      </c>
      <c r="W26" s="1040">
        <v>472</v>
      </c>
      <c r="X26" s="1040">
        <v>1196</v>
      </c>
      <c r="Y26" s="1040">
        <v>726</v>
      </c>
      <c r="Z26" s="1040">
        <v>1922</v>
      </c>
      <c r="AA26" s="1040">
        <v>26861</v>
      </c>
      <c r="AB26" s="1040">
        <v>21942</v>
      </c>
      <c r="AC26" s="1040">
        <v>48803</v>
      </c>
    </row>
    <row r="27" spans="1:29" x14ac:dyDescent="0.35">
      <c r="A27" s="964"/>
      <c r="B27" s="395" t="s">
        <v>909</v>
      </c>
      <c r="C27" s="1041">
        <v>565</v>
      </c>
      <c r="D27" s="1041">
        <v>421</v>
      </c>
      <c r="E27" s="1041">
        <v>986</v>
      </c>
      <c r="F27" s="1041">
        <v>57</v>
      </c>
      <c r="G27" s="1041">
        <v>88</v>
      </c>
      <c r="H27" s="1041">
        <v>145</v>
      </c>
      <c r="I27" s="1041">
        <v>2874</v>
      </c>
      <c r="J27" s="1041">
        <v>2296</v>
      </c>
      <c r="K27" s="1041">
        <v>5170</v>
      </c>
      <c r="L27" s="1041">
        <v>16058</v>
      </c>
      <c r="M27" s="1041">
        <v>13373</v>
      </c>
      <c r="N27" s="1041">
        <v>29431</v>
      </c>
      <c r="O27" s="1041">
        <v>59</v>
      </c>
      <c r="P27" s="1041">
        <v>59</v>
      </c>
      <c r="Q27" s="1041">
        <v>118</v>
      </c>
      <c r="R27" s="1041">
        <v>1263</v>
      </c>
      <c r="S27" s="1041">
        <v>583</v>
      </c>
      <c r="T27" s="1041">
        <v>1846</v>
      </c>
      <c r="U27" s="1041">
        <v>299</v>
      </c>
      <c r="V27" s="1041">
        <v>119</v>
      </c>
      <c r="W27" s="1041">
        <v>418</v>
      </c>
      <c r="X27" s="1041">
        <v>1015</v>
      </c>
      <c r="Y27" s="1041">
        <v>628</v>
      </c>
      <c r="Z27" s="1041">
        <v>1643</v>
      </c>
      <c r="AA27" s="1041">
        <v>22190</v>
      </c>
      <c r="AB27" s="1041">
        <v>17567</v>
      </c>
      <c r="AC27" s="1041">
        <v>39757</v>
      </c>
    </row>
    <row r="28" spans="1:29" x14ac:dyDescent="0.35">
      <c r="A28" s="964"/>
      <c r="B28" s="395" t="s">
        <v>908</v>
      </c>
      <c r="C28" s="1040">
        <v>396</v>
      </c>
      <c r="D28" s="1040">
        <v>280</v>
      </c>
      <c r="E28" s="1040">
        <v>676</v>
      </c>
      <c r="F28" s="1040">
        <v>47</v>
      </c>
      <c r="G28" s="1040">
        <v>77</v>
      </c>
      <c r="H28" s="1040">
        <v>124</v>
      </c>
      <c r="I28" s="1040">
        <v>2158</v>
      </c>
      <c r="J28" s="1040">
        <v>1635</v>
      </c>
      <c r="K28" s="1040">
        <v>3793</v>
      </c>
      <c r="L28" s="1040">
        <v>14019</v>
      </c>
      <c r="M28" s="1040">
        <v>12954</v>
      </c>
      <c r="N28" s="1040">
        <v>26973</v>
      </c>
      <c r="O28" s="1040">
        <v>73</v>
      </c>
      <c r="P28" s="1040">
        <v>40</v>
      </c>
      <c r="Q28" s="1040">
        <v>113</v>
      </c>
      <c r="R28" s="1040">
        <v>814</v>
      </c>
      <c r="S28" s="1040">
        <v>554</v>
      </c>
      <c r="T28" s="1040">
        <v>1368</v>
      </c>
      <c r="U28" s="1040">
        <v>265</v>
      </c>
      <c r="V28" s="1040">
        <v>84</v>
      </c>
      <c r="W28" s="1040">
        <v>349</v>
      </c>
      <c r="X28" s="1040">
        <v>308</v>
      </c>
      <c r="Y28" s="1040">
        <v>94</v>
      </c>
      <c r="Z28" s="1040">
        <v>402</v>
      </c>
      <c r="AA28" s="1040">
        <v>18080</v>
      </c>
      <c r="AB28" s="1040">
        <v>15718</v>
      </c>
      <c r="AC28" s="1040">
        <v>33798</v>
      </c>
    </row>
    <row r="29" spans="1:29" x14ac:dyDescent="0.35">
      <c r="A29" s="963">
        <v>4</v>
      </c>
      <c r="B29" s="505" t="s">
        <v>15</v>
      </c>
      <c r="C29" s="1037"/>
      <c r="D29" s="1038"/>
      <c r="E29" s="1038"/>
      <c r="F29" s="1038"/>
      <c r="G29" s="1038"/>
      <c r="H29" s="1038"/>
      <c r="I29" s="1038"/>
      <c r="J29" s="1038"/>
      <c r="K29" s="1039"/>
      <c r="L29" s="1037"/>
      <c r="M29" s="1038"/>
      <c r="N29" s="1038"/>
      <c r="O29" s="1038"/>
      <c r="P29" s="1038"/>
      <c r="Q29" s="1038"/>
      <c r="R29" s="1038"/>
      <c r="S29" s="1038"/>
      <c r="T29" s="1039"/>
      <c r="U29" s="1037"/>
      <c r="V29" s="1038"/>
      <c r="W29" s="1038"/>
      <c r="X29" s="1038"/>
      <c r="Y29" s="1038"/>
      <c r="Z29" s="1038"/>
      <c r="AA29" s="1038"/>
      <c r="AB29" s="1038"/>
      <c r="AC29" s="1038"/>
    </row>
    <row r="30" spans="1:29" x14ac:dyDescent="0.35">
      <c r="A30" s="964"/>
      <c r="B30" s="505" t="s">
        <v>912</v>
      </c>
      <c r="C30" s="1037">
        <v>3048</v>
      </c>
      <c r="D30" s="1038">
        <v>2359</v>
      </c>
      <c r="E30" s="1038">
        <v>5407</v>
      </c>
      <c r="F30" s="1038">
        <v>16</v>
      </c>
      <c r="G30" s="1038">
        <v>42</v>
      </c>
      <c r="H30" s="1038">
        <v>58</v>
      </c>
      <c r="I30" s="1038">
        <v>15263</v>
      </c>
      <c r="J30" s="1038">
        <v>23088</v>
      </c>
      <c r="K30" s="1039">
        <v>38351</v>
      </c>
      <c r="L30" s="1037">
        <v>257494</v>
      </c>
      <c r="M30" s="1038">
        <v>269204</v>
      </c>
      <c r="N30" s="1038">
        <v>526697</v>
      </c>
      <c r="O30" s="1038">
        <v>428</v>
      </c>
      <c r="P30" s="1038">
        <v>544</v>
      </c>
      <c r="Q30" s="1038">
        <v>972</v>
      </c>
      <c r="R30" s="1038">
        <v>18547</v>
      </c>
      <c r="S30" s="1038">
        <v>20041</v>
      </c>
      <c r="T30" s="1039">
        <v>38588</v>
      </c>
      <c r="U30" s="1037">
        <v>16010</v>
      </c>
      <c r="V30" s="1038">
        <v>23211</v>
      </c>
      <c r="W30" s="1038">
        <v>39221</v>
      </c>
      <c r="X30" s="1038">
        <v>2879</v>
      </c>
      <c r="Y30" s="1038">
        <v>3598</v>
      </c>
      <c r="Z30" s="1038">
        <v>6477</v>
      </c>
      <c r="AA30" s="1038">
        <v>313685</v>
      </c>
      <c r="AB30" s="1038">
        <v>342086</v>
      </c>
      <c r="AC30" s="1038">
        <v>655771</v>
      </c>
    </row>
    <row r="31" spans="1:29" x14ac:dyDescent="0.35">
      <c r="A31" s="964"/>
      <c r="B31" s="395" t="s">
        <v>911</v>
      </c>
      <c r="C31" s="1037">
        <v>3140</v>
      </c>
      <c r="D31" s="1038">
        <v>2230</v>
      </c>
      <c r="E31" s="1038">
        <v>5370</v>
      </c>
      <c r="F31" s="1038">
        <v>82</v>
      </c>
      <c r="G31" s="1038">
        <v>132</v>
      </c>
      <c r="H31" s="1038">
        <v>214</v>
      </c>
      <c r="I31" s="1038">
        <v>13937</v>
      </c>
      <c r="J31" s="1038">
        <v>21079</v>
      </c>
      <c r="K31" s="1039">
        <v>35016</v>
      </c>
      <c r="L31" s="1037">
        <v>273527</v>
      </c>
      <c r="M31" s="1038">
        <v>281870</v>
      </c>
      <c r="N31" s="1038">
        <v>555397</v>
      </c>
      <c r="O31" s="1038">
        <v>344</v>
      </c>
      <c r="P31" s="1038">
        <v>596</v>
      </c>
      <c r="Q31" s="1038">
        <v>940</v>
      </c>
      <c r="R31" s="1038">
        <v>12540</v>
      </c>
      <c r="S31" s="1038">
        <v>9134</v>
      </c>
      <c r="T31" s="1039">
        <v>21674</v>
      </c>
      <c r="U31" s="1037">
        <v>82</v>
      </c>
      <c r="V31" s="1038">
        <v>671</v>
      </c>
      <c r="W31" s="1038">
        <v>753</v>
      </c>
      <c r="X31" s="1038">
        <v>2571</v>
      </c>
      <c r="Y31" s="1038">
        <v>2913</v>
      </c>
      <c r="Z31" s="1038">
        <v>5484</v>
      </c>
      <c r="AA31" s="1038">
        <v>306223</v>
      </c>
      <c r="AB31" s="1038">
        <v>318625</v>
      </c>
      <c r="AC31" s="1038">
        <v>624848</v>
      </c>
    </row>
    <row r="32" spans="1:29" x14ac:dyDescent="0.35">
      <c r="A32" s="964"/>
      <c r="B32" s="395" t="s">
        <v>910</v>
      </c>
      <c r="C32" s="1040">
        <v>3648</v>
      </c>
      <c r="D32" s="1040">
        <v>2356</v>
      </c>
      <c r="E32" s="1040">
        <v>6004</v>
      </c>
      <c r="F32" s="1040">
        <v>126</v>
      </c>
      <c r="G32" s="1040">
        <v>180</v>
      </c>
      <c r="H32" s="1040">
        <v>306</v>
      </c>
      <c r="I32" s="1040">
        <v>13634</v>
      </c>
      <c r="J32" s="1040">
        <v>20125</v>
      </c>
      <c r="K32" s="1040">
        <v>33759</v>
      </c>
      <c r="L32" s="1040">
        <v>282547</v>
      </c>
      <c r="M32" s="1040">
        <v>295148</v>
      </c>
      <c r="N32" s="1040">
        <v>577695</v>
      </c>
      <c r="O32" s="1040">
        <v>389</v>
      </c>
      <c r="P32" s="1040">
        <v>630</v>
      </c>
      <c r="Q32" s="1040">
        <v>1019</v>
      </c>
      <c r="R32" s="1040">
        <v>12627</v>
      </c>
      <c r="S32" s="1040">
        <v>9364</v>
      </c>
      <c r="T32" s="1040">
        <v>21991</v>
      </c>
      <c r="U32" s="1040">
        <v>387</v>
      </c>
      <c r="V32" s="1040">
        <v>785</v>
      </c>
      <c r="W32" s="1040">
        <v>1172</v>
      </c>
      <c r="X32" s="1040">
        <v>2459</v>
      </c>
      <c r="Y32" s="1040">
        <v>2783</v>
      </c>
      <c r="Z32" s="1040">
        <v>5242</v>
      </c>
      <c r="AA32" s="1040">
        <v>315817</v>
      </c>
      <c r="AB32" s="1040">
        <v>331371</v>
      </c>
      <c r="AC32" s="1040">
        <v>647188</v>
      </c>
    </row>
    <row r="33" spans="1:29" x14ac:dyDescent="0.35">
      <c r="A33" s="964"/>
      <c r="B33" s="395" t="s">
        <v>909</v>
      </c>
      <c r="C33" s="1041">
        <v>3214</v>
      </c>
      <c r="D33" s="1041">
        <v>2413</v>
      </c>
      <c r="E33" s="1041">
        <v>5627</v>
      </c>
      <c r="F33" s="1041">
        <v>245</v>
      </c>
      <c r="G33" s="1041">
        <v>371</v>
      </c>
      <c r="H33" s="1041">
        <v>616</v>
      </c>
      <c r="I33" s="1041">
        <v>12716</v>
      </c>
      <c r="J33" s="1041">
        <v>17995</v>
      </c>
      <c r="K33" s="1041">
        <v>30711</v>
      </c>
      <c r="L33" s="1041">
        <v>241521</v>
      </c>
      <c r="M33" s="1041">
        <v>259643</v>
      </c>
      <c r="N33" s="1041">
        <v>501164</v>
      </c>
      <c r="O33" s="1041">
        <v>473</v>
      </c>
      <c r="P33" s="1041">
        <v>576</v>
      </c>
      <c r="Q33" s="1041">
        <v>1049</v>
      </c>
      <c r="R33" s="1041">
        <v>10655</v>
      </c>
      <c r="S33" s="1041">
        <v>7374</v>
      </c>
      <c r="T33" s="1041">
        <v>18029</v>
      </c>
      <c r="U33" s="1041">
        <v>739</v>
      </c>
      <c r="V33" s="1041">
        <v>1165</v>
      </c>
      <c r="W33" s="1041">
        <v>1904</v>
      </c>
      <c r="X33" s="1041">
        <v>2446</v>
      </c>
      <c r="Y33" s="1041">
        <v>2247</v>
      </c>
      <c r="Z33" s="1041">
        <v>4693</v>
      </c>
      <c r="AA33" s="1041">
        <v>272009</v>
      </c>
      <c r="AB33" s="1041">
        <v>291784</v>
      </c>
      <c r="AC33" s="1041">
        <v>563793</v>
      </c>
    </row>
    <row r="34" spans="1:29" x14ac:dyDescent="0.35">
      <c r="A34" s="964"/>
      <c r="B34" s="395" t="s">
        <v>908</v>
      </c>
      <c r="C34" s="1040">
        <v>2970</v>
      </c>
      <c r="D34" s="1040">
        <v>1970</v>
      </c>
      <c r="E34" s="1040">
        <v>4940</v>
      </c>
      <c r="F34" s="1040">
        <v>192</v>
      </c>
      <c r="G34" s="1040">
        <v>272</v>
      </c>
      <c r="H34" s="1040">
        <v>464</v>
      </c>
      <c r="I34" s="1040">
        <v>13127</v>
      </c>
      <c r="J34" s="1040">
        <v>17545</v>
      </c>
      <c r="K34" s="1040">
        <v>30672</v>
      </c>
      <c r="L34" s="1040">
        <v>265072</v>
      </c>
      <c r="M34" s="1040">
        <v>276843</v>
      </c>
      <c r="N34" s="1040">
        <v>541915</v>
      </c>
      <c r="O34" s="1040">
        <v>681</v>
      </c>
      <c r="P34" s="1040">
        <v>737</v>
      </c>
      <c r="Q34" s="1040">
        <v>1418</v>
      </c>
      <c r="R34" s="1040">
        <v>8613</v>
      </c>
      <c r="S34" s="1040">
        <v>5531</v>
      </c>
      <c r="T34" s="1040">
        <v>14144</v>
      </c>
      <c r="U34" s="1040">
        <v>753</v>
      </c>
      <c r="V34" s="1040">
        <v>1025</v>
      </c>
      <c r="W34" s="1040">
        <v>1778</v>
      </c>
      <c r="X34" s="1040">
        <v>2377</v>
      </c>
      <c r="Y34" s="1040">
        <v>2172</v>
      </c>
      <c r="Z34" s="1040">
        <v>4549</v>
      </c>
      <c r="AA34" s="1040">
        <v>293785</v>
      </c>
      <c r="AB34" s="1040">
        <v>306095</v>
      </c>
      <c r="AC34" s="1040">
        <v>599880</v>
      </c>
    </row>
    <row r="35" spans="1:29" x14ac:dyDescent="0.35">
      <c r="A35" s="963">
        <v>5</v>
      </c>
      <c r="B35" s="505" t="s">
        <v>16</v>
      </c>
      <c r="C35" s="1037"/>
      <c r="D35" s="1038"/>
      <c r="E35" s="1038"/>
      <c r="F35" s="1038"/>
      <c r="G35" s="1038"/>
      <c r="H35" s="1038"/>
      <c r="I35" s="1038"/>
      <c r="J35" s="1038"/>
      <c r="K35" s="1039"/>
      <c r="L35" s="1037"/>
      <c r="M35" s="1038"/>
      <c r="N35" s="1038"/>
      <c r="O35" s="1038"/>
      <c r="P35" s="1038"/>
      <c r="Q35" s="1038"/>
      <c r="R35" s="1038"/>
      <c r="S35" s="1038"/>
      <c r="T35" s="1039"/>
      <c r="U35" s="1037"/>
      <c r="V35" s="1038"/>
      <c r="W35" s="1038"/>
      <c r="X35" s="1038"/>
      <c r="Y35" s="1038"/>
      <c r="Z35" s="1038"/>
      <c r="AA35" s="1038"/>
      <c r="AB35" s="1038"/>
      <c r="AC35" s="1038"/>
    </row>
    <row r="36" spans="1:29" x14ac:dyDescent="0.35">
      <c r="A36" s="964"/>
      <c r="B36" s="505" t="s">
        <v>912</v>
      </c>
      <c r="C36" s="1037">
        <v>3434</v>
      </c>
      <c r="D36" s="1038">
        <v>2205</v>
      </c>
      <c r="E36" s="1038">
        <v>5639</v>
      </c>
      <c r="F36" s="1038"/>
      <c r="G36" s="1038"/>
      <c r="H36" s="1038"/>
      <c r="I36" s="1038">
        <v>54282</v>
      </c>
      <c r="J36" s="1038">
        <v>64057</v>
      </c>
      <c r="K36" s="1039">
        <v>118340</v>
      </c>
      <c r="L36" s="1037">
        <v>1131017</v>
      </c>
      <c r="M36" s="1038">
        <v>1074780</v>
      </c>
      <c r="N36" s="1038">
        <v>2205797</v>
      </c>
      <c r="O36" s="1038">
        <v>798</v>
      </c>
      <c r="P36" s="1038">
        <v>462</v>
      </c>
      <c r="Q36" s="1038">
        <v>1260</v>
      </c>
      <c r="R36" s="1038">
        <v>67318</v>
      </c>
      <c r="S36" s="1038">
        <v>57266</v>
      </c>
      <c r="T36" s="1039">
        <v>124584</v>
      </c>
      <c r="U36" s="1037">
        <v>2058</v>
      </c>
      <c r="V36" s="1038">
        <v>1692</v>
      </c>
      <c r="W36" s="1038">
        <v>3750</v>
      </c>
      <c r="X36" s="1038">
        <v>2659</v>
      </c>
      <c r="Y36" s="1038">
        <v>1981</v>
      </c>
      <c r="Z36" s="1038">
        <v>4640</v>
      </c>
      <c r="AA36" s="1038">
        <v>1261567</v>
      </c>
      <c r="AB36" s="1038">
        <v>1202443</v>
      </c>
      <c r="AC36" s="1038">
        <v>2464009</v>
      </c>
    </row>
    <row r="37" spans="1:29" x14ac:dyDescent="0.35">
      <c r="A37" s="964"/>
      <c r="B37" s="395" t="s">
        <v>911</v>
      </c>
      <c r="C37" s="1037">
        <v>3720</v>
      </c>
      <c r="D37" s="1038">
        <v>1854</v>
      </c>
      <c r="E37" s="1038">
        <v>5574</v>
      </c>
      <c r="F37" s="1038"/>
      <c r="G37" s="1038"/>
      <c r="H37" s="1038"/>
      <c r="I37" s="1038">
        <v>55008</v>
      </c>
      <c r="J37" s="1038">
        <v>51023</v>
      </c>
      <c r="K37" s="1039">
        <v>106031</v>
      </c>
      <c r="L37" s="1037">
        <v>1215443</v>
      </c>
      <c r="M37" s="1038">
        <v>995154</v>
      </c>
      <c r="N37" s="1038">
        <v>2210597</v>
      </c>
      <c r="O37" s="1038">
        <v>853</v>
      </c>
      <c r="P37" s="1038">
        <v>388</v>
      </c>
      <c r="Q37" s="1038">
        <v>1241</v>
      </c>
      <c r="R37" s="1038">
        <v>65340</v>
      </c>
      <c r="S37" s="1038">
        <v>53248</v>
      </c>
      <c r="T37" s="1039">
        <v>118588</v>
      </c>
      <c r="U37" s="1037">
        <v>1417</v>
      </c>
      <c r="V37" s="1038">
        <v>1292</v>
      </c>
      <c r="W37" s="1038">
        <v>2709</v>
      </c>
      <c r="X37" s="1038">
        <v>2809</v>
      </c>
      <c r="Y37" s="1038">
        <v>1640</v>
      </c>
      <c r="Z37" s="1038">
        <v>4449</v>
      </c>
      <c r="AA37" s="1038">
        <v>1344590</v>
      </c>
      <c r="AB37" s="1038">
        <v>1104599</v>
      </c>
      <c r="AC37" s="1038">
        <v>2449189</v>
      </c>
    </row>
    <row r="38" spans="1:29" x14ac:dyDescent="0.35">
      <c r="A38" s="964"/>
      <c r="B38" s="395" t="s">
        <v>910</v>
      </c>
      <c r="C38" s="1040">
        <v>2625</v>
      </c>
      <c r="D38" s="1040">
        <v>1183</v>
      </c>
      <c r="E38" s="1040">
        <v>3808</v>
      </c>
      <c r="F38" s="1040">
        <v>50</v>
      </c>
      <c r="G38" s="1040">
        <v>23</v>
      </c>
      <c r="H38" s="1040">
        <v>73</v>
      </c>
      <c r="I38" s="1040">
        <v>50051</v>
      </c>
      <c r="J38" s="1040">
        <v>48189</v>
      </c>
      <c r="K38" s="1040">
        <v>98240</v>
      </c>
      <c r="L38" s="1040">
        <v>1057661</v>
      </c>
      <c r="M38" s="1040">
        <v>864953</v>
      </c>
      <c r="N38" s="1040">
        <v>1922614</v>
      </c>
      <c r="O38" s="1040">
        <v>886</v>
      </c>
      <c r="P38" s="1040">
        <v>459</v>
      </c>
      <c r="Q38" s="1040">
        <v>1345</v>
      </c>
      <c r="R38" s="1040">
        <v>56644</v>
      </c>
      <c r="S38" s="1040">
        <v>48657</v>
      </c>
      <c r="T38" s="1040">
        <v>105301</v>
      </c>
      <c r="U38" s="1040">
        <v>3264</v>
      </c>
      <c r="V38" s="1040">
        <v>2885</v>
      </c>
      <c r="W38" s="1040">
        <v>6149</v>
      </c>
      <c r="X38" s="1040">
        <v>2592</v>
      </c>
      <c r="Y38" s="1040">
        <v>1333</v>
      </c>
      <c r="Z38" s="1040">
        <v>3925</v>
      </c>
      <c r="AA38" s="1040">
        <v>1173773</v>
      </c>
      <c r="AB38" s="1040">
        <v>967682</v>
      </c>
      <c r="AC38" s="1040">
        <v>2141455</v>
      </c>
    </row>
    <row r="39" spans="1:29" x14ac:dyDescent="0.35">
      <c r="A39" s="964"/>
      <c r="B39" s="395" t="s">
        <v>909</v>
      </c>
      <c r="C39" s="1041">
        <v>1665</v>
      </c>
      <c r="D39" s="1041">
        <v>1034</v>
      </c>
      <c r="E39" s="1041">
        <v>2699</v>
      </c>
      <c r="F39" s="1041">
        <v>55</v>
      </c>
      <c r="G39" s="1041">
        <v>15</v>
      </c>
      <c r="H39" s="1041">
        <v>70</v>
      </c>
      <c r="I39" s="1041">
        <v>37369</v>
      </c>
      <c r="J39" s="1041">
        <v>35886</v>
      </c>
      <c r="K39" s="1041">
        <v>73255</v>
      </c>
      <c r="L39" s="1041">
        <v>801196</v>
      </c>
      <c r="M39" s="1041">
        <v>647494</v>
      </c>
      <c r="N39" s="1041">
        <v>1448690</v>
      </c>
      <c r="O39" s="1041">
        <v>788</v>
      </c>
      <c r="P39" s="1041">
        <v>401</v>
      </c>
      <c r="Q39" s="1041">
        <v>1189</v>
      </c>
      <c r="R39" s="1041">
        <v>42497</v>
      </c>
      <c r="S39" s="1041">
        <v>25277</v>
      </c>
      <c r="T39" s="1041">
        <v>67774</v>
      </c>
      <c r="U39" s="1041">
        <v>4024</v>
      </c>
      <c r="V39" s="1041">
        <v>2562</v>
      </c>
      <c r="W39" s="1041">
        <v>6586</v>
      </c>
      <c r="X39" s="1041">
        <v>2258</v>
      </c>
      <c r="Y39" s="1041">
        <v>1026</v>
      </c>
      <c r="Z39" s="1041">
        <v>3284</v>
      </c>
      <c r="AA39" s="1041">
        <v>889852</v>
      </c>
      <c r="AB39" s="1041">
        <v>713695</v>
      </c>
      <c r="AC39" s="1041">
        <v>1603547</v>
      </c>
    </row>
    <row r="40" spans="1:29" x14ac:dyDescent="0.35">
      <c r="A40" s="964"/>
      <c r="B40" s="395" t="s">
        <v>908</v>
      </c>
      <c r="C40" s="1040">
        <v>2239</v>
      </c>
      <c r="D40" s="1040">
        <v>1123</v>
      </c>
      <c r="E40" s="1040">
        <v>3362</v>
      </c>
      <c r="F40" s="1040">
        <v>0</v>
      </c>
      <c r="G40" s="1040">
        <v>0</v>
      </c>
      <c r="H40" s="1040">
        <v>0</v>
      </c>
      <c r="I40" s="1040">
        <v>49296</v>
      </c>
      <c r="J40" s="1040">
        <v>40098</v>
      </c>
      <c r="K40" s="1040">
        <v>89394</v>
      </c>
      <c r="L40" s="1040">
        <v>760584</v>
      </c>
      <c r="M40" s="1040">
        <v>580133</v>
      </c>
      <c r="N40" s="1040">
        <v>1340717</v>
      </c>
      <c r="O40" s="1040">
        <v>749</v>
      </c>
      <c r="P40" s="1040">
        <v>373</v>
      </c>
      <c r="Q40" s="1040">
        <v>1122</v>
      </c>
      <c r="R40" s="1040">
        <v>34380</v>
      </c>
      <c r="S40" s="1040">
        <v>17715</v>
      </c>
      <c r="T40" s="1040">
        <v>52095</v>
      </c>
      <c r="U40" s="1040">
        <v>2705</v>
      </c>
      <c r="V40" s="1040">
        <v>1439</v>
      </c>
      <c r="W40" s="1040">
        <v>4144</v>
      </c>
      <c r="X40" s="1040">
        <v>1952</v>
      </c>
      <c r="Y40" s="1040">
        <v>896</v>
      </c>
      <c r="Z40" s="1040">
        <v>2848</v>
      </c>
      <c r="AA40" s="1040">
        <v>851905</v>
      </c>
      <c r="AB40" s="1040">
        <v>641777</v>
      </c>
      <c r="AC40" s="1040">
        <v>1493682</v>
      </c>
    </row>
    <row r="41" spans="1:29" x14ac:dyDescent="0.35">
      <c r="A41" s="963">
        <v>6</v>
      </c>
      <c r="B41" s="505" t="s">
        <v>17</v>
      </c>
      <c r="C41" s="1037"/>
      <c r="D41" s="1038"/>
      <c r="E41" s="1038"/>
      <c r="F41" s="1038"/>
      <c r="G41" s="1038"/>
      <c r="H41" s="1038"/>
      <c r="I41" s="1038"/>
      <c r="J41" s="1038"/>
      <c r="K41" s="1039"/>
      <c r="L41" s="1037"/>
      <c r="M41" s="1038"/>
      <c r="N41" s="1038"/>
      <c r="O41" s="1038"/>
      <c r="P41" s="1038"/>
      <c r="Q41" s="1038"/>
      <c r="R41" s="1038"/>
      <c r="S41" s="1038"/>
      <c r="T41" s="1039"/>
      <c r="U41" s="1037"/>
      <c r="V41" s="1038"/>
      <c r="W41" s="1038"/>
      <c r="X41" s="1038"/>
      <c r="Y41" s="1038"/>
      <c r="Z41" s="1038"/>
      <c r="AA41" s="1038"/>
      <c r="AB41" s="1038"/>
      <c r="AC41" s="1038"/>
    </row>
    <row r="42" spans="1:29" x14ac:dyDescent="0.35">
      <c r="A42" s="964"/>
      <c r="B42" s="505" t="s">
        <v>912</v>
      </c>
      <c r="C42" s="1037">
        <v>340</v>
      </c>
      <c r="D42" s="1038">
        <v>350</v>
      </c>
      <c r="E42" s="1038">
        <v>690</v>
      </c>
      <c r="F42" s="1038">
        <v>0</v>
      </c>
      <c r="G42" s="1038">
        <v>1</v>
      </c>
      <c r="H42" s="1038">
        <v>1</v>
      </c>
      <c r="I42" s="1038">
        <v>4573</v>
      </c>
      <c r="J42" s="1038">
        <v>7347</v>
      </c>
      <c r="K42" s="1039">
        <v>11920</v>
      </c>
      <c r="L42" s="1037">
        <v>25836</v>
      </c>
      <c r="M42" s="1038">
        <v>28371</v>
      </c>
      <c r="N42" s="1038">
        <v>54207</v>
      </c>
      <c r="O42" s="1038">
        <v>322</v>
      </c>
      <c r="P42" s="1038">
        <v>396</v>
      </c>
      <c r="Q42" s="1038">
        <v>718</v>
      </c>
      <c r="R42" s="1038">
        <v>1972</v>
      </c>
      <c r="S42" s="1038">
        <v>995</v>
      </c>
      <c r="T42" s="1039">
        <v>2967</v>
      </c>
      <c r="U42" s="1037">
        <v>453</v>
      </c>
      <c r="V42" s="1038">
        <v>290</v>
      </c>
      <c r="W42" s="1038">
        <v>743</v>
      </c>
      <c r="X42" s="1038">
        <v>1094</v>
      </c>
      <c r="Y42" s="1038">
        <v>1553</v>
      </c>
      <c r="Z42" s="1038">
        <v>2647</v>
      </c>
      <c r="AA42" s="1038">
        <v>34590</v>
      </c>
      <c r="AB42" s="1038">
        <v>39303</v>
      </c>
      <c r="AC42" s="1038">
        <v>73893</v>
      </c>
    </row>
    <row r="43" spans="1:29" x14ac:dyDescent="0.35">
      <c r="A43" s="964"/>
      <c r="B43" s="395" t="s">
        <v>911</v>
      </c>
      <c r="C43" s="1037">
        <v>343</v>
      </c>
      <c r="D43" s="1038">
        <v>454</v>
      </c>
      <c r="E43" s="1038">
        <v>797</v>
      </c>
      <c r="F43" s="1038">
        <v>19</v>
      </c>
      <c r="G43" s="1038">
        <v>25</v>
      </c>
      <c r="H43" s="1038">
        <v>44</v>
      </c>
      <c r="I43" s="1038">
        <v>4632</v>
      </c>
      <c r="J43" s="1038">
        <v>8047</v>
      </c>
      <c r="K43" s="1039">
        <v>12679</v>
      </c>
      <c r="L43" s="1037">
        <v>25943</v>
      </c>
      <c r="M43" s="1038">
        <v>28584</v>
      </c>
      <c r="N43" s="1038">
        <v>54527</v>
      </c>
      <c r="O43" s="1038">
        <v>243</v>
      </c>
      <c r="P43" s="1038">
        <v>397</v>
      </c>
      <c r="Q43" s="1038">
        <v>640</v>
      </c>
      <c r="R43" s="1038">
        <v>1745</v>
      </c>
      <c r="S43" s="1038">
        <v>1367</v>
      </c>
      <c r="T43" s="1039">
        <v>3112</v>
      </c>
      <c r="U43" s="1037">
        <v>306</v>
      </c>
      <c r="V43" s="1038">
        <v>276</v>
      </c>
      <c r="W43" s="1038">
        <v>582</v>
      </c>
      <c r="X43" s="1038">
        <v>1123</v>
      </c>
      <c r="Y43" s="1038">
        <v>1418</v>
      </c>
      <c r="Z43" s="1038">
        <v>2541</v>
      </c>
      <c r="AA43" s="1038">
        <v>34354</v>
      </c>
      <c r="AB43" s="1038">
        <v>40568</v>
      </c>
      <c r="AC43" s="1038">
        <v>74922</v>
      </c>
    </row>
    <row r="44" spans="1:29" x14ac:dyDescent="0.35">
      <c r="A44" s="964"/>
      <c r="B44" s="395" t="s">
        <v>910</v>
      </c>
      <c r="C44" s="1040">
        <v>323</v>
      </c>
      <c r="D44" s="1040">
        <v>427</v>
      </c>
      <c r="E44" s="1040">
        <v>750</v>
      </c>
      <c r="F44" s="1040">
        <v>158</v>
      </c>
      <c r="G44" s="1040">
        <v>29</v>
      </c>
      <c r="H44" s="1040">
        <v>187</v>
      </c>
      <c r="I44" s="1040">
        <v>4244</v>
      </c>
      <c r="J44" s="1040">
        <v>8142</v>
      </c>
      <c r="K44" s="1040">
        <v>12386</v>
      </c>
      <c r="L44" s="1040">
        <v>26105</v>
      </c>
      <c r="M44" s="1040">
        <v>28727</v>
      </c>
      <c r="N44" s="1040">
        <v>54832</v>
      </c>
      <c r="O44" s="1040">
        <v>175</v>
      </c>
      <c r="P44" s="1040">
        <v>419</v>
      </c>
      <c r="Q44" s="1040">
        <v>594</v>
      </c>
      <c r="R44" s="1040">
        <v>1824</v>
      </c>
      <c r="S44" s="1040">
        <v>1260</v>
      </c>
      <c r="T44" s="1040">
        <v>3084</v>
      </c>
      <c r="U44" s="1040">
        <v>222</v>
      </c>
      <c r="V44" s="1040">
        <v>222</v>
      </c>
      <c r="W44" s="1040">
        <v>444</v>
      </c>
      <c r="X44" s="1040">
        <v>883</v>
      </c>
      <c r="Y44" s="1040">
        <v>1087</v>
      </c>
      <c r="Z44" s="1040">
        <v>1970</v>
      </c>
      <c r="AA44" s="1040">
        <v>33934</v>
      </c>
      <c r="AB44" s="1040">
        <v>40313</v>
      </c>
      <c r="AC44" s="1040">
        <v>74247</v>
      </c>
    </row>
    <row r="45" spans="1:29" x14ac:dyDescent="0.35">
      <c r="A45" s="964"/>
      <c r="B45" s="395" t="s">
        <v>909</v>
      </c>
      <c r="C45" s="1041">
        <v>409</v>
      </c>
      <c r="D45" s="1041">
        <v>550</v>
      </c>
      <c r="E45" s="1041">
        <v>959</v>
      </c>
      <c r="F45" s="1041">
        <v>140</v>
      </c>
      <c r="G45" s="1041">
        <v>48</v>
      </c>
      <c r="H45" s="1041">
        <v>188</v>
      </c>
      <c r="I45" s="1041">
        <v>4482</v>
      </c>
      <c r="J45" s="1041">
        <v>8372</v>
      </c>
      <c r="K45" s="1041">
        <v>12854</v>
      </c>
      <c r="L45" s="1041">
        <v>26617</v>
      </c>
      <c r="M45" s="1041">
        <v>28722</v>
      </c>
      <c r="N45" s="1041">
        <v>55339</v>
      </c>
      <c r="O45" s="1041">
        <v>264</v>
      </c>
      <c r="P45" s="1041">
        <v>437</v>
      </c>
      <c r="Q45" s="1041">
        <v>701</v>
      </c>
      <c r="R45" s="1041">
        <v>2047</v>
      </c>
      <c r="S45" s="1041">
        <v>1223</v>
      </c>
      <c r="T45" s="1041">
        <v>3270</v>
      </c>
      <c r="U45" s="1041">
        <v>409</v>
      </c>
      <c r="V45" s="1041">
        <v>259</v>
      </c>
      <c r="W45" s="1041">
        <v>668</v>
      </c>
      <c r="X45" s="1041">
        <v>1139</v>
      </c>
      <c r="Y45" s="1041">
        <v>1290</v>
      </c>
      <c r="Z45" s="1041">
        <v>2429</v>
      </c>
      <c r="AA45" s="1041">
        <v>35507</v>
      </c>
      <c r="AB45" s="1041">
        <v>40901</v>
      </c>
      <c r="AC45" s="1041">
        <v>76408</v>
      </c>
    </row>
    <row r="46" spans="1:29" x14ac:dyDescent="0.35">
      <c r="A46" s="964"/>
      <c r="B46" s="395" t="s">
        <v>908</v>
      </c>
      <c r="C46" s="1040">
        <v>353</v>
      </c>
      <c r="D46" s="1040">
        <v>508</v>
      </c>
      <c r="E46" s="1040">
        <v>861</v>
      </c>
      <c r="F46" s="1040">
        <v>145</v>
      </c>
      <c r="G46" s="1040">
        <v>43</v>
      </c>
      <c r="H46" s="1040">
        <v>188</v>
      </c>
      <c r="I46" s="1040">
        <v>4184</v>
      </c>
      <c r="J46" s="1040">
        <v>8052</v>
      </c>
      <c r="K46" s="1040">
        <v>12236</v>
      </c>
      <c r="L46" s="1040">
        <v>26406</v>
      </c>
      <c r="M46" s="1040">
        <v>28567</v>
      </c>
      <c r="N46" s="1040">
        <v>54973</v>
      </c>
      <c r="O46" s="1040">
        <v>257</v>
      </c>
      <c r="P46" s="1040">
        <v>428</v>
      </c>
      <c r="Q46" s="1040">
        <v>685</v>
      </c>
      <c r="R46" s="1040">
        <v>1391</v>
      </c>
      <c r="S46" s="1040">
        <v>1214</v>
      </c>
      <c r="T46" s="1040">
        <v>2605</v>
      </c>
      <c r="U46" s="1040">
        <v>549</v>
      </c>
      <c r="V46" s="1040">
        <v>204</v>
      </c>
      <c r="W46" s="1040">
        <v>753</v>
      </c>
      <c r="X46" s="1040">
        <v>1111</v>
      </c>
      <c r="Y46" s="1040">
        <v>1091</v>
      </c>
      <c r="Z46" s="1040">
        <v>2202</v>
      </c>
      <c r="AA46" s="1040">
        <v>34396</v>
      </c>
      <c r="AB46" s="1040">
        <v>40107</v>
      </c>
      <c r="AC46" s="1040">
        <v>74503</v>
      </c>
    </row>
    <row r="47" spans="1:29" x14ac:dyDescent="0.35">
      <c r="A47" s="963">
        <v>7</v>
      </c>
      <c r="B47" s="505" t="s">
        <v>18</v>
      </c>
      <c r="C47" s="1037"/>
      <c r="D47" s="1038"/>
      <c r="E47" s="1038"/>
      <c r="F47" s="1038"/>
      <c r="G47" s="1038"/>
      <c r="H47" s="1038"/>
      <c r="I47" s="1038"/>
      <c r="J47" s="1038"/>
      <c r="K47" s="1039"/>
      <c r="L47" s="1037"/>
      <c r="M47" s="1038"/>
      <c r="N47" s="1038"/>
      <c r="O47" s="1038"/>
      <c r="P47" s="1038"/>
      <c r="Q47" s="1038"/>
      <c r="R47" s="1038"/>
      <c r="S47" s="1038"/>
      <c r="T47" s="1039"/>
      <c r="U47" s="1037"/>
      <c r="V47" s="1038"/>
      <c r="W47" s="1038"/>
      <c r="X47" s="1038"/>
      <c r="Y47" s="1038"/>
      <c r="Z47" s="1038"/>
      <c r="AA47" s="1038"/>
      <c r="AB47" s="1038"/>
      <c r="AC47" s="1038"/>
    </row>
    <row r="48" spans="1:29" x14ac:dyDescent="0.35">
      <c r="A48" s="964"/>
      <c r="B48" s="505" t="s">
        <v>912</v>
      </c>
      <c r="C48" s="1037">
        <v>1300</v>
      </c>
      <c r="D48" s="1038">
        <v>1343</v>
      </c>
      <c r="E48" s="1038">
        <v>2643</v>
      </c>
      <c r="F48" s="1038">
        <v>7</v>
      </c>
      <c r="G48" s="1038">
        <v>18</v>
      </c>
      <c r="H48" s="1038">
        <v>25</v>
      </c>
      <c r="I48" s="1038">
        <v>30882</v>
      </c>
      <c r="J48" s="1038">
        <v>50223</v>
      </c>
      <c r="K48" s="1039">
        <v>81105</v>
      </c>
      <c r="L48" s="1037">
        <v>221476</v>
      </c>
      <c r="M48" s="1038">
        <v>284091</v>
      </c>
      <c r="N48" s="1038">
        <v>505568</v>
      </c>
      <c r="O48" s="1038">
        <v>6367</v>
      </c>
      <c r="P48" s="1038">
        <v>7750</v>
      </c>
      <c r="Q48" s="1038">
        <v>14117</v>
      </c>
      <c r="R48" s="1038">
        <v>21002</v>
      </c>
      <c r="S48" s="1038">
        <v>16559</v>
      </c>
      <c r="T48" s="1039">
        <v>37561</v>
      </c>
      <c r="U48" s="1037">
        <v>268</v>
      </c>
      <c r="V48" s="1038">
        <v>402</v>
      </c>
      <c r="W48" s="1038">
        <v>670</v>
      </c>
      <c r="X48" s="1038">
        <v>2775</v>
      </c>
      <c r="Y48" s="1038">
        <v>2654</v>
      </c>
      <c r="Z48" s="1038">
        <v>5429</v>
      </c>
      <c r="AA48" s="1038">
        <v>284077</v>
      </c>
      <c r="AB48" s="1038">
        <v>363041</v>
      </c>
      <c r="AC48" s="1038">
        <v>647118</v>
      </c>
    </row>
    <row r="49" spans="1:29" x14ac:dyDescent="0.35">
      <c r="A49" s="964"/>
      <c r="B49" s="395" t="s">
        <v>911</v>
      </c>
      <c r="C49" s="1037">
        <v>920</v>
      </c>
      <c r="D49" s="1038">
        <v>917</v>
      </c>
      <c r="E49" s="1038">
        <v>1837</v>
      </c>
      <c r="F49" s="1038">
        <v>4</v>
      </c>
      <c r="G49" s="1038">
        <v>8</v>
      </c>
      <c r="H49" s="1038">
        <v>12</v>
      </c>
      <c r="I49" s="1038">
        <v>27658</v>
      </c>
      <c r="J49" s="1038">
        <v>44742</v>
      </c>
      <c r="K49" s="1039">
        <v>72400</v>
      </c>
      <c r="L49" s="1037">
        <v>215787</v>
      </c>
      <c r="M49" s="1038">
        <v>267762</v>
      </c>
      <c r="N49" s="1038">
        <v>483549</v>
      </c>
      <c r="O49" s="1038">
        <v>5742</v>
      </c>
      <c r="P49" s="1038">
        <v>6344</v>
      </c>
      <c r="Q49" s="1038">
        <v>12086</v>
      </c>
      <c r="R49" s="1038">
        <v>21386</v>
      </c>
      <c r="S49" s="1038">
        <v>15254</v>
      </c>
      <c r="T49" s="1039">
        <v>36640</v>
      </c>
      <c r="U49" s="1037">
        <v>226</v>
      </c>
      <c r="V49" s="1038">
        <v>428</v>
      </c>
      <c r="W49" s="1038">
        <v>654</v>
      </c>
      <c r="X49" s="1038">
        <v>2690</v>
      </c>
      <c r="Y49" s="1038">
        <v>2409</v>
      </c>
      <c r="Z49" s="1038">
        <v>5099</v>
      </c>
      <c r="AA49" s="1038">
        <v>274413</v>
      </c>
      <c r="AB49" s="1038">
        <v>337864</v>
      </c>
      <c r="AC49" s="1038">
        <v>612277</v>
      </c>
    </row>
    <row r="50" spans="1:29" x14ac:dyDescent="0.35">
      <c r="A50" s="964"/>
      <c r="B50" s="395" t="s">
        <v>910</v>
      </c>
      <c r="C50" s="1040">
        <v>910</v>
      </c>
      <c r="D50" s="1040">
        <v>744</v>
      </c>
      <c r="E50" s="1040">
        <v>1654</v>
      </c>
      <c r="F50" s="1040">
        <v>36</v>
      </c>
      <c r="G50" s="1040">
        <v>22</v>
      </c>
      <c r="H50" s="1040">
        <v>58</v>
      </c>
      <c r="I50" s="1040">
        <v>25566</v>
      </c>
      <c r="J50" s="1040">
        <v>39663</v>
      </c>
      <c r="K50" s="1040">
        <v>65229</v>
      </c>
      <c r="L50" s="1040">
        <v>203718</v>
      </c>
      <c r="M50" s="1040">
        <v>251446</v>
      </c>
      <c r="N50" s="1040">
        <v>455164</v>
      </c>
      <c r="O50" s="1040">
        <v>4450</v>
      </c>
      <c r="P50" s="1040">
        <v>4591</v>
      </c>
      <c r="Q50" s="1040">
        <v>9041</v>
      </c>
      <c r="R50" s="1040">
        <v>21367</v>
      </c>
      <c r="S50" s="1040">
        <v>15337</v>
      </c>
      <c r="T50" s="1040">
        <v>36704</v>
      </c>
      <c r="U50" s="1040">
        <v>269</v>
      </c>
      <c r="V50" s="1040">
        <v>424</v>
      </c>
      <c r="W50" s="1040">
        <v>693</v>
      </c>
      <c r="X50" s="1040">
        <v>1542</v>
      </c>
      <c r="Y50" s="1040">
        <v>1540</v>
      </c>
      <c r="Z50" s="1040">
        <v>3082</v>
      </c>
      <c r="AA50" s="1040">
        <v>257858</v>
      </c>
      <c r="AB50" s="1040">
        <v>313767</v>
      </c>
      <c r="AC50" s="1040">
        <v>571625</v>
      </c>
    </row>
    <row r="51" spans="1:29" x14ac:dyDescent="0.35">
      <c r="A51" s="964"/>
      <c r="B51" s="395" t="s">
        <v>909</v>
      </c>
      <c r="C51" s="1041">
        <v>824</v>
      </c>
      <c r="D51" s="1041">
        <v>691</v>
      </c>
      <c r="E51" s="1041">
        <v>1515</v>
      </c>
      <c r="F51" s="1041">
        <v>109</v>
      </c>
      <c r="G51" s="1041">
        <v>89</v>
      </c>
      <c r="H51" s="1041">
        <v>198</v>
      </c>
      <c r="I51" s="1041">
        <v>23040</v>
      </c>
      <c r="J51" s="1041">
        <v>34523</v>
      </c>
      <c r="K51" s="1041">
        <v>57563</v>
      </c>
      <c r="L51" s="1041">
        <v>173403</v>
      </c>
      <c r="M51" s="1041">
        <v>219635</v>
      </c>
      <c r="N51" s="1041">
        <v>393038</v>
      </c>
      <c r="O51" s="1041">
        <v>4672</v>
      </c>
      <c r="P51" s="1041">
        <v>5099</v>
      </c>
      <c r="Q51" s="1041">
        <v>9771</v>
      </c>
      <c r="R51" s="1041">
        <v>22197</v>
      </c>
      <c r="S51" s="1041">
        <v>15478</v>
      </c>
      <c r="T51" s="1041">
        <v>37675</v>
      </c>
      <c r="U51" s="1041">
        <v>210</v>
      </c>
      <c r="V51" s="1041">
        <v>335</v>
      </c>
      <c r="W51" s="1041">
        <v>545</v>
      </c>
      <c r="X51" s="1041">
        <v>1882</v>
      </c>
      <c r="Y51" s="1041">
        <v>1848</v>
      </c>
      <c r="Z51" s="1041">
        <v>3730</v>
      </c>
      <c r="AA51" s="1041">
        <v>226337</v>
      </c>
      <c r="AB51" s="1041">
        <v>277698</v>
      </c>
      <c r="AC51" s="1041">
        <v>504035</v>
      </c>
    </row>
    <row r="52" spans="1:29" x14ac:dyDescent="0.35">
      <c r="A52" s="964"/>
      <c r="B52" s="395" t="s">
        <v>908</v>
      </c>
      <c r="C52" s="1040">
        <v>965</v>
      </c>
      <c r="D52" s="1040">
        <v>509</v>
      </c>
      <c r="E52" s="1040">
        <v>1474</v>
      </c>
      <c r="F52" s="1040">
        <v>193</v>
      </c>
      <c r="G52" s="1040">
        <v>151</v>
      </c>
      <c r="H52" s="1040">
        <v>344</v>
      </c>
      <c r="I52" s="1040">
        <v>22060</v>
      </c>
      <c r="J52" s="1040">
        <v>30531</v>
      </c>
      <c r="K52" s="1040">
        <v>52591</v>
      </c>
      <c r="L52" s="1040">
        <v>171481</v>
      </c>
      <c r="M52" s="1040">
        <v>204922</v>
      </c>
      <c r="N52" s="1040">
        <v>376403</v>
      </c>
      <c r="O52" s="1040">
        <v>4491</v>
      </c>
      <c r="P52" s="1040">
        <v>4916</v>
      </c>
      <c r="Q52" s="1040">
        <v>9407</v>
      </c>
      <c r="R52" s="1040">
        <v>23015</v>
      </c>
      <c r="S52" s="1040">
        <v>15902</v>
      </c>
      <c r="T52" s="1040">
        <v>38917</v>
      </c>
      <c r="U52" s="1040">
        <v>190</v>
      </c>
      <c r="V52" s="1040">
        <v>365</v>
      </c>
      <c r="W52" s="1040">
        <v>555</v>
      </c>
      <c r="X52" s="1040">
        <v>1357</v>
      </c>
      <c r="Y52" s="1040">
        <v>1444</v>
      </c>
      <c r="Z52" s="1040">
        <v>2801</v>
      </c>
      <c r="AA52" s="1040">
        <v>223752</v>
      </c>
      <c r="AB52" s="1040">
        <v>258740</v>
      </c>
      <c r="AC52" s="1040">
        <v>482492</v>
      </c>
    </row>
    <row r="53" spans="1:29" x14ac:dyDescent="0.35">
      <c r="A53" s="963">
        <v>8</v>
      </c>
      <c r="B53" s="505" t="s">
        <v>19</v>
      </c>
      <c r="C53" s="1037"/>
      <c r="D53" s="1038"/>
      <c r="E53" s="1038"/>
      <c r="F53" s="1038"/>
      <c r="G53" s="1038"/>
      <c r="H53" s="1038"/>
      <c r="I53" s="1038"/>
      <c r="J53" s="1038"/>
      <c r="K53" s="1039"/>
      <c r="L53" s="1037"/>
      <c r="M53" s="1038"/>
      <c r="N53" s="1038"/>
      <c r="O53" s="1038"/>
      <c r="P53" s="1038"/>
      <c r="Q53" s="1038"/>
      <c r="R53" s="1038"/>
      <c r="S53" s="1038"/>
      <c r="T53" s="1039"/>
      <c r="U53" s="1037"/>
      <c r="V53" s="1038"/>
      <c r="W53" s="1038"/>
      <c r="X53" s="1038"/>
      <c r="Y53" s="1038"/>
      <c r="Z53" s="1038"/>
      <c r="AA53" s="1038"/>
      <c r="AB53" s="1038"/>
      <c r="AC53" s="1038"/>
    </row>
    <row r="54" spans="1:29" x14ac:dyDescent="0.35">
      <c r="A54" s="964"/>
      <c r="B54" s="505" t="s">
        <v>912</v>
      </c>
      <c r="C54" s="1037">
        <v>11326</v>
      </c>
      <c r="D54" s="1038">
        <v>9640</v>
      </c>
      <c r="E54" s="1038">
        <v>20966</v>
      </c>
      <c r="F54" s="1038">
        <v>249</v>
      </c>
      <c r="G54" s="1038">
        <v>251</v>
      </c>
      <c r="H54" s="1038">
        <v>500</v>
      </c>
      <c r="I54" s="1038">
        <v>26003</v>
      </c>
      <c r="J54" s="1038">
        <v>25750</v>
      </c>
      <c r="K54" s="1039">
        <v>51754</v>
      </c>
      <c r="L54" s="1037">
        <v>252875</v>
      </c>
      <c r="M54" s="1038">
        <v>253547</v>
      </c>
      <c r="N54" s="1038">
        <v>506422</v>
      </c>
      <c r="O54" s="1038">
        <v>3831</v>
      </c>
      <c r="P54" s="1038">
        <v>2450</v>
      </c>
      <c r="Q54" s="1038">
        <v>6281</v>
      </c>
      <c r="R54" s="1038">
        <v>16212</v>
      </c>
      <c r="S54" s="1038">
        <v>11256</v>
      </c>
      <c r="T54" s="1039">
        <v>27468</v>
      </c>
      <c r="U54" s="1037">
        <v>1250</v>
      </c>
      <c r="V54" s="1038">
        <v>1202</v>
      </c>
      <c r="W54" s="1038">
        <v>2452</v>
      </c>
      <c r="X54" s="1038">
        <v>5254</v>
      </c>
      <c r="Y54" s="1038">
        <v>3965</v>
      </c>
      <c r="Z54" s="1038">
        <v>9219</v>
      </c>
      <c r="AA54" s="1038">
        <v>317001</v>
      </c>
      <c r="AB54" s="1038">
        <v>308061</v>
      </c>
      <c r="AC54" s="1038">
        <v>625062</v>
      </c>
    </row>
    <row r="55" spans="1:29" x14ac:dyDescent="0.35">
      <c r="A55" s="964"/>
      <c r="B55" s="395" t="s">
        <v>911</v>
      </c>
      <c r="C55" s="1037">
        <v>7533</v>
      </c>
      <c r="D55" s="1038">
        <v>6561</v>
      </c>
      <c r="E55" s="1038">
        <v>14094</v>
      </c>
      <c r="F55" s="1038">
        <v>716</v>
      </c>
      <c r="G55" s="1038">
        <v>761</v>
      </c>
      <c r="H55" s="1038">
        <v>1477</v>
      </c>
      <c r="I55" s="1038">
        <v>22132</v>
      </c>
      <c r="J55" s="1038">
        <v>22665</v>
      </c>
      <c r="K55" s="1039">
        <v>44797</v>
      </c>
      <c r="L55" s="1037">
        <v>179180</v>
      </c>
      <c r="M55" s="1038">
        <v>197718</v>
      </c>
      <c r="N55" s="1038">
        <v>376898</v>
      </c>
      <c r="O55" s="1038">
        <v>3763</v>
      </c>
      <c r="P55" s="1038">
        <v>2519</v>
      </c>
      <c r="Q55" s="1038">
        <v>6282</v>
      </c>
      <c r="R55" s="1038">
        <v>14930</v>
      </c>
      <c r="S55" s="1038">
        <v>11747</v>
      </c>
      <c r="T55" s="1039">
        <v>26677</v>
      </c>
      <c r="U55" s="1037">
        <v>1311</v>
      </c>
      <c r="V55" s="1038">
        <v>1066</v>
      </c>
      <c r="W55" s="1038">
        <v>2377</v>
      </c>
      <c r="X55" s="1038">
        <v>3785</v>
      </c>
      <c r="Y55" s="1038">
        <v>2349</v>
      </c>
      <c r="Z55" s="1038">
        <v>6134</v>
      </c>
      <c r="AA55" s="1038">
        <v>233350</v>
      </c>
      <c r="AB55" s="1038">
        <v>245386</v>
      </c>
      <c r="AC55" s="1038">
        <v>478736</v>
      </c>
    </row>
    <row r="56" spans="1:29" x14ac:dyDescent="0.35">
      <c r="A56" s="964"/>
      <c r="B56" s="395" t="s">
        <v>910</v>
      </c>
      <c r="C56" s="1040">
        <v>8112</v>
      </c>
      <c r="D56" s="1040">
        <v>7332</v>
      </c>
      <c r="E56" s="1040">
        <v>15444</v>
      </c>
      <c r="F56" s="1040">
        <v>772</v>
      </c>
      <c r="G56" s="1040">
        <v>764</v>
      </c>
      <c r="H56" s="1040">
        <v>1536</v>
      </c>
      <c r="I56" s="1040">
        <v>20904</v>
      </c>
      <c r="J56" s="1040">
        <v>21417</v>
      </c>
      <c r="K56" s="1040">
        <v>42321</v>
      </c>
      <c r="L56" s="1040">
        <v>167197</v>
      </c>
      <c r="M56" s="1040">
        <v>185508</v>
      </c>
      <c r="N56" s="1040">
        <v>352705</v>
      </c>
      <c r="O56" s="1040">
        <v>4076</v>
      </c>
      <c r="P56" s="1040">
        <v>2979</v>
      </c>
      <c r="Q56" s="1040">
        <v>7055</v>
      </c>
      <c r="R56" s="1040">
        <v>15220</v>
      </c>
      <c r="S56" s="1040">
        <v>12709</v>
      </c>
      <c r="T56" s="1040">
        <v>27929</v>
      </c>
      <c r="U56" s="1040">
        <v>1415</v>
      </c>
      <c r="V56" s="1040">
        <v>1143</v>
      </c>
      <c r="W56" s="1040">
        <v>2558</v>
      </c>
      <c r="X56" s="1040">
        <v>3735</v>
      </c>
      <c r="Y56" s="1040">
        <v>2228</v>
      </c>
      <c r="Z56" s="1040">
        <v>5963</v>
      </c>
      <c r="AA56" s="1040">
        <v>221431</v>
      </c>
      <c r="AB56" s="1040">
        <v>234080</v>
      </c>
      <c r="AC56" s="1040">
        <v>455511</v>
      </c>
    </row>
    <row r="57" spans="1:29" x14ac:dyDescent="0.35">
      <c r="A57" s="964"/>
      <c r="B57" s="395" t="s">
        <v>909</v>
      </c>
      <c r="C57" s="1041">
        <v>8812</v>
      </c>
      <c r="D57" s="1041">
        <v>7458</v>
      </c>
      <c r="E57" s="1041">
        <v>16270</v>
      </c>
      <c r="F57" s="1041">
        <v>650</v>
      </c>
      <c r="G57" s="1041">
        <v>672</v>
      </c>
      <c r="H57" s="1041">
        <v>1322</v>
      </c>
      <c r="I57" s="1041">
        <v>24635</v>
      </c>
      <c r="J57" s="1041">
        <v>24080</v>
      </c>
      <c r="K57" s="1041">
        <v>48715</v>
      </c>
      <c r="L57" s="1041">
        <v>162498</v>
      </c>
      <c r="M57" s="1041">
        <v>178598</v>
      </c>
      <c r="N57" s="1041">
        <v>341096</v>
      </c>
      <c r="O57" s="1041">
        <v>2692</v>
      </c>
      <c r="P57" s="1041">
        <v>2215</v>
      </c>
      <c r="Q57" s="1041">
        <v>4907</v>
      </c>
      <c r="R57" s="1041">
        <v>17816</v>
      </c>
      <c r="S57" s="1041">
        <v>12949</v>
      </c>
      <c r="T57" s="1041">
        <v>30765</v>
      </c>
      <c r="U57" s="1041">
        <v>2340</v>
      </c>
      <c r="V57" s="1041">
        <v>1627</v>
      </c>
      <c r="W57" s="1041">
        <v>3967</v>
      </c>
      <c r="X57" s="1041">
        <v>2999</v>
      </c>
      <c r="Y57" s="1041">
        <v>1497</v>
      </c>
      <c r="Z57" s="1041">
        <v>4496</v>
      </c>
      <c r="AA57" s="1041">
        <v>222442</v>
      </c>
      <c r="AB57" s="1041">
        <v>229096</v>
      </c>
      <c r="AC57" s="1041">
        <v>451538</v>
      </c>
    </row>
    <row r="58" spans="1:29" x14ac:dyDescent="0.35">
      <c r="A58" s="964"/>
      <c r="B58" s="395" t="s">
        <v>908</v>
      </c>
      <c r="C58" s="1040">
        <v>4918</v>
      </c>
      <c r="D58" s="1040">
        <v>4493</v>
      </c>
      <c r="E58" s="1040">
        <v>9411</v>
      </c>
      <c r="F58" s="1040">
        <v>2402</v>
      </c>
      <c r="G58" s="1040">
        <v>2684</v>
      </c>
      <c r="H58" s="1040">
        <v>5086</v>
      </c>
      <c r="I58" s="1040">
        <v>25115</v>
      </c>
      <c r="J58" s="1040">
        <v>24578</v>
      </c>
      <c r="K58" s="1040">
        <v>49693</v>
      </c>
      <c r="L58" s="1040">
        <v>159224</v>
      </c>
      <c r="M58" s="1040">
        <v>169739</v>
      </c>
      <c r="N58" s="1040">
        <v>328963</v>
      </c>
      <c r="O58" s="1040">
        <v>1933</v>
      </c>
      <c r="P58" s="1040">
        <v>1797</v>
      </c>
      <c r="Q58" s="1040">
        <v>3730</v>
      </c>
      <c r="R58" s="1040">
        <v>16697</v>
      </c>
      <c r="S58" s="1040">
        <v>12316</v>
      </c>
      <c r="T58" s="1040">
        <v>29013</v>
      </c>
      <c r="U58" s="1040">
        <v>2348</v>
      </c>
      <c r="V58" s="1040">
        <v>1656</v>
      </c>
      <c r="W58" s="1040">
        <v>4004</v>
      </c>
      <c r="X58" s="1040">
        <v>3189</v>
      </c>
      <c r="Y58" s="1040">
        <v>1882</v>
      </c>
      <c r="Z58" s="1040">
        <v>5071</v>
      </c>
      <c r="AA58" s="1040">
        <v>215826</v>
      </c>
      <c r="AB58" s="1040">
        <v>219145</v>
      </c>
      <c r="AC58" s="1040">
        <v>434971</v>
      </c>
    </row>
    <row r="59" spans="1:29" x14ac:dyDescent="0.35">
      <c r="A59" s="963">
        <v>9</v>
      </c>
      <c r="B59" s="505" t="s">
        <v>20</v>
      </c>
      <c r="C59" s="1037"/>
      <c r="D59" s="1038"/>
      <c r="E59" s="1038"/>
      <c r="F59" s="1038"/>
      <c r="G59" s="1038"/>
      <c r="H59" s="1038"/>
      <c r="I59" s="1038"/>
      <c r="J59" s="1038"/>
      <c r="K59" s="1039"/>
      <c r="L59" s="1037"/>
      <c r="M59" s="1038"/>
      <c r="N59" s="1038"/>
      <c r="O59" s="1038"/>
      <c r="P59" s="1038"/>
      <c r="Q59" s="1038"/>
      <c r="R59" s="1038"/>
      <c r="S59" s="1038"/>
      <c r="T59" s="1039"/>
      <c r="U59" s="1037"/>
      <c r="V59" s="1038"/>
      <c r="W59" s="1038"/>
      <c r="X59" s="1038"/>
      <c r="Y59" s="1038"/>
      <c r="Z59" s="1038"/>
      <c r="AA59" s="1038"/>
      <c r="AB59" s="1038"/>
      <c r="AC59" s="1038"/>
    </row>
    <row r="60" spans="1:29" x14ac:dyDescent="0.35">
      <c r="A60" s="964"/>
      <c r="B60" s="505" t="s">
        <v>912</v>
      </c>
      <c r="C60" s="1037">
        <v>635</v>
      </c>
      <c r="D60" s="1038">
        <v>743</v>
      </c>
      <c r="E60" s="1038">
        <v>1378</v>
      </c>
      <c r="F60" s="1038">
        <v>4</v>
      </c>
      <c r="G60" s="1038">
        <v>10</v>
      </c>
      <c r="H60" s="1038">
        <v>14</v>
      </c>
      <c r="I60" s="1038">
        <v>2623</v>
      </c>
      <c r="J60" s="1038">
        <v>3996</v>
      </c>
      <c r="K60" s="1039">
        <v>6619</v>
      </c>
      <c r="L60" s="1037">
        <v>20742</v>
      </c>
      <c r="M60" s="1038">
        <v>21541</v>
      </c>
      <c r="N60" s="1038">
        <v>42283</v>
      </c>
      <c r="O60" s="1038">
        <v>135</v>
      </c>
      <c r="P60" s="1038">
        <v>74</v>
      </c>
      <c r="Q60" s="1038">
        <v>209</v>
      </c>
      <c r="R60" s="1038">
        <v>5132</v>
      </c>
      <c r="S60" s="1038">
        <v>1132</v>
      </c>
      <c r="T60" s="1039">
        <v>6264</v>
      </c>
      <c r="U60" s="1037">
        <v>66</v>
      </c>
      <c r="V60" s="1038">
        <v>13</v>
      </c>
      <c r="W60" s="1038">
        <v>79</v>
      </c>
      <c r="X60" s="1038">
        <v>1669</v>
      </c>
      <c r="Y60" s="1038">
        <v>1340</v>
      </c>
      <c r="Z60" s="1038">
        <v>3009</v>
      </c>
      <c r="AA60" s="1038">
        <v>31006</v>
      </c>
      <c r="AB60" s="1038">
        <v>28849</v>
      </c>
      <c r="AC60" s="1038">
        <v>59855</v>
      </c>
    </row>
    <row r="61" spans="1:29" x14ac:dyDescent="0.35">
      <c r="A61" s="964"/>
      <c r="B61" s="395" t="s">
        <v>911</v>
      </c>
      <c r="C61" s="1037">
        <v>494</v>
      </c>
      <c r="D61" s="1038">
        <v>407</v>
      </c>
      <c r="E61" s="1038">
        <v>901</v>
      </c>
      <c r="F61" s="1038">
        <v>10</v>
      </c>
      <c r="G61" s="1038"/>
      <c r="H61" s="1038">
        <v>10</v>
      </c>
      <c r="I61" s="1038">
        <v>2710</v>
      </c>
      <c r="J61" s="1038">
        <v>3680</v>
      </c>
      <c r="K61" s="1039">
        <v>6390</v>
      </c>
      <c r="L61" s="1037">
        <v>20831</v>
      </c>
      <c r="M61" s="1038">
        <v>21355</v>
      </c>
      <c r="N61" s="1038">
        <v>42186</v>
      </c>
      <c r="O61" s="1038">
        <v>48</v>
      </c>
      <c r="P61" s="1038">
        <v>56</v>
      </c>
      <c r="Q61" s="1038">
        <v>104</v>
      </c>
      <c r="R61" s="1038">
        <v>6490</v>
      </c>
      <c r="S61" s="1038">
        <v>945</v>
      </c>
      <c r="T61" s="1039">
        <v>7435</v>
      </c>
      <c r="U61" s="1037">
        <v>12</v>
      </c>
      <c r="V61" s="1038"/>
      <c r="W61" s="1038">
        <v>12</v>
      </c>
      <c r="X61" s="1038">
        <v>1581</v>
      </c>
      <c r="Y61" s="1038">
        <v>1221</v>
      </c>
      <c r="Z61" s="1038">
        <v>2802</v>
      </c>
      <c r="AA61" s="1038">
        <v>32176</v>
      </c>
      <c r="AB61" s="1038">
        <v>27664</v>
      </c>
      <c r="AC61" s="1038">
        <v>59840</v>
      </c>
    </row>
    <row r="62" spans="1:29" x14ac:dyDescent="0.35">
      <c r="A62" s="964"/>
      <c r="B62" s="395" t="s">
        <v>910</v>
      </c>
      <c r="C62" s="1040">
        <v>276</v>
      </c>
      <c r="D62" s="1040">
        <v>340</v>
      </c>
      <c r="E62" s="1040">
        <v>616</v>
      </c>
      <c r="F62" s="1040">
        <v>6</v>
      </c>
      <c r="G62" s="1040">
        <v>2</v>
      </c>
      <c r="H62" s="1040">
        <v>8</v>
      </c>
      <c r="I62" s="1040">
        <v>2169</v>
      </c>
      <c r="J62" s="1040">
        <v>3376</v>
      </c>
      <c r="K62" s="1040">
        <v>5545</v>
      </c>
      <c r="L62" s="1040">
        <v>17717</v>
      </c>
      <c r="M62" s="1040">
        <v>21797</v>
      </c>
      <c r="N62" s="1040">
        <v>39514</v>
      </c>
      <c r="O62" s="1040">
        <v>24</v>
      </c>
      <c r="P62" s="1040">
        <v>71</v>
      </c>
      <c r="Q62" s="1040">
        <v>95</v>
      </c>
      <c r="R62" s="1040">
        <v>4656</v>
      </c>
      <c r="S62" s="1040">
        <v>1534</v>
      </c>
      <c r="T62" s="1040">
        <v>6190</v>
      </c>
      <c r="U62" s="1040">
        <v>17</v>
      </c>
      <c r="V62" s="1040">
        <v>14</v>
      </c>
      <c r="W62" s="1040">
        <v>31</v>
      </c>
      <c r="X62" s="1040">
        <v>422</v>
      </c>
      <c r="Y62" s="1040">
        <v>923</v>
      </c>
      <c r="Z62" s="1040">
        <v>1345</v>
      </c>
      <c r="AA62" s="1040">
        <v>25287</v>
      </c>
      <c r="AB62" s="1040">
        <v>28057</v>
      </c>
      <c r="AC62" s="1040">
        <v>53344</v>
      </c>
    </row>
    <row r="63" spans="1:29" x14ac:dyDescent="0.35">
      <c r="A63" s="964"/>
      <c r="B63" s="395" t="s">
        <v>909</v>
      </c>
      <c r="C63" s="1041">
        <v>217</v>
      </c>
      <c r="D63" s="1041">
        <v>216</v>
      </c>
      <c r="E63" s="1041">
        <v>433</v>
      </c>
      <c r="F63" s="1041">
        <v>1</v>
      </c>
      <c r="G63" s="1041">
        <v>4</v>
      </c>
      <c r="H63" s="1041">
        <v>5</v>
      </c>
      <c r="I63" s="1041">
        <v>1799</v>
      </c>
      <c r="J63" s="1041">
        <v>3139</v>
      </c>
      <c r="K63" s="1041">
        <v>4938</v>
      </c>
      <c r="L63" s="1041">
        <v>15641</v>
      </c>
      <c r="M63" s="1041">
        <v>20727</v>
      </c>
      <c r="N63" s="1041">
        <v>36368</v>
      </c>
      <c r="O63" s="1041">
        <v>39</v>
      </c>
      <c r="P63" s="1041">
        <v>52</v>
      </c>
      <c r="Q63" s="1041">
        <v>91</v>
      </c>
      <c r="R63" s="1041">
        <v>4412</v>
      </c>
      <c r="S63" s="1041">
        <v>872</v>
      </c>
      <c r="T63" s="1041">
        <v>5284</v>
      </c>
      <c r="U63" s="1041">
        <v>20</v>
      </c>
      <c r="V63" s="1041">
        <v>4</v>
      </c>
      <c r="W63" s="1041">
        <v>24</v>
      </c>
      <c r="X63" s="1041">
        <v>196</v>
      </c>
      <c r="Y63" s="1041">
        <v>528</v>
      </c>
      <c r="Z63" s="1041">
        <v>724</v>
      </c>
      <c r="AA63" s="1041">
        <v>22325</v>
      </c>
      <c r="AB63" s="1041">
        <v>25542</v>
      </c>
      <c r="AC63" s="1041">
        <v>47867</v>
      </c>
    </row>
    <row r="64" spans="1:29" x14ac:dyDescent="0.35">
      <c r="A64" s="964"/>
      <c r="B64" s="395" t="s">
        <v>908</v>
      </c>
      <c r="C64" s="1040">
        <v>167</v>
      </c>
      <c r="D64" s="1040">
        <v>129</v>
      </c>
      <c r="E64" s="1040">
        <v>296</v>
      </c>
      <c r="F64" s="1040">
        <v>0</v>
      </c>
      <c r="G64" s="1040">
        <v>0</v>
      </c>
      <c r="H64" s="1040">
        <v>0</v>
      </c>
      <c r="I64" s="1040">
        <v>1615</v>
      </c>
      <c r="J64" s="1040">
        <v>2846</v>
      </c>
      <c r="K64" s="1040">
        <v>4461</v>
      </c>
      <c r="L64" s="1040">
        <v>16567</v>
      </c>
      <c r="M64" s="1040">
        <v>21225</v>
      </c>
      <c r="N64" s="1040">
        <v>37792</v>
      </c>
      <c r="O64" s="1040">
        <v>37</v>
      </c>
      <c r="P64" s="1040">
        <v>29</v>
      </c>
      <c r="Q64" s="1040">
        <v>66</v>
      </c>
      <c r="R64" s="1040">
        <v>5566</v>
      </c>
      <c r="S64" s="1040">
        <v>751</v>
      </c>
      <c r="T64" s="1040">
        <v>6317</v>
      </c>
      <c r="U64" s="1040">
        <v>11</v>
      </c>
      <c r="V64" s="1040">
        <v>0</v>
      </c>
      <c r="W64" s="1040">
        <v>11</v>
      </c>
      <c r="X64" s="1040">
        <v>213</v>
      </c>
      <c r="Y64" s="1040">
        <v>479</v>
      </c>
      <c r="Z64" s="1040">
        <v>692</v>
      </c>
      <c r="AA64" s="1040">
        <v>24176</v>
      </c>
      <c r="AB64" s="1040">
        <v>25459</v>
      </c>
      <c r="AC64" s="1040">
        <v>49635</v>
      </c>
    </row>
    <row r="65" spans="1:29" x14ac:dyDescent="0.35">
      <c r="A65" s="963">
        <v>10</v>
      </c>
      <c r="B65" s="505" t="s">
        <v>21</v>
      </c>
      <c r="C65" s="1037"/>
      <c r="D65" s="1038"/>
      <c r="E65" s="1038"/>
      <c r="F65" s="1038"/>
      <c r="G65" s="1038"/>
      <c r="H65" s="1038"/>
      <c r="I65" s="1038"/>
      <c r="J65" s="1038"/>
      <c r="K65" s="1039"/>
      <c r="L65" s="1037"/>
      <c r="M65" s="1038"/>
      <c r="N65" s="1038"/>
      <c r="O65" s="1038"/>
      <c r="P65" s="1038"/>
      <c r="Q65" s="1038"/>
      <c r="R65" s="1038"/>
      <c r="S65" s="1038"/>
      <c r="T65" s="1039"/>
      <c r="U65" s="1037"/>
      <c r="V65" s="1038"/>
      <c r="W65" s="1038"/>
      <c r="X65" s="1038"/>
      <c r="Y65" s="1038"/>
      <c r="Z65" s="1038"/>
      <c r="AA65" s="1038"/>
      <c r="AB65" s="1038"/>
      <c r="AC65" s="1038"/>
    </row>
    <row r="66" spans="1:29" x14ac:dyDescent="0.35">
      <c r="A66" s="964"/>
      <c r="B66" s="505" t="s">
        <v>912</v>
      </c>
      <c r="C66" s="1037">
        <v>6166</v>
      </c>
      <c r="D66" s="1038">
        <v>4963</v>
      </c>
      <c r="E66" s="1038">
        <v>11129</v>
      </c>
      <c r="F66" s="1038">
        <v>31</v>
      </c>
      <c r="G66" s="1038">
        <v>17</v>
      </c>
      <c r="H66" s="1038">
        <v>48</v>
      </c>
      <c r="I66" s="1038">
        <v>99686</v>
      </c>
      <c r="J66" s="1038">
        <v>109185</v>
      </c>
      <c r="K66" s="1039">
        <v>208871</v>
      </c>
      <c r="L66" s="1037">
        <v>726831</v>
      </c>
      <c r="M66" s="1038">
        <v>573092</v>
      </c>
      <c r="N66" s="1038">
        <v>1299923</v>
      </c>
      <c r="O66" s="1038">
        <v>4916</v>
      </c>
      <c r="P66" s="1038">
        <v>4295</v>
      </c>
      <c r="Q66" s="1038">
        <v>9211</v>
      </c>
      <c r="R66" s="1038">
        <v>108151</v>
      </c>
      <c r="S66" s="1038">
        <v>61998</v>
      </c>
      <c r="T66" s="1039">
        <v>170149</v>
      </c>
      <c r="U66" s="1037">
        <v>3397</v>
      </c>
      <c r="V66" s="1038">
        <v>3318</v>
      </c>
      <c r="W66" s="1038">
        <v>6715</v>
      </c>
      <c r="X66" s="1038">
        <v>16042</v>
      </c>
      <c r="Y66" s="1038">
        <v>12544</v>
      </c>
      <c r="Z66" s="1038">
        <v>28586</v>
      </c>
      <c r="AA66" s="1038">
        <v>965220</v>
      </c>
      <c r="AB66" s="1038">
        <v>769412</v>
      </c>
      <c r="AC66" s="1038">
        <v>1734632</v>
      </c>
    </row>
    <row r="67" spans="1:29" x14ac:dyDescent="0.35">
      <c r="A67" s="964"/>
      <c r="B67" s="395" t="s">
        <v>911</v>
      </c>
      <c r="C67" s="1037">
        <v>4799</v>
      </c>
      <c r="D67" s="1038">
        <v>3734</v>
      </c>
      <c r="E67" s="1038">
        <v>8533</v>
      </c>
      <c r="F67" s="1038">
        <v>35</v>
      </c>
      <c r="G67" s="1038">
        <v>29</v>
      </c>
      <c r="H67" s="1038">
        <v>64</v>
      </c>
      <c r="I67" s="1038">
        <v>85479</v>
      </c>
      <c r="J67" s="1038">
        <v>98232</v>
      </c>
      <c r="K67" s="1039">
        <v>183711</v>
      </c>
      <c r="L67" s="1037">
        <v>718541</v>
      </c>
      <c r="M67" s="1038">
        <v>555620</v>
      </c>
      <c r="N67" s="1038">
        <v>1274161</v>
      </c>
      <c r="O67" s="1038">
        <v>3499</v>
      </c>
      <c r="P67" s="1038">
        <v>3585</v>
      </c>
      <c r="Q67" s="1038">
        <v>7084</v>
      </c>
      <c r="R67" s="1038">
        <v>109442</v>
      </c>
      <c r="S67" s="1038">
        <v>54406</v>
      </c>
      <c r="T67" s="1039">
        <v>163848</v>
      </c>
      <c r="U67" s="1037">
        <v>3245</v>
      </c>
      <c r="V67" s="1038">
        <v>2666</v>
      </c>
      <c r="W67" s="1038">
        <v>5911</v>
      </c>
      <c r="X67" s="1038">
        <v>12359</v>
      </c>
      <c r="Y67" s="1038">
        <v>10484</v>
      </c>
      <c r="Z67" s="1038">
        <v>22843</v>
      </c>
      <c r="AA67" s="1038">
        <v>937399</v>
      </c>
      <c r="AB67" s="1038">
        <v>728756</v>
      </c>
      <c r="AC67" s="1038">
        <v>1666155</v>
      </c>
    </row>
    <row r="68" spans="1:29" x14ac:dyDescent="0.35">
      <c r="A68" s="964"/>
      <c r="B68" s="395" t="s">
        <v>910</v>
      </c>
      <c r="C68" s="1040">
        <v>4819</v>
      </c>
      <c r="D68" s="1040">
        <v>3202</v>
      </c>
      <c r="E68" s="1040">
        <v>8021</v>
      </c>
      <c r="F68" s="1040">
        <v>135</v>
      </c>
      <c r="G68" s="1040">
        <v>177</v>
      </c>
      <c r="H68" s="1040">
        <v>312</v>
      </c>
      <c r="I68" s="1040">
        <v>79326</v>
      </c>
      <c r="J68" s="1040">
        <v>91062</v>
      </c>
      <c r="K68" s="1040">
        <v>170388</v>
      </c>
      <c r="L68" s="1040">
        <v>675468</v>
      </c>
      <c r="M68" s="1040">
        <v>523944</v>
      </c>
      <c r="N68" s="1040">
        <v>1199412</v>
      </c>
      <c r="O68" s="1040">
        <v>2645</v>
      </c>
      <c r="P68" s="1040">
        <v>2541</v>
      </c>
      <c r="Q68" s="1040">
        <v>5186</v>
      </c>
      <c r="R68" s="1040">
        <v>100057</v>
      </c>
      <c r="S68" s="1040">
        <v>49305</v>
      </c>
      <c r="T68" s="1040">
        <v>149362</v>
      </c>
      <c r="U68" s="1040">
        <v>13273</v>
      </c>
      <c r="V68" s="1040">
        <v>2943</v>
      </c>
      <c r="W68" s="1040">
        <v>16216</v>
      </c>
      <c r="X68" s="1040">
        <v>9405</v>
      </c>
      <c r="Y68" s="1040">
        <v>7575</v>
      </c>
      <c r="Z68" s="1040">
        <v>16980</v>
      </c>
      <c r="AA68" s="1040">
        <v>885128</v>
      </c>
      <c r="AB68" s="1040">
        <v>680749</v>
      </c>
      <c r="AC68" s="1040">
        <v>1565877</v>
      </c>
    </row>
    <row r="69" spans="1:29" x14ac:dyDescent="0.35">
      <c r="A69" s="964"/>
      <c r="B69" s="395" t="s">
        <v>909</v>
      </c>
      <c r="C69" s="1041">
        <v>4380</v>
      </c>
      <c r="D69" s="1041">
        <v>3050</v>
      </c>
      <c r="E69" s="1041">
        <v>7430</v>
      </c>
      <c r="F69" s="1041">
        <v>468</v>
      </c>
      <c r="G69" s="1041">
        <v>469</v>
      </c>
      <c r="H69" s="1041">
        <v>937</v>
      </c>
      <c r="I69" s="1041">
        <v>62682</v>
      </c>
      <c r="J69" s="1041">
        <v>81184</v>
      </c>
      <c r="K69" s="1041">
        <v>143866</v>
      </c>
      <c r="L69" s="1041">
        <v>652694</v>
      </c>
      <c r="M69" s="1041">
        <v>509260</v>
      </c>
      <c r="N69" s="1041">
        <v>1161954</v>
      </c>
      <c r="O69" s="1041">
        <v>3055</v>
      </c>
      <c r="P69" s="1041">
        <v>3009</v>
      </c>
      <c r="Q69" s="1041">
        <v>6064</v>
      </c>
      <c r="R69" s="1041">
        <v>94354</v>
      </c>
      <c r="S69" s="1041">
        <v>44466</v>
      </c>
      <c r="T69" s="1041">
        <v>138820</v>
      </c>
      <c r="U69" s="1041">
        <v>3719</v>
      </c>
      <c r="V69" s="1041">
        <v>4424</v>
      </c>
      <c r="W69" s="1041">
        <v>8143</v>
      </c>
      <c r="X69" s="1041">
        <v>7635</v>
      </c>
      <c r="Y69" s="1041">
        <v>6880</v>
      </c>
      <c r="Z69" s="1041">
        <v>14515</v>
      </c>
      <c r="AA69" s="1041">
        <v>828987</v>
      </c>
      <c r="AB69" s="1041">
        <v>652742</v>
      </c>
      <c r="AC69" s="1041">
        <v>1481729</v>
      </c>
    </row>
    <row r="70" spans="1:29" x14ac:dyDescent="0.35">
      <c r="A70" s="964"/>
      <c r="B70" s="395" t="s">
        <v>908</v>
      </c>
      <c r="C70" s="1040">
        <v>3589</v>
      </c>
      <c r="D70" s="1040">
        <v>2328</v>
      </c>
      <c r="E70" s="1040">
        <v>5917</v>
      </c>
      <c r="F70" s="1040">
        <v>470</v>
      </c>
      <c r="G70" s="1040">
        <v>414</v>
      </c>
      <c r="H70" s="1040">
        <v>884</v>
      </c>
      <c r="I70" s="1040">
        <v>57767</v>
      </c>
      <c r="J70" s="1040">
        <v>76620</v>
      </c>
      <c r="K70" s="1040">
        <v>134387</v>
      </c>
      <c r="L70" s="1040">
        <v>619723</v>
      </c>
      <c r="M70" s="1040">
        <v>479352</v>
      </c>
      <c r="N70" s="1040">
        <v>1099075</v>
      </c>
      <c r="O70" s="1040">
        <v>2891</v>
      </c>
      <c r="P70" s="1040">
        <v>2993</v>
      </c>
      <c r="Q70" s="1040">
        <v>5884</v>
      </c>
      <c r="R70" s="1040">
        <v>97310</v>
      </c>
      <c r="S70" s="1040">
        <v>40022</v>
      </c>
      <c r="T70" s="1040">
        <v>137332</v>
      </c>
      <c r="U70" s="1040">
        <v>3217</v>
      </c>
      <c r="V70" s="1040">
        <v>4378</v>
      </c>
      <c r="W70" s="1040">
        <v>7595</v>
      </c>
      <c r="X70" s="1040">
        <v>7727</v>
      </c>
      <c r="Y70" s="1040">
        <v>7389</v>
      </c>
      <c r="Z70" s="1040">
        <v>15116</v>
      </c>
      <c r="AA70" s="1040">
        <v>792694</v>
      </c>
      <c r="AB70" s="1040">
        <v>613496</v>
      </c>
      <c r="AC70" s="1040">
        <v>1406190</v>
      </c>
    </row>
    <row r="71" spans="1:29" x14ac:dyDescent="0.35">
      <c r="A71" s="963">
        <v>11</v>
      </c>
      <c r="B71" s="505" t="s">
        <v>22</v>
      </c>
      <c r="C71" s="1037"/>
      <c r="D71" s="1038"/>
      <c r="E71" s="1038"/>
      <c r="F71" s="1038"/>
      <c r="G71" s="1038"/>
      <c r="H71" s="1038"/>
      <c r="I71" s="1038"/>
      <c r="J71" s="1038"/>
      <c r="K71" s="1039"/>
      <c r="L71" s="1037"/>
      <c r="M71" s="1038"/>
      <c r="N71" s="1038"/>
      <c r="O71" s="1038"/>
      <c r="P71" s="1038"/>
      <c r="Q71" s="1038"/>
      <c r="R71" s="1038"/>
      <c r="S71" s="1038"/>
      <c r="T71" s="1039"/>
      <c r="U71" s="1037"/>
      <c r="V71" s="1038"/>
      <c r="W71" s="1038"/>
      <c r="X71" s="1038"/>
      <c r="Y71" s="1038"/>
      <c r="Z71" s="1038"/>
      <c r="AA71" s="1038"/>
      <c r="AB71" s="1038"/>
      <c r="AC71" s="1038"/>
    </row>
    <row r="72" spans="1:29" x14ac:dyDescent="0.35">
      <c r="A72" s="964"/>
      <c r="B72" s="505" t="s">
        <v>912</v>
      </c>
      <c r="C72" s="1037">
        <v>2727</v>
      </c>
      <c r="D72" s="1038">
        <v>4155</v>
      </c>
      <c r="E72" s="1038">
        <v>6882</v>
      </c>
      <c r="F72" s="1038">
        <v>18</v>
      </c>
      <c r="G72" s="1038">
        <v>47</v>
      </c>
      <c r="H72" s="1038">
        <v>65</v>
      </c>
      <c r="I72" s="1038">
        <v>38074</v>
      </c>
      <c r="J72" s="1038">
        <v>68082</v>
      </c>
      <c r="K72" s="1039">
        <v>106156</v>
      </c>
      <c r="L72" s="1037">
        <v>346542</v>
      </c>
      <c r="M72" s="1038">
        <v>382977</v>
      </c>
      <c r="N72" s="1038">
        <v>729519</v>
      </c>
      <c r="O72" s="1038">
        <v>1547</v>
      </c>
      <c r="P72" s="1038">
        <v>1588</v>
      </c>
      <c r="Q72" s="1038">
        <v>3135</v>
      </c>
      <c r="R72" s="1038">
        <v>66760</v>
      </c>
      <c r="S72" s="1038">
        <v>33365</v>
      </c>
      <c r="T72" s="1039">
        <v>100125</v>
      </c>
      <c r="U72" s="1037">
        <v>752</v>
      </c>
      <c r="V72" s="1038">
        <v>876</v>
      </c>
      <c r="W72" s="1038">
        <v>1628</v>
      </c>
      <c r="X72" s="1038">
        <v>12766</v>
      </c>
      <c r="Y72" s="1038">
        <v>11290</v>
      </c>
      <c r="Z72" s="1038">
        <v>24056</v>
      </c>
      <c r="AA72" s="1038">
        <v>469186</v>
      </c>
      <c r="AB72" s="1038">
        <v>502380</v>
      </c>
      <c r="AC72" s="1038">
        <v>971566</v>
      </c>
    </row>
    <row r="73" spans="1:29" x14ac:dyDescent="0.35">
      <c r="A73" s="964"/>
      <c r="B73" s="395" t="s">
        <v>911</v>
      </c>
      <c r="C73" s="1037">
        <v>1784</v>
      </c>
      <c r="D73" s="1038">
        <v>2385</v>
      </c>
      <c r="E73" s="1038">
        <v>4169</v>
      </c>
      <c r="F73" s="1038">
        <v>16</v>
      </c>
      <c r="G73" s="1038">
        <v>32</v>
      </c>
      <c r="H73" s="1038">
        <v>48</v>
      </c>
      <c r="I73" s="1038">
        <v>36383</v>
      </c>
      <c r="J73" s="1038">
        <v>65311</v>
      </c>
      <c r="K73" s="1039">
        <v>101694</v>
      </c>
      <c r="L73" s="1037">
        <v>325470</v>
      </c>
      <c r="M73" s="1038">
        <v>359870</v>
      </c>
      <c r="N73" s="1038">
        <v>685340</v>
      </c>
      <c r="O73" s="1038">
        <v>1282</v>
      </c>
      <c r="P73" s="1038">
        <v>1407</v>
      </c>
      <c r="Q73" s="1038">
        <v>2689</v>
      </c>
      <c r="R73" s="1038">
        <v>63214</v>
      </c>
      <c r="S73" s="1038">
        <v>29622</v>
      </c>
      <c r="T73" s="1039">
        <v>92836</v>
      </c>
      <c r="U73" s="1037">
        <v>277</v>
      </c>
      <c r="V73" s="1038">
        <v>511</v>
      </c>
      <c r="W73" s="1038">
        <v>788</v>
      </c>
      <c r="X73" s="1038">
        <v>11781</v>
      </c>
      <c r="Y73" s="1038">
        <v>9648</v>
      </c>
      <c r="Z73" s="1038">
        <v>21429</v>
      </c>
      <c r="AA73" s="1038">
        <v>440207</v>
      </c>
      <c r="AB73" s="1038">
        <v>468786</v>
      </c>
      <c r="AC73" s="1038">
        <v>908993</v>
      </c>
    </row>
    <row r="74" spans="1:29" x14ac:dyDescent="0.35">
      <c r="A74" s="964"/>
      <c r="B74" s="395" t="s">
        <v>910</v>
      </c>
      <c r="C74" s="1040">
        <v>2046</v>
      </c>
      <c r="D74" s="1040">
        <v>2502</v>
      </c>
      <c r="E74" s="1040">
        <v>4548</v>
      </c>
      <c r="F74" s="1040">
        <v>104</v>
      </c>
      <c r="G74" s="1040">
        <v>142</v>
      </c>
      <c r="H74" s="1040">
        <v>246</v>
      </c>
      <c r="I74" s="1040">
        <v>31622</v>
      </c>
      <c r="J74" s="1040">
        <v>57938</v>
      </c>
      <c r="K74" s="1040">
        <v>89560</v>
      </c>
      <c r="L74" s="1040">
        <v>305577</v>
      </c>
      <c r="M74" s="1040">
        <v>349690</v>
      </c>
      <c r="N74" s="1040">
        <v>655267</v>
      </c>
      <c r="O74" s="1040">
        <v>1089</v>
      </c>
      <c r="P74" s="1040">
        <v>1109</v>
      </c>
      <c r="Q74" s="1040">
        <v>2198</v>
      </c>
      <c r="R74" s="1040">
        <v>59805</v>
      </c>
      <c r="S74" s="1040">
        <v>26628</v>
      </c>
      <c r="T74" s="1040">
        <v>86433</v>
      </c>
      <c r="U74" s="1040">
        <v>659</v>
      </c>
      <c r="V74" s="1040">
        <v>984</v>
      </c>
      <c r="W74" s="1040">
        <v>1643</v>
      </c>
      <c r="X74" s="1040">
        <v>9775</v>
      </c>
      <c r="Y74" s="1040">
        <v>7662</v>
      </c>
      <c r="Z74" s="1040">
        <v>17437</v>
      </c>
      <c r="AA74" s="1040">
        <v>410677</v>
      </c>
      <c r="AB74" s="1040">
        <v>446655</v>
      </c>
      <c r="AC74" s="1040">
        <v>857332</v>
      </c>
    </row>
    <row r="75" spans="1:29" x14ac:dyDescent="0.35">
      <c r="A75" s="964"/>
      <c r="B75" s="395" t="s">
        <v>909</v>
      </c>
      <c r="C75" s="1041">
        <v>1810</v>
      </c>
      <c r="D75" s="1041">
        <v>2356</v>
      </c>
      <c r="E75" s="1041">
        <v>4166</v>
      </c>
      <c r="F75" s="1041">
        <v>80</v>
      </c>
      <c r="G75" s="1041">
        <v>230</v>
      </c>
      <c r="H75" s="1041">
        <v>310</v>
      </c>
      <c r="I75" s="1041">
        <v>28328</v>
      </c>
      <c r="J75" s="1041">
        <v>52669</v>
      </c>
      <c r="K75" s="1041">
        <v>80997</v>
      </c>
      <c r="L75" s="1041">
        <v>282926</v>
      </c>
      <c r="M75" s="1041">
        <v>333714</v>
      </c>
      <c r="N75" s="1041">
        <v>616640</v>
      </c>
      <c r="O75" s="1041">
        <v>1372</v>
      </c>
      <c r="P75" s="1041">
        <v>1360</v>
      </c>
      <c r="Q75" s="1041">
        <v>2732</v>
      </c>
      <c r="R75" s="1041">
        <v>49268</v>
      </c>
      <c r="S75" s="1041">
        <v>21295</v>
      </c>
      <c r="T75" s="1041">
        <v>70563</v>
      </c>
      <c r="U75" s="1041">
        <v>1621</v>
      </c>
      <c r="V75" s="1041">
        <v>1778</v>
      </c>
      <c r="W75" s="1041">
        <v>3399</v>
      </c>
      <c r="X75" s="1041">
        <v>8715</v>
      </c>
      <c r="Y75" s="1041">
        <v>4334</v>
      </c>
      <c r="Z75" s="1041">
        <v>13049</v>
      </c>
      <c r="AA75" s="1041">
        <v>374120</v>
      </c>
      <c r="AB75" s="1041">
        <v>417736</v>
      </c>
      <c r="AC75" s="1041">
        <v>791856</v>
      </c>
    </row>
    <row r="76" spans="1:29" x14ac:dyDescent="0.35">
      <c r="A76" s="964"/>
      <c r="B76" s="395" t="s">
        <v>908</v>
      </c>
      <c r="C76" s="1040">
        <v>1827</v>
      </c>
      <c r="D76" s="1040">
        <v>1966</v>
      </c>
      <c r="E76" s="1040">
        <v>3793</v>
      </c>
      <c r="F76" s="1040">
        <v>154</v>
      </c>
      <c r="G76" s="1040">
        <v>287</v>
      </c>
      <c r="H76" s="1040">
        <v>441</v>
      </c>
      <c r="I76" s="1040">
        <v>28449</v>
      </c>
      <c r="J76" s="1040">
        <v>52423</v>
      </c>
      <c r="K76" s="1040">
        <v>80872</v>
      </c>
      <c r="L76" s="1040">
        <v>297161</v>
      </c>
      <c r="M76" s="1040">
        <v>339410</v>
      </c>
      <c r="N76" s="1040">
        <v>636571</v>
      </c>
      <c r="O76" s="1040">
        <v>1062</v>
      </c>
      <c r="P76" s="1040">
        <v>1097</v>
      </c>
      <c r="Q76" s="1040">
        <v>2159</v>
      </c>
      <c r="R76" s="1040">
        <v>49547</v>
      </c>
      <c r="S76" s="1040">
        <v>21885</v>
      </c>
      <c r="T76" s="1040">
        <v>71432</v>
      </c>
      <c r="U76" s="1040">
        <v>1175</v>
      </c>
      <c r="V76" s="1040">
        <v>1577</v>
      </c>
      <c r="W76" s="1040">
        <v>2752</v>
      </c>
      <c r="X76" s="1040">
        <v>8489</v>
      </c>
      <c r="Y76" s="1040">
        <v>5960</v>
      </c>
      <c r="Z76" s="1040">
        <v>14449</v>
      </c>
      <c r="AA76" s="1040">
        <v>387276</v>
      </c>
      <c r="AB76" s="1040">
        <v>421757</v>
      </c>
      <c r="AC76" s="1040">
        <v>809033</v>
      </c>
    </row>
    <row r="77" spans="1:29" x14ac:dyDescent="0.35">
      <c r="A77" s="963">
        <v>12</v>
      </c>
      <c r="B77" s="505" t="s">
        <v>23</v>
      </c>
      <c r="C77" s="1037"/>
      <c r="D77" s="1038"/>
      <c r="E77" s="1038"/>
      <c r="F77" s="1038"/>
      <c r="G77" s="1038"/>
      <c r="H77" s="1038"/>
      <c r="I77" s="1038"/>
      <c r="J77" s="1038"/>
      <c r="K77" s="1039"/>
      <c r="L77" s="1037"/>
      <c r="M77" s="1038"/>
      <c r="N77" s="1038"/>
      <c r="O77" s="1038"/>
      <c r="P77" s="1038"/>
      <c r="Q77" s="1038"/>
      <c r="R77" s="1038"/>
      <c r="S77" s="1038"/>
      <c r="T77" s="1039"/>
      <c r="U77" s="1037"/>
      <c r="V77" s="1038"/>
      <c r="W77" s="1038"/>
      <c r="X77" s="1038"/>
      <c r="Y77" s="1038"/>
      <c r="Z77" s="1038"/>
      <c r="AA77" s="1038"/>
      <c r="AB77" s="1038"/>
      <c r="AC77" s="1038"/>
    </row>
    <row r="78" spans="1:29" x14ac:dyDescent="0.35">
      <c r="A78" s="964"/>
      <c r="B78" s="505" t="s">
        <v>912</v>
      </c>
      <c r="C78" s="1037">
        <v>965</v>
      </c>
      <c r="D78" s="1038">
        <v>976</v>
      </c>
      <c r="E78" s="1038">
        <v>1941</v>
      </c>
      <c r="F78" s="1038">
        <v>11</v>
      </c>
      <c r="G78" s="1038">
        <v>1</v>
      </c>
      <c r="H78" s="1038">
        <v>12</v>
      </c>
      <c r="I78" s="1038">
        <v>9591</v>
      </c>
      <c r="J78" s="1038">
        <v>13622</v>
      </c>
      <c r="K78" s="1039">
        <v>23213</v>
      </c>
      <c r="L78" s="1037">
        <v>95333</v>
      </c>
      <c r="M78" s="1038">
        <v>121559</v>
      </c>
      <c r="N78" s="1038">
        <v>216892</v>
      </c>
      <c r="O78" s="1038">
        <v>570</v>
      </c>
      <c r="P78" s="1038">
        <v>794</v>
      </c>
      <c r="Q78" s="1038">
        <v>1364</v>
      </c>
      <c r="R78" s="1038">
        <v>8651</v>
      </c>
      <c r="S78" s="1038">
        <v>7699</v>
      </c>
      <c r="T78" s="1039">
        <v>16350</v>
      </c>
      <c r="U78" s="1037">
        <v>183</v>
      </c>
      <c r="V78" s="1038">
        <v>223</v>
      </c>
      <c r="W78" s="1038">
        <v>406</v>
      </c>
      <c r="X78" s="1038">
        <v>1531</v>
      </c>
      <c r="Y78" s="1038">
        <v>1183</v>
      </c>
      <c r="Z78" s="1038">
        <v>2714</v>
      </c>
      <c r="AA78" s="1038">
        <v>116835</v>
      </c>
      <c r="AB78" s="1038">
        <v>146057</v>
      </c>
      <c r="AC78" s="1038">
        <v>262892</v>
      </c>
    </row>
    <row r="79" spans="1:29" x14ac:dyDescent="0.35">
      <c r="A79" s="964"/>
      <c r="B79" s="395" t="s">
        <v>911</v>
      </c>
      <c r="C79" s="1037">
        <v>1028</v>
      </c>
      <c r="D79" s="1038">
        <v>1055</v>
      </c>
      <c r="E79" s="1038">
        <v>2083</v>
      </c>
      <c r="F79" s="1038">
        <v>44</v>
      </c>
      <c r="G79" s="1038">
        <v>38</v>
      </c>
      <c r="H79" s="1038">
        <v>82</v>
      </c>
      <c r="I79" s="1038">
        <v>8188</v>
      </c>
      <c r="J79" s="1038">
        <v>12123</v>
      </c>
      <c r="K79" s="1039">
        <v>20311</v>
      </c>
      <c r="L79" s="1037">
        <v>96407</v>
      </c>
      <c r="M79" s="1038">
        <v>122052</v>
      </c>
      <c r="N79" s="1038">
        <v>218459</v>
      </c>
      <c r="O79" s="1038">
        <v>774</v>
      </c>
      <c r="P79" s="1038">
        <v>785</v>
      </c>
      <c r="Q79" s="1038">
        <v>1559</v>
      </c>
      <c r="R79" s="1038">
        <v>8774</v>
      </c>
      <c r="S79" s="1038">
        <v>7243</v>
      </c>
      <c r="T79" s="1039">
        <v>16017</v>
      </c>
      <c r="U79" s="1037">
        <v>333</v>
      </c>
      <c r="V79" s="1038">
        <v>204</v>
      </c>
      <c r="W79" s="1038">
        <v>537</v>
      </c>
      <c r="X79" s="1038">
        <v>1504</v>
      </c>
      <c r="Y79" s="1038">
        <v>1101</v>
      </c>
      <c r="Z79" s="1038">
        <v>2605</v>
      </c>
      <c r="AA79" s="1038">
        <v>117052</v>
      </c>
      <c r="AB79" s="1038">
        <v>144601</v>
      </c>
      <c r="AC79" s="1038">
        <v>261653</v>
      </c>
    </row>
    <row r="80" spans="1:29" x14ac:dyDescent="0.35">
      <c r="A80" s="964"/>
      <c r="B80" s="395" t="s">
        <v>910</v>
      </c>
      <c r="C80" s="1040">
        <v>1100</v>
      </c>
      <c r="D80" s="1040">
        <v>1012</v>
      </c>
      <c r="E80" s="1040">
        <v>2112</v>
      </c>
      <c r="F80" s="1040">
        <v>136</v>
      </c>
      <c r="G80" s="1040">
        <v>134</v>
      </c>
      <c r="H80" s="1040">
        <v>270</v>
      </c>
      <c r="I80" s="1040">
        <v>8255</v>
      </c>
      <c r="J80" s="1040">
        <v>11665</v>
      </c>
      <c r="K80" s="1040">
        <v>19920</v>
      </c>
      <c r="L80" s="1040">
        <v>86266</v>
      </c>
      <c r="M80" s="1040">
        <v>110790</v>
      </c>
      <c r="N80" s="1040">
        <v>197056</v>
      </c>
      <c r="O80" s="1040">
        <v>364</v>
      </c>
      <c r="P80" s="1040">
        <v>572</v>
      </c>
      <c r="Q80" s="1040">
        <v>936</v>
      </c>
      <c r="R80" s="1040">
        <v>8096</v>
      </c>
      <c r="S80" s="1040">
        <v>7505</v>
      </c>
      <c r="T80" s="1040">
        <v>15601</v>
      </c>
      <c r="U80" s="1040">
        <v>324</v>
      </c>
      <c r="V80" s="1040">
        <v>236</v>
      </c>
      <c r="W80" s="1040">
        <v>560</v>
      </c>
      <c r="X80" s="1040">
        <v>1504</v>
      </c>
      <c r="Y80" s="1040">
        <v>965</v>
      </c>
      <c r="Z80" s="1040">
        <v>2469</v>
      </c>
      <c r="AA80" s="1040">
        <v>106045</v>
      </c>
      <c r="AB80" s="1040">
        <v>132879</v>
      </c>
      <c r="AC80" s="1040">
        <v>238924</v>
      </c>
    </row>
    <row r="81" spans="1:29" x14ac:dyDescent="0.35">
      <c r="A81" s="964"/>
      <c r="B81" s="395" t="s">
        <v>909</v>
      </c>
      <c r="C81" s="1041">
        <v>1027</v>
      </c>
      <c r="D81" s="1041">
        <v>897</v>
      </c>
      <c r="E81" s="1041">
        <v>1924</v>
      </c>
      <c r="F81" s="1041">
        <v>118</v>
      </c>
      <c r="G81" s="1041">
        <v>214</v>
      </c>
      <c r="H81" s="1041">
        <v>332</v>
      </c>
      <c r="I81" s="1041">
        <v>7680</v>
      </c>
      <c r="J81" s="1041">
        <v>10928</v>
      </c>
      <c r="K81" s="1041">
        <v>18608</v>
      </c>
      <c r="L81" s="1041">
        <v>88779</v>
      </c>
      <c r="M81" s="1041">
        <v>113683</v>
      </c>
      <c r="N81" s="1041">
        <v>202462</v>
      </c>
      <c r="O81" s="1041">
        <v>354</v>
      </c>
      <c r="P81" s="1041">
        <v>682</v>
      </c>
      <c r="Q81" s="1041">
        <v>1036</v>
      </c>
      <c r="R81" s="1041">
        <v>8449</v>
      </c>
      <c r="S81" s="1041">
        <v>7753</v>
      </c>
      <c r="T81" s="1041">
        <v>16202</v>
      </c>
      <c r="U81" s="1041">
        <v>590</v>
      </c>
      <c r="V81" s="1041">
        <v>677</v>
      </c>
      <c r="W81" s="1041">
        <v>1267</v>
      </c>
      <c r="X81" s="1041">
        <v>990</v>
      </c>
      <c r="Y81" s="1041">
        <v>523</v>
      </c>
      <c r="Z81" s="1041">
        <v>1513</v>
      </c>
      <c r="AA81" s="1041">
        <v>107987</v>
      </c>
      <c r="AB81" s="1041">
        <v>135357</v>
      </c>
      <c r="AC81" s="1041">
        <v>243344</v>
      </c>
    </row>
    <row r="82" spans="1:29" x14ac:dyDescent="0.35">
      <c r="A82" s="964"/>
      <c r="B82" s="395" t="s">
        <v>908</v>
      </c>
      <c r="C82" s="1040">
        <v>1121</v>
      </c>
      <c r="D82" s="1040">
        <v>794</v>
      </c>
      <c r="E82" s="1040">
        <v>1915</v>
      </c>
      <c r="F82" s="1040">
        <v>95</v>
      </c>
      <c r="G82" s="1040">
        <v>179</v>
      </c>
      <c r="H82" s="1040">
        <v>274</v>
      </c>
      <c r="I82" s="1040">
        <v>7690</v>
      </c>
      <c r="J82" s="1040">
        <v>10949</v>
      </c>
      <c r="K82" s="1040">
        <v>18639</v>
      </c>
      <c r="L82" s="1040">
        <v>89450</v>
      </c>
      <c r="M82" s="1040">
        <v>113337</v>
      </c>
      <c r="N82" s="1040">
        <v>202787</v>
      </c>
      <c r="O82" s="1040">
        <v>747</v>
      </c>
      <c r="P82" s="1040">
        <v>645</v>
      </c>
      <c r="Q82" s="1040">
        <v>1392</v>
      </c>
      <c r="R82" s="1040">
        <v>8284</v>
      </c>
      <c r="S82" s="1040">
        <v>7872</v>
      </c>
      <c r="T82" s="1040">
        <v>16156</v>
      </c>
      <c r="U82" s="1040">
        <v>899</v>
      </c>
      <c r="V82" s="1040">
        <v>1050</v>
      </c>
      <c r="W82" s="1040">
        <v>1949</v>
      </c>
      <c r="X82" s="1040">
        <v>913</v>
      </c>
      <c r="Y82" s="1040">
        <v>419</v>
      </c>
      <c r="Z82" s="1040">
        <v>1332</v>
      </c>
      <c r="AA82" s="1040">
        <v>109199</v>
      </c>
      <c r="AB82" s="1040">
        <v>135245</v>
      </c>
      <c r="AC82" s="1040">
        <v>244444</v>
      </c>
    </row>
    <row r="83" spans="1:29" x14ac:dyDescent="0.35">
      <c r="A83" s="963">
        <v>13</v>
      </c>
      <c r="B83" s="505" t="s">
        <v>24</v>
      </c>
      <c r="C83" s="1037"/>
      <c r="D83" s="1038"/>
      <c r="E83" s="1038"/>
      <c r="F83" s="1038"/>
      <c r="G83" s="1038"/>
      <c r="H83" s="1038"/>
      <c r="I83" s="1038"/>
      <c r="J83" s="1038"/>
      <c r="K83" s="1039"/>
      <c r="L83" s="1037"/>
      <c r="M83" s="1038"/>
      <c r="N83" s="1038"/>
      <c r="O83" s="1038"/>
      <c r="P83" s="1038"/>
      <c r="Q83" s="1038"/>
      <c r="R83" s="1038"/>
      <c r="S83" s="1038"/>
      <c r="T83" s="1039"/>
      <c r="U83" s="1037"/>
      <c r="V83" s="1038"/>
      <c r="W83" s="1038"/>
      <c r="X83" s="1038"/>
      <c r="Y83" s="1038"/>
      <c r="Z83" s="1038"/>
      <c r="AA83" s="1038"/>
      <c r="AB83" s="1038"/>
      <c r="AC83" s="1038"/>
    </row>
    <row r="84" spans="1:29" x14ac:dyDescent="0.35">
      <c r="A84" s="964"/>
      <c r="B84" s="505" t="s">
        <v>912</v>
      </c>
      <c r="C84" s="1037">
        <v>1788</v>
      </c>
      <c r="D84" s="1038">
        <v>2085</v>
      </c>
      <c r="E84" s="1038">
        <v>3873</v>
      </c>
      <c r="F84" s="1038"/>
      <c r="G84" s="1038"/>
      <c r="H84" s="1038"/>
      <c r="I84" s="1038">
        <v>8986</v>
      </c>
      <c r="J84" s="1038">
        <v>12256</v>
      </c>
      <c r="K84" s="1039">
        <v>21242</v>
      </c>
      <c r="L84" s="1037">
        <v>106111</v>
      </c>
      <c r="M84" s="1038">
        <v>114248</v>
      </c>
      <c r="N84" s="1038">
        <v>220359</v>
      </c>
      <c r="O84" s="1038">
        <v>120</v>
      </c>
      <c r="P84" s="1038">
        <v>108</v>
      </c>
      <c r="Q84" s="1038">
        <v>228</v>
      </c>
      <c r="R84" s="1038">
        <v>9175</v>
      </c>
      <c r="S84" s="1038">
        <v>10486</v>
      </c>
      <c r="T84" s="1039">
        <v>19661</v>
      </c>
      <c r="U84" s="1037">
        <v>550</v>
      </c>
      <c r="V84" s="1038">
        <v>587</v>
      </c>
      <c r="W84" s="1038">
        <v>1137</v>
      </c>
      <c r="X84" s="1038">
        <v>5379</v>
      </c>
      <c r="Y84" s="1038">
        <v>6217</v>
      </c>
      <c r="Z84" s="1038">
        <v>11596</v>
      </c>
      <c r="AA84" s="1038">
        <v>132109</v>
      </c>
      <c r="AB84" s="1038">
        <v>145987</v>
      </c>
      <c r="AC84" s="1038">
        <v>278096</v>
      </c>
    </row>
    <row r="85" spans="1:29" x14ac:dyDescent="0.35">
      <c r="A85" s="964"/>
      <c r="B85" s="395" t="s">
        <v>911</v>
      </c>
      <c r="C85" s="1037">
        <v>1879</v>
      </c>
      <c r="D85" s="1038">
        <v>1923</v>
      </c>
      <c r="E85" s="1038">
        <v>3802</v>
      </c>
      <c r="F85" s="1038">
        <v>41</v>
      </c>
      <c r="G85" s="1038">
        <v>82</v>
      </c>
      <c r="H85" s="1038">
        <v>123</v>
      </c>
      <c r="I85" s="1038">
        <v>9318</v>
      </c>
      <c r="J85" s="1038">
        <v>11831</v>
      </c>
      <c r="K85" s="1039">
        <v>21149</v>
      </c>
      <c r="L85" s="1037">
        <v>105063</v>
      </c>
      <c r="M85" s="1038">
        <v>115560</v>
      </c>
      <c r="N85" s="1038">
        <v>220623</v>
      </c>
      <c r="O85" s="1038">
        <v>193</v>
      </c>
      <c r="P85" s="1038">
        <v>119</v>
      </c>
      <c r="Q85" s="1038">
        <v>312</v>
      </c>
      <c r="R85" s="1038">
        <v>8876</v>
      </c>
      <c r="S85" s="1038">
        <v>10500</v>
      </c>
      <c r="T85" s="1039">
        <v>19376</v>
      </c>
      <c r="U85" s="1037">
        <v>330</v>
      </c>
      <c r="V85" s="1038">
        <v>334</v>
      </c>
      <c r="W85" s="1038">
        <v>664</v>
      </c>
      <c r="X85" s="1038">
        <v>4188</v>
      </c>
      <c r="Y85" s="1038">
        <v>4959</v>
      </c>
      <c r="Z85" s="1038">
        <v>9147</v>
      </c>
      <c r="AA85" s="1038">
        <v>129888</v>
      </c>
      <c r="AB85" s="1038">
        <v>145308</v>
      </c>
      <c r="AC85" s="1038">
        <v>275196</v>
      </c>
    </row>
    <row r="86" spans="1:29" x14ac:dyDescent="0.35">
      <c r="A86" s="964"/>
      <c r="B86" s="395" t="s">
        <v>910</v>
      </c>
      <c r="C86" s="1040">
        <v>2412</v>
      </c>
      <c r="D86" s="1040">
        <v>2033</v>
      </c>
      <c r="E86" s="1040">
        <v>4445</v>
      </c>
      <c r="F86" s="1040">
        <v>117</v>
      </c>
      <c r="G86" s="1040">
        <v>180</v>
      </c>
      <c r="H86" s="1040">
        <v>297</v>
      </c>
      <c r="I86" s="1040">
        <v>9240</v>
      </c>
      <c r="J86" s="1040">
        <v>11038</v>
      </c>
      <c r="K86" s="1040">
        <v>20278</v>
      </c>
      <c r="L86" s="1040">
        <v>109709</v>
      </c>
      <c r="M86" s="1040">
        <v>121257</v>
      </c>
      <c r="N86" s="1040">
        <v>230966</v>
      </c>
      <c r="O86" s="1040">
        <v>159</v>
      </c>
      <c r="P86" s="1040">
        <v>98</v>
      </c>
      <c r="Q86" s="1040">
        <v>257</v>
      </c>
      <c r="R86" s="1040">
        <v>12399</v>
      </c>
      <c r="S86" s="1040">
        <v>11890</v>
      </c>
      <c r="T86" s="1040">
        <v>24289</v>
      </c>
      <c r="U86" s="1040">
        <v>805</v>
      </c>
      <c r="V86" s="1040">
        <v>746</v>
      </c>
      <c r="W86" s="1040">
        <v>1551</v>
      </c>
      <c r="X86" s="1040">
        <v>4509</v>
      </c>
      <c r="Y86" s="1040">
        <v>5401</v>
      </c>
      <c r="Z86" s="1040">
        <v>9910</v>
      </c>
      <c r="AA86" s="1040">
        <v>139350</v>
      </c>
      <c r="AB86" s="1040">
        <v>152643</v>
      </c>
      <c r="AC86" s="1040">
        <v>291993</v>
      </c>
    </row>
    <row r="87" spans="1:29" x14ac:dyDescent="0.35">
      <c r="A87" s="964"/>
      <c r="B87" s="395" t="s">
        <v>909</v>
      </c>
      <c r="C87" s="1041">
        <v>2080</v>
      </c>
      <c r="D87" s="1041">
        <v>1909</v>
      </c>
      <c r="E87" s="1041">
        <v>3989</v>
      </c>
      <c r="F87" s="1041">
        <v>94</v>
      </c>
      <c r="G87" s="1041">
        <v>156</v>
      </c>
      <c r="H87" s="1041">
        <v>250</v>
      </c>
      <c r="I87" s="1041">
        <v>9412</v>
      </c>
      <c r="J87" s="1041">
        <v>9747</v>
      </c>
      <c r="K87" s="1041">
        <v>19159</v>
      </c>
      <c r="L87" s="1041">
        <v>112144</v>
      </c>
      <c r="M87" s="1041">
        <v>118427</v>
      </c>
      <c r="N87" s="1041">
        <v>230571</v>
      </c>
      <c r="O87" s="1041">
        <v>220</v>
      </c>
      <c r="P87" s="1041">
        <v>145</v>
      </c>
      <c r="Q87" s="1041">
        <v>365</v>
      </c>
      <c r="R87" s="1041">
        <v>8637</v>
      </c>
      <c r="S87" s="1041">
        <v>6219</v>
      </c>
      <c r="T87" s="1041">
        <v>14856</v>
      </c>
      <c r="U87" s="1041">
        <v>988</v>
      </c>
      <c r="V87" s="1041">
        <v>1119</v>
      </c>
      <c r="W87" s="1041">
        <v>2107</v>
      </c>
      <c r="X87" s="1041">
        <v>2846</v>
      </c>
      <c r="Y87" s="1041">
        <v>3540</v>
      </c>
      <c r="Z87" s="1041">
        <v>6386</v>
      </c>
      <c r="AA87" s="1041">
        <v>136421</v>
      </c>
      <c r="AB87" s="1041">
        <v>141262</v>
      </c>
      <c r="AC87" s="1041">
        <v>277683</v>
      </c>
    </row>
    <row r="88" spans="1:29" x14ac:dyDescent="0.35">
      <c r="A88" s="964"/>
      <c r="B88" s="395" t="s">
        <v>908</v>
      </c>
      <c r="C88" s="1040">
        <v>1392</v>
      </c>
      <c r="D88" s="1040">
        <v>1291</v>
      </c>
      <c r="E88" s="1040">
        <v>2683</v>
      </c>
      <c r="F88" s="1040">
        <v>143</v>
      </c>
      <c r="G88" s="1040">
        <v>174</v>
      </c>
      <c r="H88" s="1040">
        <v>317</v>
      </c>
      <c r="I88" s="1040">
        <v>9388</v>
      </c>
      <c r="J88" s="1040">
        <v>9852</v>
      </c>
      <c r="K88" s="1040">
        <v>19240</v>
      </c>
      <c r="L88" s="1040">
        <v>108605</v>
      </c>
      <c r="M88" s="1040">
        <v>127493</v>
      </c>
      <c r="N88" s="1040">
        <v>236098</v>
      </c>
      <c r="O88" s="1040">
        <v>262</v>
      </c>
      <c r="P88" s="1040">
        <v>207</v>
      </c>
      <c r="Q88" s="1040">
        <v>469</v>
      </c>
      <c r="R88" s="1040">
        <v>8256</v>
      </c>
      <c r="S88" s="1040">
        <v>3914</v>
      </c>
      <c r="T88" s="1040">
        <v>12170</v>
      </c>
      <c r="U88" s="1040">
        <v>124</v>
      </c>
      <c r="V88" s="1040">
        <v>116</v>
      </c>
      <c r="W88" s="1040">
        <v>240</v>
      </c>
      <c r="X88" s="1040">
        <v>2618</v>
      </c>
      <c r="Y88" s="1040">
        <v>2894</v>
      </c>
      <c r="Z88" s="1040">
        <v>5512</v>
      </c>
      <c r="AA88" s="1040">
        <v>130788</v>
      </c>
      <c r="AB88" s="1040">
        <v>145941</v>
      </c>
      <c r="AC88" s="1040">
        <v>276729</v>
      </c>
    </row>
    <row r="89" spans="1:29" x14ac:dyDescent="0.35">
      <c r="A89" s="963">
        <v>14</v>
      </c>
      <c r="B89" s="505" t="s">
        <v>25</v>
      </c>
      <c r="C89" s="1037"/>
      <c r="D89" s="1038"/>
      <c r="E89" s="1038"/>
      <c r="F89" s="1038"/>
      <c r="G89" s="1038"/>
      <c r="H89" s="1038"/>
      <c r="I89" s="1038"/>
      <c r="J89" s="1038"/>
      <c r="K89" s="1039"/>
      <c r="L89" s="1037"/>
      <c r="M89" s="1038"/>
      <c r="N89" s="1038"/>
      <c r="O89" s="1038"/>
      <c r="P89" s="1038"/>
      <c r="Q89" s="1038"/>
      <c r="R89" s="1038"/>
      <c r="S89" s="1038"/>
      <c r="T89" s="1039"/>
      <c r="U89" s="1037"/>
      <c r="V89" s="1038"/>
      <c r="W89" s="1038"/>
      <c r="X89" s="1038"/>
      <c r="Y89" s="1038"/>
      <c r="Z89" s="1038"/>
      <c r="AA89" s="1038"/>
      <c r="AB89" s="1038"/>
      <c r="AC89" s="1038"/>
    </row>
    <row r="90" spans="1:29" x14ac:dyDescent="0.35">
      <c r="A90" s="964"/>
      <c r="B90" s="505" t="s">
        <v>912</v>
      </c>
      <c r="C90" s="1037">
        <v>1403</v>
      </c>
      <c r="D90" s="1038">
        <v>879</v>
      </c>
      <c r="E90" s="1038">
        <v>2282</v>
      </c>
      <c r="F90" s="1038">
        <v>13</v>
      </c>
      <c r="G90" s="1038">
        <v>66</v>
      </c>
      <c r="H90" s="1038">
        <v>79</v>
      </c>
      <c r="I90" s="1038">
        <v>37646</v>
      </c>
      <c r="J90" s="1038">
        <v>55865</v>
      </c>
      <c r="K90" s="1039">
        <v>93511</v>
      </c>
      <c r="L90" s="1037">
        <v>336371</v>
      </c>
      <c r="M90" s="1038">
        <v>342706</v>
      </c>
      <c r="N90" s="1038">
        <v>679077</v>
      </c>
      <c r="O90" s="1038">
        <v>1054</v>
      </c>
      <c r="P90" s="1038">
        <v>684</v>
      </c>
      <c r="Q90" s="1038">
        <v>1738</v>
      </c>
      <c r="R90" s="1038">
        <v>38986</v>
      </c>
      <c r="S90" s="1038">
        <v>25956</v>
      </c>
      <c r="T90" s="1039">
        <v>64942</v>
      </c>
      <c r="U90" s="1037">
        <v>998</v>
      </c>
      <c r="V90" s="1038">
        <v>533</v>
      </c>
      <c r="W90" s="1038">
        <v>1531</v>
      </c>
      <c r="X90" s="1038">
        <v>2729</v>
      </c>
      <c r="Y90" s="1038">
        <v>1684</v>
      </c>
      <c r="Z90" s="1038">
        <v>4413</v>
      </c>
      <c r="AA90" s="1038">
        <v>419200</v>
      </c>
      <c r="AB90" s="1038">
        <v>428373</v>
      </c>
      <c r="AC90" s="1038">
        <v>847573</v>
      </c>
    </row>
    <row r="91" spans="1:29" x14ac:dyDescent="0.35">
      <c r="A91" s="964"/>
      <c r="B91" s="395" t="s">
        <v>911</v>
      </c>
      <c r="C91" s="1037">
        <v>2039</v>
      </c>
      <c r="D91" s="1038">
        <v>1113</v>
      </c>
      <c r="E91" s="1038">
        <v>3152</v>
      </c>
      <c r="F91" s="1038">
        <v>14</v>
      </c>
      <c r="G91" s="1038">
        <v>66</v>
      </c>
      <c r="H91" s="1038">
        <v>80</v>
      </c>
      <c r="I91" s="1038">
        <v>39362</v>
      </c>
      <c r="J91" s="1038">
        <v>51804</v>
      </c>
      <c r="K91" s="1039">
        <v>91166</v>
      </c>
      <c r="L91" s="1037">
        <v>339281</v>
      </c>
      <c r="M91" s="1038">
        <v>335898</v>
      </c>
      <c r="N91" s="1038">
        <v>675179</v>
      </c>
      <c r="O91" s="1038">
        <v>922</v>
      </c>
      <c r="P91" s="1038">
        <v>644</v>
      </c>
      <c r="Q91" s="1038">
        <v>1566</v>
      </c>
      <c r="R91" s="1038">
        <v>31070</v>
      </c>
      <c r="S91" s="1038">
        <v>14704</v>
      </c>
      <c r="T91" s="1039">
        <v>45774</v>
      </c>
      <c r="U91" s="1037">
        <v>906</v>
      </c>
      <c r="V91" s="1038">
        <v>440</v>
      </c>
      <c r="W91" s="1038">
        <v>1346</v>
      </c>
      <c r="X91" s="1038">
        <v>2248</v>
      </c>
      <c r="Y91" s="1038">
        <v>1247</v>
      </c>
      <c r="Z91" s="1038">
        <v>3495</v>
      </c>
      <c r="AA91" s="1038">
        <v>415842</v>
      </c>
      <c r="AB91" s="1038">
        <v>405916</v>
      </c>
      <c r="AC91" s="1038">
        <v>821758</v>
      </c>
    </row>
    <row r="92" spans="1:29" x14ac:dyDescent="0.35">
      <c r="A92" s="964"/>
      <c r="B92" s="395" t="s">
        <v>910</v>
      </c>
      <c r="C92" s="1040">
        <v>1738</v>
      </c>
      <c r="D92" s="1040">
        <v>919</v>
      </c>
      <c r="E92" s="1040">
        <v>2657</v>
      </c>
      <c r="F92" s="1040">
        <v>18</v>
      </c>
      <c r="G92" s="1040">
        <v>63</v>
      </c>
      <c r="H92" s="1040">
        <v>81</v>
      </c>
      <c r="I92" s="1040">
        <v>31936</v>
      </c>
      <c r="J92" s="1040">
        <v>48853</v>
      </c>
      <c r="K92" s="1040">
        <v>80789</v>
      </c>
      <c r="L92" s="1040">
        <v>286992</v>
      </c>
      <c r="M92" s="1040">
        <v>299084</v>
      </c>
      <c r="N92" s="1040">
        <v>586076</v>
      </c>
      <c r="O92" s="1040">
        <v>885</v>
      </c>
      <c r="P92" s="1040">
        <v>519</v>
      </c>
      <c r="Q92" s="1040">
        <v>1404</v>
      </c>
      <c r="R92" s="1040">
        <v>27901</v>
      </c>
      <c r="S92" s="1040">
        <v>14312</v>
      </c>
      <c r="T92" s="1040">
        <v>42213</v>
      </c>
      <c r="U92" s="1040">
        <v>1160</v>
      </c>
      <c r="V92" s="1040">
        <v>800</v>
      </c>
      <c r="W92" s="1040">
        <v>1960</v>
      </c>
      <c r="X92" s="1040">
        <v>1815</v>
      </c>
      <c r="Y92" s="1040">
        <v>1030</v>
      </c>
      <c r="Z92" s="1040">
        <v>2845</v>
      </c>
      <c r="AA92" s="1040">
        <v>352445</v>
      </c>
      <c r="AB92" s="1040">
        <v>365580</v>
      </c>
      <c r="AC92" s="1040">
        <v>718025</v>
      </c>
    </row>
    <row r="93" spans="1:29" x14ac:dyDescent="0.35">
      <c r="A93" s="964"/>
      <c r="B93" s="395" t="s">
        <v>909</v>
      </c>
      <c r="C93" s="1041">
        <v>2469</v>
      </c>
      <c r="D93" s="1041">
        <v>1020</v>
      </c>
      <c r="E93" s="1041">
        <v>3489</v>
      </c>
      <c r="F93" s="1041">
        <v>33</v>
      </c>
      <c r="G93" s="1041">
        <v>74</v>
      </c>
      <c r="H93" s="1041">
        <v>107</v>
      </c>
      <c r="I93" s="1041">
        <v>32122</v>
      </c>
      <c r="J93" s="1041">
        <v>47381</v>
      </c>
      <c r="K93" s="1041">
        <v>79503</v>
      </c>
      <c r="L93" s="1041">
        <v>300527</v>
      </c>
      <c r="M93" s="1041">
        <v>314385</v>
      </c>
      <c r="N93" s="1041">
        <v>614912</v>
      </c>
      <c r="O93" s="1041">
        <v>1516</v>
      </c>
      <c r="P93" s="1041">
        <v>869</v>
      </c>
      <c r="Q93" s="1041">
        <v>2385</v>
      </c>
      <c r="R93" s="1041">
        <v>26778</v>
      </c>
      <c r="S93" s="1041">
        <v>10714</v>
      </c>
      <c r="T93" s="1041">
        <v>37492</v>
      </c>
      <c r="U93" s="1041">
        <v>672</v>
      </c>
      <c r="V93" s="1041">
        <v>1256</v>
      </c>
      <c r="W93" s="1041">
        <v>1928</v>
      </c>
      <c r="X93" s="1041">
        <v>2095</v>
      </c>
      <c r="Y93" s="1041">
        <v>1222</v>
      </c>
      <c r="Z93" s="1041">
        <v>3317</v>
      </c>
      <c r="AA93" s="1041">
        <v>366212</v>
      </c>
      <c r="AB93" s="1041">
        <v>376921</v>
      </c>
      <c r="AC93" s="1041">
        <v>743133</v>
      </c>
    </row>
    <row r="94" spans="1:29" x14ac:dyDescent="0.35">
      <c r="A94" s="964"/>
      <c r="B94" s="395" t="s">
        <v>908</v>
      </c>
      <c r="C94" s="1040">
        <v>2108</v>
      </c>
      <c r="D94" s="1040">
        <v>795</v>
      </c>
      <c r="E94" s="1040">
        <v>2903</v>
      </c>
      <c r="F94" s="1040">
        <v>46</v>
      </c>
      <c r="G94" s="1040">
        <v>110</v>
      </c>
      <c r="H94" s="1040">
        <v>156</v>
      </c>
      <c r="I94" s="1040">
        <v>24359</v>
      </c>
      <c r="J94" s="1040">
        <v>34374</v>
      </c>
      <c r="K94" s="1040">
        <v>58733</v>
      </c>
      <c r="L94" s="1040">
        <v>281348</v>
      </c>
      <c r="M94" s="1040">
        <v>285456</v>
      </c>
      <c r="N94" s="1040">
        <v>566804</v>
      </c>
      <c r="O94" s="1040">
        <v>1416</v>
      </c>
      <c r="P94" s="1040">
        <v>738</v>
      </c>
      <c r="Q94" s="1040">
        <v>2154</v>
      </c>
      <c r="R94" s="1040">
        <v>23712</v>
      </c>
      <c r="S94" s="1040">
        <v>8747</v>
      </c>
      <c r="T94" s="1040">
        <v>32459</v>
      </c>
      <c r="U94" s="1040">
        <v>656</v>
      </c>
      <c r="V94" s="1040">
        <v>1280</v>
      </c>
      <c r="W94" s="1040">
        <v>1936</v>
      </c>
      <c r="X94" s="1040">
        <v>2252</v>
      </c>
      <c r="Y94" s="1040">
        <v>1326</v>
      </c>
      <c r="Z94" s="1040">
        <v>3578</v>
      </c>
      <c r="AA94" s="1040">
        <v>335897</v>
      </c>
      <c r="AB94" s="1040">
        <v>332826</v>
      </c>
      <c r="AC94" s="1040">
        <v>668723</v>
      </c>
    </row>
    <row r="95" spans="1:29" x14ac:dyDescent="0.35">
      <c r="A95" s="963">
        <v>15</v>
      </c>
      <c r="B95" s="505" t="s">
        <v>26</v>
      </c>
      <c r="C95" s="1037"/>
      <c r="D95" s="1038"/>
      <c r="E95" s="1038"/>
      <c r="F95" s="1038"/>
      <c r="G95" s="1038"/>
      <c r="H95" s="1038"/>
      <c r="I95" s="1038"/>
      <c r="J95" s="1038"/>
      <c r="K95" s="1039"/>
      <c r="L95" s="1037"/>
      <c r="M95" s="1038"/>
      <c r="N95" s="1038"/>
      <c r="O95" s="1038"/>
      <c r="P95" s="1038"/>
      <c r="Q95" s="1038"/>
      <c r="R95" s="1038"/>
      <c r="S95" s="1038"/>
      <c r="T95" s="1039"/>
      <c r="U95" s="1037"/>
      <c r="V95" s="1038"/>
      <c r="W95" s="1038"/>
      <c r="X95" s="1038"/>
      <c r="Y95" s="1038"/>
      <c r="Z95" s="1038"/>
      <c r="AA95" s="1038"/>
      <c r="AB95" s="1038"/>
      <c r="AC95" s="1038"/>
    </row>
    <row r="96" spans="1:29" x14ac:dyDescent="0.35">
      <c r="A96" s="964"/>
      <c r="B96" s="505" t="s">
        <v>912</v>
      </c>
      <c r="C96" s="1037">
        <v>5875</v>
      </c>
      <c r="D96" s="1038">
        <v>5791</v>
      </c>
      <c r="E96" s="1038">
        <v>11666</v>
      </c>
      <c r="F96" s="1038">
        <v>53</v>
      </c>
      <c r="G96" s="1038">
        <v>139</v>
      </c>
      <c r="H96" s="1038">
        <v>192</v>
      </c>
      <c r="I96" s="1038">
        <v>113131</v>
      </c>
      <c r="J96" s="1038">
        <v>136178</v>
      </c>
      <c r="K96" s="1039">
        <v>249309</v>
      </c>
      <c r="L96" s="1037">
        <v>1019274</v>
      </c>
      <c r="M96" s="1038">
        <v>974361</v>
      </c>
      <c r="N96" s="1038">
        <v>1993636</v>
      </c>
      <c r="O96" s="1038">
        <v>2205</v>
      </c>
      <c r="P96" s="1038">
        <v>1980</v>
      </c>
      <c r="Q96" s="1038">
        <v>4185</v>
      </c>
      <c r="R96" s="1038">
        <v>149842</v>
      </c>
      <c r="S96" s="1038">
        <v>102648</v>
      </c>
      <c r="T96" s="1039">
        <v>252490</v>
      </c>
      <c r="U96" s="1037">
        <v>1257</v>
      </c>
      <c r="V96" s="1038">
        <v>843</v>
      </c>
      <c r="W96" s="1038">
        <v>2100</v>
      </c>
      <c r="X96" s="1038">
        <v>9178</v>
      </c>
      <c r="Y96" s="1038">
        <v>9015</v>
      </c>
      <c r="Z96" s="1038">
        <v>18193</v>
      </c>
      <c r="AA96" s="1038">
        <v>1300815</v>
      </c>
      <c r="AB96" s="1038">
        <v>1230955</v>
      </c>
      <c r="AC96" s="1038">
        <v>2531771</v>
      </c>
    </row>
    <row r="97" spans="1:29" x14ac:dyDescent="0.35">
      <c r="A97" s="964"/>
      <c r="B97" s="395" t="s">
        <v>911</v>
      </c>
      <c r="C97" s="1037">
        <v>6045</v>
      </c>
      <c r="D97" s="1038">
        <v>5148</v>
      </c>
      <c r="E97" s="1038">
        <v>11193</v>
      </c>
      <c r="F97" s="1038">
        <v>44</v>
      </c>
      <c r="G97" s="1038">
        <v>183</v>
      </c>
      <c r="H97" s="1038">
        <v>227</v>
      </c>
      <c r="I97" s="1038">
        <v>95606</v>
      </c>
      <c r="J97" s="1038">
        <v>125215</v>
      </c>
      <c r="K97" s="1039">
        <v>220821</v>
      </c>
      <c r="L97" s="1037">
        <v>956933</v>
      </c>
      <c r="M97" s="1038">
        <v>911611</v>
      </c>
      <c r="N97" s="1038">
        <v>1868544</v>
      </c>
      <c r="O97" s="1038">
        <v>2152</v>
      </c>
      <c r="P97" s="1038">
        <v>1887</v>
      </c>
      <c r="Q97" s="1038">
        <v>4039</v>
      </c>
      <c r="R97" s="1038">
        <v>133878</v>
      </c>
      <c r="S97" s="1038">
        <v>93733</v>
      </c>
      <c r="T97" s="1039">
        <v>227611</v>
      </c>
      <c r="U97" s="1037">
        <v>1525</v>
      </c>
      <c r="V97" s="1038">
        <v>1053</v>
      </c>
      <c r="W97" s="1038">
        <v>2578</v>
      </c>
      <c r="X97" s="1038">
        <v>8761</v>
      </c>
      <c r="Y97" s="1038">
        <v>7961</v>
      </c>
      <c r="Z97" s="1038">
        <v>16722</v>
      </c>
      <c r="AA97" s="1038">
        <v>1204944</v>
      </c>
      <c r="AB97" s="1038">
        <v>1146791</v>
      </c>
      <c r="AC97" s="1038">
        <v>2351735</v>
      </c>
    </row>
    <row r="98" spans="1:29" x14ac:dyDescent="0.35">
      <c r="A98" s="964"/>
      <c r="B98" s="395" t="s">
        <v>910</v>
      </c>
      <c r="C98" s="1040">
        <v>5752</v>
      </c>
      <c r="D98" s="1040">
        <v>5276</v>
      </c>
      <c r="E98" s="1040">
        <v>11028</v>
      </c>
      <c r="F98" s="1040">
        <v>60</v>
      </c>
      <c r="G98" s="1040">
        <v>189</v>
      </c>
      <c r="H98" s="1040">
        <v>249</v>
      </c>
      <c r="I98" s="1040">
        <v>96240</v>
      </c>
      <c r="J98" s="1040">
        <v>125432</v>
      </c>
      <c r="K98" s="1040">
        <v>221672</v>
      </c>
      <c r="L98" s="1040">
        <v>909437</v>
      </c>
      <c r="M98" s="1040">
        <v>902573</v>
      </c>
      <c r="N98" s="1040">
        <v>1812010</v>
      </c>
      <c r="O98" s="1040">
        <v>2852</v>
      </c>
      <c r="P98" s="1040">
        <v>2455</v>
      </c>
      <c r="Q98" s="1040">
        <v>5307</v>
      </c>
      <c r="R98" s="1040">
        <v>137320</v>
      </c>
      <c r="S98" s="1040">
        <v>113894</v>
      </c>
      <c r="T98" s="1040">
        <v>251214</v>
      </c>
      <c r="U98" s="1040">
        <v>2362</v>
      </c>
      <c r="V98" s="1040">
        <v>2132</v>
      </c>
      <c r="W98" s="1040">
        <v>4494</v>
      </c>
      <c r="X98" s="1040">
        <v>7274</v>
      </c>
      <c r="Y98" s="1040">
        <v>6681</v>
      </c>
      <c r="Z98" s="1040">
        <v>13955</v>
      </c>
      <c r="AA98" s="1040">
        <v>1161297</v>
      </c>
      <c r="AB98" s="1040">
        <v>1158632</v>
      </c>
      <c r="AC98" s="1040">
        <v>2319929</v>
      </c>
    </row>
    <row r="99" spans="1:29" x14ac:dyDescent="0.35">
      <c r="A99" s="964"/>
      <c r="B99" s="395" t="s">
        <v>909</v>
      </c>
      <c r="C99" s="1041">
        <v>8422</v>
      </c>
      <c r="D99" s="1041">
        <v>6566</v>
      </c>
      <c r="E99" s="1041">
        <v>14988</v>
      </c>
      <c r="F99" s="1041">
        <v>160</v>
      </c>
      <c r="G99" s="1041">
        <v>368</v>
      </c>
      <c r="H99" s="1041">
        <v>528</v>
      </c>
      <c r="I99" s="1041">
        <v>86081</v>
      </c>
      <c r="J99" s="1041">
        <v>111740</v>
      </c>
      <c r="K99" s="1041">
        <v>197821</v>
      </c>
      <c r="L99" s="1041">
        <v>828434</v>
      </c>
      <c r="M99" s="1041">
        <v>847140</v>
      </c>
      <c r="N99" s="1041">
        <v>1675574</v>
      </c>
      <c r="O99" s="1041">
        <v>2861</v>
      </c>
      <c r="P99" s="1041">
        <v>2790</v>
      </c>
      <c r="Q99" s="1041">
        <v>5651</v>
      </c>
      <c r="R99" s="1041">
        <v>113133</v>
      </c>
      <c r="S99" s="1041">
        <v>80208</v>
      </c>
      <c r="T99" s="1041">
        <v>193341</v>
      </c>
      <c r="U99" s="1041">
        <v>1148</v>
      </c>
      <c r="V99" s="1041">
        <v>1495</v>
      </c>
      <c r="W99" s="1041">
        <v>2643</v>
      </c>
      <c r="X99" s="1041">
        <v>6382</v>
      </c>
      <c r="Y99" s="1041">
        <v>5074</v>
      </c>
      <c r="Z99" s="1041">
        <v>11456</v>
      </c>
      <c r="AA99" s="1041">
        <v>1046621</v>
      </c>
      <c r="AB99" s="1041">
        <v>1055381</v>
      </c>
      <c r="AC99" s="1041">
        <v>2102002</v>
      </c>
    </row>
    <row r="100" spans="1:29" x14ac:dyDescent="0.35">
      <c r="A100" s="964"/>
      <c r="B100" s="395" t="s">
        <v>908</v>
      </c>
      <c r="C100" s="1040">
        <v>8070</v>
      </c>
      <c r="D100" s="1040">
        <v>5230</v>
      </c>
      <c r="E100" s="1040">
        <v>13300</v>
      </c>
      <c r="F100" s="1040">
        <v>152</v>
      </c>
      <c r="G100" s="1040">
        <v>316</v>
      </c>
      <c r="H100" s="1040">
        <v>468</v>
      </c>
      <c r="I100" s="1040">
        <v>80841</v>
      </c>
      <c r="J100" s="1040">
        <v>101159</v>
      </c>
      <c r="K100" s="1040">
        <v>182000</v>
      </c>
      <c r="L100" s="1040">
        <v>754255</v>
      </c>
      <c r="M100" s="1040">
        <v>777917</v>
      </c>
      <c r="N100" s="1040">
        <v>1532172</v>
      </c>
      <c r="O100" s="1040">
        <v>2280</v>
      </c>
      <c r="P100" s="1040">
        <v>2251</v>
      </c>
      <c r="Q100" s="1040">
        <v>4531</v>
      </c>
      <c r="R100" s="1040">
        <v>113266</v>
      </c>
      <c r="S100" s="1040">
        <v>72897</v>
      </c>
      <c r="T100" s="1040">
        <v>186163</v>
      </c>
      <c r="U100" s="1040">
        <v>1281</v>
      </c>
      <c r="V100" s="1040">
        <v>1793</v>
      </c>
      <c r="W100" s="1040">
        <v>3074</v>
      </c>
      <c r="X100" s="1040">
        <v>4495</v>
      </c>
      <c r="Y100" s="1040">
        <v>3652</v>
      </c>
      <c r="Z100" s="1040">
        <v>8147</v>
      </c>
      <c r="AA100" s="1040">
        <v>964640</v>
      </c>
      <c r="AB100" s="1040">
        <v>965215</v>
      </c>
      <c r="AC100" s="1040">
        <v>1929855</v>
      </c>
    </row>
    <row r="101" spans="1:29" x14ac:dyDescent="0.35">
      <c r="A101" s="963">
        <v>16</v>
      </c>
      <c r="B101" s="505" t="s">
        <v>27</v>
      </c>
      <c r="C101" s="1037"/>
      <c r="D101" s="1038"/>
      <c r="E101" s="1038"/>
      <c r="F101" s="1038"/>
      <c r="G101" s="1038"/>
      <c r="H101" s="1038"/>
      <c r="I101" s="1038"/>
      <c r="J101" s="1038"/>
      <c r="K101" s="1039"/>
      <c r="L101" s="1037"/>
      <c r="M101" s="1038"/>
      <c r="N101" s="1038"/>
      <c r="O101" s="1038"/>
      <c r="P101" s="1038"/>
      <c r="Q101" s="1038"/>
      <c r="R101" s="1038"/>
      <c r="S101" s="1038"/>
      <c r="T101" s="1039"/>
      <c r="U101" s="1037"/>
      <c r="V101" s="1038"/>
      <c r="W101" s="1038"/>
      <c r="X101" s="1038"/>
      <c r="Y101" s="1038"/>
      <c r="Z101" s="1038"/>
      <c r="AA101" s="1038"/>
      <c r="AB101" s="1038"/>
      <c r="AC101" s="1038"/>
    </row>
    <row r="102" spans="1:29" x14ac:dyDescent="0.35">
      <c r="A102" s="964"/>
      <c r="B102" s="505" t="s">
        <v>912</v>
      </c>
      <c r="C102" s="1037">
        <v>2884</v>
      </c>
      <c r="D102" s="1038">
        <v>6080</v>
      </c>
      <c r="E102" s="1038">
        <v>8964</v>
      </c>
      <c r="F102" s="1038">
        <v>14</v>
      </c>
      <c r="G102" s="1038">
        <v>58</v>
      </c>
      <c r="H102" s="1038">
        <v>72</v>
      </c>
      <c r="I102" s="1038">
        <v>27370</v>
      </c>
      <c r="J102" s="1038">
        <v>81659</v>
      </c>
      <c r="K102" s="1039">
        <v>109029</v>
      </c>
      <c r="L102" s="1037">
        <v>333515</v>
      </c>
      <c r="M102" s="1038">
        <v>452101</v>
      </c>
      <c r="N102" s="1038">
        <v>785616</v>
      </c>
      <c r="O102" s="1038">
        <v>520</v>
      </c>
      <c r="P102" s="1038">
        <v>1045</v>
      </c>
      <c r="Q102" s="1038">
        <v>1565</v>
      </c>
      <c r="R102" s="1038">
        <v>54053</v>
      </c>
      <c r="S102" s="1038">
        <v>39252</v>
      </c>
      <c r="T102" s="1039">
        <v>93305</v>
      </c>
      <c r="U102" s="1037">
        <v>1679</v>
      </c>
      <c r="V102" s="1038">
        <v>846</v>
      </c>
      <c r="W102" s="1038">
        <v>2525</v>
      </c>
      <c r="X102" s="1038">
        <v>5701</v>
      </c>
      <c r="Y102" s="1038">
        <v>9181</v>
      </c>
      <c r="Z102" s="1038">
        <v>14882</v>
      </c>
      <c r="AA102" s="1038">
        <v>425736</v>
      </c>
      <c r="AB102" s="1038">
        <v>590223</v>
      </c>
      <c r="AC102" s="1038">
        <v>1015958</v>
      </c>
    </row>
    <row r="103" spans="1:29" x14ac:dyDescent="0.35">
      <c r="A103" s="964"/>
      <c r="B103" s="395" t="s">
        <v>911</v>
      </c>
      <c r="C103" s="1037">
        <v>3387</v>
      </c>
      <c r="D103" s="1038">
        <v>5747</v>
      </c>
      <c r="E103" s="1038">
        <v>9134</v>
      </c>
      <c r="F103" s="1038">
        <v>75</v>
      </c>
      <c r="G103" s="1038">
        <v>281</v>
      </c>
      <c r="H103" s="1038">
        <v>356</v>
      </c>
      <c r="I103" s="1038">
        <v>28742</v>
      </c>
      <c r="J103" s="1038">
        <v>84826</v>
      </c>
      <c r="K103" s="1039">
        <v>113568</v>
      </c>
      <c r="L103" s="1037">
        <v>331883</v>
      </c>
      <c r="M103" s="1038">
        <v>457455</v>
      </c>
      <c r="N103" s="1038">
        <v>789338</v>
      </c>
      <c r="O103" s="1038">
        <v>488</v>
      </c>
      <c r="P103" s="1038">
        <v>825</v>
      </c>
      <c r="Q103" s="1038">
        <v>1313</v>
      </c>
      <c r="R103" s="1038">
        <v>53417</v>
      </c>
      <c r="S103" s="1038">
        <v>34828</v>
      </c>
      <c r="T103" s="1039">
        <v>88245</v>
      </c>
      <c r="U103" s="1037">
        <v>393</v>
      </c>
      <c r="V103" s="1038">
        <v>614</v>
      </c>
      <c r="W103" s="1038">
        <v>1007</v>
      </c>
      <c r="X103" s="1038">
        <v>5115</v>
      </c>
      <c r="Y103" s="1038">
        <v>7009</v>
      </c>
      <c r="Z103" s="1038">
        <v>12124</v>
      </c>
      <c r="AA103" s="1038">
        <v>423500</v>
      </c>
      <c r="AB103" s="1038">
        <v>591585</v>
      </c>
      <c r="AC103" s="1038">
        <v>1015085</v>
      </c>
    </row>
    <row r="104" spans="1:29" x14ac:dyDescent="0.35">
      <c r="A104" s="964"/>
      <c r="B104" s="395" t="s">
        <v>910</v>
      </c>
      <c r="C104" s="1040">
        <v>3184</v>
      </c>
      <c r="D104" s="1040">
        <v>5554</v>
      </c>
      <c r="E104" s="1040">
        <v>8738</v>
      </c>
      <c r="F104" s="1040">
        <v>207</v>
      </c>
      <c r="G104" s="1040">
        <v>745</v>
      </c>
      <c r="H104" s="1040">
        <v>952</v>
      </c>
      <c r="I104" s="1040">
        <v>25672</v>
      </c>
      <c r="J104" s="1040">
        <v>80026</v>
      </c>
      <c r="K104" s="1040">
        <v>105698</v>
      </c>
      <c r="L104" s="1040">
        <v>328404</v>
      </c>
      <c r="M104" s="1040">
        <v>464401</v>
      </c>
      <c r="N104" s="1040">
        <v>792805</v>
      </c>
      <c r="O104" s="1040">
        <v>571</v>
      </c>
      <c r="P104" s="1040">
        <v>641</v>
      </c>
      <c r="Q104" s="1040">
        <v>1212</v>
      </c>
      <c r="R104" s="1040">
        <v>48832</v>
      </c>
      <c r="S104" s="1040">
        <v>33114</v>
      </c>
      <c r="T104" s="1040">
        <v>81946</v>
      </c>
      <c r="U104" s="1040">
        <v>1226</v>
      </c>
      <c r="V104" s="1040">
        <v>3429</v>
      </c>
      <c r="W104" s="1040">
        <v>4655</v>
      </c>
      <c r="X104" s="1040">
        <v>4226</v>
      </c>
      <c r="Y104" s="1040">
        <v>5505</v>
      </c>
      <c r="Z104" s="1040">
        <v>9731</v>
      </c>
      <c r="AA104" s="1040">
        <v>412322</v>
      </c>
      <c r="AB104" s="1040">
        <v>593415</v>
      </c>
      <c r="AC104" s="1040">
        <v>1005737</v>
      </c>
    </row>
    <row r="105" spans="1:29" x14ac:dyDescent="0.35">
      <c r="A105" s="964"/>
      <c r="B105" s="395" t="s">
        <v>909</v>
      </c>
      <c r="C105" s="1041">
        <v>2817</v>
      </c>
      <c r="D105" s="1041">
        <v>4687</v>
      </c>
      <c r="E105" s="1041">
        <v>7504</v>
      </c>
      <c r="F105" s="1041">
        <v>197</v>
      </c>
      <c r="G105" s="1041">
        <v>676</v>
      </c>
      <c r="H105" s="1041">
        <v>873</v>
      </c>
      <c r="I105" s="1041">
        <v>21928</v>
      </c>
      <c r="J105" s="1041">
        <v>69228</v>
      </c>
      <c r="K105" s="1041">
        <v>91156</v>
      </c>
      <c r="L105" s="1041">
        <v>287531</v>
      </c>
      <c r="M105" s="1041">
        <v>410502</v>
      </c>
      <c r="N105" s="1041">
        <v>698033</v>
      </c>
      <c r="O105" s="1041">
        <v>399</v>
      </c>
      <c r="P105" s="1041">
        <v>467</v>
      </c>
      <c r="Q105" s="1041">
        <v>866</v>
      </c>
      <c r="R105" s="1041">
        <v>41458</v>
      </c>
      <c r="S105" s="1041">
        <v>30502</v>
      </c>
      <c r="T105" s="1041">
        <v>71960</v>
      </c>
      <c r="U105" s="1041">
        <v>780</v>
      </c>
      <c r="V105" s="1041">
        <v>2510</v>
      </c>
      <c r="W105" s="1041">
        <v>3290</v>
      </c>
      <c r="X105" s="1041">
        <v>3701</v>
      </c>
      <c r="Y105" s="1041">
        <v>4094</v>
      </c>
      <c r="Z105" s="1041">
        <v>7795</v>
      </c>
      <c r="AA105" s="1041">
        <v>358811</v>
      </c>
      <c r="AB105" s="1041">
        <v>522666</v>
      </c>
      <c r="AC105" s="1041">
        <v>881477</v>
      </c>
    </row>
    <row r="106" spans="1:29" x14ac:dyDescent="0.35">
      <c r="A106" s="964"/>
      <c r="B106" s="395" t="s">
        <v>908</v>
      </c>
      <c r="C106" s="1040">
        <v>2503</v>
      </c>
      <c r="D106" s="1040">
        <v>4183</v>
      </c>
      <c r="E106" s="1040">
        <v>6686</v>
      </c>
      <c r="F106" s="1040">
        <v>204</v>
      </c>
      <c r="G106" s="1040">
        <v>685</v>
      </c>
      <c r="H106" s="1040">
        <v>889</v>
      </c>
      <c r="I106" s="1040">
        <v>20891</v>
      </c>
      <c r="J106" s="1040">
        <v>64717</v>
      </c>
      <c r="K106" s="1040">
        <v>85608</v>
      </c>
      <c r="L106" s="1040">
        <v>281525</v>
      </c>
      <c r="M106" s="1040">
        <v>397212</v>
      </c>
      <c r="N106" s="1040">
        <v>678737</v>
      </c>
      <c r="O106" s="1040">
        <v>476</v>
      </c>
      <c r="P106" s="1040">
        <v>462</v>
      </c>
      <c r="Q106" s="1040">
        <v>938</v>
      </c>
      <c r="R106" s="1040">
        <v>36948</v>
      </c>
      <c r="S106" s="1040">
        <v>29262</v>
      </c>
      <c r="T106" s="1040">
        <v>66210</v>
      </c>
      <c r="U106" s="1040">
        <v>857</v>
      </c>
      <c r="V106" s="1040">
        <v>2626</v>
      </c>
      <c r="W106" s="1040">
        <v>3483</v>
      </c>
      <c r="X106" s="1040">
        <v>2828</v>
      </c>
      <c r="Y106" s="1040">
        <v>2864</v>
      </c>
      <c r="Z106" s="1040">
        <v>5692</v>
      </c>
      <c r="AA106" s="1040">
        <v>346232</v>
      </c>
      <c r="AB106" s="1040">
        <v>502011</v>
      </c>
      <c r="AC106" s="1040">
        <v>848243</v>
      </c>
    </row>
    <row r="107" spans="1:29" x14ac:dyDescent="0.35">
      <c r="A107" s="963">
        <v>17</v>
      </c>
      <c r="B107" s="505" t="s">
        <v>28</v>
      </c>
      <c r="C107" s="1037"/>
      <c r="D107" s="1038"/>
      <c r="E107" s="1038"/>
      <c r="F107" s="1038"/>
      <c r="G107" s="1038"/>
      <c r="H107" s="1038"/>
      <c r="I107" s="1038"/>
      <c r="J107" s="1040"/>
      <c r="K107" s="1039"/>
      <c r="L107" s="1037"/>
      <c r="M107" s="1038"/>
      <c r="N107" s="1038"/>
      <c r="O107" s="1038"/>
      <c r="P107" s="1038"/>
      <c r="Q107" s="1038"/>
      <c r="R107" s="1038"/>
      <c r="S107" s="1038"/>
      <c r="T107" s="1039"/>
      <c r="U107" s="1037"/>
      <c r="V107" s="1038"/>
      <c r="W107" s="1038"/>
      <c r="X107" s="1038"/>
      <c r="Y107" s="1038"/>
      <c r="Z107" s="1038"/>
      <c r="AA107" s="1038"/>
      <c r="AB107" s="1038"/>
      <c r="AC107" s="1038"/>
    </row>
    <row r="108" spans="1:29" x14ac:dyDescent="0.35">
      <c r="A108" s="964"/>
      <c r="B108" s="505" t="s">
        <v>912</v>
      </c>
      <c r="C108" s="1037">
        <v>10</v>
      </c>
      <c r="D108" s="1038">
        <v>8</v>
      </c>
      <c r="E108" s="1038">
        <v>18</v>
      </c>
      <c r="F108" s="1038"/>
      <c r="G108" s="1038"/>
      <c r="H108" s="1038"/>
      <c r="I108" s="1038">
        <v>129</v>
      </c>
      <c r="J108" s="1040">
        <v>284</v>
      </c>
      <c r="K108" s="1039">
        <v>413</v>
      </c>
      <c r="L108" s="1037">
        <v>1247</v>
      </c>
      <c r="M108" s="1038">
        <v>2185</v>
      </c>
      <c r="N108" s="1038">
        <v>3432</v>
      </c>
      <c r="O108" s="1038"/>
      <c r="P108" s="1038"/>
      <c r="Q108" s="1038"/>
      <c r="R108" s="1038">
        <v>247</v>
      </c>
      <c r="S108" s="1038">
        <v>412</v>
      </c>
      <c r="T108" s="1039">
        <v>659</v>
      </c>
      <c r="U108" s="1037">
        <v>5</v>
      </c>
      <c r="V108" s="1038">
        <v>1</v>
      </c>
      <c r="W108" s="1038">
        <v>6</v>
      </c>
      <c r="X108" s="1038"/>
      <c r="Y108" s="1038"/>
      <c r="Z108" s="1038"/>
      <c r="AA108" s="1038">
        <v>1638</v>
      </c>
      <c r="AB108" s="1038">
        <v>2890</v>
      </c>
      <c r="AC108" s="1038">
        <v>4528</v>
      </c>
    </row>
    <row r="109" spans="1:29" x14ac:dyDescent="0.35">
      <c r="A109" s="964"/>
      <c r="B109" s="395" t="s">
        <v>911</v>
      </c>
      <c r="C109" s="1037">
        <v>15</v>
      </c>
      <c r="D109" s="1038">
        <v>3</v>
      </c>
      <c r="E109" s="1038">
        <v>18</v>
      </c>
      <c r="F109" s="1038"/>
      <c r="G109" s="1038"/>
      <c r="H109" s="1038"/>
      <c r="I109" s="1038">
        <v>148</v>
      </c>
      <c r="J109" s="1040">
        <v>315</v>
      </c>
      <c r="K109" s="1039">
        <v>463</v>
      </c>
      <c r="L109" s="1037">
        <v>1187</v>
      </c>
      <c r="M109" s="1038">
        <v>2103</v>
      </c>
      <c r="N109" s="1038">
        <v>3290</v>
      </c>
      <c r="O109" s="1038"/>
      <c r="P109" s="1038"/>
      <c r="Q109" s="1038"/>
      <c r="R109" s="1038">
        <v>191</v>
      </c>
      <c r="S109" s="1038">
        <v>301</v>
      </c>
      <c r="T109" s="1039">
        <v>492</v>
      </c>
      <c r="U109" s="1037"/>
      <c r="V109" s="1038"/>
      <c r="W109" s="1038"/>
      <c r="X109" s="1038"/>
      <c r="Y109" s="1038"/>
      <c r="Z109" s="1038"/>
      <c r="AA109" s="1038">
        <v>1541</v>
      </c>
      <c r="AB109" s="1038">
        <v>2722</v>
      </c>
      <c r="AC109" s="1038">
        <v>4263</v>
      </c>
    </row>
    <row r="110" spans="1:29" x14ac:dyDescent="0.35">
      <c r="A110" s="964"/>
      <c r="B110" s="395" t="s">
        <v>910</v>
      </c>
      <c r="C110" s="1040">
        <v>6</v>
      </c>
      <c r="D110" s="1040">
        <v>2</v>
      </c>
      <c r="E110" s="1040">
        <v>8</v>
      </c>
      <c r="F110" s="1040">
        <v>0</v>
      </c>
      <c r="G110" s="1040">
        <v>0</v>
      </c>
      <c r="H110" s="1040">
        <v>0</v>
      </c>
      <c r="I110" s="1040">
        <v>70</v>
      </c>
      <c r="J110" s="1040">
        <v>23</v>
      </c>
      <c r="K110" s="1040">
        <v>93</v>
      </c>
      <c r="L110" s="1040">
        <v>740</v>
      </c>
      <c r="M110" s="1040">
        <v>1738</v>
      </c>
      <c r="N110" s="1040">
        <v>2478</v>
      </c>
      <c r="O110" s="1040">
        <v>0</v>
      </c>
      <c r="P110" s="1040">
        <v>0</v>
      </c>
      <c r="Q110" s="1040">
        <v>0</v>
      </c>
      <c r="R110" s="1040">
        <v>245</v>
      </c>
      <c r="S110" s="1040">
        <v>185</v>
      </c>
      <c r="T110" s="1040">
        <v>430</v>
      </c>
      <c r="U110" s="1040">
        <v>0</v>
      </c>
      <c r="V110" s="1040">
        <v>0</v>
      </c>
      <c r="W110" s="1040">
        <v>0</v>
      </c>
      <c r="X110" s="1040">
        <v>47</v>
      </c>
      <c r="Y110" s="1040">
        <v>91</v>
      </c>
      <c r="Z110" s="1040">
        <v>138</v>
      </c>
      <c r="AA110" s="1040">
        <v>1108</v>
      </c>
      <c r="AB110" s="1040">
        <v>2039</v>
      </c>
      <c r="AC110" s="1040">
        <v>3147</v>
      </c>
    </row>
    <row r="111" spans="1:29" x14ac:dyDescent="0.35">
      <c r="A111" s="967"/>
      <c r="B111" s="395" t="s">
        <v>909</v>
      </c>
      <c r="C111" s="1041">
        <v>6</v>
      </c>
      <c r="D111" s="1041">
        <v>2</v>
      </c>
      <c r="E111" s="1041">
        <v>8</v>
      </c>
      <c r="F111" s="1041">
        <v>0</v>
      </c>
      <c r="G111" s="1041">
        <v>0</v>
      </c>
      <c r="H111" s="1041">
        <v>0</v>
      </c>
      <c r="I111" s="1041">
        <v>26</v>
      </c>
      <c r="J111" s="1041">
        <v>28</v>
      </c>
      <c r="K111" s="1041">
        <v>54</v>
      </c>
      <c r="L111" s="1041">
        <v>798</v>
      </c>
      <c r="M111" s="1041">
        <v>1746</v>
      </c>
      <c r="N111" s="1041">
        <v>2544</v>
      </c>
      <c r="O111" s="1041">
        <v>0</v>
      </c>
      <c r="P111" s="1041">
        <v>0</v>
      </c>
      <c r="Q111" s="1041">
        <v>0</v>
      </c>
      <c r="R111" s="1041">
        <v>112</v>
      </c>
      <c r="S111" s="1041">
        <v>24</v>
      </c>
      <c r="T111" s="1041">
        <v>136</v>
      </c>
      <c r="U111" s="1041">
        <v>0</v>
      </c>
      <c r="V111" s="1041">
        <v>0</v>
      </c>
      <c r="W111" s="1041">
        <v>0</v>
      </c>
      <c r="X111" s="1041">
        <v>57</v>
      </c>
      <c r="Y111" s="1041">
        <v>98</v>
      </c>
      <c r="Z111" s="1041">
        <v>155</v>
      </c>
      <c r="AA111" s="1041">
        <v>999</v>
      </c>
      <c r="AB111" s="1041">
        <v>1898</v>
      </c>
      <c r="AC111" s="1041">
        <v>2897</v>
      </c>
    </row>
    <row r="112" spans="1:29" x14ac:dyDescent="0.35">
      <c r="A112" s="963">
        <v>18</v>
      </c>
      <c r="B112" s="505" t="s">
        <v>72</v>
      </c>
      <c r="C112" s="1037"/>
      <c r="D112" s="1038"/>
      <c r="E112" s="1038"/>
      <c r="F112" s="1038"/>
      <c r="G112" s="1038"/>
      <c r="H112" s="1038"/>
      <c r="I112" s="1038"/>
      <c r="J112" s="1041"/>
      <c r="K112" s="1039"/>
      <c r="L112" s="1037"/>
      <c r="M112" s="1038"/>
      <c r="N112" s="1038"/>
      <c r="O112" s="1038"/>
      <c r="P112" s="1038"/>
      <c r="Q112" s="1038"/>
      <c r="R112" s="1038"/>
      <c r="S112" s="1038"/>
      <c r="T112" s="1039"/>
      <c r="U112" s="1037"/>
      <c r="V112" s="1038"/>
      <c r="W112" s="1038"/>
      <c r="X112" s="1038"/>
      <c r="Y112" s="1038"/>
      <c r="Z112" s="1038"/>
      <c r="AA112" s="1038"/>
      <c r="AB112" s="1038"/>
      <c r="AC112" s="1038"/>
    </row>
    <row r="113" spans="1:29" x14ac:dyDescent="0.35">
      <c r="A113" s="964"/>
      <c r="B113" s="505" t="s">
        <v>912</v>
      </c>
      <c r="C113" s="1037"/>
      <c r="D113" s="1038"/>
      <c r="E113" s="1038"/>
      <c r="F113" s="1038"/>
      <c r="G113" s="1038"/>
      <c r="H113" s="1038"/>
      <c r="I113" s="1038"/>
      <c r="J113" s="1041"/>
      <c r="K113" s="1039"/>
      <c r="L113" s="1037">
        <v>121</v>
      </c>
      <c r="M113" s="1038">
        <v>299</v>
      </c>
      <c r="N113" s="1038">
        <v>420</v>
      </c>
      <c r="O113" s="1038"/>
      <c r="P113" s="1038"/>
      <c r="Q113" s="1038"/>
      <c r="R113" s="1038">
        <v>71</v>
      </c>
      <c r="S113" s="1038">
        <v>22</v>
      </c>
      <c r="T113" s="1039">
        <v>93</v>
      </c>
      <c r="U113" s="1037"/>
      <c r="V113" s="1038"/>
      <c r="W113" s="1038"/>
      <c r="X113" s="1038"/>
      <c r="Y113" s="1038"/>
      <c r="Z113" s="1038"/>
      <c r="AA113" s="1038">
        <v>192</v>
      </c>
      <c r="AB113" s="1038">
        <v>321</v>
      </c>
      <c r="AC113" s="1038">
        <v>513</v>
      </c>
    </row>
    <row r="114" spans="1:29" x14ac:dyDescent="0.35">
      <c r="A114" s="964"/>
      <c r="B114" s="395" t="s">
        <v>911</v>
      </c>
      <c r="C114" s="1037">
        <v>0</v>
      </c>
      <c r="D114" s="1038"/>
      <c r="E114" s="1038"/>
      <c r="F114" s="1038"/>
      <c r="G114" s="1038"/>
      <c r="H114" s="1038"/>
      <c r="I114" s="1038"/>
      <c r="J114" s="1041"/>
      <c r="K114" s="1039"/>
      <c r="L114" s="1037">
        <v>14</v>
      </c>
      <c r="M114" s="1038">
        <v>74</v>
      </c>
      <c r="N114" s="1038">
        <v>88</v>
      </c>
      <c r="O114" s="1038"/>
      <c r="P114" s="1038"/>
      <c r="Q114" s="1038"/>
      <c r="R114" s="1038"/>
      <c r="S114" s="1038"/>
      <c r="T114" s="1039"/>
      <c r="U114" s="1037"/>
      <c r="V114" s="1038"/>
      <c r="W114" s="1038"/>
      <c r="X114" s="1038"/>
      <c r="Y114" s="1038"/>
      <c r="Z114" s="1038"/>
      <c r="AA114" s="1038">
        <v>14</v>
      </c>
      <c r="AB114" s="1038">
        <v>74</v>
      </c>
      <c r="AC114" s="1038">
        <v>88</v>
      </c>
    </row>
    <row r="115" spans="1:29" x14ac:dyDescent="0.35">
      <c r="A115" s="964"/>
      <c r="B115" s="395" t="s">
        <v>910</v>
      </c>
      <c r="C115" s="1040">
        <v>0</v>
      </c>
      <c r="D115" s="1040">
        <v>0</v>
      </c>
      <c r="E115" s="1040">
        <v>0</v>
      </c>
      <c r="F115" s="1040">
        <v>0</v>
      </c>
      <c r="G115" s="1040">
        <v>0</v>
      </c>
      <c r="H115" s="1040">
        <v>0</v>
      </c>
      <c r="I115" s="1040">
        <v>0</v>
      </c>
      <c r="J115" s="1040">
        <v>26</v>
      </c>
      <c r="K115" s="1040">
        <v>26</v>
      </c>
      <c r="L115" s="1040">
        <v>133</v>
      </c>
      <c r="M115" s="1040">
        <v>401</v>
      </c>
      <c r="N115" s="1040">
        <v>534</v>
      </c>
      <c r="O115" s="1040">
        <v>0</v>
      </c>
      <c r="P115" s="1040">
        <v>0</v>
      </c>
      <c r="Q115" s="1040">
        <v>0</v>
      </c>
      <c r="R115" s="1040">
        <v>0</v>
      </c>
      <c r="S115" s="1040">
        <v>0</v>
      </c>
      <c r="T115" s="1040">
        <v>0</v>
      </c>
      <c r="U115" s="1040">
        <v>0</v>
      </c>
      <c r="V115" s="1040">
        <v>0</v>
      </c>
      <c r="W115" s="1040">
        <v>0</v>
      </c>
      <c r="X115" s="1040">
        <v>0</v>
      </c>
      <c r="Y115" s="1040">
        <v>0</v>
      </c>
      <c r="Z115" s="1040">
        <v>0</v>
      </c>
      <c r="AA115" s="1040">
        <v>133</v>
      </c>
      <c r="AB115" s="1040">
        <v>427</v>
      </c>
      <c r="AC115" s="1040">
        <v>560</v>
      </c>
    </row>
    <row r="116" spans="1:29" x14ac:dyDescent="0.35">
      <c r="A116" s="964"/>
      <c r="B116" s="395" t="s">
        <v>909</v>
      </c>
      <c r="C116" s="1041">
        <v>0</v>
      </c>
      <c r="D116" s="1041">
        <v>0</v>
      </c>
      <c r="E116" s="1041">
        <v>0</v>
      </c>
      <c r="F116" s="1041">
        <v>0</v>
      </c>
      <c r="G116" s="1041">
        <v>0</v>
      </c>
      <c r="H116" s="1041">
        <v>0</v>
      </c>
      <c r="I116" s="1041">
        <v>0</v>
      </c>
      <c r="J116" s="1041">
        <v>26</v>
      </c>
      <c r="K116" s="1041">
        <v>26</v>
      </c>
      <c r="L116" s="1041">
        <v>133</v>
      </c>
      <c r="M116" s="1041">
        <v>401</v>
      </c>
      <c r="N116" s="1041">
        <v>534</v>
      </c>
      <c r="O116" s="1041">
        <v>0</v>
      </c>
      <c r="P116" s="1041">
        <v>0</v>
      </c>
      <c r="Q116" s="1041">
        <v>0</v>
      </c>
      <c r="R116" s="1041">
        <v>0</v>
      </c>
      <c r="S116" s="1041">
        <v>0</v>
      </c>
      <c r="T116" s="1041">
        <v>0</v>
      </c>
      <c r="U116" s="1041">
        <v>0</v>
      </c>
      <c r="V116" s="1041">
        <v>0</v>
      </c>
      <c r="W116" s="1041">
        <v>0</v>
      </c>
      <c r="X116" s="1041">
        <v>0</v>
      </c>
      <c r="Y116" s="1041">
        <v>0</v>
      </c>
      <c r="Z116" s="1041">
        <v>0</v>
      </c>
      <c r="AA116" s="1041">
        <v>133</v>
      </c>
      <c r="AB116" s="1041">
        <v>427</v>
      </c>
      <c r="AC116" s="1041">
        <v>560</v>
      </c>
    </row>
    <row r="117" spans="1:29" x14ac:dyDescent="0.35">
      <c r="A117" s="964"/>
      <c r="B117" s="395" t="s">
        <v>908</v>
      </c>
      <c r="C117" s="1040">
        <v>0</v>
      </c>
      <c r="D117" s="1040">
        <v>0</v>
      </c>
      <c r="E117" s="1040">
        <v>0</v>
      </c>
      <c r="F117" s="1040">
        <v>0</v>
      </c>
      <c r="G117" s="1040">
        <v>0</v>
      </c>
      <c r="H117" s="1040">
        <v>0</v>
      </c>
      <c r="I117" s="1040">
        <v>0</v>
      </c>
      <c r="J117" s="1041">
        <v>26</v>
      </c>
      <c r="K117" s="1040">
        <v>26</v>
      </c>
      <c r="L117" s="1040">
        <v>127</v>
      </c>
      <c r="M117" s="1040">
        <v>392</v>
      </c>
      <c r="N117" s="1040">
        <v>519</v>
      </c>
      <c r="O117" s="1040">
        <v>0</v>
      </c>
      <c r="P117" s="1040">
        <v>0</v>
      </c>
      <c r="Q117" s="1040">
        <v>0</v>
      </c>
      <c r="R117" s="1040">
        <v>0</v>
      </c>
      <c r="S117" s="1040">
        <v>0</v>
      </c>
      <c r="T117" s="1040">
        <v>0</v>
      </c>
      <c r="U117" s="1040">
        <v>0</v>
      </c>
      <c r="V117" s="1040">
        <v>0</v>
      </c>
      <c r="W117" s="1040">
        <v>0</v>
      </c>
      <c r="X117" s="1040">
        <v>0</v>
      </c>
      <c r="Y117" s="1040">
        <v>0</v>
      </c>
      <c r="Z117" s="1040">
        <v>0</v>
      </c>
      <c r="AA117" s="1040">
        <v>127</v>
      </c>
      <c r="AB117" s="1040">
        <v>418</v>
      </c>
      <c r="AC117" s="1040">
        <v>545</v>
      </c>
    </row>
    <row r="118" spans="1:29" x14ac:dyDescent="0.35">
      <c r="A118" s="963">
        <v>19</v>
      </c>
      <c r="B118" s="505" t="s">
        <v>29</v>
      </c>
      <c r="C118" s="1037"/>
      <c r="D118" s="1038"/>
      <c r="E118" s="1038"/>
      <c r="F118" s="1038"/>
      <c r="G118" s="1038"/>
      <c r="H118" s="1038"/>
      <c r="I118" s="1038"/>
      <c r="J118" s="1038"/>
      <c r="K118" s="1039"/>
      <c r="L118" s="1037"/>
      <c r="M118" s="1038"/>
      <c r="N118" s="1038"/>
      <c r="O118" s="1038"/>
      <c r="P118" s="1038"/>
      <c r="Q118" s="1038"/>
      <c r="R118" s="1038"/>
      <c r="S118" s="1038"/>
      <c r="T118" s="1039"/>
      <c r="U118" s="1037"/>
      <c r="V118" s="1038"/>
      <c r="W118" s="1038"/>
      <c r="X118" s="1038"/>
      <c r="Y118" s="1038"/>
      <c r="Z118" s="1038"/>
      <c r="AA118" s="1038"/>
      <c r="AB118" s="1038"/>
      <c r="AC118" s="1038"/>
    </row>
    <row r="119" spans="1:29" x14ac:dyDescent="0.35">
      <c r="A119" s="964"/>
      <c r="B119" s="505" t="s">
        <v>912</v>
      </c>
      <c r="C119" s="1037">
        <v>4364</v>
      </c>
      <c r="D119" s="1038">
        <v>3568</v>
      </c>
      <c r="E119" s="1038">
        <v>7932</v>
      </c>
      <c r="F119" s="1038">
        <v>1</v>
      </c>
      <c r="G119" s="1038">
        <v>15</v>
      </c>
      <c r="H119" s="1038">
        <v>16</v>
      </c>
      <c r="I119" s="1038">
        <v>173630</v>
      </c>
      <c r="J119" s="1038">
        <v>210082</v>
      </c>
      <c r="K119" s="1039">
        <v>383712</v>
      </c>
      <c r="L119" s="1037">
        <v>926735</v>
      </c>
      <c r="M119" s="1038">
        <v>839611</v>
      </c>
      <c r="N119" s="1038">
        <v>1766347</v>
      </c>
      <c r="O119" s="1038">
        <v>24579</v>
      </c>
      <c r="P119" s="1038">
        <v>25269</v>
      </c>
      <c r="Q119" s="1038">
        <v>49848</v>
      </c>
      <c r="R119" s="1038">
        <v>125455</v>
      </c>
      <c r="S119" s="1038">
        <v>74802</v>
      </c>
      <c r="T119" s="1039">
        <v>200257</v>
      </c>
      <c r="U119" s="1037">
        <v>2815</v>
      </c>
      <c r="V119" s="1038">
        <v>1493</v>
      </c>
      <c r="W119" s="1038">
        <v>4308</v>
      </c>
      <c r="X119" s="1038">
        <v>21628</v>
      </c>
      <c r="Y119" s="1038">
        <v>17929</v>
      </c>
      <c r="Z119" s="1038">
        <v>39557</v>
      </c>
      <c r="AA119" s="1038">
        <v>1279208</v>
      </c>
      <c r="AB119" s="1038">
        <v>1172769</v>
      </c>
      <c r="AC119" s="1038">
        <v>2451977</v>
      </c>
    </row>
    <row r="120" spans="1:29" x14ac:dyDescent="0.35">
      <c r="A120" s="964"/>
      <c r="B120" s="395" t="s">
        <v>911</v>
      </c>
      <c r="C120" s="1037">
        <v>4283</v>
      </c>
      <c r="D120" s="1038">
        <v>3571</v>
      </c>
      <c r="E120" s="1038">
        <v>7854</v>
      </c>
      <c r="F120" s="1038"/>
      <c r="G120" s="1038">
        <v>16</v>
      </c>
      <c r="H120" s="1038">
        <v>16</v>
      </c>
      <c r="I120" s="1038">
        <v>175029</v>
      </c>
      <c r="J120" s="1038">
        <v>210899</v>
      </c>
      <c r="K120" s="1039">
        <v>385928</v>
      </c>
      <c r="L120" s="1037">
        <v>1024315</v>
      </c>
      <c r="M120" s="1038">
        <v>878890</v>
      </c>
      <c r="N120" s="1038">
        <v>1903205</v>
      </c>
      <c r="O120" s="1038">
        <v>20910</v>
      </c>
      <c r="P120" s="1038">
        <v>20158</v>
      </c>
      <c r="Q120" s="1038">
        <v>41068</v>
      </c>
      <c r="R120" s="1038">
        <v>113570</v>
      </c>
      <c r="S120" s="1038">
        <v>60431</v>
      </c>
      <c r="T120" s="1039">
        <v>174001</v>
      </c>
      <c r="U120" s="1037">
        <v>1492</v>
      </c>
      <c r="V120" s="1038">
        <v>834</v>
      </c>
      <c r="W120" s="1038">
        <v>2326</v>
      </c>
      <c r="X120" s="1038">
        <v>19680</v>
      </c>
      <c r="Y120" s="1038">
        <v>15653</v>
      </c>
      <c r="Z120" s="1038">
        <v>35333</v>
      </c>
      <c r="AA120" s="1038">
        <v>1359279</v>
      </c>
      <c r="AB120" s="1038">
        <v>1190452</v>
      </c>
      <c r="AC120" s="1038">
        <v>2549731</v>
      </c>
    </row>
    <row r="121" spans="1:29" x14ac:dyDescent="0.35">
      <c r="A121" s="964"/>
      <c r="B121" s="395" t="s">
        <v>910</v>
      </c>
      <c r="C121" s="1040">
        <v>3676</v>
      </c>
      <c r="D121" s="1040">
        <v>2477</v>
      </c>
      <c r="E121" s="1040">
        <v>6153</v>
      </c>
      <c r="F121" s="1040">
        <v>91</v>
      </c>
      <c r="G121" s="1040">
        <v>58</v>
      </c>
      <c r="H121" s="1040">
        <v>149</v>
      </c>
      <c r="I121" s="1040">
        <v>148845</v>
      </c>
      <c r="J121" s="1040">
        <v>175910</v>
      </c>
      <c r="K121" s="1040">
        <v>324755</v>
      </c>
      <c r="L121" s="1040">
        <v>998782</v>
      </c>
      <c r="M121" s="1040">
        <v>903915</v>
      </c>
      <c r="N121" s="1040">
        <v>1902697</v>
      </c>
      <c r="O121" s="1040">
        <v>20339</v>
      </c>
      <c r="P121" s="1040">
        <v>19119</v>
      </c>
      <c r="Q121" s="1040">
        <v>39458</v>
      </c>
      <c r="R121" s="1040">
        <v>102146</v>
      </c>
      <c r="S121" s="1040">
        <v>54906</v>
      </c>
      <c r="T121" s="1040">
        <v>157052</v>
      </c>
      <c r="U121" s="1040">
        <v>2269</v>
      </c>
      <c r="V121" s="1040">
        <v>1258</v>
      </c>
      <c r="W121" s="1040">
        <v>3527</v>
      </c>
      <c r="X121" s="1040">
        <v>16402</v>
      </c>
      <c r="Y121" s="1040">
        <v>13083</v>
      </c>
      <c r="Z121" s="1040">
        <v>29485</v>
      </c>
      <c r="AA121" s="1040">
        <v>1292550</v>
      </c>
      <c r="AB121" s="1040">
        <v>1170726</v>
      </c>
      <c r="AC121" s="1040">
        <v>2463276</v>
      </c>
    </row>
    <row r="122" spans="1:29" x14ac:dyDescent="0.35">
      <c r="A122" s="964"/>
      <c r="B122" s="395" t="s">
        <v>909</v>
      </c>
      <c r="C122" s="1041">
        <v>3006</v>
      </c>
      <c r="D122" s="1041">
        <v>2441</v>
      </c>
      <c r="E122" s="1041">
        <v>5447</v>
      </c>
      <c r="F122" s="1041">
        <v>427</v>
      </c>
      <c r="G122" s="1041">
        <v>449</v>
      </c>
      <c r="H122" s="1041">
        <v>876</v>
      </c>
      <c r="I122" s="1041">
        <v>116350</v>
      </c>
      <c r="J122" s="1041">
        <v>150926</v>
      </c>
      <c r="K122" s="1041">
        <v>267276</v>
      </c>
      <c r="L122" s="1041">
        <v>825452</v>
      </c>
      <c r="M122" s="1041">
        <v>753608</v>
      </c>
      <c r="N122" s="1041">
        <v>1579060</v>
      </c>
      <c r="O122" s="1041">
        <v>16921</v>
      </c>
      <c r="P122" s="1041">
        <v>19014</v>
      </c>
      <c r="Q122" s="1041">
        <v>35935</v>
      </c>
      <c r="R122" s="1041">
        <v>74612</v>
      </c>
      <c r="S122" s="1041">
        <v>42157</v>
      </c>
      <c r="T122" s="1041">
        <v>116769</v>
      </c>
      <c r="U122" s="1041">
        <v>845</v>
      </c>
      <c r="V122" s="1041">
        <v>837</v>
      </c>
      <c r="W122" s="1041">
        <v>1682</v>
      </c>
      <c r="X122" s="1041">
        <v>10498</v>
      </c>
      <c r="Y122" s="1041">
        <v>8326</v>
      </c>
      <c r="Z122" s="1041">
        <v>18824</v>
      </c>
      <c r="AA122" s="1041">
        <v>1048111</v>
      </c>
      <c r="AB122" s="1041">
        <v>977758</v>
      </c>
      <c r="AC122" s="1041">
        <v>2025869</v>
      </c>
    </row>
    <row r="123" spans="1:29" x14ac:dyDescent="0.35">
      <c r="A123" s="964"/>
      <c r="B123" s="395" t="s">
        <v>908</v>
      </c>
      <c r="C123" s="1040">
        <v>2383</v>
      </c>
      <c r="D123" s="1040">
        <v>1710</v>
      </c>
      <c r="E123" s="1040">
        <v>4093</v>
      </c>
      <c r="F123" s="1040">
        <v>264</v>
      </c>
      <c r="G123" s="1040">
        <v>379</v>
      </c>
      <c r="H123" s="1040">
        <v>643</v>
      </c>
      <c r="I123" s="1040">
        <v>90434</v>
      </c>
      <c r="J123" s="1040">
        <v>112362</v>
      </c>
      <c r="K123" s="1040">
        <v>202796</v>
      </c>
      <c r="L123" s="1040">
        <v>719279</v>
      </c>
      <c r="M123" s="1040">
        <v>648370</v>
      </c>
      <c r="N123" s="1040">
        <v>1367649</v>
      </c>
      <c r="O123" s="1040">
        <v>18203</v>
      </c>
      <c r="P123" s="1040">
        <v>20074</v>
      </c>
      <c r="Q123" s="1040">
        <v>38277</v>
      </c>
      <c r="R123" s="1040">
        <v>72142</v>
      </c>
      <c r="S123" s="1040">
        <v>43251</v>
      </c>
      <c r="T123" s="1040">
        <v>115393</v>
      </c>
      <c r="U123" s="1040">
        <v>1253</v>
      </c>
      <c r="V123" s="1040">
        <v>673</v>
      </c>
      <c r="W123" s="1040">
        <v>1926</v>
      </c>
      <c r="X123" s="1040">
        <v>8300</v>
      </c>
      <c r="Y123" s="1040">
        <v>6086</v>
      </c>
      <c r="Z123" s="1040">
        <v>14386</v>
      </c>
      <c r="AA123" s="1040">
        <v>912258</v>
      </c>
      <c r="AB123" s="1040">
        <v>832905</v>
      </c>
      <c r="AC123" s="1040">
        <v>1745163</v>
      </c>
    </row>
    <row r="124" spans="1:29" x14ac:dyDescent="0.35">
      <c r="A124" s="963">
        <v>20</v>
      </c>
      <c r="B124" s="505" t="s">
        <v>30</v>
      </c>
      <c r="C124" s="1037"/>
      <c r="D124" s="1038"/>
      <c r="E124" s="1038"/>
      <c r="F124" s="1038"/>
      <c r="G124" s="1038"/>
      <c r="H124" s="1038"/>
      <c r="I124" s="1038"/>
      <c r="J124" s="1038"/>
      <c r="K124" s="1039"/>
      <c r="L124" s="1037"/>
      <c r="M124" s="1038"/>
      <c r="N124" s="1038"/>
      <c r="O124" s="1038"/>
      <c r="P124" s="1038"/>
      <c r="Q124" s="1038"/>
      <c r="R124" s="1038"/>
      <c r="S124" s="1038"/>
      <c r="T124" s="1039"/>
      <c r="U124" s="1037"/>
      <c r="V124" s="1038"/>
      <c r="W124" s="1038"/>
      <c r="X124" s="1038"/>
      <c r="Y124" s="1038"/>
      <c r="Z124" s="1038"/>
      <c r="AA124" s="1038"/>
      <c r="AB124" s="1038"/>
      <c r="AC124" s="1038"/>
    </row>
    <row r="125" spans="1:29" x14ac:dyDescent="0.35">
      <c r="A125" s="964"/>
      <c r="B125" s="505" t="s">
        <v>912</v>
      </c>
      <c r="C125" s="1037">
        <v>13171</v>
      </c>
      <c r="D125" s="1038">
        <v>11362</v>
      </c>
      <c r="E125" s="1038">
        <v>24533</v>
      </c>
      <c r="F125" s="1038">
        <v>33</v>
      </c>
      <c r="G125" s="1038">
        <v>28</v>
      </c>
      <c r="H125" s="1038">
        <v>61</v>
      </c>
      <c r="I125" s="1038">
        <v>227446</v>
      </c>
      <c r="J125" s="1038">
        <v>253074</v>
      </c>
      <c r="K125" s="1039">
        <v>480520</v>
      </c>
      <c r="L125" s="1037">
        <v>1757211</v>
      </c>
      <c r="M125" s="1038">
        <v>1471626</v>
      </c>
      <c r="N125" s="1038">
        <v>3228838</v>
      </c>
      <c r="O125" s="1038">
        <v>10690</v>
      </c>
      <c r="P125" s="1038">
        <v>7556</v>
      </c>
      <c r="Q125" s="1038">
        <v>18246</v>
      </c>
      <c r="R125" s="1038">
        <v>220043</v>
      </c>
      <c r="S125" s="1038">
        <v>169685</v>
      </c>
      <c r="T125" s="1039">
        <v>389728</v>
      </c>
      <c r="U125" s="1037">
        <v>4087</v>
      </c>
      <c r="V125" s="1038">
        <v>4295</v>
      </c>
      <c r="W125" s="1038">
        <v>8382</v>
      </c>
      <c r="X125" s="1038">
        <v>13138</v>
      </c>
      <c r="Y125" s="1038">
        <v>11479</v>
      </c>
      <c r="Z125" s="1038">
        <v>24617</v>
      </c>
      <c r="AA125" s="1038">
        <v>2245819</v>
      </c>
      <c r="AB125" s="1038">
        <v>1929105</v>
      </c>
      <c r="AC125" s="1038">
        <v>4174925</v>
      </c>
    </row>
    <row r="126" spans="1:29" x14ac:dyDescent="0.35">
      <c r="A126" s="964"/>
      <c r="B126" s="395" t="s">
        <v>911</v>
      </c>
      <c r="C126" s="1037">
        <v>10115</v>
      </c>
      <c r="D126" s="1038">
        <v>7717</v>
      </c>
      <c r="E126" s="1038">
        <v>17832</v>
      </c>
      <c r="F126" s="1038">
        <v>121</v>
      </c>
      <c r="G126" s="1038">
        <v>69</v>
      </c>
      <c r="H126" s="1038">
        <v>190</v>
      </c>
      <c r="I126" s="1038">
        <v>218375</v>
      </c>
      <c r="J126" s="1038">
        <v>239841</v>
      </c>
      <c r="K126" s="1039">
        <v>458216</v>
      </c>
      <c r="L126" s="1037">
        <v>1644217</v>
      </c>
      <c r="M126" s="1038">
        <v>1349613</v>
      </c>
      <c r="N126" s="1038">
        <v>2993830</v>
      </c>
      <c r="O126" s="1038">
        <v>10543</v>
      </c>
      <c r="P126" s="1038">
        <v>8326</v>
      </c>
      <c r="Q126" s="1038">
        <v>18869</v>
      </c>
      <c r="R126" s="1038">
        <v>216851</v>
      </c>
      <c r="S126" s="1038">
        <v>145671</v>
      </c>
      <c r="T126" s="1039">
        <v>362522</v>
      </c>
      <c r="U126" s="1037">
        <v>3135</v>
      </c>
      <c r="V126" s="1038">
        <v>3013</v>
      </c>
      <c r="W126" s="1038">
        <v>6148</v>
      </c>
      <c r="X126" s="1038">
        <v>10636</v>
      </c>
      <c r="Y126" s="1038">
        <v>9599</v>
      </c>
      <c r="Z126" s="1038">
        <v>20235</v>
      </c>
      <c r="AA126" s="1038">
        <v>2113993</v>
      </c>
      <c r="AB126" s="1038">
        <v>1763849</v>
      </c>
      <c r="AC126" s="1038">
        <v>3877842</v>
      </c>
    </row>
    <row r="127" spans="1:29" x14ac:dyDescent="0.35">
      <c r="A127" s="964"/>
      <c r="B127" s="395" t="s">
        <v>910</v>
      </c>
      <c r="C127" s="1040">
        <v>9358</v>
      </c>
      <c r="D127" s="1040">
        <v>6393</v>
      </c>
      <c r="E127" s="1040">
        <v>15751</v>
      </c>
      <c r="F127" s="1040">
        <v>385</v>
      </c>
      <c r="G127" s="1040">
        <v>349</v>
      </c>
      <c r="H127" s="1040">
        <v>734</v>
      </c>
      <c r="I127" s="1040">
        <v>188587</v>
      </c>
      <c r="J127" s="1040">
        <v>206097</v>
      </c>
      <c r="K127" s="1040">
        <v>394684</v>
      </c>
      <c r="L127" s="1040">
        <v>1581859</v>
      </c>
      <c r="M127" s="1040">
        <v>1341819</v>
      </c>
      <c r="N127" s="1040">
        <v>2923678</v>
      </c>
      <c r="O127" s="1040">
        <v>8734</v>
      </c>
      <c r="P127" s="1040">
        <v>6625</v>
      </c>
      <c r="Q127" s="1040">
        <v>15359</v>
      </c>
      <c r="R127" s="1040">
        <v>215795</v>
      </c>
      <c r="S127" s="1040">
        <v>145439</v>
      </c>
      <c r="T127" s="1040">
        <v>361234</v>
      </c>
      <c r="U127" s="1040">
        <v>4706</v>
      </c>
      <c r="V127" s="1040">
        <v>4266</v>
      </c>
      <c r="W127" s="1040">
        <v>8972</v>
      </c>
      <c r="X127" s="1040">
        <v>8314</v>
      </c>
      <c r="Y127" s="1040">
        <v>7527</v>
      </c>
      <c r="Z127" s="1040">
        <v>15841</v>
      </c>
      <c r="AA127" s="1040">
        <v>2017738</v>
      </c>
      <c r="AB127" s="1040">
        <v>1718515</v>
      </c>
      <c r="AC127" s="1040">
        <v>3736253</v>
      </c>
    </row>
    <row r="128" spans="1:29" x14ac:dyDescent="0.35">
      <c r="A128" s="964"/>
      <c r="B128" s="395" t="s">
        <v>909</v>
      </c>
      <c r="C128" s="1041">
        <v>7122</v>
      </c>
      <c r="D128" s="1041">
        <v>4861</v>
      </c>
      <c r="E128" s="1041">
        <v>11983</v>
      </c>
      <c r="F128" s="1041">
        <v>760</v>
      </c>
      <c r="G128" s="1041">
        <v>716</v>
      </c>
      <c r="H128" s="1041">
        <v>1476</v>
      </c>
      <c r="I128" s="1041">
        <v>184339</v>
      </c>
      <c r="J128" s="1041">
        <v>215963</v>
      </c>
      <c r="K128" s="1041">
        <v>400302</v>
      </c>
      <c r="L128" s="1041">
        <v>1504364</v>
      </c>
      <c r="M128" s="1041">
        <v>1341482</v>
      </c>
      <c r="N128" s="1041">
        <v>2845846</v>
      </c>
      <c r="O128" s="1041">
        <v>9129</v>
      </c>
      <c r="P128" s="1041">
        <v>7369</v>
      </c>
      <c r="Q128" s="1041">
        <v>16498</v>
      </c>
      <c r="R128" s="1041">
        <v>165508</v>
      </c>
      <c r="S128" s="1041">
        <v>129520</v>
      </c>
      <c r="T128" s="1041">
        <v>295028</v>
      </c>
      <c r="U128" s="1041">
        <v>6100</v>
      </c>
      <c r="V128" s="1041">
        <v>6516</v>
      </c>
      <c r="W128" s="1041">
        <v>12616</v>
      </c>
      <c r="X128" s="1041">
        <v>8085</v>
      </c>
      <c r="Y128" s="1041">
        <v>7837</v>
      </c>
      <c r="Z128" s="1041">
        <v>15922</v>
      </c>
      <c r="AA128" s="1041">
        <v>1885407</v>
      </c>
      <c r="AB128" s="1041">
        <v>1714264</v>
      </c>
      <c r="AC128" s="1041">
        <v>3599671</v>
      </c>
    </row>
    <row r="129" spans="1:29" x14ac:dyDescent="0.35">
      <c r="A129" s="964"/>
      <c r="B129" s="395" t="s">
        <v>908</v>
      </c>
      <c r="C129" s="1040">
        <v>4923</v>
      </c>
      <c r="D129" s="1040">
        <v>3873</v>
      </c>
      <c r="E129" s="1040">
        <v>8796</v>
      </c>
      <c r="F129" s="1040">
        <v>1007</v>
      </c>
      <c r="G129" s="1040">
        <v>1165</v>
      </c>
      <c r="H129" s="1040">
        <v>2172</v>
      </c>
      <c r="I129" s="1040">
        <v>177933</v>
      </c>
      <c r="J129" s="1040">
        <v>205550</v>
      </c>
      <c r="K129" s="1040">
        <v>383483</v>
      </c>
      <c r="L129" s="1040">
        <v>1504130</v>
      </c>
      <c r="M129" s="1040">
        <v>1321255</v>
      </c>
      <c r="N129" s="1040">
        <v>2825385</v>
      </c>
      <c r="O129" s="1040">
        <v>8490</v>
      </c>
      <c r="P129" s="1040">
        <v>6404</v>
      </c>
      <c r="Q129" s="1040">
        <v>14894</v>
      </c>
      <c r="R129" s="1040">
        <v>198942</v>
      </c>
      <c r="S129" s="1040">
        <v>130061</v>
      </c>
      <c r="T129" s="1040">
        <v>329003</v>
      </c>
      <c r="U129" s="1040">
        <v>6034</v>
      </c>
      <c r="V129" s="1040">
        <v>5978</v>
      </c>
      <c r="W129" s="1040">
        <v>12012</v>
      </c>
      <c r="X129" s="1040">
        <v>7053</v>
      </c>
      <c r="Y129" s="1040">
        <v>6470</v>
      </c>
      <c r="Z129" s="1040">
        <v>13523</v>
      </c>
      <c r="AA129" s="1040">
        <v>1908512</v>
      </c>
      <c r="AB129" s="1040">
        <v>1680756</v>
      </c>
      <c r="AC129" s="1040">
        <v>3589268</v>
      </c>
    </row>
    <row r="130" spans="1:29" x14ac:dyDescent="0.35">
      <c r="A130" s="963">
        <v>21</v>
      </c>
      <c r="B130" s="505" t="s">
        <v>31</v>
      </c>
      <c r="C130" s="1037"/>
      <c r="D130" s="1038"/>
      <c r="E130" s="1038"/>
      <c r="F130" s="1038"/>
      <c r="G130" s="1038"/>
      <c r="H130" s="1038"/>
      <c r="I130" s="1038"/>
      <c r="J130" s="1038"/>
      <c r="K130" s="1039"/>
      <c r="L130" s="1037"/>
      <c r="M130" s="1038"/>
      <c r="N130" s="1038"/>
      <c r="O130" s="1038"/>
      <c r="P130" s="1038"/>
      <c r="Q130" s="1038"/>
      <c r="R130" s="1038"/>
      <c r="S130" s="1038"/>
      <c r="T130" s="1039"/>
      <c r="U130" s="1037"/>
      <c r="V130" s="1038"/>
      <c r="W130" s="1038"/>
      <c r="X130" s="1038"/>
      <c r="Y130" s="1038"/>
      <c r="Z130" s="1038"/>
      <c r="AA130" s="1038"/>
      <c r="AB130" s="1038"/>
      <c r="AC130" s="1038"/>
    </row>
    <row r="131" spans="1:29" x14ac:dyDescent="0.35">
      <c r="A131" s="964"/>
      <c r="B131" s="505" t="s">
        <v>912</v>
      </c>
      <c r="C131" s="1037">
        <v>1139</v>
      </c>
      <c r="D131" s="1038">
        <v>1211</v>
      </c>
      <c r="E131" s="1038">
        <v>2350</v>
      </c>
      <c r="F131" s="1038">
        <v>4</v>
      </c>
      <c r="G131" s="1038">
        <v>8</v>
      </c>
      <c r="H131" s="1038">
        <v>12</v>
      </c>
      <c r="I131" s="1038">
        <v>4066</v>
      </c>
      <c r="J131" s="1038">
        <v>4585</v>
      </c>
      <c r="K131" s="1039">
        <v>8651</v>
      </c>
      <c r="L131" s="1037">
        <v>51225</v>
      </c>
      <c r="M131" s="1038">
        <v>49424</v>
      </c>
      <c r="N131" s="1038">
        <v>100649</v>
      </c>
      <c r="O131" s="1038">
        <v>468</v>
      </c>
      <c r="P131" s="1038">
        <v>508</v>
      </c>
      <c r="Q131" s="1038">
        <v>976</v>
      </c>
      <c r="R131" s="1038">
        <v>1423</v>
      </c>
      <c r="S131" s="1038">
        <v>2531</v>
      </c>
      <c r="T131" s="1039">
        <v>3954</v>
      </c>
      <c r="U131" s="1037">
        <v>144</v>
      </c>
      <c r="V131" s="1038">
        <v>74</v>
      </c>
      <c r="W131" s="1038">
        <v>218</v>
      </c>
      <c r="X131" s="1038"/>
      <c r="Y131" s="1038"/>
      <c r="Z131" s="1038"/>
      <c r="AA131" s="1038">
        <v>58470</v>
      </c>
      <c r="AB131" s="1038">
        <v>58340</v>
      </c>
      <c r="AC131" s="1038">
        <v>116810</v>
      </c>
    </row>
    <row r="132" spans="1:29" x14ac:dyDescent="0.35">
      <c r="A132" s="964"/>
      <c r="B132" s="395" t="s">
        <v>911</v>
      </c>
      <c r="C132" s="1037">
        <v>725</v>
      </c>
      <c r="D132" s="1038">
        <v>723</v>
      </c>
      <c r="E132" s="1038">
        <v>1448</v>
      </c>
      <c r="F132" s="1038"/>
      <c r="G132" s="1038">
        <v>6</v>
      </c>
      <c r="H132" s="1038">
        <v>6</v>
      </c>
      <c r="I132" s="1038">
        <v>3211</v>
      </c>
      <c r="J132" s="1038">
        <v>3989</v>
      </c>
      <c r="K132" s="1039">
        <v>7200</v>
      </c>
      <c r="L132" s="1037">
        <v>57000</v>
      </c>
      <c r="M132" s="1038">
        <v>53650</v>
      </c>
      <c r="N132" s="1038">
        <v>110650</v>
      </c>
      <c r="O132" s="1038">
        <v>526</v>
      </c>
      <c r="P132" s="1038">
        <v>394</v>
      </c>
      <c r="Q132" s="1038">
        <v>920</v>
      </c>
      <c r="R132" s="1038">
        <v>1635</v>
      </c>
      <c r="S132" s="1038">
        <v>2902</v>
      </c>
      <c r="T132" s="1039">
        <v>4537</v>
      </c>
      <c r="U132" s="1037">
        <v>161</v>
      </c>
      <c r="V132" s="1038">
        <v>125</v>
      </c>
      <c r="W132" s="1038">
        <v>286</v>
      </c>
      <c r="X132" s="1038"/>
      <c r="Y132" s="1038"/>
      <c r="Z132" s="1038"/>
      <c r="AA132" s="1038">
        <v>63258</v>
      </c>
      <c r="AB132" s="1038">
        <v>61789</v>
      </c>
      <c r="AC132" s="1038">
        <v>125047</v>
      </c>
    </row>
    <row r="133" spans="1:29" x14ac:dyDescent="0.35">
      <c r="A133" s="964"/>
      <c r="B133" s="395" t="s">
        <v>910</v>
      </c>
      <c r="C133" s="1040">
        <v>624</v>
      </c>
      <c r="D133" s="1040">
        <v>569</v>
      </c>
      <c r="E133" s="1040">
        <v>1193</v>
      </c>
      <c r="F133" s="1040">
        <v>0</v>
      </c>
      <c r="G133" s="1040">
        <v>12</v>
      </c>
      <c r="H133" s="1040">
        <v>12</v>
      </c>
      <c r="I133" s="1040">
        <v>3099</v>
      </c>
      <c r="J133" s="1040">
        <v>4070</v>
      </c>
      <c r="K133" s="1040">
        <v>7169</v>
      </c>
      <c r="L133" s="1040">
        <v>60239</v>
      </c>
      <c r="M133" s="1040">
        <v>59595</v>
      </c>
      <c r="N133" s="1040">
        <v>119834</v>
      </c>
      <c r="O133" s="1040">
        <v>345</v>
      </c>
      <c r="P133" s="1040">
        <v>222</v>
      </c>
      <c r="Q133" s="1040">
        <v>567</v>
      </c>
      <c r="R133" s="1040">
        <v>1615</v>
      </c>
      <c r="S133" s="1040">
        <v>2575</v>
      </c>
      <c r="T133" s="1040">
        <v>4190</v>
      </c>
      <c r="U133" s="1040">
        <v>160</v>
      </c>
      <c r="V133" s="1040">
        <v>186</v>
      </c>
      <c r="W133" s="1040">
        <v>346</v>
      </c>
      <c r="X133" s="1040">
        <v>0</v>
      </c>
      <c r="Y133" s="1040">
        <v>0</v>
      </c>
      <c r="Z133" s="1040">
        <v>0</v>
      </c>
      <c r="AA133" s="1040">
        <v>66082</v>
      </c>
      <c r="AB133" s="1040">
        <v>67229</v>
      </c>
      <c r="AC133" s="1040">
        <v>133311</v>
      </c>
    </row>
    <row r="134" spans="1:29" x14ac:dyDescent="0.35">
      <c r="A134" s="964"/>
      <c r="B134" s="395" t="s">
        <v>909</v>
      </c>
      <c r="C134" s="1041">
        <v>538</v>
      </c>
      <c r="D134" s="1041">
        <v>507</v>
      </c>
      <c r="E134" s="1041">
        <v>1045</v>
      </c>
      <c r="F134" s="1041">
        <v>2</v>
      </c>
      <c r="G134" s="1041">
        <v>10</v>
      </c>
      <c r="H134" s="1041">
        <v>12</v>
      </c>
      <c r="I134" s="1041">
        <v>2744</v>
      </c>
      <c r="J134" s="1041">
        <v>3274</v>
      </c>
      <c r="K134" s="1041">
        <v>6018</v>
      </c>
      <c r="L134" s="1041">
        <v>52759</v>
      </c>
      <c r="M134" s="1041">
        <v>54453</v>
      </c>
      <c r="N134" s="1041">
        <v>107212</v>
      </c>
      <c r="O134" s="1041">
        <v>144</v>
      </c>
      <c r="P134" s="1041">
        <v>79</v>
      </c>
      <c r="Q134" s="1041">
        <v>223</v>
      </c>
      <c r="R134" s="1041">
        <v>1376</v>
      </c>
      <c r="S134" s="1041">
        <v>2561</v>
      </c>
      <c r="T134" s="1041">
        <v>3937</v>
      </c>
      <c r="U134" s="1041">
        <v>55</v>
      </c>
      <c r="V134" s="1041">
        <v>90</v>
      </c>
      <c r="W134" s="1041">
        <v>145</v>
      </c>
      <c r="X134" s="1041">
        <v>0</v>
      </c>
      <c r="Y134" s="1041">
        <v>0</v>
      </c>
      <c r="Z134" s="1041">
        <v>0</v>
      </c>
      <c r="AA134" s="1041">
        <v>57618</v>
      </c>
      <c r="AB134" s="1041">
        <v>60974</v>
      </c>
      <c r="AC134" s="1041">
        <v>118592</v>
      </c>
    </row>
    <row r="135" spans="1:29" x14ac:dyDescent="0.35">
      <c r="A135" s="964"/>
      <c r="B135" s="395" t="s">
        <v>908</v>
      </c>
      <c r="C135" s="1040">
        <v>601</v>
      </c>
      <c r="D135" s="1040">
        <v>487</v>
      </c>
      <c r="E135" s="1040">
        <v>1088</v>
      </c>
      <c r="F135" s="1040">
        <v>1</v>
      </c>
      <c r="G135" s="1040">
        <v>10</v>
      </c>
      <c r="H135" s="1040">
        <v>11</v>
      </c>
      <c r="I135" s="1040">
        <v>2433</v>
      </c>
      <c r="J135" s="1040">
        <v>2633</v>
      </c>
      <c r="K135" s="1040">
        <v>5066</v>
      </c>
      <c r="L135" s="1040">
        <v>46921</v>
      </c>
      <c r="M135" s="1040">
        <v>47938</v>
      </c>
      <c r="N135" s="1040">
        <v>94859</v>
      </c>
      <c r="O135" s="1040">
        <v>106</v>
      </c>
      <c r="P135" s="1040">
        <v>77</v>
      </c>
      <c r="Q135" s="1040">
        <v>183</v>
      </c>
      <c r="R135" s="1040">
        <v>1261</v>
      </c>
      <c r="S135" s="1040">
        <v>1768</v>
      </c>
      <c r="T135" s="1040">
        <v>3029</v>
      </c>
      <c r="U135" s="1040">
        <v>46</v>
      </c>
      <c r="V135" s="1040">
        <v>72</v>
      </c>
      <c r="W135" s="1040">
        <v>118</v>
      </c>
      <c r="X135" s="1040">
        <v>0</v>
      </c>
      <c r="Y135" s="1040">
        <v>0</v>
      </c>
      <c r="Z135" s="1040">
        <v>0</v>
      </c>
      <c r="AA135" s="1040">
        <v>51369</v>
      </c>
      <c r="AB135" s="1040">
        <v>52985</v>
      </c>
      <c r="AC135" s="1040">
        <v>104354</v>
      </c>
    </row>
    <row r="136" spans="1:29" x14ac:dyDescent="0.35">
      <c r="A136" s="963">
        <v>22</v>
      </c>
      <c r="B136" s="505" t="s">
        <v>32</v>
      </c>
      <c r="C136" s="1037"/>
      <c r="D136" s="1038"/>
      <c r="E136" s="1038"/>
      <c r="F136" s="1038"/>
      <c r="G136" s="1038"/>
      <c r="H136" s="1038"/>
      <c r="I136" s="1038"/>
      <c r="J136" s="1038"/>
      <c r="K136" s="1039"/>
      <c r="L136" s="1037"/>
      <c r="M136" s="1038"/>
      <c r="N136" s="1038"/>
      <c r="O136" s="1038"/>
      <c r="P136" s="1038"/>
      <c r="Q136" s="1038"/>
      <c r="R136" s="1038"/>
      <c r="S136" s="1038"/>
      <c r="T136" s="1039"/>
      <c r="U136" s="1037"/>
      <c r="V136" s="1038"/>
      <c r="W136" s="1038"/>
      <c r="X136" s="1038"/>
      <c r="Y136" s="1038"/>
      <c r="Z136" s="1038"/>
      <c r="AA136" s="1038"/>
      <c r="AB136" s="1038"/>
      <c r="AC136" s="1038"/>
    </row>
    <row r="137" spans="1:29" x14ac:dyDescent="0.35">
      <c r="A137" s="964"/>
      <c r="B137" s="505" t="s">
        <v>912</v>
      </c>
      <c r="C137" s="1037">
        <v>525</v>
      </c>
      <c r="D137" s="1038">
        <v>534</v>
      </c>
      <c r="E137" s="1038">
        <v>1059</v>
      </c>
      <c r="F137" s="1038">
        <v>0</v>
      </c>
      <c r="G137" s="1038">
        <v>0</v>
      </c>
      <c r="H137" s="1038">
        <v>0</v>
      </c>
      <c r="I137" s="1038">
        <v>4308</v>
      </c>
      <c r="J137" s="1038">
        <v>6639</v>
      </c>
      <c r="K137" s="1039">
        <v>10946</v>
      </c>
      <c r="L137" s="1037">
        <v>34838</v>
      </c>
      <c r="M137" s="1038">
        <v>42105</v>
      </c>
      <c r="N137" s="1038">
        <v>76943</v>
      </c>
      <c r="O137" s="1038">
        <v>60</v>
      </c>
      <c r="P137" s="1038">
        <v>74</v>
      </c>
      <c r="Q137" s="1038">
        <v>134</v>
      </c>
      <c r="R137" s="1038">
        <v>1244</v>
      </c>
      <c r="S137" s="1038">
        <v>2175</v>
      </c>
      <c r="T137" s="1039">
        <v>3419</v>
      </c>
      <c r="U137" s="1037">
        <v>458</v>
      </c>
      <c r="V137" s="1038">
        <v>454</v>
      </c>
      <c r="W137" s="1038">
        <v>912</v>
      </c>
      <c r="X137" s="1038">
        <v>234</v>
      </c>
      <c r="Y137" s="1038">
        <v>251</v>
      </c>
      <c r="Z137" s="1038">
        <v>485</v>
      </c>
      <c r="AA137" s="1038">
        <v>41666</v>
      </c>
      <c r="AB137" s="1038">
        <v>52232</v>
      </c>
      <c r="AC137" s="1038">
        <v>93898</v>
      </c>
    </row>
    <row r="138" spans="1:29" x14ac:dyDescent="0.35">
      <c r="A138" s="964"/>
      <c r="B138" s="395" t="s">
        <v>911</v>
      </c>
      <c r="C138" s="1037">
        <v>458</v>
      </c>
      <c r="D138" s="1038">
        <v>331</v>
      </c>
      <c r="E138" s="1038">
        <v>789</v>
      </c>
      <c r="F138" s="1038">
        <v>1</v>
      </c>
      <c r="G138" s="1038">
        <v>2</v>
      </c>
      <c r="H138" s="1038">
        <v>3</v>
      </c>
      <c r="I138" s="1038">
        <v>4340</v>
      </c>
      <c r="J138" s="1038">
        <v>6303</v>
      </c>
      <c r="K138" s="1039">
        <v>10643</v>
      </c>
      <c r="L138" s="1037">
        <v>34345</v>
      </c>
      <c r="M138" s="1038">
        <v>39778</v>
      </c>
      <c r="N138" s="1038">
        <v>74123</v>
      </c>
      <c r="O138" s="1038">
        <v>184</v>
      </c>
      <c r="P138" s="1038">
        <v>284</v>
      </c>
      <c r="Q138" s="1038">
        <v>468</v>
      </c>
      <c r="R138" s="1038">
        <v>981</v>
      </c>
      <c r="S138" s="1038">
        <v>1980</v>
      </c>
      <c r="T138" s="1039">
        <v>2961</v>
      </c>
      <c r="U138" s="1037">
        <v>31</v>
      </c>
      <c r="V138" s="1038">
        <v>55</v>
      </c>
      <c r="W138" s="1038">
        <v>86</v>
      </c>
      <c r="X138" s="1038">
        <v>203</v>
      </c>
      <c r="Y138" s="1038">
        <v>180</v>
      </c>
      <c r="Z138" s="1038">
        <v>383</v>
      </c>
      <c r="AA138" s="1038">
        <v>40543</v>
      </c>
      <c r="AB138" s="1038">
        <v>48913</v>
      </c>
      <c r="AC138" s="1038">
        <v>89456</v>
      </c>
    </row>
    <row r="139" spans="1:29" x14ac:dyDescent="0.35">
      <c r="A139" s="964"/>
      <c r="B139" s="395" t="s">
        <v>910</v>
      </c>
      <c r="C139" s="1040">
        <v>469</v>
      </c>
      <c r="D139" s="1040">
        <v>364</v>
      </c>
      <c r="E139" s="1040">
        <v>833</v>
      </c>
      <c r="F139" s="1040">
        <v>0</v>
      </c>
      <c r="G139" s="1040">
        <v>0</v>
      </c>
      <c r="H139" s="1040">
        <v>0</v>
      </c>
      <c r="I139" s="1040">
        <v>3125</v>
      </c>
      <c r="J139" s="1040">
        <v>4882</v>
      </c>
      <c r="K139" s="1040">
        <v>8007</v>
      </c>
      <c r="L139" s="1040">
        <v>35316</v>
      </c>
      <c r="M139" s="1040">
        <v>43731</v>
      </c>
      <c r="N139" s="1040">
        <v>79047</v>
      </c>
      <c r="O139" s="1040">
        <v>42</v>
      </c>
      <c r="P139" s="1040">
        <v>37</v>
      </c>
      <c r="Q139" s="1040">
        <v>79</v>
      </c>
      <c r="R139" s="1040">
        <v>1300</v>
      </c>
      <c r="S139" s="1040">
        <v>2194</v>
      </c>
      <c r="T139" s="1040">
        <v>3494</v>
      </c>
      <c r="U139" s="1040">
        <v>172</v>
      </c>
      <c r="V139" s="1040">
        <v>214</v>
      </c>
      <c r="W139" s="1040">
        <v>386</v>
      </c>
      <c r="X139" s="1040">
        <v>73</v>
      </c>
      <c r="Y139" s="1040">
        <v>54</v>
      </c>
      <c r="Z139" s="1040">
        <v>127</v>
      </c>
      <c r="AA139" s="1040">
        <v>40497</v>
      </c>
      <c r="AB139" s="1040">
        <v>51476</v>
      </c>
      <c r="AC139" s="1040">
        <v>91973</v>
      </c>
    </row>
    <row r="140" spans="1:29" x14ac:dyDescent="0.35">
      <c r="A140" s="964"/>
      <c r="B140" s="395" t="s">
        <v>909</v>
      </c>
      <c r="C140" s="1041">
        <v>492</v>
      </c>
      <c r="D140" s="1041">
        <v>378</v>
      </c>
      <c r="E140" s="1041">
        <v>870</v>
      </c>
      <c r="F140" s="1041">
        <v>10</v>
      </c>
      <c r="G140" s="1041">
        <v>23</v>
      </c>
      <c r="H140" s="1041">
        <v>33</v>
      </c>
      <c r="I140" s="1041">
        <v>2979</v>
      </c>
      <c r="J140" s="1041">
        <v>4304</v>
      </c>
      <c r="K140" s="1041">
        <v>7283</v>
      </c>
      <c r="L140" s="1041">
        <v>32135</v>
      </c>
      <c r="M140" s="1041">
        <v>37234</v>
      </c>
      <c r="N140" s="1041">
        <v>69369</v>
      </c>
      <c r="O140" s="1041">
        <v>32</v>
      </c>
      <c r="P140" s="1041">
        <v>37</v>
      </c>
      <c r="Q140" s="1041">
        <v>69</v>
      </c>
      <c r="R140" s="1041">
        <v>1076</v>
      </c>
      <c r="S140" s="1041">
        <v>1637</v>
      </c>
      <c r="T140" s="1041">
        <v>2713</v>
      </c>
      <c r="U140" s="1041">
        <v>47</v>
      </c>
      <c r="V140" s="1041">
        <v>47</v>
      </c>
      <c r="W140" s="1041">
        <v>94</v>
      </c>
      <c r="X140" s="1041">
        <v>70</v>
      </c>
      <c r="Y140" s="1041">
        <v>52</v>
      </c>
      <c r="Z140" s="1041">
        <v>122</v>
      </c>
      <c r="AA140" s="1041">
        <v>36841</v>
      </c>
      <c r="AB140" s="1041">
        <v>43712</v>
      </c>
      <c r="AC140" s="1041">
        <v>80553</v>
      </c>
    </row>
    <row r="141" spans="1:29" x14ac:dyDescent="0.35">
      <c r="A141" s="964"/>
      <c r="B141" s="395" t="s">
        <v>908</v>
      </c>
      <c r="C141" s="1040">
        <v>475</v>
      </c>
      <c r="D141" s="1040">
        <v>678</v>
      </c>
      <c r="E141" s="1040">
        <v>1153</v>
      </c>
      <c r="F141" s="1040">
        <v>29</v>
      </c>
      <c r="G141" s="1040">
        <v>46</v>
      </c>
      <c r="H141" s="1040">
        <v>75</v>
      </c>
      <c r="I141" s="1040">
        <v>2479</v>
      </c>
      <c r="J141" s="1040">
        <v>3772</v>
      </c>
      <c r="K141" s="1040">
        <v>6251</v>
      </c>
      <c r="L141" s="1040">
        <v>31975</v>
      </c>
      <c r="M141" s="1040">
        <v>36789</v>
      </c>
      <c r="N141" s="1040">
        <v>68764</v>
      </c>
      <c r="O141" s="1040">
        <v>26</v>
      </c>
      <c r="P141" s="1040">
        <v>11</v>
      </c>
      <c r="Q141" s="1040">
        <v>37</v>
      </c>
      <c r="R141" s="1040">
        <v>1083</v>
      </c>
      <c r="S141" s="1040">
        <v>1719</v>
      </c>
      <c r="T141" s="1040">
        <v>2802</v>
      </c>
      <c r="U141" s="1040">
        <v>0</v>
      </c>
      <c r="V141" s="1040">
        <v>0</v>
      </c>
      <c r="W141" s="1040">
        <v>0</v>
      </c>
      <c r="X141" s="1040">
        <v>52</v>
      </c>
      <c r="Y141" s="1040">
        <v>42</v>
      </c>
      <c r="Z141" s="1040">
        <v>94</v>
      </c>
      <c r="AA141" s="1040">
        <v>36119</v>
      </c>
      <c r="AB141" s="1040">
        <v>43057</v>
      </c>
      <c r="AC141" s="1040">
        <v>79176</v>
      </c>
    </row>
    <row r="142" spans="1:29" x14ac:dyDescent="0.35">
      <c r="A142" s="963">
        <v>23</v>
      </c>
      <c r="B142" s="505" t="s">
        <v>33</v>
      </c>
      <c r="C142" s="1037"/>
      <c r="D142" s="1038"/>
      <c r="E142" s="1038"/>
      <c r="F142" s="1038"/>
      <c r="G142" s="1038"/>
      <c r="H142" s="1038"/>
      <c r="I142" s="1038"/>
      <c r="J142" s="1038"/>
      <c r="K142" s="1039"/>
      <c r="L142" s="1037"/>
      <c r="M142" s="1038"/>
      <c r="N142" s="1038"/>
      <c r="O142" s="1038"/>
      <c r="P142" s="1038"/>
      <c r="Q142" s="1038"/>
      <c r="R142" s="1038"/>
      <c r="S142" s="1038"/>
      <c r="T142" s="1039"/>
      <c r="U142" s="1037"/>
      <c r="V142" s="1038"/>
      <c r="W142" s="1038"/>
      <c r="X142" s="1038"/>
      <c r="Y142" s="1038"/>
      <c r="Z142" s="1038"/>
      <c r="AA142" s="1038"/>
      <c r="AB142" s="1038"/>
      <c r="AC142" s="1038"/>
    </row>
    <row r="143" spans="1:29" x14ac:dyDescent="0.35">
      <c r="A143" s="964"/>
      <c r="B143" s="505" t="s">
        <v>912</v>
      </c>
      <c r="C143" s="1037">
        <v>667</v>
      </c>
      <c r="D143" s="1038">
        <v>579</v>
      </c>
      <c r="E143" s="1038">
        <v>1246</v>
      </c>
      <c r="F143" s="1038"/>
      <c r="G143" s="1038"/>
      <c r="H143" s="1038"/>
      <c r="I143" s="1038">
        <v>1386</v>
      </c>
      <c r="J143" s="1038">
        <v>1610</v>
      </c>
      <c r="K143" s="1039">
        <v>2996</v>
      </c>
      <c r="L143" s="1037">
        <v>14301</v>
      </c>
      <c r="M143" s="1038">
        <v>12748</v>
      </c>
      <c r="N143" s="1038">
        <v>27049</v>
      </c>
      <c r="O143" s="1038">
        <v>2</v>
      </c>
      <c r="P143" s="1038">
        <v>1</v>
      </c>
      <c r="Q143" s="1038">
        <v>3</v>
      </c>
      <c r="R143" s="1038">
        <v>4478</v>
      </c>
      <c r="S143" s="1038">
        <v>5617</v>
      </c>
      <c r="T143" s="1039">
        <v>10095</v>
      </c>
      <c r="U143" s="1037">
        <v>3</v>
      </c>
      <c r="V143" s="1038">
        <v>3</v>
      </c>
      <c r="W143" s="1038">
        <v>6</v>
      </c>
      <c r="X143" s="1038">
        <v>5</v>
      </c>
      <c r="Y143" s="1038">
        <v>2</v>
      </c>
      <c r="Z143" s="1038">
        <v>7</v>
      </c>
      <c r="AA143" s="1038">
        <v>20842</v>
      </c>
      <c r="AB143" s="1038">
        <v>20560</v>
      </c>
      <c r="AC143" s="1038">
        <v>41402</v>
      </c>
    </row>
    <row r="144" spans="1:29" x14ac:dyDescent="0.35">
      <c r="A144" s="964"/>
      <c r="B144" s="395" t="s">
        <v>911</v>
      </c>
      <c r="C144" s="1037">
        <v>634</v>
      </c>
      <c r="D144" s="1038">
        <v>565</v>
      </c>
      <c r="E144" s="1038">
        <v>1199</v>
      </c>
      <c r="F144" s="1038"/>
      <c r="G144" s="1038"/>
      <c r="H144" s="1038"/>
      <c r="I144" s="1038">
        <v>1266</v>
      </c>
      <c r="J144" s="1038">
        <v>1572</v>
      </c>
      <c r="K144" s="1039">
        <v>2838</v>
      </c>
      <c r="L144" s="1037">
        <v>14289</v>
      </c>
      <c r="M144" s="1038">
        <v>13432</v>
      </c>
      <c r="N144" s="1038">
        <v>27721</v>
      </c>
      <c r="O144" s="1038"/>
      <c r="P144" s="1038"/>
      <c r="Q144" s="1038"/>
      <c r="R144" s="1038">
        <v>3179</v>
      </c>
      <c r="S144" s="1038">
        <v>3516</v>
      </c>
      <c r="T144" s="1039">
        <v>6695</v>
      </c>
      <c r="U144" s="1037"/>
      <c r="V144" s="1038"/>
      <c r="W144" s="1038"/>
      <c r="X144" s="1038">
        <v>15</v>
      </c>
      <c r="Y144" s="1038">
        <v>10</v>
      </c>
      <c r="Z144" s="1038">
        <v>25</v>
      </c>
      <c r="AA144" s="1038">
        <v>19383</v>
      </c>
      <c r="AB144" s="1038">
        <v>19095</v>
      </c>
      <c r="AC144" s="1038">
        <v>38478</v>
      </c>
    </row>
    <row r="145" spans="1:29" x14ac:dyDescent="0.35">
      <c r="A145" s="964"/>
      <c r="B145" s="395" t="s">
        <v>910</v>
      </c>
      <c r="C145" s="1040">
        <v>551</v>
      </c>
      <c r="D145" s="1040">
        <v>436</v>
      </c>
      <c r="E145" s="1040">
        <v>987</v>
      </c>
      <c r="F145" s="1040">
        <v>56</v>
      </c>
      <c r="G145" s="1040">
        <v>59</v>
      </c>
      <c r="H145" s="1040">
        <v>115</v>
      </c>
      <c r="I145" s="1040">
        <v>1127</v>
      </c>
      <c r="J145" s="1040">
        <v>1313</v>
      </c>
      <c r="K145" s="1040">
        <v>2440</v>
      </c>
      <c r="L145" s="1040">
        <v>13723</v>
      </c>
      <c r="M145" s="1040">
        <v>12815</v>
      </c>
      <c r="N145" s="1040">
        <v>26538</v>
      </c>
      <c r="O145" s="1040">
        <v>0</v>
      </c>
      <c r="P145" s="1040">
        <v>0</v>
      </c>
      <c r="Q145" s="1040">
        <v>0</v>
      </c>
      <c r="R145" s="1040">
        <v>698</v>
      </c>
      <c r="S145" s="1040">
        <v>1435</v>
      </c>
      <c r="T145" s="1040">
        <v>2133</v>
      </c>
      <c r="U145" s="1040">
        <v>0</v>
      </c>
      <c r="V145" s="1040">
        <v>20</v>
      </c>
      <c r="W145" s="1040">
        <v>20</v>
      </c>
      <c r="X145" s="1040">
        <v>29</v>
      </c>
      <c r="Y145" s="1040">
        <v>23</v>
      </c>
      <c r="Z145" s="1040">
        <v>52</v>
      </c>
      <c r="AA145" s="1040">
        <v>16184</v>
      </c>
      <c r="AB145" s="1040">
        <v>16101</v>
      </c>
      <c r="AC145" s="1040">
        <v>32285</v>
      </c>
    </row>
    <row r="146" spans="1:29" x14ac:dyDescent="0.35">
      <c r="A146" s="964"/>
      <c r="B146" s="395" t="s">
        <v>909</v>
      </c>
      <c r="C146" s="1041">
        <v>479</v>
      </c>
      <c r="D146" s="1041">
        <v>388</v>
      </c>
      <c r="E146" s="1041">
        <v>867</v>
      </c>
      <c r="F146" s="1041">
        <v>75</v>
      </c>
      <c r="G146" s="1041">
        <v>77</v>
      </c>
      <c r="H146" s="1041">
        <v>152</v>
      </c>
      <c r="I146" s="1041">
        <v>1143</v>
      </c>
      <c r="J146" s="1041">
        <v>1173</v>
      </c>
      <c r="K146" s="1041">
        <v>2316</v>
      </c>
      <c r="L146" s="1041">
        <v>10938</v>
      </c>
      <c r="M146" s="1041">
        <v>9351</v>
      </c>
      <c r="N146" s="1041">
        <v>20289</v>
      </c>
      <c r="O146" s="1041">
        <v>0</v>
      </c>
      <c r="P146" s="1041">
        <v>0</v>
      </c>
      <c r="Q146" s="1041">
        <v>0</v>
      </c>
      <c r="R146" s="1041">
        <v>649</v>
      </c>
      <c r="S146" s="1041">
        <v>1213</v>
      </c>
      <c r="T146" s="1041">
        <v>1862</v>
      </c>
      <c r="U146" s="1041">
        <v>304</v>
      </c>
      <c r="V146" s="1041">
        <v>159</v>
      </c>
      <c r="W146" s="1041">
        <v>463</v>
      </c>
      <c r="X146" s="1041">
        <v>47</v>
      </c>
      <c r="Y146" s="1041">
        <v>26</v>
      </c>
      <c r="Z146" s="1041">
        <v>73</v>
      </c>
      <c r="AA146" s="1041">
        <v>13635</v>
      </c>
      <c r="AB146" s="1041">
        <v>12387</v>
      </c>
      <c r="AC146" s="1041">
        <v>26022</v>
      </c>
    </row>
    <row r="147" spans="1:29" x14ac:dyDescent="0.35">
      <c r="A147" s="964"/>
      <c r="B147" s="395" t="s">
        <v>908</v>
      </c>
      <c r="C147" s="1040">
        <v>415</v>
      </c>
      <c r="D147" s="1040">
        <v>368</v>
      </c>
      <c r="E147" s="1040">
        <v>783</v>
      </c>
      <c r="F147" s="1040">
        <v>77</v>
      </c>
      <c r="G147" s="1040">
        <v>112</v>
      </c>
      <c r="H147" s="1040">
        <v>189</v>
      </c>
      <c r="I147" s="1040">
        <v>1217</v>
      </c>
      <c r="J147" s="1040">
        <v>1174</v>
      </c>
      <c r="K147" s="1040">
        <v>2391</v>
      </c>
      <c r="L147" s="1040">
        <v>10794</v>
      </c>
      <c r="M147" s="1040">
        <v>9069</v>
      </c>
      <c r="N147" s="1040">
        <v>19863</v>
      </c>
      <c r="O147" s="1040">
        <v>0</v>
      </c>
      <c r="P147" s="1040">
        <v>0</v>
      </c>
      <c r="Q147" s="1040">
        <v>0</v>
      </c>
      <c r="R147" s="1040">
        <v>666</v>
      </c>
      <c r="S147" s="1040">
        <v>1138</v>
      </c>
      <c r="T147" s="1040">
        <v>1804</v>
      </c>
      <c r="U147" s="1040">
        <v>285</v>
      </c>
      <c r="V147" s="1040">
        <v>171</v>
      </c>
      <c r="W147" s="1040">
        <v>456</v>
      </c>
      <c r="X147" s="1040">
        <v>66</v>
      </c>
      <c r="Y147" s="1040">
        <v>44</v>
      </c>
      <c r="Z147" s="1040">
        <v>110</v>
      </c>
      <c r="AA147" s="1040">
        <v>13520</v>
      </c>
      <c r="AB147" s="1040">
        <v>12076</v>
      </c>
      <c r="AC147" s="1040">
        <v>25596</v>
      </c>
    </row>
    <row r="148" spans="1:29" x14ac:dyDescent="0.35">
      <c r="A148" s="963">
        <v>24</v>
      </c>
      <c r="B148" s="505" t="s">
        <v>34</v>
      </c>
      <c r="C148" s="1037"/>
      <c r="D148" s="1038"/>
      <c r="E148" s="1038"/>
      <c r="F148" s="1038"/>
      <c r="G148" s="1038"/>
      <c r="H148" s="1038"/>
      <c r="I148" s="1038"/>
      <c r="J148" s="1038"/>
      <c r="K148" s="1039"/>
      <c r="L148" s="1037"/>
      <c r="M148" s="1038"/>
      <c r="N148" s="1038"/>
      <c r="O148" s="1038"/>
      <c r="P148" s="1038"/>
      <c r="Q148" s="1038"/>
      <c r="R148" s="1038"/>
      <c r="S148" s="1038"/>
      <c r="T148" s="1039"/>
      <c r="U148" s="1037"/>
      <c r="V148" s="1038"/>
      <c r="W148" s="1038"/>
      <c r="X148" s="1038"/>
      <c r="Y148" s="1038"/>
      <c r="Z148" s="1038"/>
      <c r="AA148" s="1038"/>
      <c r="AB148" s="1038"/>
      <c r="AC148" s="1038"/>
    </row>
    <row r="149" spans="1:29" x14ac:dyDescent="0.35">
      <c r="A149" s="964"/>
      <c r="B149" s="505" t="s">
        <v>912</v>
      </c>
      <c r="C149" s="1037">
        <v>343</v>
      </c>
      <c r="D149" s="1038">
        <v>357</v>
      </c>
      <c r="E149" s="1038">
        <v>700</v>
      </c>
      <c r="F149" s="1038"/>
      <c r="G149" s="1038"/>
      <c r="H149" s="1038"/>
      <c r="I149" s="1038">
        <v>1859</v>
      </c>
      <c r="J149" s="1038">
        <v>2906</v>
      </c>
      <c r="K149" s="1039">
        <v>4765</v>
      </c>
      <c r="L149" s="1037">
        <v>17343</v>
      </c>
      <c r="M149" s="1038">
        <v>20024</v>
      </c>
      <c r="N149" s="1038">
        <v>37367</v>
      </c>
      <c r="O149" s="1038">
        <v>0</v>
      </c>
      <c r="P149" s="1038">
        <v>13</v>
      </c>
      <c r="Q149" s="1038">
        <v>13</v>
      </c>
      <c r="R149" s="1038">
        <v>826</v>
      </c>
      <c r="S149" s="1038">
        <v>1504</v>
      </c>
      <c r="T149" s="1039">
        <v>2330</v>
      </c>
      <c r="U149" s="1037">
        <v>844</v>
      </c>
      <c r="V149" s="1038">
        <v>819</v>
      </c>
      <c r="W149" s="1038">
        <v>1663</v>
      </c>
      <c r="X149" s="1038"/>
      <c r="Y149" s="1038"/>
      <c r="Z149" s="1038"/>
      <c r="AA149" s="1038">
        <v>21215</v>
      </c>
      <c r="AB149" s="1038">
        <v>25623</v>
      </c>
      <c r="AC149" s="1038">
        <v>46838</v>
      </c>
    </row>
    <row r="150" spans="1:29" x14ac:dyDescent="0.35">
      <c r="A150" s="964"/>
      <c r="B150" s="395" t="s">
        <v>911</v>
      </c>
      <c r="C150" s="1037">
        <v>290</v>
      </c>
      <c r="D150" s="1038">
        <v>330</v>
      </c>
      <c r="E150" s="1038">
        <v>620</v>
      </c>
      <c r="F150" s="1038">
        <v>12</v>
      </c>
      <c r="G150" s="1038">
        <v>6</v>
      </c>
      <c r="H150" s="1038">
        <v>18</v>
      </c>
      <c r="I150" s="1038">
        <v>2181</v>
      </c>
      <c r="J150" s="1038">
        <v>3138</v>
      </c>
      <c r="K150" s="1039">
        <v>5319</v>
      </c>
      <c r="L150" s="1037">
        <v>18191</v>
      </c>
      <c r="M150" s="1038">
        <v>19839</v>
      </c>
      <c r="N150" s="1038">
        <v>38030</v>
      </c>
      <c r="O150" s="1038">
        <v>2</v>
      </c>
      <c r="P150" s="1038">
        <v>7</v>
      </c>
      <c r="Q150" s="1038">
        <v>9</v>
      </c>
      <c r="R150" s="1038">
        <v>851</v>
      </c>
      <c r="S150" s="1038">
        <v>1309</v>
      </c>
      <c r="T150" s="1039">
        <v>2160</v>
      </c>
      <c r="U150" s="1037">
        <v>310</v>
      </c>
      <c r="V150" s="1038">
        <v>276</v>
      </c>
      <c r="W150" s="1038">
        <v>586</v>
      </c>
      <c r="X150" s="1038"/>
      <c r="Y150" s="1038"/>
      <c r="Z150" s="1038"/>
      <c r="AA150" s="1038">
        <v>21837</v>
      </c>
      <c r="AB150" s="1038">
        <v>24905</v>
      </c>
      <c r="AC150" s="1038">
        <v>46742</v>
      </c>
    </row>
    <row r="151" spans="1:29" x14ac:dyDescent="0.35">
      <c r="A151" s="964"/>
      <c r="B151" s="395" t="s">
        <v>910</v>
      </c>
      <c r="C151" s="1040">
        <v>279</v>
      </c>
      <c r="D151" s="1040">
        <v>314</v>
      </c>
      <c r="E151" s="1040">
        <v>593</v>
      </c>
      <c r="F151" s="1040">
        <v>23</v>
      </c>
      <c r="G151" s="1040">
        <v>30</v>
      </c>
      <c r="H151" s="1040">
        <v>53</v>
      </c>
      <c r="I151" s="1040">
        <v>2077</v>
      </c>
      <c r="J151" s="1040">
        <v>2865</v>
      </c>
      <c r="K151" s="1040">
        <v>4942</v>
      </c>
      <c r="L151" s="1040">
        <v>17094</v>
      </c>
      <c r="M151" s="1040">
        <v>18734</v>
      </c>
      <c r="N151" s="1040">
        <v>35828</v>
      </c>
      <c r="O151" s="1040">
        <v>0</v>
      </c>
      <c r="P151" s="1040">
        <v>19</v>
      </c>
      <c r="Q151" s="1040">
        <v>19</v>
      </c>
      <c r="R151" s="1040">
        <v>841</v>
      </c>
      <c r="S151" s="1040">
        <v>1172</v>
      </c>
      <c r="T151" s="1040">
        <v>2013</v>
      </c>
      <c r="U151" s="1040">
        <v>98</v>
      </c>
      <c r="V151" s="1040">
        <v>99</v>
      </c>
      <c r="W151" s="1040">
        <v>197</v>
      </c>
      <c r="X151" s="1040">
        <v>6</v>
      </c>
      <c r="Y151" s="1040">
        <v>0</v>
      </c>
      <c r="Z151" s="1040">
        <v>6</v>
      </c>
      <c r="AA151" s="1040">
        <v>20418</v>
      </c>
      <c r="AB151" s="1040">
        <v>23233</v>
      </c>
      <c r="AC151" s="1040">
        <v>43651</v>
      </c>
    </row>
    <row r="152" spans="1:29" x14ac:dyDescent="0.35">
      <c r="A152" s="964"/>
      <c r="B152" s="395" t="s">
        <v>909</v>
      </c>
      <c r="C152" s="1041">
        <v>270</v>
      </c>
      <c r="D152" s="1041">
        <v>307</v>
      </c>
      <c r="E152" s="1041">
        <v>577</v>
      </c>
      <c r="F152" s="1041">
        <v>10</v>
      </c>
      <c r="G152" s="1041">
        <v>28</v>
      </c>
      <c r="H152" s="1041">
        <v>38</v>
      </c>
      <c r="I152" s="1041">
        <v>1346</v>
      </c>
      <c r="J152" s="1041">
        <v>2205</v>
      </c>
      <c r="K152" s="1041">
        <v>3551</v>
      </c>
      <c r="L152" s="1041">
        <v>16442</v>
      </c>
      <c r="M152" s="1041">
        <v>18743</v>
      </c>
      <c r="N152" s="1041">
        <v>35185</v>
      </c>
      <c r="O152" s="1041">
        <v>23</v>
      </c>
      <c r="P152" s="1041">
        <v>95</v>
      </c>
      <c r="Q152" s="1041">
        <v>118</v>
      </c>
      <c r="R152" s="1041">
        <v>827</v>
      </c>
      <c r="S152" s="1041">
        <v>963</v>
      </c>
      <c r="T152" s="1041">
        <v>1790</v>
      </c>
      <c r="U152" s="1041">
        <v>17</v>
      </c>
      <c r="V152" s="1041">
        <v>21</v>
      </c>
      <c r="W152" s="1041">
        <v>38</v>
      </c>
      <c r="X152" s="1041">
        <v>6</v>
      </c>
      <c r="Y152" s="1041">
        <v>0</v>
      </c>
      <c r="Z152" s="1041">
        <v>6</v>
      </c>
      <c r="AA152" s="1041">
        <v>18941</v>
      </c>
      <c r="AB152" s="1041">
        <v>22362</v>
      </c>
      <c r="AC152" s="1041">
        <v>41303</v>
      </c>
    </row>
    <row r="153" spans="1:29" x14ac:dyDescent="0.35">
      <c r="A153" s="964"/>
      <c r="B153" s="395" t="s">
        <v>908</v>
      </c>
      <c r="C153" s="1040">
        <v>235</v>
      </c>
      <c r="D153" s="1040">
        <v>257</v>
      </c>
      <c r="E153" s="1040">
        <v>492</v>
      </c>
      <c r="F153" s="1040">
        <v>6</v>
      </c>
      <c r="G153" s="1040">
        <v>12</v>
      </c>
      <c r="H153" s="1040">
        <v>18</v>
      </c>
      <c r="I153" s="1040">
        <v>1299</v>
      </c>
      <c r="J153" s="1040">
        <v>1996</v>
      </c>
      <c r="K153" s="1040">
        <v>3295</v>
      </c>
      <c r="L153" s="1040">
        <v>16205</v>
      </c>
      <c r="M153" s="1040">
        <v>17857</v>
      </c>
      <c r="N153" s="1040">
        <v>34062</v>
      </c>
      <c r="O153" s="1040">
        <v>21</v>
      </c>
      <c r="P153" s="1040">
        <v>67</v>
      </c>
      <c r="Q153" s="1040">
        <v>88</v>
      </c>
      <c r="R153" s="1040">
        <v>914</v>
      </c>
      <c r="S153" s="1040">
        <v>769</v>
      </c>
      <c r="T153" s="1040">
        <v>1683</v>
      </c>
      <c r="U153" s="1040">
        <v>69</v>
      </c>
      <c r="V153" s="1040">
        <v>59</v>
      </c>
      <c r="W153" s="1040">
        <v>128</v>
      </c>
      <c r="X153" s="1040">
        <v>15</v>
      </c>
      <c r="Y153" s="1040">
        <v>0</v>
      </c>
      <c r="Z153" s="1040">
        <v>15</v>
      </c>
      <c r="AA153" s="1040">
        <v>18764</v>
      </c>
      <c r="AB153" s="1040">
        <v>21017</v>
      </c>
      <c r="AC153" s="1040">
        <v>39781</v>
      </c>
    </row>
    <row r="154" spans="1:29" x14ac:dyDescent="0.35">
      <c r="A154" s="963">
        <v>25</v>
      </c>
      <c r="B154" s="505" t="s">
        <v>35</v>
      </c>
      <c r="C154" s="1037"/>
      <c r="D154" s="1038"/>
      <c r="E154" s="1038"/>
      <c r="F154" s="1038"/>
      <c r="G154" s="1038"/>
      <c r="H154" s="1038"/>
      <c r="I154" s="1038"/>
      <c r="J154" s="1038"/>
      <c r="K154" s="1039"/>
      <c r="L154" s="1037"/>
      <c r="M154" s="1038"/>
      <c r="N154" s="1038"/>
      <c r="O154" s="1038"/>
      <c r="P154" s="1038"/>
      <c r="Q154" s="1038"/>
      <c r="R154" s="1038"/>
      <c r="S154" s="1038"/>
      <c r="T154" s="1039"/>
      <c r="U154" s="1037"/>
      <c r="V154" s="1038"/>
      <c r="W154" s="1038"/>
      <c r="X154" s="1038"/>
      <c r="Y154" s="1038"/>
      <c r="Z154" s="1038"/>
      <c r="AA154" s="1038"/>
      <c r="AB154" s="1038"/>
      <c r="AC154" s="1038"/>
    </row>
    <row r="155" spans="1:29" x14ac:dyDescent="0.35">
      <c r="A155" s="964"/>
      <c r="B155" s="505" t="s">
        <v>912</v>
      </c>
      <c r="C155" s="1037">
        <v>2450</v>
      </c>
      <c r="D155" s="1038">
        <v>1640</v>
      </c>
      <c r="E155" s="1038">
        <v>4090</v>
      </c>
      <c r="F155" s="1038"/>
      <c r="G155" s="1038"/>
      <c r="H155" s="1038"/>
      <c r="I155" s="1038">
        <v>45682</v>
      </c>
      <c r="J155" s="1038">
        <v>43810</v>
      </c>
      <c r="K155" s="1039">
        <v>89492</v>
      </c>
      <c r="L155" s="1037">
        <v>390123</v>
      </c>
      <c r="M155" s="1038">
        <v>389229</v>
      </c>
      <c r="N155" s="1038">
        <v>779352</v>
      </c>
      <c r="O155" s="1038">
        <v>1749</v>
      </c>
      <c r="P155" s="1038">
        <v>1075</v>
      </c>
      <c r="Q155" s="1038">
        <v>2824</v>
      </c>
      <c r="R155" s="1038">
        <v>111243</v>
      </c>
      <c r="S155" s="1038">
        <v>47870</v>
      </c>
      <c r="T155" s="1039">
        <v>159113</v>
      </c>
      <c r="U155" s="1037">
        <v>603</v>
      </c>
      <c r="V155" s="1038">
        <v>960</v>
      </c>
      <c r="W155" s="1038">
        <v>1563</v>
      </c>
      <c r="X155" s="1038">
        <v>6667</v>
      </c>
      <c r="Y155" s="1038">
        <v>6636</v>
      </c>
      <c r="Z155" s="1038">
        <v>13303</v>
      </c>
      <c r="AA155" s="1038">
        <v>558517</v>
      </c>
      <c r="AB155" s="1038">
        <v>491220</v>
      </c>
      <c r="AC155" s="1038">
        <v>1049737</v>
      </c>
    </row>
    <row r="156" spans="1:29" x14ac:dyDescent="0.35">
      <c r="A156" s="964"/>
      <c r="B156" s="395" t="s">
        <v>911</v>
      </c>
      <c r="C156" s="1037">
        <v>2668</v>
      </c>
      <c r="D156" s="1038">
        <v>1550</v>
      </c>
      <c r="E156" s="1038">
        <v>4218</v>
      </c>
      <c r="F156" s="1038">
        <v>269</v>
      </c>
      <c r="G156" s="1038">
        <v>303</v>
      </c>
      <c r="H156" s="1038">
        <v>572</v>
      </c>
      <c r="I156" s="1038">
        <v>42106</v>
      </c>
      <c r="J156" s="1038">
        <v>38558</v>
      </c>
      <c r="K156" s="1039">
        <v>80664</v>
      </c>
      <c r="L156" s="1037">
        <v>385015</v>
      </c>
      <c r="M156" s="1038">
        <v>367241</v>
      </c>
      <c r="N156" s="1038">
        <v>752256</v>
      </c>
      <c r="O156" s="1038">
        <v>1571</v>
      </c>
      <c r="P156" s="1038">
        <v>951</v>
      </c>
      <c r="Q156" s="1038">
        <v>2522</v>
      </c>
      <c r="R156" s="1038">
        <v>103357</v>
      </c>
      <c r="S156" s="1038">
        <v>44714</v>
      </c>
      <c r="T156" s="1039">
        <v>148071</v>
      </c>
      <c r="U156" s="1037">
        <v>651</v>
      </c>
      <c r="V156" s="1038">
        <v>899</v>
      </c>
      <c r="W156" s="1038">
        <v>1550</v>
      </c>
      <c r="X156" s="1038">
        <v>5769</v>
      </c>
      <c r="Y156" s="1038">
        <v>5898</v>
      </c>
      <c r="Z156" s="1038">
        <v>11667</v>
      </c>
      <c r="AA156" s="1038">
        <v>541406</v>
      </c>
      <c r="AB156" s="1038">
        <v>460114</v>
      </c>
      <c r="AC156" s="1038">
        <v>1001520</v>
      </c>
    </row>
    <row r="157" spans="1:29" x14ac:dyDescent="0.35">
      <c r="A157" s="964"/>
      <c r="B157" s="395" t="s">
        <v>910</v>
      </c>
      <c r="C157" s="1040">
        <v>1947</v>
      </c>
      <c r="D157" s="1040">
        <v>1324</v>
      </c>
      <c r="E157" s="1040">
        <v>3271</v>
      </c>
      <c r="F157" s="1040">
        <v>352</v>
      </c>
      <c r="G157" s="1040">
        <v>378</v>
      </c>
      <c r="H157" s="1040">
        <v>730</v>
      </c>
      <c r="I157" s="1040">
        <v>38709</v>
      </c>
      <c r="J157" s="1040">
        <v>36806</v>
      </c>
      <c r="K157" s="1040">
        <v>75515</v>
      </c>
      <c r="L157" s="1040">
        <v>353485</v>
      </c>
      <c r="M157" s="1040">
        <v>354989</v>
      </c>
      <c r="N157" s="1040">
        <v>708474</v>
      </c>
      <c r="O157" s="1040">
        <v>1480</v>
      </c>
      <c r="P157" s="1040">
        <v>866</v>
      </c>
      <c r="Q157" s="1040">
        <v>2346</v>
      </c>
      <c r="R157" s="1040">
        <v>92556</v>
      </c>
      <c r="S157" s="1040">
        <v>40654</v>
      </c>
      <c r="T157" s="1040">
        <v>133210</v>
      </c>
      <c r="U157" s="1040">
        <v>1321</v>
      </c>
      <c r="V157" s="1040">
        <v>2268</v>
      </c>
      <c r="W157" s="1040">
        <v>3589</v>
      </c>
      <c r="X157" s="1040">
        <v>5929</v>
      </c>
      <c r="Y157" s="1040">
        <v>6369</v>
      </c>
      <c r="Z157" s="1040">
        <v>12298</v>
      </c>
      <c r="AA157" s="1040">
        <v>495779</v>
      </c>
      <c r="AB157" s="1040">
        <v>443654</v>
      </c>
      <c r="AC157" s="1040">
        <v>939433</v>
      </c>
    </row>
    <row r="158" spans="1:29" x14ac:dyDescent="0.35">
      <c r="A158" s="964"/>
      <c r="B158" s="395" t="s">
        <v>909</v>
      </c>
      <c r="C158" s="1041">
        <v>1923</v>
      </c>
      <c r="D158" s="1041">
        <v>1423</v>
      </c>
      <c r="E158" s="1041">
        <v>3346</v>
      </c>
      <c r="F158" s="1041">
        <v>419</v>
      </c>
      <c r="G158" s="1041">
        <v>584</v>
      </c>
      <c r="H158" s="1041">
        <v>1003</v>
      </c>
      <c r="I158" s="1041">
        <v>35798</v>
      </c>
      <c r="J158" s="1041">
        <v>34649</v>
      </c>
      <c r="K158" s="1041">
        <v>70447</v>
      </c>
      <c r="L158" s="1041">
        <v>363971</v>
      </c>
      <c r="M158" s="1041">
        <v>353662</v>
      </c>
      <c r="N158" s="1041">
        <v>717633</v>
      </c>
      <c r="O158" s="1041">
        <v>649</v>
      </c>
      <c r="P158" s="1041">
        <v>435</v>
      </c>
      <c r="Q158" s="1041">
        <v>1084</v>
      </c>
      <c r="R158" s="1041">
        <v>88758</v>
      </c>
      <c r="S158" s="1041">
        <v>34198</v>
      </c>
      <c r="T158" s="1041">
        <v>122956</v>
      </c>
      <c r="U158" s="1041">
        <v>3383</v>
      </c>
      <c r="V158" s="1041">
        <v>5735</v>
      </c>
      <c r="W158" s="1041">
        <v>9118</v>
      </c>
      <c r="X158" s="1041">
        <v>4452</v>
      </c>
      <c r="Y158" s="1041">
        <v>4458</v>
      </c>
      <c r="Z158" s="1041">
        <v>8910</v>
      </c>
      <c r="AA158" s="1041">
        <v>499353</v>
      </c>
      <c r="AB158" s="1041">
        <v>435144</v>
      </c>
      <c r="AC158" s="1041">
        <v>934497</v>
      </c>
    </row>
    <row r="159" spans="1:29" x14ac:dyDescent="0.35">
      <c r="A159" s="964"/>
      <c r="B159" s="395" t="s">
        <v>908</v>
      </c>
      <c r="C159" s="1040">
        <v>2052</v>
      </c>
      <c r="D159" s="1040">
        <v>1670</v>
      </c>
      <c r="E159" s="1040">
        <v>3722</v>
      </c>
      <c r="F159" s="1040">
        <v>523</v>
      </c>
      <c r="G159" s="1040">
        <v>638</v>
      </c>
      <c r="H159" s="1040">
        <v>1161</v>
      </c>
      <c r="I159" s="1040">
        <v>31016</v>
      </c>
      <c r="J159" s="1040">
        <v>30870</v>
      </c>
      <c r="K159" s="1040">
        <v>61886</v>
      </c>
      <c r="L159" s="1040">
        <v>394120</v>
      </c>
      <c r="M159" s="1040">
        <v>357910</v>
      </c>
      <c r="N159" s="1040">
        <v>752030</v>
      </c>
      <c r="O159" s="1040">
        <v>556</v>
      </c>
      <c r="P159" s="1040">
        <v>367</v>
      </c>
      <c r="Q159" s="1040">
        <v>923</v>
      </c>
      <c r="R159" s="1040">
        <v>93290</v>
      </c>
      <c r="S159" s="1040">
        <v>32225</v>
      </c>
      <c r="T159" s="1040">
        <v>125515</v>
      </c>
      <c r="U159" s="1040">
        <v>4284</v>
      </c>
      <c r="V159" s="1040">
        <v>5775</v>
      </c>
      <c r="W159" s="1040">
        <v>10059</v>
      </c>
      <c r="X159" s="1040">
        <v>3805</v>
      </c>
      <c r="Y159" s="1040">
        <v>3945</v>
      </c>
      <c r="Z159" s="1040">
        <v>7750</v>
      </c>
      <c r="AA159" s="1040">
        <v>529646</v>
      </c>
      <c r="AB159" s="1040">
        <v>433400</v>
      </c>
      <c r="AC159" s="1040">
        <v>963046</v>
      </c>
    </row>
    <row r="160" spans="1:29" x14ac:dyDescent="0.35">
      <c r="A160" s="963">
        <v>26</v>
      </c>
      <c r="B160" s="505" t="s">
        <v>36</v>
      </c>
      <c r="C160" s="1037"/>
      <c r="D160" s="1038"/>
      <c r="E160" s="1038"/>
      <c r="F160" s="1038"/>
      <c r="G160" s="1038"/>
      <c r="H160" s="1038"/>
      <c r="I160" s="1038"/>
      <c r="J160" s="1038"/>
      <c r="K160" s="1039"/>
      <c r="L160" s="1037"/>
      <c r="M160" s="1038"/>
      <c r="N160" s="1038"/>
      <c r="O160" s="1038"/>
      <c r="P160" s="1038"/>
      <c r="Q160" s="1038"/>
      <c r="R160" s="1038"/>
      <c r="S160" s="1038"/>
      <c r="T160" s="1039"/>
      <c r="U160" s="1037"/>
      <c r="V160" s="1038"/>
      <c r="W160" s="1038"/>
      <c r="X160" s="1038"/>
      <c r="Y160" s="1038"/>
      <c r="Z160" s="1038"/>
      <c r="AA160" s="1038"/>
      <c r="AB160" s="1038"/>
      <c r="AC160" s="1038"/>
    </row>
    <row r="161" spans="1:29" x14ac:dyDescent="0.35">
      <c r="A161" s="964"/>
      <c r="B161" s="505" t="s">
        <v>912</v>
      </c>
      <c r="C161" s="1037">
        <v>375</v>
      </c>
      <c r="D161" s="1038">
        <v>325</v>
      </c>
      <c r="E161" s="1038">
        <v>700</v>
      </c>
      <c r="F161" s="1038"/>
      <c r="G161" s="1038"/>
      <c r="H161" s="1038"/>
      <c r="I161" s="1038">
        <v>6422</v>
      </c>
      <c r="J161" s="1038">
        <v>7880</v>
      </c>
      <c r="K161" s="1039">
        <v>14302</v>
      </c>
      <c r="L161" s="1037">
        <v>29128</v>
      </c>
      <c r="M161" s="1038">
        <v>34375</v>
      </c>
      <c r="N161" s="1038">
        <v>63504</v>
      </c>
      <c r="O161" s="1038">
        <v>38</v>
      </c>
      <c r="P161" s="1038">
        <v>25</v>
      </c>
      <c r="Q161" s="1038">
        <v>63</v>
      </c>
      <c r="R161" s="1038">
        <v>2556</v>
      </c>
      <c r="S161" s="1038">
        <v>1036</v>
      </c>
      <c r="T161" s="1039">
        <v>3592</v>
      </c>
      <c r="U161" s="1037">
        <v>16</v>
      </c>
      <c r="V161" s="1038">
        <v>4</v>
      </c>
      <c r="W161" s="1038">
        <v>20</v>
      </c>
      <c r="X161" s="1038">
        <v>566</v>
      </c>
      <c r="Y161" s="1038">
        <v>942</v>
      </c>
      <c r="Z161" s="1038">
        <v>1508</v>
      </c>
      <c r="AA161" s="1038">
        <v>39102</v>
      </c>
      <c r="AB161" s="1038">
        <v>44587</v>
      </c>
      <c r="AC161" s="1038">
        <v>83689</v>
      </c>
    </row>
    <row r="162" spans="1:29" x14ac:dyDescent="0.35">
      <c r="A162" s="964"/>
      <c r="B162" s="395" t="s">
        <v>911</v>
      </c>
      <c r="C162" s="1037">
        <v>325</v>
      </c>
      <c r="D162" s="1038">
        <v>278</v>
      </c>
      <c r="E162" s="1038">
        <v>603</v>
      </c>
      <c r="F162" s="1038"/>
      <c r="G162" s="1038"/>
      <c r="H162" s="1038"/>
      <c r="I162" s="1038">
        <v>5816</v>
      </c>
      <c r="J162" s="1038">
        <v>7279</v>
      </c>
      <c r="K162" s="1039">
        <v>13095</v>
      </c>
      <c r="L162" s="1037">
        <v>27912</v>
      </c>
      <c r="M162" s="1038">
        <v>33533</v>
      </c>
      <c r="N162" s="1038">
        <v>61445</v>
      </c>
      <c r="O162" s="1038">
        <v>29</v>
      </c>
      <c r="P162" s="1038">
        <v>25</v>
      </c>
      <c r="Q162" s="1038">
        <v>54</v>
      </c>
      <c r="R162" s="1038">
        <v>2438</v>
      </c>
      <c r="S162" s="1038">
        <v>1357</v>
      </c>
      <c r="T162" s="1039">
        <v>3795</v>
      </c>
      <c r="U162" s="1037">
        <v>11</v>
      </c>
      <c r="V162" s="1038">
        <v>8</v>
      </c>
      <c r="W162" s="1038">
        <v>19</v>
      </c>
      <c r="X162" s="1038">
        <v>556</v>
      </c>
      <c r="Y162" s="1038">
        <v>943</v>
      </c>
      <c r="Z162" s="1038">
        <v>1499</v>
      </c>
      <c r="AA162" s="1038">
        <v>37087</v>
      </c>
      <c r="AB162" s="1038">
        <v>43423</v>
      </c>
      <c r="AC162" s="1038">
        <v>80510</v>
      </c>
    </row>
    <row r="163" spans="1:29" x14ac:dyDescent="0.35">
      <c r="A163" s="964"/>
      <c r="B163" s="395" t="s">
        <v>910</v>
      </c>
      <c r="C163" s="1040">
        <v>271</v>
      </c>
      <c r="D163" s="1040">
        <v>325</v>
      </c>
      <c r="E163" s="1040">
        <v>596</v>
      </c>
      <c r="F163" s="1040">
        <v>0</v>
      </c>
      <c r="G163" s="1040">
        <v>2</v>
      </c>
      <c r="H163" s="1040">
        <v>2</v>
      </c>
      <c r="I163" s="1040">
        <v>5386</v>
      </c>
      <c r="J163" s="1040">
        <v>7009</v>
      </c>
      <c r="K163" s="1040">
        <v>12395</v>
      </c>
      <c r="L163" s="1040">
        <v>26497</v>
      </c>
      <c r="M163" s="1040">
        <v>32765</v>
      </c>
      <c r="N163" s="1040">
        <v>59262</v>
      </c>
      <c r="O163" s="1040">
        <v>15</v>
      </c>
      <c r="P163" s="1040">
        <v>16</v>
      </c>
      <c r="Q163" s="1040">
        <v>31</v>
      </c>
      <c r="R163" s="1040">
        <v>2806</v>
      </c>
      <c r="S163" s="1040">
        <v>1056</v>
      </c>
      <c r="T163" s="1040">
        <v>3862</v>
      </c>
      <c r="U163" s="1040">
        <v>1</v>
      </c>
      <c r="V163" s="1040">
        <v>6</v>
      </c>
      <c r="W163" s="1040">
        <v>7</v>
      </c>
      <c r="X163" s="1040">
        <v>354</v>
      </c>
      <c r="Y163" s="1040">
        <v>381</v>
      </c>
      <c r="Z163" s="1040">
        <v>735</v>
      </c>
      <c r="AA163" s="1040">
        <v>35330</v>
      </c>
      <c r="AB163" s="1040">
        <v>41560</v>
      </c>
      <c r="AC163" s="1040">
        <v>76890</v>
      </c>
    </row>
    <row r="164" spans="1:29" x14ac:dyDescent="0.35">
      <c r="A164" s="964"/>
      <c r="B164" s="395" t="s">
        <v>909</v>
      </c>
      <c r="C164" s="1041">
        <v>291</v>
      </c>
      <c r="D164" s="1041">
        <v>217</v>
      </c>
      <c r="E164" s="1041">
        <v>508</v>
      </c>
      <c r="F164" s="1041">
        <v>21</v>
      </c>
      <c r="G164" s="1041">
        <v>46</v>
      </c>
      <c r="H164" s="1041">
        <v>67</v>
      </c>
      <c r="I164" s="1041">
        <v>4134</v>
      </c>
      <c r="J164" s="1041">
        <v>5473</v>
      </c>
      <c r="K164" s="1041">
        <v>9607</v>
      </c>
      <c r="L164" s="1041">
        <v>22863</v>
      </c>
      <c r="M164" s="1041">
        <v>28309</v>
      </c>
      <c r="N164" s="1041">
        <v>51172</v>
      </c>
      <c r="O164" s="1041">
        <v>52</v>
      </c>
      <c r="P164" s="1041">
        <v>54</v>
      </c>
      <c r="Q164" s="1041">
        <v>106</v>
      </c>
      <c r="R164" s="1041">
        <v>2866</v>
      </c>
      <c r="S164" s="1041">
        <v>1122</v>
      </c>
      <c r="T164" s="1041">
        <v>3988</v>
      </c>
      <c r="U164" s="1041">
        <v>0</v>
      </c>
      <c r="V164" s="1041">
        <v>0</v>
      </c>
      <c r="W164" s="1041">
        <v>0</v>
      </c>
      <c r="X164" s="1041">
        <v>532</v>
      </c>
      <c r="Y164" s="1041">
        <v>492</v>
      </c>
      <c r="Z164" s="1041">
        <v>1024</v>
      </c>
      <c r="AA164" s="1041">
        <v>30759</v>
      </c>
      <c r="AB164" s="1041">
        <v>35713</v>
      </c>
      <c r="AC164" s="1041">
        <v>66472</v>
      </c>
    </row>
    <row r="165" spans="1:29" x14ac:dyDescent="0.35">
      <c r="A165" s="964"/>
      <c r="B165" s="395" t="s">
        <v>908</v>
      </c>
      <c r="C165" s="1040">
        <v>510</v>
      </c>
      <c r="D165" s="1040">
        <v>292</v>
      </c>
      <c r="E165" s="1040">
        <v>802</v>
      </c>
      <c r="F165" s="1040">
        <v>12</v>
      </c>
      <c r="G165" s="1040">
        <v>54</v>
      </c>
      <c r="H165" s="1040">
        <v>66</v>
      </c>
      <c r="I165" s="1040">
        <v>3788</v>
      </c>
      <c r="J165" s="1040">
        <v>4928</v>
      </c>
      <c r="K165" s="1040">
        <v>8716</v>
      </c>
      <c r="L165" s="1040">
        <v>23585</v>
      </c>
      <c r="M165" s="1040">
        <v>28067</v>
      </c>
      <c r="N165" s="1040">
        <v>51652</v>
      </c>
      <c r="O165" s="1040">
        <v>97</v>
      </c>
      <c r="P165" s="1040">
        <v>71</v>
      </c>
      <c r="Q165" s="1040">
        <v>168</v>
      </c>
      <c r="R165" s="1040">
        <v>2803</v>
      </c>
      <c r="S165" s="1040">
        <v>1239</v>
      </c>
      <c r="T165" s="1040">
        <v>4042</v>
      </c>
      <c r="U165" s="1040">
        <v>7</v>
      </c>
      <c r="V165" s="1040">
        <v>6</v>
      </c>
      <c r="W165" s="1040">
        <v>13</v>
      </c>
      <c r="X165" s="1040">
        <v>505</v>
      </c>
      <c r="Y165" s="1040">
        <v>458</v>
      </c>
      <c r="Z165" s="1040">
        <v>963</v>
      </c>
      <c r="AA165" s="1040">
        <v>31307</v>
      </c>
      <c r="AB165" s="1040">
        <v>35115</v>
      </c>
      <c r="AC165" s="1040">
        <v>66422</v>
      </c>
    </row>
    <row r="166" spans="1:29" x14ac:dyDescent="0.35">
      <c r="A166" s="963">
        <v>27</v>
      </c>
      <c r="B166" s="509" t="s">
        <v>37</v>
      </c>
      <c r="C166" s="1043"/>
      <c r="D166" s="1044"/>
      <c r="E166" s="1044"/>
      <c r="F166" s="1044"/>
      <c r="G166" s="1044"/>
      <c r="H166" s="1044"/>
      <c r="I166" s="1044"/>
      <c r="J166" s="1044"/>
      <c r="K166" s="1045"/>
      <c r="L166" s="1043"/>
      <c r="M166" s="1044"/>
      <c r="N166" s="1044"/>
      <c r="O166" s="1044"/>
      <c r="P166" s="1044"/>
      <c r="Q166" s="1044"/>
      <c r="R166" s="1044"/>
      <c r="S166" s="1044"/>
      <c r="T166" s="1045"/>
      <c r="U166" s="1043"/>
      <c r="V166" s="1044"/>
      <c r="W166" s="1044"/>
      <c r="X166" s="1044"/>
      <c r="Y166" s="1044"/>
      <c r="Z166" s="1044"/>
      <c r="AA166" s="1044"/>
      <c r="AB166" s="1044"/>
      <c r="AC166" s="1044"/>
    </row>
    <row r="167" spans="1:29" x14ac:dyDescent="0.35">
      <c r="A167" s="964"/>
      <c r="B167" s="505" t="s">
        <v>912</v>
      </c>
      <c r="C167" s="1043">
        <v>3790</v>
      </c>
      <c r="D167" s="1044">
        <v>4882</v>
      </c>
      <c r="E167" s="1044">
        <v>8672</v>
      </c>
      <c r="F167" s="1044">
        <v>3</v>
      </c>
      <c r="G167" s="1044">
        <v>14</v>
      </c>
      <c r="H167" s="1044">
        <v>17</v>
      </c>
      <c r="I167" s="1044">
        <v>31928</v>
      </c>
      <c r="J167" s="1044">
        <v>46109</v>
      </c>
      <c r="K167" s="1045">
        <v>78037</v>
      </c>
      <c r="L167" s="1043">
        <v>307920</v>
      </c>
      <c r="M167" s="1044">
        <v>281180</v>
      </c>
      <c r="N167" s="1044">
        <v>589100</v>
      </c>
      <c r="O167" s="1044">
        <v>3126</v>
      </c>
      <c r="P167" s="1044">
        <v>3463</v>
      </c>
      <c r="Q167" s="1044">
        <v>6589</v>
      </c>
      <c r="R167" s="1044">
        <v>50253</v>
      </c>
      <c r="S167" s="1044">
        <v>46515</v>
      </c>
      <c r="T167" s="1045">
        <v>96768</v>
      </c>
      <c r="U167" s="1043">
        <v>808</v>
      </c>
      <c r="V167" s="1044">
        <v>884</v>
      </c>
      <c r="W167" s="1044">
        <v>1692</v>
      </c>
      <c r="X167" s="1044">
        <v>10132</v>
      </c>
      <c r="Y167" s="1044">
        <v>13232</v>
      </c>
      <c r="Z167" s="1044">
        <v>23364</v>
      </c>
      <c r="AA167" s="1044">
        <v>407960</v>
      </c>
      <c r="AB167" s="1044">
        <v>396279</v>
      </c>
      <c r="AC167" s="1044">
        <v>804239</v>
      </c>
    </row>
    <row r="168" spans="1:29" x14ac:dyDescent="0.35">
      <c r="A168" s="964"/>
      <c r="B168" s="395" t="s">
        <v>911</v>
      </c>
      <c r="C168" s="1043">
        <v>4946</v>
      </c>
      <c r="D168" s="1044">
        <v>5379</v>
      </c>
      <c r="E168" s="1044">
        <v>10325</v>
      </c>
      <c r="F168" s="1044">
        <v>28</v>
      </c>
      <c r="G168" s="1044">
        <v>41</v>
      </c>
      <c r="H168" s="1044">
        <v>69</v>
      </c>
      <c r="I168" s="1044">
        <v>30259</v>
      </c>
      <c r="J168" s="1044">
        <v>47297</v>
      </c>
      <c r="K168" s="1045">
        <v>77556</v>
      </c>
      <c r="L168" s="1043">
        <v>294665</v>
      </c>
      <c r="M168" s="1044">
        <v>273859</v>
      </c>
      <c r="N168" s="1044">
        <v>568524</v>
      </c>
      <c r="O168" s="1044">
        <v>2393</v>
      </c>
      <c r="P168" s="1044">
        <v>3043</v>
      </c>
      <c r="Q168" s="1044">
        <v>5436</v>
      </c>
      <c r="R168" s="1044">
        <v>46133</v>
      </c>
      <c r="S168" s="1044">
        <v>38572</v>
      </c>
      <c r="T168" s="1045">
        <v>84705</v>
      </c>
      <c r="U168" s="1043">
        <v>743</v>
      </c>
      <c r="V168" s="1044">
        <v>946</v>
      </c>
      <c r="W168" s="1044">
        <v>1689</v>
      </c>
      <c r="X168" s="1044">
        <v>9479</v>
      </c>
      <c r="Y168" s="1044">
        <v>11546</v>
      </c>
      <c r="Z168" s="1044">
        <v>21025</v>
      </c>
      <c r="AA168" s="1044">
        <v>388646</v>
      </c>
      <c r="AB168" s="1044">
        <v>380683</v>
      </c>
      <c r="AC168" s="1044">
        <v>769329</v>
      </c>
    </row>
    <row r="169" spans="1:29" x14ac:dyDescent="0.35">
      <c r="A169" s="964"/>
      <c r="B169" s="395" t="s">
        <v>910</v>
      </c>
      <c r="C169" s="1040">
        <v>4628</v>
      </c>
      <c r="D169" s="1040">
        <v>4938</v>
      </c>
      <c r="E169" s="1040">
        <v>9566</v>
      </c>
      <c r="F169" s="1040">
        <v>142</v>
      </c>
      <c r="G169" s="1040">
        <v>169</v>
      </c>
      <c r="H169" s="1040">
        <v>311</v>
      </c>
      <c r="I169" s="1040">
        <v>30225</v>
      </c>
      <c r="J169" s="1040">
        <v>48376</v>
      </c>
      <c r="K169" s="1040">
        <v>78601</v>
      </c>
      <c r="L169" s="1040">
        <v>279028</v>
      </c>
      <c r="M169" s="1040">
        <v>272962</v>
      </c>
      <c r="N169" s="1040">
        <v>551990</v>
      </c>
      <c r="O169" s="1040">
        <v>1514</v>
      </c>
      <c r="P169" s="1040">
        <v>2207</v>
      </c>
      <c r="Q169" s="1040">
        <v>3721</v>
      </c>
      <c r="R169" s="1040">
        <v>48748</v>
      </c>
      <c r="S169" s="1040">
        <v>37553</v>
      </c>
      <c r="T169" s="1040">
        <v>86301</v>
      </c>
      <c r="U169" s="1040">
        <v>603</v>
      </c>
      <c r="V169" s="1040">
        <v>691</v>
      </c>
      <c r="W169" s="1040">
        <v>1294</v>
      </c>
      <c r="X169" s="1040">
        <v>8499</v>
      </c>
      <c r="Y169" s="1040">
        <v>9348</v>
      </c>
      <c r="Z169" s="1040">
        <v>17847</v>
      </c>
      <c r="AA169" s="1040">
        <v>373387</v>
      </c>
      <c r="AB169" s="1040">
        <v>376244</v>
      </c>
      <c r="AC169" s="1040">
        <v>749631</v>
      </c>
    </row>
    <row r="170" spans="1:29" x14ac:dyDescent="0.35">
      <c r="A170" s="964"/>
      <c r="B170" s="395" t="s">
        <v>909</v>
      </c>
      <c r="C170" s="1041">
        <v>4111</v>
      </c>
      <c r="D170" s="1041">
        <v>4888</v>
      </c>
      <c r="E170" s="1041">
        <v>8999</v>
      </c>
      <c r="F170" s="1041">
        <v>307</v>
      </c>
      <c r="G170" s="1041">
        <v>315</v>
      </c>
      <c r="H170" s="1041">
        <v>622</v>
      </c>
      <c r="I170" s="1041">
        <v>30990</v>
      </c>
      <c r="J170" s="1041">
        <v>57741</v>
      </c>
      <c r="K170" s="1041">
        <v>88731</v>
      </c>
      <c r="L170" s="1041">
        <v>289293</v>
      </c>
      <c r="M170" s="1041">
        <v>302541</v>
      </c>
      <c r="N170" s="1041">
        <v>591834</v>
      </c>
      <c r="O170" s="1041">
        <v>2144</v>
      </c>
      <c r="P170" s="1041">
        <v>3195</v>
      </c>
      <c r="Q170" s="1041">
        <v>5339</v>
      </c>
      <c r="R170" s="1041">
        <v>59507</v>
      </c>
      <c r="S170" s="1041">
        <v>35448</v>
      </c>
      <c r="T170" s="1041">
        <v>94955</v>
      </c>
      <c r="U170" s="1041">
        <v>571</v>
      </c>
      <c r="V170" s="1041">
        <v>897</v>
      </c>
      <c r="W170" s="1041">
        <v>1468</v>
      </c>
      <c r="X170" s="1041">
        <v>6459</v>
      </c>
      <c r="Y170" s="1041">
        <v>7025</v>
      </c>
      <c r="Z170" s="1041">
        <v>13484</v>
      </c>
      <c r="AA170" s="1041">
        <v>393382</v>
      </c>
      <c r="AB170" s="1041">
        <v>412050</v>
      </c>
      <c r="AC170" s="1041">
        <v>805432</v>
      </c>
    </row>
    <row r="171" spans="1:29" x14ac:dyDescent="0.35">
      <c r="A171" s="964"/>
      <c r="B171" s="395" t="s">
        <v>908</v>
      </c>
      <c r="C171" s="1040">
        <v>4382</v>
      </c>
      <c r="D171" s="1040">
        <v>4713</v>
      </c>
      <c r="E171" s="1040">
        <v>9095</v>
      </c>
      <c r="F171" s="1040">
        <v>369</v>
      </c>
      <c r="G171" s="1040">
        <v>367</v>
      </c>
      <c r="H171" s="1040">
        <v>736</v>
      </c>
      <c r="I171" s="1040">
        <v>30100</v>
      </c>
      <c r="J171" s="1040">
        <v>61071</v>
      </c>
      <c r="K171" s="1040">
        <v>91171</v>
      </c>
      <c r="L171" s="1040">
        <v>304502</v>
      </c>
      <c r="M171" s="1040">
        <v>351837</v>
      </c>
      <c r="N171" s="1040">
        <v>656339</v>
      </c>
      <c r="O171" s="1040">
        <v>2383</v>
      </c>
      <c r="P171" s="1040">
        <v>3478</v>
      </c>
      <c r="Q171" s="1040">
        <v>5861</v>
      </c>
      <c r="R171" s="1040">
        <v>64683</v>
      </c>
      <c r="S171" s="1040">
        <v>37704</v>
      </c>
      <c r="T171" s="1040">
        <v>102387</v>
      </c>
      <c r="U171" s="1040">
        <v>577</v>
      </c>
      <c r="V171" s="1040">
        <v>986</v>
      </c>
      <c r="W171" s="1040">
        <v>1563</v>
      </c>
      <c r="X171" s="1040">
        <v>6354</v>
      </c>
      <c r="Y171" s="1040">
        <v>5603</v>
      </c>
      <c r="Z171" s="1040">
        <v>11957</v>
      </c>
      <c r="AA171" s="1040">
        <v>413350</v>
      </c>
      <c r="AB171" s="1040">
        <v>465759</v>
      </c>
      <c r="AC171" s="1040">
        <v>879109</v>
      </c>
    </row>
    <row r="172" spans="1:29" x14ac:dyDescent="0.35">
      <c r="A172" s="963">
        <v>28</v>
      </c>
      <c r="B172" s="505" t="s">
        <v>38</v>
      </c>
      <c r="C172" s="1037"/>
      <c r="D172" s="1038"/>
      <c r="E172" s="1038"/>
      <c r="F172" s="1038"/>
      <c r="G172" s="1038"/>
      <c r="H172" s="1038"/>
      <c r="I172" s="1038"/>
      <c r="J172" s="1038"/>
      <c r="K172" s="1039"/>
      <c r="L172" s="1037"/>
      <c r="M172" s="1038"/>
      <c r="N172" s="1038"/>
      <c r="O172" s="1038"/>
      <c r="P172" s="1038"/>
      <c r="Q172" s="1038"/>
      <c r="R172" s="1038"/>
      <c r="S172" s="1038"/>
      <c r="T172" s="1039"/>
      <c r="U172" s="1037"/>
      <c r="V172" s="1038"/>
      <c r="W172" s="1038"/>
      <c r="X172" s="1038"/>
      <c r="Y172" s="1038"/>
      <c r="Z172" s="1038"/>
      <c r="AA172" s="1038"/>
      <c r="AB172" s="1038"/>
      <c r="AC172" s="1038"/>
    </row>
    <row r="173" spans="1:29" x14ac:dyDescent="0.35">
      <c r="A173" s="964"/>
      <c r="B173" s="505" t="s">
        <v>912</v>
      </c>
      <c r="C173" s="1037">
        <v>5564</v>
      </c>
      <c r="D173" s="1038">
        <v>6523</v>
      </c>
      <c r="E173" s="1038">
        <v>12087</v>
      </c>
      <c r="F173" s="1038">
        <v>14</v>
      </c>
      <c r="G173" s="1038">
        <v>48</v>
      </c>
      <c r="H173" s="1038">
        <v>62</v>
      </c>
      <c r="I173" s="1038">
        <v>82114</v>
      </c>
      <c r="J173" s="1038">
        <v>121235</v>
      </c>
      <c r="K173" s="1039">
        <v>203349</v>
      </c>
      <c r="L173" s="1037">
        <v>895059</v>
      </c>
      <c r="M173" s="1038">
        <v>868541</v>
      </c>
      <c r="N173" s="1038">
        <v>1763599</v>
      </c>
      <c r="O173" s="1038">
        <v>6390</v>
      </c>
      <c r="P173" s="1038">
        <v>3821</v>
      </c>
      <c r="Q173" s="1038">
        <v>10211</v>
      </c>
      <c r="R173" s="1038">
        <v>86564</v>
      </c>
      <c r="S173" s="1038">
        <v>39707</v>
      </c>
      <c r="T173" s="1039">
        <v>126271</v>
      </c>
      <c r="U173" s="1037">
        <v>1298</v>
      </c>
      <c r="V173" s="1038">
        <v>1643</v>
      </c>
      <c r="W173" s="1038">
        <v>2941</v>
      </c>
      <c r="X173" s="1038">
        <v>74005</v>
      </c>
      <c r="Y173" s="1038">
        <v>73875</v>
      </c>
      <c r="Z173" s="1038">
        <v>147880</v>
      </c>
      <c r="AA173" s="1038">
        <v>1151008</v>
      </c>
      <c r="AB173" s="1038">
        <v>1115392</v>
      </c>
      <c r="AC173" s="1038">
        <v>2266400</v>
      </c>
    </row>
    <row r="174" spans="1:29" x14ac:dyDescent="0.35">
      <c r="A174" s="964"/>
      <c r="B174" s="395" t="s">
        <v>911</v>
      </c>
      <c r="C174" s="1037">
        <v>6913</v>
      </c>
      <c r="D174" s="1038">
        <v>6915</v>
      </c>
      <c r="E174" s="1038">
        <v>13828</v>
      </c>
      <c r="F174" s="1038">
        <v>145</v>
      </c>
      <c r="G174" s="1038">
        <v>161</v>
      </c>
      <c r="H174" s="1038">
        <v>306</v>
      </c>
      <c r="I174" s="1038">
        <v>78165</v>
      </c>
      <c r="J174" s="1038">
        <v>118470</v>
      </c>
      <c r="K174" s="1039">
        <v>196635</v>
      </c>
      <c r="L174" s="1037">
        <v>962373</v>
      </c>
      <c r="M174" s="1038">
        <v>887207</v>
      </c>
      <c r="N174" s="1038">
        <v>1849580</v>
      </c>
      <c r="O174" s="1038">
        <v>4565</v>
      </c>
      <c r="P174" s="1038">
        <v>2972</v>
      </c>
      <c r="Q174" s="1038">
        <v>7537</v>
      </c>
      <c r="R174" s="1038">
        <v>79581</v>
      </c>
      <c r="S174" s="1038">
        <v>31614</v>
      </c>
      <c r="T174" s="1039">
        <v>111195</v>
      </c>
      <c r="U174" s="1037">
        <v>1869</v>
      </c>
      <c r="V174" s="1038">
        <v>1824</v>
      </c>
      <c r="W174" s="1038">
        <v>3693</v>
      </c>
      <c r="X174" s="1038">
        <v>64924</v>
      </c>
      <c r="Y174" s="1038">
        <v>61038</v>
      </c>
      <c r="Z174" s="1038">
        <v>125962</v>
      </c>
      <c r="AA174" s="1038">
        <v>1198535</v>
      </c>
      <c r="AB174" s="1038">
        <v>1110201</v>
      </c>
      <c r="AC174" s="1038">
        <v>2308736</v>
      </c>
    </row>
    <row r="175" spans="1:29" x14ac:dyDescent="0.35">
      <c r="A175" s="964"/>
      <c r="B175" s="395" t="s">
        <v>910</v>
      </c>
      <c r="C175" s="1040">
        <v>6588</v>
      </c>
      <c r="D175" s="1040">
        <v>6379</v>
      </c>
      <c r="E175" s="1040">
        <v>12967</v>
      </c>
      <c r="F175" s="1040">
        <v>166</v>
      </c>
      <c r="G175" s="1040">
        <v>104</v>
      </c>
      <c r="H175" s="1040">
        <v>270</v>
      </c>
      <c r="I175" s="1040">
        <v>66114</v>
      </c>
      <c r="J175" s="1040">
        <v>105900</v>
      </c>
      <c r="K175" s="1040">
        <v>172014</v>
      </c>
      <c r="L175" s="1040">
        <v>922456</v>
      </c>
      <c r="M175" s="1040">
        <v>877498</v>
      </c>
      <c r="N175" s="1040">
        <v>1799954</v>
      </c>
      <c r="O175" s="1040">
        <v>4150</v>
      </c>
      <c r="P175" s="1040">
        <v>3099</v>
      </c>
      <c r="Q175" s="1040">
        <v>7249</v>
      </c>
      <c r="R175" s="1040">
        <v>76632</v>
      </c>
      <c r="S175" s="1040">
        <v>31699</v>
      </c>
      <c r="T175" s="1040">
        <v>108331</v>
      </c>
      <c r="U175" s="1040">
        <v>3930</v>
      </c>
      <c r="V175" s="1040">
        <v>3916</v>
      </c>
      <c r="W175" s="1040">
        <v>7846</v>
      </c>
      <c r="X175" s="1040">
        <v>49141</v>
      </c>
      <c r="Y175" s="1040">
        <v>43916</v>
      </c>
      <c r="Z175" s="1040">
        <v>93057</v>
      </c>
      <c r="AA175" s="1040">
        <v>1129177</v>
      </c>
      <c r="AB175" s="1040">
        <v>1072511</v>
      </c>
      <c r="AC175" s="1040">
        <v>2201688</v>
      </c>
    </row>
    <row r="176" spans="1:29" x14ac:dyDescent="0.35">
      <c r="A176" s="964"/>
      <c r="B176" s="395" t="s">
        <v>909</v>
      </c>
      <c r="C176" s="1041">
        <v>5478</v>
      </c>
      <c r="D176" s="1041">
        <v>5372</v>
      </c>
      <c r="E176" s="1041">
        <v>10850</v>
      </c>
      <c r="F176" s="1041">
        <v>261</v>
      </c>
      <c r="G176" s="1041">
        <v>203</v>
      </c>
      <c r="H176" s="1041">
        <v>464</v>
      </c>
      <c r="I176" s="1041">
        <v>79931</v>
      </c>
      <c r="J176" s="1041">
        <v>107686</v>
      </c>
      <c r="K176" s="1041">
        <v>187617</v>
      </c>
      <c r="L176" s="1041">
        <v>837759</v>
      </c>
      <c r="M176" s="1041">
        <v>823253</v>
      </c>
      <c r="N176" s="1041">
        <v>1661012</v>
      </c>
      <c r="O176" s="1041">
        <v>3012</v>
      </c>
      <c r="P176" s="1041">
        <v>2578</v>
      </c>
      <c r="Q176" s="1041">
        <v>5590</v>
      </c>
      <c r="R176" s="1041">
        <v>73593</v>
      </c>
      <c r="S176" s="1041">
        <v>26205</v>
      </c>
      <c r="T176" s="1041">
        <v>99798</v>
      </c>
      <c r="U176" s="1041">
        <v>4678</v>
      </c>
      <c r="V176" s="1041">
        <v>5390</v>
      </c>
      <c r="W176" s="1041">
        <v>10068</v>
      </c>
      <c r="X176" s="1041">
        <v>29964</v>
      </c>
      <c r="Y176" s="1041">
        <v>24607</v>
      </c>
      <c r="Z176" s="1041">
        <v>54571</v>
      </c>
      <c r="AA176" s="1041">
        <v>1034676</v>
      </c>
      <c r="AB176" s="1041">
        <v>995294</v>
      </c>
      <c r="AC176" s="1041">
        <v>2029970</v>
      </c>
    </row>
    <row r="177" spans="1:29" x14ac:dyDescent="0.35">
      <c r="A177" s="964"/>
      <c r="B177" s="395" t="s">
        <v>908</v>
      </c>
      <c r="C177" s="1040">
        <v>5296</v>
      </c>
      <c r="D177" s="1040">
        <v>5145</v>
      </c>
      <c r="E177" s="1040">
        <v>10441</v>
      </c>
      <c r="F177" s="1040">
        <v>116</v>
      </c>
      <c r="G177" s="1040">
        <v>160</v>
      </c>
      <c r="H177" s="1040">
        <v>276</v>
      </c>
      <c r="I177" s="1040">
        <v>55450</v>
      </c>
      <c r="J177" s="1040">
        <v>88245</v>
      </c>
      <c r="K177" s="1040">
        <v>143695</v>
      </c>
      <c r="L177" s="1040">
        <v>834092</v>
      </c>
      <c r="M177" s="1040">
        <v>819343</v>
      </c>
      <c r="N177" s="1040">
        <v>1653435</v>
      </c>
      <c r="O177" s="1040">
        <v>2689</v>
      </c>
      <c r="P177" s="1040">
        <v>2233</v>
      </c>
      <c r="Q177" s="1040">
        <v>4922</v>
      </c>
      <c r="R177" s="1040">
        <v>73456</v>
      </c>
      <c r="S177" s="1040">
        <v>21307</v>
      </c>
      <c r="T177" s="1040">
        <v>94763</v>
      </c>
      <c r="U177" s="1040">
        <v>3401</v>
      </c>
      <c r="V177" s="1040">
        <v>4632</v>
      </c>
      <c r="W177" s="1040">
        <v>8033</v>
      </c>
      <c r="X177" s="1040">
        <v>16104</v>
      </c>
      <c r="Y177" s="1040">
        <v>12310</v>
      </c>
      <c r="Z177" s="1040">
        <v>28414</v>
      </c>
      <c r="AA177" s="1040">
        <v>990604</v>
      </c>
      <c r="AB177" s="1040">
        <v>953375</v>
      </c>
      <c r="AC177" s="1040">
        <v>1943979</v>
      </c>
    </row>
    <row r="178" spans="1:29" x14ac:dyDescent="0.35">
      <c r="A178" s="963">
        <v>29</v>
      </c>
      <c r="B178" s="505" t="s">
        <v>39</v>
      </c>
      <c r="C178" s="1037"/>
      <c r="D178" s="1038"/>
      <c r="E178" s="1038"/>
      <c r="F178" s="1038"/>
      <c r="G178" s="1038"/>
      <c r="H178" s="1038"/>
      <c r="I178" s="1038"/>
      <c r="J178" s="1038"/>
      <c r="K178" s="1039"/>
      <c r="L178" s="1037"/>
      <c r="M178" s="1038"/>
      <c r="N178" s="1038"/>
      <c r="O178" s="1038"/>
      <c r="P178" s="1038"/>
      <c r="Q178" s="1038"/>
      <c r="R178" s="1038"/>
      <c r="S178" s="1038"/>
      <c r="T178" s="1039"/>
      <c r="U178" s="1037"/>
      <c r="V178" s="1038"/>
      <c r="W178" s="1038"/>
      <c r="X178" s="1038"/>
      <c r="Y178" s="1038"/>
      <c r="Z178" s="1038"/>
      <c r="AA178" s="1038"/>
      <c r="AB178" s="1038"/>
      <c r="AC178" s="1038"/>
    </row>
    <row r="179" spans="1:29" x14ac:dyDescent="0.35">
      <c r="A179" s="964"/>
      <c r="B179" s="505" t="s">
        <v>912</v>
      </c>
      <c r="C179" s="1037">
        <v>385</v>
      </c>
      <c r="D179" s="1038">
        <v>332</v>
      </c>
      <c r="E179" s="1038">
        <v>717</v>
      </c>
      <c r="F179" s="1038">
        <v>18</v>
      </c>
      <c r="G179" s="1038">
        <v>25</v>
      </c>
      <c r="H179" s="1038">
        <v>43</v>
      </c>
      <c r="I179" s="1038">
        <v>1472</v>
      </c>
      <c r="J179" s="1038">
        <v>2032</v>
      </c>
      <c r="K179" s="1039">
        <v>3504</v>
      </c>
      <c r="L179" s="1037">
        <v>10757</v>
      </c>
      <c r="M179" s="1038">
        <v>10621</v>
      </c>
      <c r="N179" s="1038">
        <v>21378</v>
      </c>
      <c r="O179" s="1038"/>
      <c r="P179" s="1038"/>
      <c r="Q179" s="1038"/>
      <c r="R179" s="1038">
        <v>1059</v>
      </c>
      <c r="S179" s="1038">
        <v>873</v>
      </c>
      <c r="T179" s="1039">
        <v>1932</v>
      </c>
      <c r="U179" s="1037">
        <v>40</v>
      </c>
      <c r="V179" s="1038">
        <v>6</v>
      </c>
      <c r="W179" s="1038">
        <v>46</v>
      </c>
      <c r="X179" s="1038">
        <v>167</v>
      </c>
      <c r="Y179" s="1038">
        <v>271</v>
      </c>
      <c r="Z179" s="1038">
        <v>438</v>
      </c>
      <c r="AA179" s="1038">
        <v>13898</v>
      </c>
      <c r="AB179" s="1038">
        <v>14160</v>
      </c>
      <c r="AC179" s="1038">
        <v>28057</v>
      </c>
    </row>
    <row r="180" spans="1:29" x14ac:dyDescent="0.35">
      <c r="A180" s="964"/>
      <c r="B180" s="395" t="s">
        <v>911</v>
      </c>
      <c r="C180" s="1037">
        <v>337</v>
      </c>
      <c r="D180" s="1038">
        <v>315</v>
      </c>
      <c r="E180" s="1038">
        <v>652</v>
      </c>
      <c r="F180" s="1038">
        <v>18</v>
      </c>
      <c r="G180" s="1038">
        <v>25</v>
      </c>
      <c r="H180" s="1038">
        <v>43</v>
      </c>
      <c r="I180" s="1038">
        <v>1419</v>
      </c>
      <c r="J180" s="1038">
        <v>1834</v>
      </c>
      <c r="K180" s="1039">
        <v>3253</v>
      </c>
      <c r="L180" s="1037">
        <v>10510</v>
      </c>
      <c r="M180" s="1038">
        <v>10268</v>
      </c>
      <c r="N180" s="1038">
        <v>20778</v>
      </c>
      <c r="O180" s="1038"/>
      <c r="P180" s="1038"/>
      <c r="Q180" s="1038"/>
      <c r="R180" s="1038">
        <v>985</v>
      </c>
      <c r="S180" s="1038">
        <v>704</v>
      </c>
      <c r="T180" s="1039">
        <v>1689</v>
      </c>
      <c r="U180" s="1037">
        <v>50</v>
      </c>
      <c r="V180" s="1038">
        <v>5</v>
      </c>
      <c r="W180" s="1038">
        <v>55</v>
      </c>
      <c r="X180" s="1038">
        <v>168</v>
      </c>
      <c r="Y180" s="1038">
        <v>251</v>
      </c>
      <c r="Z180" s="1038">
        <v>419</v>
      </c>
      <c r="AA180" s="1038">
        <v>13487</v>
      </c>
      <c r="AB180" s="1038">
        <v>13402</v>
      </c>
      <c r="AC180" s="1038">
        <v>26889</v>
      </c>
    </row>
    <row r="181" spans="1:29" x14ac:dyDescent="0.35">
      <c r="A181" s="964"/>
      <c r="B181" s="395" t="s">
        <v>910</v>
      </c>
      <c r="C181" s="1040">
        <v>115</v>
      </c>
      <c r="D181" s="1040">
        <v>80</v>
      </c>
      <c r="E181" s="1040">
        <v>195</v>
      </c>
      <c r="F181" s="1040">
        <v>34</v>
      </c>
      <c r="G181" s="1040">
        <v>30</v>
      </c>
      <c r="H181" s="1040">
        <v>64</v>
      </c>
      <c r="I181" s="1040">
        <v>1633</v>
      </c>
      <c r="J181" s="1040">
        <v>2312</v>
      </c>
      <c r="K181" s="1040">
        <v>3945</v>
      </c>
      <c r="L181" s="1040">
        <v>10347</v>
      </c>
      <c r="M181" s="1040">
        <v>10389</v>
      </c>
      <c r="N181" s="1040">
        <v>20736</v>
      </c>
      <c r="O181" s="1040">
        <v>0</v>
      </c>
      <c r="P181" s="1040">
        <v>0</v>
      </c>
      <c r="Q181" s="1040">
        <v>0</v>
      </c>
      <c r="R181" s="1040">
        <v>1072</v>
      </c>
      <c r="S181" s="1040">
        <v>1141</v>
      </c>
      <c r="T181" s="1040">
        <v>2213</v>
      </c>
      <c r="U181" s="1040">
        <v>61</v>
      </c>
      <c r="V181" s="1040">
        <v>11</v>
      </c>
      <c r="W181" s="1040">
        <v>72</v>
      </c>
      <c r="X181" s="1040">
        <v>153</v>
      </c>
      <c r="Y181" s="1040">
        <v>222</v>
      </c>
      <c r="Z181" s="1040">
        <v>375</v>
      </c>
      <c r="AA181" s="1040">
        <v>13415</v>
      </c>
      <c r="AB181" s="1040">
        <v>14185</v>
      </c>
      <c r="AC181" s="1040">
        <v>27600</v>
      </c>
    </row>
    <row r="182" spans="1:29" x14ac:dyDescent="0.35">
      <c r="A182" s="964"/>
      <c r="B182" s="395" t="s">
        <v>909</v>
      </c>
      <c r="C182" s="1041">
        <v>215</v>
      </c>
      <c r="D182" s="1041">
        <v>195</v>
      </c>
      <c r="E182" s="1041">
        <v>410</v>
      </c>
      <c r="F182" s="1041">
        <v>43</v>
      </c>
      <c r="G182" s="1041">
        <v>44</v>
      </c>
      <c r="H182" s="1041">
        <v>87</v>
      </c>
      <c r="I182" s="1041">
        <v>1190</v>
      </c>
      <c r="J182" s="1041">
        <v>1540</v>
      </c>
      <c r="K182" s="1041">
        <v>2730</v>
      </c>
      <c r="L182" s="1041">
        <v>8412</v>
      </c>
      <c r="M182" s="1041">
        <v>9660</v>
      </c>
      <c r="N182" s="1041">
        <v>18072</v>
      </c>
      <c r="O182" s="1041">
        <v>0</v>
      </c>
      <c r="P182" s="1041">
        <v>0</v>
      </c>
      <c r="Q182" s="1041">
        <v>0</v>
      </c>
      <c r="R182" s="1041">
        <v>1015</v>
      </c>
      <c r="S182" s="1041">
        <v>1053</v>
      </c>
      <c r="T182" s="1041">
        <v>2068</v>
      </c>
      <c r="U182" s="1041">
        <v>34</v>
      </c>
      <c r="V182" s="1041">
        <v>6</v>
      </c>
      <c r="W182" s="1041">
        <v>40</v>
      </c>
      <c r="X182" s="1041">
        <v>120</v>
      </c>
      <c r="Y182" s="1041">
        <v>198</v>
      </c>
      <c r="Z182" s="1041">
        <v>318</v>
      </c>
      <c r="AA182" s="1041">
        <v>11029</v>
      </c>
      <c r="AB182" s="1041">
        <v>12696</v>
      </c>
      <c r="AC182" s="1041">
        <v>23725</v>
      </c>
    </row>
    <row r="183" spans="1:29" x14ac:dyDescent="0.35">
      <c r="A183" s="964"/>
      <c r="B183" s="395" t="s">
        <v>908</v>
      </c>
      <c r="C183" s="1040">
        <v>211</v>
      </c>
      <c r="D183" s="1040">
        <v>188</v>
      </c>
      <c r="E183" s="1040">
        <v>399</v>
      </c>
      <c r="F183" s="1040">
        <v>37</v>
      </c>
      <c r="G183" s="1040">
        <v>42</v>
      </c>
      <c r="H183" s="1040">
        <v>79</v>
      </c>
      <c r="I183" s="1040">
        <v>1061</v>
      </c>
      <c r="J183" s="1040">
        <v>1264</v>
      </c>
      <c r="K183" s="1040">
        <v>2325</v>
      </c>
      <c r="L183" s="1040">
        <v>8156</v>
      </c>
      <c r="M183" s="1040">
        <v>9367</v>
      </c>
      <c r="N183" s="1040">
        <v>17523</v>
      </c>
      <c r="O183" s="1040">
        <v>0</v>
      </c>
      <c r="P183" s="1040">
        <v>0</v>
      </c>
      <c r="Q183" s="1040">
        <v>0</v>
      </c>
      <c r="R183" s="1040">
        <v>1016</v>
      </c>
      <c r="S183" s="1040">
        <v>1024</v>
      </c>
      <c r="T183" s="1040">
        <v>2040</v>
      </c>
      <c r="U183" s="1040">
        <v>37</v>
      </c>
      <c r="V183" s="1040">
        <v>10</v>
      </c>
      <c r="W183" s="1040">
        <v>47</v>
      </c>
      <c r="X183" s="1040">
        <v>110</v>
      </c>
      <c r="Y183" s="1040">
        <v>185</v>
      </c>
      <c r="Z183" s="1040">
        <v>295</v>
      </c>
      <c r="AA183" s="1040">
        <v>10628</v>
      </c>
      <c r="AB183" s="1040">
        <v>12080</v>
      </c>
      <c r="AC183" s="1040">
        <v>22708</v>
      </c>
    </row>
    <row r="184" spans="1:29" x14ac:dyDescent="0.35">
      <c r="A184" s="963">
        <v>30</v>
      </c>
      <c r="B184" s="505" t="s">
        <v>40</v>
      </c>
      <c r="C184" s="1037"/>
      <c r="D184" s="1038"/>
      <c r="E184" s="1038"/>
      <c r="F184" s="1038"/>
      <c r="G184" s="1038"/>
      <c r="H184" s="1038"/>
      <c r="I184" s="1038"/>
      <c r="J184" s="1038"/>
      <c r="K184" s="1039"/>
      <c r="L184" s="1037"/>
      <c r="M184" s="1038"/>
      <c r="N184" s="1038"/>
      <c r="O184" s="1038"/>
      <c r="P184" s="1038"/>
      <c r="Q184" s="1038"/>
      <c r="R184" s="1038"/>
      <c r="S184" s="1038"/>
      <c r="T184" s="1039"/>
      <c r="U184" s="1037"/>
      <c r="V184" s="1038"/>
      <c r="W184" s="1038"/>
      <c r="X184" s="1038"/>
      <c r="Y184" s="1038"/>
      <c r="Z184" s="1038"/>
      <c r="AA184" s="1038"/>
      <c r="AB184" s="1038"/>
      <c r="AC184" s="1038"/>
    </row>
    <row r="185" spans="1:29" x14ac:dyDescent="0.35">
      <c r="A185" s="964"/>
      <c r="B185" s="505" t="s">
        <v>912</v>
      </c>
      <c r="C185" s="1037">
        <v>11248</v>
      </c>
      <c r="D185" s="1038">
        <v>15362</v>
      </c>
      <c r="E185" s="1038">
        <v>26610</v>
      </c>
      <c r="F185" s="1038">
        <v>391</v>
      </c>
      <c r="G185" s="1038">
        <v>787</v>
      </c>
      <c r="H185" s="1038">
        <v>1178</v>
      </c>
      <c r="I185" s="1038">
        <v>139074</v>
      </c>
      <c r="J185" s="1038">
        <v>198362</v>
      </c>
      <c r="K185" s="1039">
        <v>337436</v>
      </c>
      <c r="L185" s="1037">
        <v>1215105</v>
      </c>
      <c r="M185" s="1038">
        <v>1216289</v>
      </c>
      <c r="N185" s="1038">
        <v>2431394</v>
      </c>
      <c r="O185" s="1038">
        <v>2079</v>
      </c>
      <c r="P185" s="1038">
        <v>2137</v>
      </c>
      <c r="Q185" s="1038">
        <v>4216</v>
      </c>
      <c r="R185" s="1038">
        <v>193000</v>
      </c>
      <c r="S185" s="1038">
        <v>46770</v>
      </c>
      <c r="T185" s="1039">
        <v>239770</v>
      </c>
      <c r="U185" s="1037">
        <v>1912</v>
      </c>
      <c r="V185" s="1038">
        <v>6037</v>
      </c>
      <c r="W185" s="1038">
        <v>7949</v>
      </c>
      <c r="X185" s="1038">
        <v>13205</v>
      </c>
      <c r="Y185" s="1038">
        <v>14633</v>
      </c>
      <c r="Z185" s="1038">
        <v>27838</v>
      </c>
      <c r="AA185" s="1038">
        <v>1576014</v>
      </c>
      <c r="AB185" s="1038">
        <v>1500377</v>
      </c>
      <c r="AC185" s="1038">
        <v>3076391</v>
      </c>
    </row>
    <row r="186" spans="1:29" x14ac:dyDescent="0.35">
      <c r="A186" s="964"/>
      <c r="B186" s="395" t="s">
        <v>911</v>
      </c>
      <c r="C186" s="1037">
        <v>13457</v>
      </c>
      <c r="D186" s="1038">
        <v>15410</v>
      </c>
      <c r="E186" s="1038">
        <v>28867</v>
      </c>
      <c r="F186" s="1038">
        <v>925</v>
      </c>
      <c r="G186" s="1038">
        <v>3116</v>
      </c>
      <c r="H186" s="1038">
        <v>4041</v>
      </c>
      <c r="I186" s="1038">
        <v>128774</v>
      </c>
      <c r="J186" s="1038">
        <v>187831</v>
      </c>
      <c r="K186" s="1039">
        <v>316605</v>
      </c>
      <c r="L186" s="1037">
        <v>1154063</v>
      </c>
      <c r="M186" s="1038">
        <v>1164935</v>
      </c>
      <c r="N186" s="1038">
        <v>2318998</v>
      </c>
      <c r="O186" s="1038">
        <v>1619</v>
      </c>
      <c r="P186" s="1038">
        <v>1571</v>
      </c>
      <c r="Q186" s="1038">
        <v>3190</v>
      </c>
      <c r="R186" s="1038">
        <v>209584</v>
      </c>
      <c r="S186" s="1038">
        <v>45232</v>
      </c>
      <c r="T186" s="1039">
        <v>254816</v>
      </c>
      <c r="U186" s="1037">
        <v>1563</v>
      </c>
      <c r="V186" s="1038">
        <v>3377</v>
      </c>
      <c r="W186" s="1038">
        <v>4940</v>
      </c>
      <c r="X186" s="1038">
        <v>12906</v>
      </c>
      <c r="Y186" s="1038">
        <v>13317</v>
      </c>
      <c r="Z186" s="1038">
        <v>26223</v>
      </c>
      <c r="AA186" s="1038">
        <v>1522891</v>
      </c>
      <c r="AB186" s="1038">
        <v>1434789</v>
      </c>
      <c r="AC186" s="1038">
        <v>2957680</v>
      </c>
    </row>
    <row r="187" spans="1:29" x14ac:dyDescent="0.35">
      <c r="A187" s="964"/>
      <c r="B187" s="395" t="s">
        <v>910</v>
      </c>
      <c r="C187" s="1040">
        <v>17443</v>
      </c>
      <c r="D187" s="1040">
        <v>16968</v>
      </c>
      <c r="E187" s="1040">
        <v>34411</v>
      </c>
      <c r="F187" s="1040">
        <v>1696</v>
      </c>
      <c r="G187" s="1040">
        <v>5007</v>
      </c>
      <c r="H187" s="1040">
        <v>6703</v>
      </c>
      <c r="I187" s="1040">
        <v>106868</v>
      </c>
      <c r="J187" s="1040">
        <v>175312</v>
      </c>
      <c r="K187" s="1040">
        <v>282180</v>
      </c>
      <c r="L187" s="1040">
        <v>1091024</v>
      </c>
      <c r="M187" s="1040">
        <v>1186072</v>
      </c>
      <c r="N187" s="1040">
        <v>2277096</v>
      </c>
      <c r="O187" s="1040">
        <v>1232</v>
      </c>
      <c r="P187" s="1040">
        <v>1292</v>
      </c>
      <c r="Q187" s="1040">
        <v>2524</v>
      </c>
      <c r="R187" s="1040">
        <v>238219</v>
      </c>
      <c r="S187" s="1040">
        <v>50394</v>
      </c>
      <c r="T187" s="1040">
        <v>288613</v>
      </c>
      <c r="U187" s="1040">
        <v>2574</v>
      </c>
      <c r="V187" s="1040">
        <v>4848</v>
      </c>
      <c r="W187" s="1040">
        <v>7422</v>
      </c>
      <c r="X187" s="1040">
        <v>11859</v>
      </c>
      <c r="Y187" s="1040">
        <v>11193</v>
      </c>
      <c r="Z187" s="1040">
        <v>23052</v>
      </c>
      <c r="AA187" s="1040">
        <v>1470915</v>
      </c>
      <c r="AB187" s="1040">
        <v>1451086</v>
      </c>
      <c r="AC187" s="1040">
        <v>2922001</v>
      </c>
    </row>
    <row r="188" spans="1:29" x14ac:dyDescent="0.35">
      <c r="A188" s="964"/>
      <c r="B188" s="395" t="s">
        <v>909</v>
      </c>
      <c r="C188" s="1041">
        <v>15816</v>
      </c>
      <c r="D188" s="1041">
        <v>14823</v>
      </c>
      <c r="E188" s="1041">
        <v>30639</v>
      </c>
      <c r="F188" s="1041">
        <v>2457</v>
      </c>
      <c r="G188" s="1041">
        <v>7298</v>
      </c>
      <c r="H188" s="1041">
        <v>9755</v>
      </c>
      <c r="I188" s="1041">
        <v>101932</v>
      </c>
      <c r="J188" s="1041">
        <v>180859</v>
      </c>
      <c r="K188" s="1041">
        <v>282791</v>
      </c>
      <c r="L188" s="1041">
        <v>1094717</v>
      </c>
      <c r="M188" s="1041">
        <v>1194788</v>
      </c>
      <c r="N188" s="1041">
        <v>2289505</v>
      </c>
      <c r="O188" s="1041">
        <v>1365</v>
      </c>
      <c r="P188" s="1041">
        <v>1751</v>
      </c>
      <c r="Q188" s="1041">
        <v>3116</v>
      </c>
      <c r="R188" s="1041">
        <v>279043</v>
      </c>
      <c r="S188" s="1041">
        <v>55406</v>
      </c>
      <c r="T188" s="1041">
        <v>334449</v>
      </c>
      <c r="U188" s="1041">
        <v>3921</v>
      </c>
      <c r="V188" s="1041">
        <v>6572</v>
      </c>
      <c r="W188" s="1041">
        <v>10493</v>
      </c>
      <c r="X188" s="1041">
        <v>11312</v>
      </c>
      <c r="Y188" s="1041">
        <v>10429</v>
      </c>
      <c r="Z188" s="1041">
        <v>21741</v>
      </c>
      <c r="AA188" s="1041">
        <v>1510563</v>
      </c>
      <c r="AB188" s="1041">
        <v>1471926</v>
      </c>
      <c r="AC188" s="1041">
        <v>2982489</v>
      </c>
    </row>
    <row r="189" spans="1:29" x14ac:dyDescent="0.35">
      <c r="A189" s="964"/>
      <c r="B189" s="395" t="s">
        <v>908</v>
      </c>
      <c r="C189" s="1040">
        <v>13699</v>
      </c>
      <c r="D189" s="1040">
        <v>12121</v>
      </c>
      <c r="E189" s="1040">
        <v>25820</v>
      </c>
      <c r="F189" s="1040">
        <v>3281</v>
      </c>
      <c r="G189" s="1040">
        <v>9144</v>
      </c>
      <c r="H189" s="1040">
        <v>12425</v>
      </c>
      <c r="I189" s="1040">
        <v>110199</v>
      </c>
      <c r="J189" s="1040">
        <v>193722</v>
      </c>
      <c r="K189" s="1040">
        <v>303921</v>
      </c>
      <c r="L189" s="1040">
        <v>1085926</v>
      </c>
      <c r="M189" s="1040">
        <v>1178654</v>
      </c>
      <c r="N189" s="1040">
        <v>2264580</v>
      </c>
      <c r="O189" s="1040">
        <v>1515</v>
      </c>
      <c r="P189" s="1040">
        <v>1873</v>
      </c>
      <c r="Q189" s="1040">
        <v>3388</v>
      </c>
      <c r="R189" s="1040">
        <v>308429</v>
      </c>
      <c r="S189" s="1040">
        <v>58445</v>
      </c>
      <c r="T189" s="1040">
        <v>366874</v>
      </c>
      <c r="U189" s="1040">
        <v>3496</v>
      </c>
      <c r="V189" s="1040">
        <v>6747</v>
      </c>
      <c r="W189" s="1040">
        <v>10243</v>
      </c>
      <c r="X189" s="1040">
        <v>10871</v>
      </c>
      <c r="Y189" s="1040">
        <v>9442</v>
      </c>
      <c r="Z189" s="1040">
        <v>20313</v>
      </c>
      <c r="AA189" s="1040">
        <v>1537416</v>
      </c>
      <c r="AB189" s="1040">
        <v>1470148</v>
      </c>
      <c r="AC189" s="1040">
        <v>3007564</v>
      </c>
    </row>
    <row r="190" spans="1:29" x14ac:dyDescent="0.35">
      <c r="A190" s="963">
        <v>31</v>
      </c>
      <c r="B190" s="505" t="s">
        <v>41</v>
      </c>
      <c r="C190" s="1037"/>
      <c r="D190" s="1038"/>
      <c r="E190" s="1038"/>
      <c r="F190" s="1038"/>
      <c r="G190" s="1038"/>
      <c r="H190" s="1038"/>
      <c r="I190" s="1038"/>
      <c r="J190" s="1038"/>
      <c r="K190" s="1039"/>
      <c r="L190" s="1037"/>
      <c r="M190" s="1038"/>
      <c r="N190" s="1038"/>
      <c r="O190" s="1038"/>
      <c r="P190" s="1038"/>
      <c r="Q190" s="1038"/>
      <c r="R190" s="1038"/>
      <c r="S190" s="1038"/>
      <c r="T190" s="1039"/>
      <c r="U190" s="1037"/>
      <c r="V190" s="1038"/>
      <c r="W190" s="1038"/>
      <c r="X190" s="1038"/>
      <c r="Y190" s="1038"/>
      <c r="Z190" s="1038"/>
      <c r="AA190" s="1038"/>
      <c r="AB190" s="1038"/>
      <c r="AC190" s="1038"/>
    </row>
    <row r="191" spans="1:29" x14ac:dyDescent="0.35">
      <c r="A191" s="964"/>
      <c r="B191" s="505" t="s">
        <v>912</v>
      </c>
      <c r="C191" s="1037">
        <v>4624</v>
      </c>
      <c r="D191" s="1038">
        <v>2606</v>
      </c>
      <c r="E191" s="1038">
        <v>7230</v>
      </c>
      <c r="F191" s="1038">
        <v>34</v>
      </c>
      <c r="G191" s="1038">
        <v>38</v>
      </c>
      <c r="H191" s="1038">
        <v>72</v>
      </c>
      <c r="I191" s="1038">
        <v>71559</v>
      </c>
      <c r="J191" s="1038">
        <v>99337</v>
      </c>
      <c r="K191" s="1039">
        <v>170897</v>
      </c>
      <c r="L191" s="1037">
        <v>614671</v>
      </c>
      <c r="M191" s="1038">
        <v>640630</v>
      </c>
      <c r="N191" s="1038">
        <v>1255302</v>
      </c>
      <c r="O191" s="1038">
        <v>2018</v>
      </c>
      <c r="P191" s="1038">
        <v>1917</v>
      </c>
      <c r="Q191" s="1038">
        <v>3935</v>
      </c>
      <c r="R191" s="1038">
        <v>42228</v>
      </c>
      <c r="S191" s="1038">
        <v>36353</v>
      </c>
      <c r="T191" s="1039">
        <v>78581</v>
      </c>
      <c r="U191" s="1037">
        <v>1530</v>
      </c>
      <c r="V191" s="1038">
        <v>564</v>
      </c>
      <c r="W191" s="1038">
        <v>2094</v>
      </c>
      <c r="X191" s="1038">
        <v>5111</v>
      </c>
      <c r="Y191" s="1038">
        <v>4318</v>
      </c>
      <c r="Z191" s="1038">
        <v>9429</v>
      </c>
      <c r="AA191" s="1038">
        <v>741775</v>
      </c>
      <c r="AB191" s="1038">
        <v>785764</v>
      </c>
      <c r="AC191" s="1038">
        <v>1527539</v>
      </c>
    </row>
    <row r="192" spans="1:29" x14ac:dyDescent="0.35">
      <c r="A192" s="964"/>
      <c r="B192" s="395" t="s">
        <v>911</v>
      </c>
      <c r="C192" s="1037">
        <v>4412</v>
      </c>
      <c r="D192" s="1038">
        <v>2509</v>
      </c>
      <c r="E192" s="1038">
        <v>6921</v>
      </c>
      <c r="F192" s="1038">
        <v>37</v>
      </c>
      <c r="G192" s="1038">
        <v>34</v>
      </c>
      <c r="H192" s="1038">
        <v>71</v>
      </c>
      <c r="I192" s="1038">
        <v>70558</v>
      </c>
      <c r="J192" s="1038">
        <v>92350</v>
      </c>
      <c r="K192" s="1039">
        <v>162908</v>
      </c>
      <c r="L192" s="1037">
        <v>586900</v>
      </c>
      <c r="M192" s="1038">
        <v>599875</v>
      </c>
      <c r="N192" s="1038">
        <v>1186775</v>
      </c>
      <c r="O192" s="1038">
        <v>2166</v>
      </c>
      <c r="P192" s="1038">
        <v>1885</v>
      </c>
      <c r="Q192" s="1038">
        <v>4051</v>
      </c>
      <c r="R192" s="1038">
        <v>48977</v>
      </c>
      <c r="S192" s="1038">
        <v>40528</v>
      </c>
      <c r="T192" s="1039">
        <v>89505</v>
      </c>
      <c r="U192" s="1037">
        <v>1054</v>
      </c>
      <c r="V192" s="1038">
        <v>277</v>
      </c>
      <c r="W192" s="1038">
        <v>1331</v>
      </c>
      <c r="X192" s="1038">
        <v>4538</v>
      </c>
      <c r="Y192" s="1038">
        <v>3081</v>
      </c>
      <c r="Z192" s="1038">
        <v>7619</v>
      </c>
      <c r="AA192" s="1038">
        <v>718642</v>
      </c>
      <c r="AB192" s="1038">
        <v>740539</v>
      </c>
      <c r="AC192" s="1038">
        <v>1459181</v>
      </c>
    </row>
    <row r="193" spans="1:29" x14ac:dyDescent="0.35">
      <c r="A193" s="964"/>
      <c r="B193" s="395" t="s">
        <v>910</v>
      </c>
      <c r="C193" s="1040">
        <v>4228</v>
      </c>
      <c r="D193" s="1040">
        <v>2487</v>
      </c>
      <c r="E193" s="1040">
        <v>6715</v>
      </c>
      <c r="F193" s="1040">
        <v>106</v>
      </c>
      <c r="G193" s="1040">
        <v>74</v>
      </c>
      <c r="H193" s="1040">
        <v>180</v>
      </c>
      <c r="I193" s="1040">
        <v>68545</v>
      </c>
      <c r="J193" s="1040">
        <v>87864</v>
      </c>
      <c r="K193" s="1040">
        <v>156409</v>
      </c>
      <c r="L193" s="1040">
        <v>561388</v>
      </c>
      <c r="M193" s="1040">
        <v>593419</v>
      </c>
      <c r="N193" s="1040">
        <v>1154807</v>
      </c>
      <c r="O193" s="1040">
        <v>2111</v>
      </c>
      <c r="P193" s="1040">
        <v>1740</v>
      </c>
      <c r="Q193" s="1040">
        <v>3851</v>
      </c>
      <c r="R193" s="1040">
        <v>55384</v>
      </c>
      <c r="S193" s="1040">
        <v>42988</v>
      </c>
      <c r="T193" s="1040">
        <v>98372</v>
      </c>
      <c r="U193" s="1040">
        <v>858</v>
      </c>
      <c r="V193" s="1040">
        <v>1017</v>
      </c>
      <c r="W193" s="1040">
        <v>1875</v>
      </c>
      <c r="X193" s="1040">
        <v>3866</v>
      </c>
      <c r="Y193" s="1040">
        <v>2792</v>
      </c>
      <c r="Z193" s="1040">
        <v>6658</v>
      </c>
      <c r="AA193" s="1040">
        <v>696486</v>
      </c>
      <c r="AB193" s="1040">
        <v>732381</v>
      </c>
      <c r="AC193" s="1040">
        <v>1428867</v>
      </c>
    </row>
    <row r="194" spans="1:29" x14ac:dyDescent="0.35">
      <c r="A194" s="964"/>
      <c r="B194" s="395" t="s">
        <v>909</v>
      </c>
      <c r="C194" s="1041">
        <v>3507</v>
      </c>
      <c r="D194" s="1041">
        <v>2001</v>
      </c>
      <c r="E194" s="1041">
        <v>5508</v>
      </c>
      <c r="F194" s="1041">
        <v>203</v>
      </c>
      <c r="G194" s="1041">
        <v>170</v>
      </c>
      <c r="H194" s="1041">
        <v>373</v>
      </c>
      <c r="I194" s="1041">
        <v>65433</v>
      </c>
      <c r="J194" s="1041">
        <v>82606</v>
      </c>
      <c r="K194" s="1041">
        <v>148039</v>
      </c>
      <c r="L194" s="1041">
        <v>511433</v>
      </c>
      <c r="M194" s="1041">
        <v>552425</v>
      </c>
      <c r="N194" s="1041">
        <v>1063858</v>
      </c>
      <c r="O194" s="1041">
        <v>1628</v>
      </c>
      <c r="P194" s="1041">
        <v>1270</v>
      </c>
      <c r="Q194" s="1041">
        <v>2898</v>
      </c>
      <c r="R194" s="1041">
        <v>60259</v>
      </c>
      <c r="S194" s="1041">
        <v>45165</v>
      </c>
      <c r="T194" s="1041">
        <v>105424</v>
      </c>
      <c r="U194" s="1041">
        <v>686</v>
      </c>
      <c r="V194" s="1041">
        <v>825</v>
      </c>
      <c r="W194" s="1041">
        <v>1511</v>
      </c>
      <c r="X194" s="1041">
        <v>3629</v>
      </c>
      <c r="Y194" s="1041">
        <v>2601</v>
      </c>
      <c r="Z194" s="1041">
        <v>6230</v>
      </c>
      <c r="AA194" s="1041">
        <v>646778</v>
      </c>
      <c r="AB194" s="1041">
        <v>687063</v>
      </c>
      <c r="AC194" s="1041">
        <v>1333841</v>
      </c>
    </row>
    <row r="195" spans="1:29" x14ac:dyDescent="0.35">
      <c r="A195" s="964"/>
      <c r="B195" s="395" t="s">
        <v>908</v>
      </c>
      <c r="C195" s="1040">
        <v>2191</v>
      </c>
      <c r="D195" s="1040">
        <v>1239</v>
      </c>
      <c r="E195" s="1040">
        <v>3430</v>
      </c>
      <c r="F195" s="1040">
        <v>106</v>
      </c>
      <c r="G195" s="1040">
        <v>123</v>
      </c>
      <c r="H195" s="1040">
        <v>229</v>
      </c>
      <c r="I195" s="1040">
        <v>69250</v>
      </c>
      <c r="J195" s="1040">
        <v>85725</v>
      </c>
      <c r="K195" s="1040">
        <v>154975</v>
      </c>
      <c r="L195" s="1040">
        <v>529253</v>
      </c>
      <c r="M195" s="1040">
        <v>559635</v>
      </c>
      <c r="N195" s="1040">
        <v>1088888</v>
      </c>
      <c r="O195" s="1040">
        <v>1280</v>
      </c>
      <c r="P195" s="1040">
        <v>1012</v>
      </c>
      <c r="Q195" s="1040">
        <v>2292</v>
      </c>
      <c r="R195" s="1040">
        <v>70370</v>
      </c>
      <c r="S195" s="1040">
        <v>47463</v>
      </c>
      <c r="T195" s="1040">
        <v>117833</v>
      </c>
      <c r="U195" s="1040">
        <v>696</v>
      </c>
      <c r="V195" s="1040">
        <v>533</v>
      </c>
      <c r="W195" s="1040">
        <v>1229</v>
      </c>
      <c r="X195" s="1040">
        <v>3113</v>
      </c>
      <c r="Y195" s="1040">
        <v>2067</v>
      </c>
      <c r="Z195" s="1040">
        <v>5180</v>
      </c>
      <c r="AA195" s="1040">
        <v>676259</v>
      </c>
      <c r="AB195" s="1040">
        <v>697797</v>
      </c>
      <c r="AC195" s="1040">
        <v>1374056</v>
      </c>
    </row>
    <row r="196" spans="1:29" x14ac:dyDescent="0.35">
      <c r="A196" s="963">
        <v>32</v>
      </c>
      <c r="B196" s="613" t="s">
        <v>60</v>
      </c>
      <c r="C196" s="1046"/>
      <c r="D196" s="1047"/>
      <c r="E196" s="1048"/>
      <c r="F196" s="1047"/>
      <c r="G196" s="1047"/>
      <c r="H196" s="1048"/>
      <c r="I196" s="1047"/>
      <c r="J196" s="1047"/>
      <c r="K196" s="1049"/>
      <c r="L196" s="1046"/>
      <c r="M196" s="1047"/>
      <c r="N196" s="1048"/>
      <c r="O196" s="1047"/>
      <c r="P196" s="1047"/>
      <c r="Q196" s="1048"/>
      <c r="R196" s="1047"/>
      <c r="S196" s="1047"/>
      <c r="T196" s="1049"/>
      <c r="U196" s="1046"/>
      <c r="V196" s="1047"/>
      <c r="W196" s="1048"/>
      <c r="X196" s="1047"/>
      <c r="Y196" s="1047"/>
      <c r="Z196" s="1048"/>
      <c r="AA196" s="1047"/>
      <c r="AB196" s="1047"/>
      <c r="AC196" s="1048"/>
    </row>
    <row r="197" spans="1:29" x14ac:dyDescent="0.35">
      <c r="A197" s="964"/>
      <c r="B197" s="505" t="s">
        <v>912</v>
      </c>
      <c r="C197" s="1046">
        <v>0</v>
      </c>
      <c r="D197" s="1047">
        <v>2</v>
      </c>
      <c r="E197" s="1048">
        <v>2</v>
      </c>
      <c r="F197" s="1047"/>
      <c r="G197" s="1047"/>
      <c r="H197" s="1048"/>
      <c r="I197" s="1047">
        <v>268</v>
      </c>
      <c r="J197" s="1047">
        <v>641</v>
      </c>
      <c r="K197" s="1049">
        <v>909</v>
      </c>
      <c r="L197" s="1046">
        <v>4742</v>
      </c>
      <c r="M197" s="1047">
        <v>5273</v>
      </c>
      <c r="N197" s="1048">
        <v>10015</v>
      </c>
      <c r="O197" s="1047">
        <v>41</v>
      </c>
      <c r="P197" s="1047">
        <v>16</v>
      </c>
      <c r="Q197" s="1048">
        <v>57</v>
      </c>
      <c r="R197" s="1047">
        <v>1500</v>
      </c>
      <c r="S197" s="1047">
        <v>395</v>
      </c>
      <c r="T197" s="1049">
        <v>1895</v>
      </c>
      <c r="U197" s="1046"/>
      <c r="V197" s="1047"/>
      <c r="W197" s="1048"/>
      <c r="X197" s="1047">
        <v>51</v>
      </c>
      <c r="Y197" s="1047">
        <v>71</v>
      </c>
      <c r="Z197" s="1048">
        <v>122</v>
      </c>
      <c r="AA197" s="1047">
        <v>6602</v>
      </c>
      <c r="AB197" s="1047">
        <v>6398</v>
      </c>
      <c r="AC197" s="1048">
        <v>13000</v>
      </c>
    </row>
    <row r="198" spans="1:29" x14ac:dyDescent="0.35">
      <c r="A198" s="964"/>
      <c r="B198" s="395" t="s">
        <v>911</v>
      </c>
      <c r="C198" s="1046">
        <v>0</v>
      </c>
      <c r="D198" s="1047"/>
      <c r="E198" s="1048">
        <v>0</v>
      </c>
      <c r="F198" s="1047"/>
      <c r="G198" s="1047"/>
      <c r="H198" s="1048"/>
      <c r="I198" s="1047">
        <v>305</v>
      </c>
      <c r="J198" s="1047">
        <v>543</v>
      </c>
      <c r="K198" s="1049">
        <v>848</v>
      </c>
      <c r="L198" s="1046">
        <v>4656</v>
      </c>
      <c r="M198" s="1047">
        <v>5103</v>
      </c>
      <c r="N198" s="1048">
        <v>9759</v>
      </c>
      <c r="O198" s="1047"/>
      <c r="P198" s="1047"/>
      <c r="Q198" s="1048"/>
      <c r="R198" s="1047">
        <v>1686</v>
      </c>
      <c r="S198" s="1047">
        <v>422</v>
      </c>
      <c r="T198" s="1049">
        <v>2108</v>
      </c>
      <c r="U198" s="1046"/>
      <c r="V198" s="1047"/>
      <c r="W198" s="1048"/>
      <c r="X198" s="1047">
        <v>36</v>
      </c>
      <c r="Y198" s="1047">
        <v>54</v>
      </c>
      <c r="Z198" s="1048">
        <v>90</v>
      </c>
      <c r="AA198" s="1047">
        <v>6683</v>
      </c>
      <c r="AB198" s="1047">
        <v>6122</v>
      </c>
      <c r="AC198" s="1048">
        <v>12805</v>
      </c>
    </row>
    <row r="199" spans="1:29" x14ac:dyDescent="0.35">
      <c r="A199" s="964"/>
      <c r="B199" s="395" t="s">
        <v>910</v>
      </c>
      <c r="C199" s="1041">
        <v>0</v>
      </c>
      <c r="D199" s="1041">
        <v>0</v>
      </c>
      <c r="E199" s="1050">
        <v>0</v>
      </c>
      <c r="F199" s="1041">
        <v>0</v>
      </c>
      <c r="G199" s="1041">
        <v>0</v>
      </c>
      <c r="H199" s="1050">
        <v>0</v>
      </c>
      <c r="I199" s="1041">
        <v>259</v>
      </c>
      <c r="J199" s="1041">
        <v>508</v>
      </c>
      <c r="K199" s="1050">
        <v>767</v>
      </c>
      <c r="L199" s="1041">
        <v>4020</v>
      </c>
      <c r="M199" s="1041">
        <v>4681</v>
      </c>
      <c r="N199" s="1050">
        <v>8701</v>
      </c>
      <c r="O199" s="1041">
        <v>0</v>
      </c>
      <c r="P199" s="1041">
        <v>0</v>
      </c>
      <c r="Q199" s="1050">
        <v>0</v>
      </c>
      <c r="R199" s="1041">
        <v>1647</v>
      </c>
      <c r="S199" s="1041">
        <v>397</v>
      </c>
      <c r="T199" s="1050">
        <v>2044</v>
      </c>
      <c r="U199" s="1041">
        <v>0</v>
      </c>
      <c r="V199" s="1041">
        <v>0</v>
      </c>
      <c r="W199" s="1050">
        <v>0</v>
      </c>
      <c r="X199" s="1041">
        <v>22</v>
      </c>
      <c r="Y199" s="1041">
        <v>36</v>
      </c>
      <c r="Z199" s="1050">
        <v>58</v>
      </c>
      <c r="AA199" s="1041">
        <v>5948</v>
      </c>
      <c r="AB199" s="1041">
        <v>5622</v>
      </c>
      <c r="AC199" s="1050">
        <v>11570</v>
      </c>
    </row>
    <row r="200" spans="1:29" x14ac:dyDescent="0.35">
      <c r="A200" s="964"/>
      <c r="B200" s="395" t="s">
        <v>909</v>
      </c>
      <c r="C200" s="1041">
        <v>0</v>
      </c>
      <c r="D200" s="1041">
        <v>0</v>
      </c>
      <c r="E200" s="1050">
        <v>0</v>
      </c>
      <c r="F200" s="1041">
        <v>0</v>
      </c>
      <c r="G200" s="1041">
        <v>0</v>
      </c>
      <c r="H200" s="1050">
        <v>0</v>
      </c>
      <c r="I200" s="1041">
        <v>188</v>
      </c>
      <c r="J200" s="1041">
        <v>433</v>
      </c>
      <c r="K200" s="1050">
        <v>621</v>
      </c>
      <c r="L200" s="1041">
        <v>3436</v>
      </c>
      <c r="M200" s="1041">
        <v>4165</v>
      </c>
      <c r="N200" s="1050">
        <v>7601</v>
      </c>
      <c r="O200" s="1041">
        <v>0</v>
      </c>
      <c r="P200" s="1041">
        <v>0</v>
      </c>
      <c r="Q200" s="1050">
        <v>0</v>
      </c>
      <c r="R200" s="1041">
        <v>1685</v>
      </c>
      <c r="S200" s="1041">
        <v>381</v>
      </c>
      <c r="T200" s="1050">
        <v>2066</v>
      </c>
      <c r="U200" s="1041">
        <v>0</v>
      </c>
      <c r="V200" s="1041">
        <v>0</v>
      </c>
      <c r="W200" s="1050">
        <v>0</v>
      </c>
      <c r="X200" s="1041">
        <v>11</v>
      </c>
      <c r="Y200" s="1041">
        <v>26</v>
      </c>
      <c r="Z200" s="1050">
        <v>37</v>
      </c>
      <c r="AA200" s="1041">
        <v>5320</v>
      </c>
      <c r="AB200" s="1041">
        <v>5005</v>
      </c>
      <c r="AC200" s="1050">
        <v>10325</v>
      </c>
    </row>
    <row r="201" spans="1:29" x14ac:dyDescent="0.35">
      <c r="A201" s="964"/>
      <c r="B201" s="395" t="s">
        <v>908</v>
      </c>
      <c r="C201" s="1041">
        <v>0</v>
      </c>
      <c r="D201" s="1041">
        <v>0</v>
      </c>
      <c r="E201" s="1050">
        <v>0</v>
      </c>
      <c r="F201" s="1041">
        <v>0</v>
      </c>
      <c r="G201" s="1041">
        <v>0</v>
      </c>
      <c r="H201" s="1050">
        <v>0</v>
      </c>
      <c r="I201" s="1041">
        <v>175</v>
      </c>
      <c r="J201" s="1041">
        <v>308</v>
      </c>
      <c r="K201" s="1050">
        <v>483</v>
      </c>
      <c r="L201" s="1041">
        <v>3127</v>
      </c>
      <c r="M201" s="1041">
        <v>3834</v>
      </c>
      <c r="N201" s="1050">
        <v>6961</v>
      </c>
      <c r="O201" s="1041">
        <v>0</v>
      </c>
      <c r="P201" s="1041">
        <v>0</v>
      </c>
      <c r="Q201" s="1050">
        <v>0</v>
      </c>
      <c r="R201" s="1041">
        <v>1686</v>
      </c>
      <c r="S201" s="1041">
        <v>355</v>
      </c>
      <c r="T201" s="1050">
        <v>2041</v>
      </c>
      <c r="U201" s="1041">
        <v>0</v>
      </c>
      <c r="V201" s="1041">
        <v>0</v>
      </c>
      <c r="W201" s="1050">
        <v>0</v>
      </c>
      <c r="X201" s="1041">
        <v>6</v>
      </c>
      <c r="Y201" s="1041">
        <v>14</v>
      </c>
      <c r="Z201" s="1050">
        <v>20</v>
      </c>
      <c r="AA201" s="1041">
        <v>4994</v>
      </c>
      <c r="AB201" s="1041">
        <v>4511</v>
      </c>
      <c r="AC201" s="1050">
        <v>9505</v>
      </c>
    </row>
    <row r="202" spans="1:29" x14ac:dyDescent="0.35">
      <c r="A202" s="963">
        <v>33</v>
      </c>
      <c r="B202" s="505" t="s">
        <v>42</v>
      </c>
      <c r="C202" s="1037"/>
      <c r="D202" s="1038"/>
      <c r="E202" s="1038"/>
      <c r="F202" s="1038"/>
      <c r="G202" s="1038"/>
      <c r="H202" s="1038"/>
      <c r="I202" s="1038"/>
      <c r="J202" s="1038"/>
      <c r="K202" s="1039"/>
      <c r="L202" s="1037"/>
      <c r="M202" s="1038"/>
      <c r="N202" s="1038"/>
      <c r="O202" s="1038"/>
      <c r="P202" s="1038"/>
      <c r="Q202" s="1038"/>
      <c r="R202" s="1038"/>
      <c r="S202" s="1038"/>
      <c r="T202" s="1039"/>
      <c r="U202" s="1037"/>
      <c r="V202" s="1038"/>
      <c r="W202" s="1038"/>
      <c r="X202" s="1038"/>
      <c r="Y202" s="1038"/>
      <c r="Z202" s="1038"/>
      <c r="AA202" s="1038"/>
      <c r="AB202" s="1038"/>
      <c r="AC202" s="1038"/>
    </row>
    <row r="203" spans="1:29" x14ac:dyDescent="0.35">
      <c r="A203" s="964"/>
      <c r="B203" s="505" t="s">
        <v>912</v>
      </c>
      <c r="C203" s="1037">
        <v>127</v>
      </c>
      <c r="D203" s="1038">
        <v>77</v>
      </c>
      <c r="E203" s="1038">
        <v>204</v>
      </c>
      <c r="F203" s="1038">
        <v>1</v>
      </c>
      <c r="G203" s="1038">
        <v>4</v>
      </c>
      <c r="H203" s="1038">
        <v>5</v>
      </c>
      <c r="I203" s="1038">
        <v>2257</v>
      </c>
      <c r="J203" s="1038">
        <v>2773</v>
      </c>
      <c r="K203" s="1039">
        <v>5030</v>
      </c>
      <c r="L203" s="1037">
        <v>42852</v>
      </c>
      <c r="M203" s="1038">
        <v>40559</v>
      </c>
      <c r="N203" s="1038">
        <v>83411</v>
      </c>
      <c r="O203" s="1038">
        <v>6</v>
      </c>
      <c r="P203" s="1038">
        <v>19</v>
      </c>
      <c r="Q203" s="1038">
        <v>25</v>
      </c>
      <c r="R203" s="1038">
        <v>2395</v>
      </c>
      <c r="S203" s="1038">
        <v>2544</v>
      </c>
      <c r="T203" s="1039">
        <v>4939</v>
      </c>
      <c r="U203" s="1037">
        <v>19</v>
      </c>
      <c r="V203" s="1038">
        <v>9</v>
      </c>
      <c r="W203" s="1038">
        <v>28</v>
      </c>
      <c r="X203" s="1038">
        <v>1146</v>
      </c>
      <c r="Y203" s="1038">
        <v>958</v>
      </c>
      <c r="Z203" s="1038">
        <v>2104</v>
      </c>
      <c r="AA203" s="1038">
        <v>48803</v>
      </c>
      <c r="AB203" s="1038">
        <v>46943</v>
      </c>
      <c r="AC203" s="1038">
        <v>95746</v>
      </c>
    </row>
    <row r="204" spans="1:29" x14ac:dyDescent="0.35">
      <c r="A204" s="964"/>
      <c r="B204" s="395" t="s">
        <v>911</v>
      </c>
      <c r="C204" s="1037">
        <v>286</v>
      </c>
      <c r="D204" s="1038">
        <v>173</v>
      </c>
      <c r="E204" s="1038">
        <v>459</v>
      </c>
      <c r="F204" s="1038">
        <v>2</v>
      </c>
      <c r="G204" s="1038">
        <v>10</v>
      </c>
      <c r="H204" s="1038">
        <v>12</v>
      </c>
      <c r="I204" s="1038">
        <v>2429</v>
      </c>
      <c r="J204" s="1038">
        <v>2468</v>
      </c>
      <c r="K204" s="1039">
        <v>4897</v>
      </c>
      <c r="L204" s="1037">
        <v>42285</v>
      </c>
      <c r="M204" s="1038">
        <v>36473</v>
      </c>
      <c r="N204" s="1038">
        <v>78758</v>
      </c>
      <c r="O204" s="1038">
        <v>31</v>
      </c>
      <c r="P204" s="1038">
        <v>41</v>
      </c>
      <c r="Q204" s="1038">
        <v>72</v>
      </c>
      <c r="R204" s="1038">
        <v>2394</v>
      </c>
      <c r="S204" s="1038">
        <v>2282</v>
      </c>
      <c r="T204" s="1039">
        <v>4676</v>
      </c>
      <c r="U204" s="1037">
        <v>18</v>
      </c>
      <c r="V204" s="1038">
        <v>18</v>
      </c>
      <c r="W204" s="1038">
        <v>36</v>
      </c>
      <c r="X204" s="1038">
        <v>1106</v>
      </c>
      <c r="Y204" s="1038">
        <v>885</v>
      </c>
      <c r="Z204" s="1038">
        <v>1991</v>
      </c>
      <c r="AA204" s="1038">
        <v>48551</v>
      </c>
      <c r="AB204" s="1038">
        <v>42350</v>
      </c>
      <c r="AC204" s="1038">
        <v>90901</v>
      </c>
    </row>
    <row r="205" spans="1:29" x14ac:dyDescent="0.35">
      <c r="A205" s="964"/>
      <c r="B205" s="395" t="s">
        <v>910</v>
      </c>
      <c r="C205" s="1040">
        <v>452</v>
      </c>
      <c r="D205" s="1040">
        <v>220</v>
      </c>
      <c r="E205" s="1040">
        <v>672</v>
      </c>
      <c r="F205" s="1040">
        <v>2</v>
      </c>
      <c r="G205" s="1040">
        <v>10</v>
      </c>
      <c r="H205" s="1040">
        <v>12</v>
      </c>
      <c r="I205" s="1040">
        <v>2536</v>
      </c>
      <c r="J205" s="1040">
        <v>2425</v>
      </c>
      <c r="K205" s="1040">
        <v>4961</v>
      </c>
      <c r="L205" s="1040">
        <v>35886</v>
      </c>
      <c r="M205" s="1040">
        <v>32179</v>
      </c>
      <c r="N205" s="1040">
        <v>68065</v>
      </c>
      <c r="O205" s="1040">
        <v>47</v>
      </c>
      <c r="P205" s="1040">
        <v>107</v>
      </c>
      <c r="Q205" s="1040">
        <v>154</v>
      </c>
      <c r="R205" s="1040">
        <v>2225</v>
      </c>
      <c r="S205" s="1040">
        <v>2603</v>
      </c>
      <c r="T205" s="1040">
        <v>4828</v>
      </c>
      <c r="U205" s="1040">
        <v>15</v>
      </c>
      <c r="V205" s="1040">
        <v>13</v>
      </c>
      <c r="W205" s="1040">
        <v>28</v>
      </c>
      <c r="X205" s="1040">
        <v>871</v>
      </c>
      <c r="Y205" s="1040">
        <v>723</v>
      </c>
      <c r="Z205" s="1040">
        <v>1594</v>
      </c>
      <c r="AA205" s="1040">
        <v>42034</v>
      </c>
      <c r="AB205" s="1040">
        <v>38280</v>
      </c>
      <c r="AC205" s="1040">
        <v>80314</v>
      </c>
    </row>
    <row r="206" spans="1:29" x14ac:dyDescent="0.35">
      <c r="A206" s="964"/>
      <c r="B206" s="395" t="s">
        <v>909</v>
      </c>
      <c r="C206" s="1041">
        <v>388</v>
      </c>
      <c r="D206" s="1041">
        <v>227</v>
      </c>
      <c r="E206" s="1041">
        <v>615</v>
      </c>
      <c r="F206" s="1041">
        <v>0</v>
      </c>
      <c r="G206" s="1041">
        <v>0</v>
      </c>
      <c r="H206" s="1041">
        <v>0</v>
      </c>
      <c r="I206" s="1041">
        <v>2136</v>
      </c>
      <c r="J206" s="1041">
        <v>1932</v>
      </c>
      <c r="K206" s="1041">
        <v>4068</v>
      </c>
      <c r="L206" s="1041">
        <v>34858</v>
      </c>
      <c r="M206" s="1041">
        <v>28462</v>
      </c>
      <c r="N206" s="1041">
        <v>63320</v>
      </c>
      <c r="O206" s="1041">
        <v>17</v>
      </c>
      <c r="P206" s="1041">
        <v>46</v>
      </c>
      <c r="Q206" s="1041">
        <v>63</v>
      </c>
      <c r="R206" s="1041">
        <v>2256</v>
      </c>
      <c r="S206" s="1041">
        <v>2109</v>
      </c>
      <c r="T206" s="1041">
        <v>4365</v>
      </c>
      <c r="U206" s="1041">
        <v>149</v>
      </c>
      <c r="V206" s="1041">
        <v>221</v>
      </c>
      <c r="W206" s="1041">
        <v>370</v>
      </c>
      <c r="X206" s="1041">
        <v>396</v>
      </c>
      <c r="Y206" s="1041">
        <v>242</v>
      </c>
      <c r="Z206" s="1041">
        <v>638</v>
      </c>
      <c r="AA206" s="1041">
        <v>40200</v>
      </c>
      <c r="AB206" s="1041">
        <v>33239</v>
      </c>
      <c r="AC206" s="1041">
        <v>73439</v>
      </c>
    </row>
    <row r="207" spans="1:29" x14ac:dyDescent="0.35">
      <c r="A207" s="964"/>
      <c r="B207" s="395" t="s">
        <v>908</v>
      </c>
      <c r="C207" s="1040">
        <v>147</v>
      </c>
      <c r="D207" s="1040">
        <v>79</v>
      </c>
      <c r="E207" s="1040">
        <v>226</v>
      </c>
      <c r="F207" s="1040">
        <v>0</v>
      </c>
      <c r="G207" s="1040">
        <v>0</v>
      </c>
      <c r="H207" s="1040">
        <v>0</v>
      </c>
      <c r="I207" s="1040">
        <v>2286</v>
      </c>
      <c r="J207" s="1040">
        <v>1867</v>
      </c>
      <c r="K207" s="1040">
        <v>4153</v>
      </c>
      <c r="L207" s="1040">
        <v>32051</v>
      </c>
      <c r="M207" s="1040">
        <v>27988</v>
      </c>
      <c r="N207" s="1040">
        <v>60039</v>
      </c>
      <c r="O207" s="1040">
        <v>52</v>
      </c>
      <c r="P207" s="1040">
        <v>102</v>
      </c>
      <c r="Q207" s="1040">
        <v>154</v>
      </c>
      <c r="R207" s="1040">
        <v>2312</v>
      </c>
      <c r="S207" s="1040">
        <v>1940</v>
      </c>
      <c r="T207" s="1040">
        <v>4252</v>
      </c>
      <c r="U207" s="1040">
        <v>68</v>
      </c>
      <c r="V207" s="1040">
        <v>112</v>
      </c>
      <c r="W207" s="1040">
        <v>180</v>
      </c>
      <c r="X207" s="1040">
        <v>701</v>
      </c>
      <c r="Y207" s="1040">
        <v>427</v>
      </c>
      <c r="Z207" s="1040">
        <v>1128</v>
      </c>
      <c r="AA207" s="1040">
        <v>37617</v>
      </c>
      <c r="AB207" s="1040">
        <v>32515</v>
      </c>
      <c r="AC207" s="1040">
        <v>70132</v>
      </c>
    </row>
    <row r="208" spans="1:29" x14ac:dyDescent="0.35">
      <c r="A208" s="963">
        <v>34</v>
      </c>
      <c r="B208" s="505" t="s">
        <v>43</v>
      </c>
      <c r="C208" s="1037"/>
      <c r="D208" s="1038"/>
      <c r="E208" s="1038"/>
      <c r="F208" s="1038"/>
      <c r="G208" s="1038"/>
      <c r="H208" s="1038"/>
      <c r="I208" s="1038"/>
      <c r="J208" s="1038"/>
      <c r="K208" s="1039"/>
      <c r="L208" s="1037"/>
      <c r="M208" s="1038"/>
      <c r="N208" s="1038"/>
      <c r="O208" s="1038"/>
      <c r="P208" s="1038"/>
      <c r="Q208" s="1038"/>
      <c r="R208" s="1038"/>
      <c r="S208" s="1038"/>
      <c r="T208" s="1039"/>
      <c r="U208" s="1037"/>
      <c r="V208" s="1038"/>
      <c r="W208" s="1038"/>
      <c r="X208" s="1038"/>
      <c r="Y208" s="1038"/>
      <c r="Z208" s="1038"/>
      <c r="AA208" s="1038"/>
      <c r="AB208" s="1038"/>
      <c r="AC208" s="1038"/>
    </row>
    <row r="209" spans="1:29" x14ac:dyDescent="0.35">
      <c r="A209" s="964"/>
      <c r="B209" s="505" t="s">
        <v>912</v>
      </c>
      <c r="C209" s="1037">
        <v>14232</v>
      </c>
      <c r="D209" s="1038">
        <v>10820</v>
      </c>
      <c r="E209" s="1038">
        <v>25052</v>
      </c>
      <c r="F209" s="1038">
        <v>19</v>
      </c>
      <c r="G209" s="1038">
        <v>67</v>
      </c>
      <c r="H209" s="1038">
        <v>86</v>
      </c>
      <c r="I209" s="1038">
        <v>331754</v>
      </c>
      <c r="J209" s="1038">
        <v>431590</v>
      </c>
      <c r="K209" s="1039">
        <v>763345</v>
      </c>
      <c r="L209" s="1037">
        <v>2948994</v>
      </c>
      <c r="M209" s="1038">
        <v>2822282</v>
      </c>
      <c r="N209" s="1038">
        <v>5771276</v>
      </c>
      <c r="O209" s="1038">
        <v>7350</v>
      </c>
      <c r="P209" s="1038">
        <v>5771</v>
      </c>
      <c r="Q209" s="1038">
        <v>13121</v>
      </c>
      <c r="R209" s="1038">
        <v>216155</v>
      </c>
      <c r="S209" s="1038">
        <v>115575</v>
      </c>
      <c r="T209" s="1039">
        <v>331730</v>
      </c>
      <c r="U209" s="1037">
        <v>3812</v>
      </c>
      <c r="V209" s="1038">
        <v>2916</v>
      </c>
      <c r="W209" s="1038">
        <v>6728</v>
      </c>
      <c r="X209" s="1038">
        <v>46821</v>
      </c>
      <c r="Y209" s="1038">
        <v>27619</v>
      </c>
      <c r="Z209" s="1038">
        <v>74440</v>
      </c>
      <c r="AA209" s="1038">
        <v>3569137</v>
      </c>
      <c r="AB209" s="1038">
        <v>3416640</v>
      </c>
      <c r="AC209" s="1038">
        <v>6985778</v>
      </c>
    </row>
    <row r="210" spans="1:29" x14ac:dyDescent="0.35">
      <c r="A210" s="964"/>
      <c r="B210" s="395" t="s">
        <v>911</v>
      </c>
      <c r="C210" s="1037">
        <v>11988</v>
      </c>
      <c r="D210" s="1038">
        <v>9725</v>
      </c>
      <c r="E210" s="1038">
        <v>21713</v>
      </c>
      <c r="F210" s="1038">
        <v>15</v>
      </c>
      <c r="G210" s="1038">
        <v>62</v>
      </c>
      <c r="H210" s="1038">
        <v>77</v>
      </c>
      <c r="I210" s="1038">
        <v>291433</v>
      </c>
      <c r="J210" s="1038">
        <v>365367</v>
      </c>
      <c r="K210" s="1039">
        <v>656800</v>
      </c>
      <c r="L210" s="1037">
        <v>2946324</v>
      </c>
      <c r="M210" s="1038">
        <v>2706236</v>
      </c>
      <c r="N210" s="1038">
        <v>5652560</v>
      </c>
      <c r="O210" s="1038">
        <v>6306</v>
      </c>
      <c r="P210" s="1038">
        <v>4344</v>
      </c>
      <c r="Q210" s="1038">
        <v>10650</v>
      </c>
      <c r="R210" s="1038">
        <v>214537</v>
      </c>
      <c r="S210" s="1038">
        <v>101703</v>
      </c>
      <c r="T210" s="1039">
        <v>316240</v>
      </c>
      <c r="U210" s="1037">
        <v>3177</v>
      </c>
      <c r="V210" s="1038">
        <v>2646</v>
      </c>
      <c r="W210" s="1038">
        <v>5823</v>
      </c>
      <c r="X210" s="1038">
        <v>36630</v>
      </c>
      <c r="Y210" s="1038">
        <v>21270</v>
      </c>
      <c r="Z210" s="1038">
        <v>57900</v>
      </c>
      <c r="AA210" s="1038">
        <v>3510410</v>
      </c>
      <c r="AB210" s="1038">
        <v>3211353</v>
      </c>
      <c r="AC210" s="1038">
        <v>6721763</v>
      </c>
    </row>
    <row r="211" spans="1:29" x14ac:dyDescent="0.35">
      <c r="A211" s="964"/>
      <c r="B211" s="395" t="s">
        <v>910</v>
      </c>
      <c r="C211" s="1040">
        <v>11560</v>
      </c>
      <c r="D211" s="1040">
        <v>8246</v>
      </c>
      <c r="E211" s="1040">
        <v>19806</v>
      </c>
      <c r="F211" s="1040">
        <v>234</v>
      </c>
      <c r="G211" s="1040">
        <v>381</v>
      </c>
      <c r="H211" s="1040">
        <v>615</v>
      </c>
      <c r="I211" s="1040">
        <v>250456</v>
      </c>
      <c r="J211" s="1040">
        <v>332791</v>
      </c>
      <c r="K211" s="1040">
        <v>583247</v>
      </c>
      <c r="L211" s="1040">
        <v>2781718</v>
      </c>
      <c r="M211" s="1040">
        <v>2708037</v>
      </c>
      <c r="N211" s="1040">
        <v>5489755</v>
      </c>
      <c r="O211" s="1040">
        <v>7063</v>
      </c>
      <c r="P211" s="1040">
        <v>5107</v>
      </c>
      <c r="Q211" s="1040">
        <v>12170</v>
      </c>
      <c r="R211" s="1040">
        <v>213233</v>
      </c>
      <c r="S211" s="1040">
        <v>110525</v>
      </c>
      <c r="T211" s="1040">
        <v>323758</v>
      </c>
      <c r="U211" s="1040">
        <v>7153</v>
      </c>
      <c r="V211" s="1040">
        <v>8143</v>
      </c>
      <c r="W211" s="1040">
        <v>15296</v>
      </c>
      <c r="X211" s="1040">
        <v>32566</v>
      </c>
      <c r="Y211" s="1040">
        <v>19340</v>
      </c>
      <c r="Z211" s="1040">
        <v>51906</v>
      </c>
      <c r="AA211" s="1040">
        <v>3303983</v>
      </c>
      <c r="AB211" s="1040">
        <v>3192570</v>
      </c>
      <c r="AC211" s="1040">
        <v>6496553</v>
      </c>
    </row>
    <row r="212" spans="1:29" x14ac:dyDescent="0.35">
      <c r="A212" s="964"/>
      <c r="B212" s="395" t="s">
        <v>909</v>
      </c>
      <c r="C212" s="1040">
        <v>13693</v>
      </c>
      <c r="D212" s="1040">
        <v>10071</v>
      </c>
      <c r="E212" s="1040">
        <v>23764</v>
      </c>
      <c r="F212" s="1040">
        <v>217</v>
      </c>
      <c r="G212" s="1040">
        <v>320</v>
      </c>
      <c r="H212" s="1040">
        <v>537</v>
      </c>
      <c r="I212" s="1040">
        <v>214150</v>
      </c>
      <c r="J212" s="1040">
        <v>311564</v>
      </c>
      <c r="K212" s="1040">
        <v>525714</v>
      </c>
      <c r="L212" s="1040">
        <v>2594537</v>
      </c>
      <c r="M212" s="1040">
        <v>2742207</v>
      </c>
      <c r="N212" s="1040">
        <v>5336744</v>
      </c>
      <c r="O212" s="1040">
        <v>7380</v>
      </c>
      <c r="P212" s="1040">
        <v>5898</v>
      </c>
      <c r="Q212" s="1040">
        <v>13278</v>
      </c>
      <c r="R212" s="1040">
        <v>196971</v>
      </c>
      <c r="S212" s="1040">
        <v>101043</v>
      </c>
      <c r="T212" s="1040">
        <v>298014</v>
      </c>
      <c r="U212" s="1040">
        <v>9178</v>
      </c>
      <c r="V212" s="1040">
        <v>12891</v>
      </c>
      <c r="W212" s="1040">
        <v>22069</v>
      </c>
      <c r="X212" s="1040">
        <v>26504</v>
      </c>
      <c r="Y212" s="1040">
        <v>15133</v>
      </c>
      <c r="Z212" s="1040">
        <v>41637</v>
      </c>
      <c r="AA212" s="1040">
        <v>3062630</v>
      </c>
      <c r="AB212" s="1040">
        <v>3199127</v>
      </c>
      <c r="AC212" s="1040">
        <v>6261757</v>
      </c>
    </row>
    <row r="213" spans="1:29" x14ac:dyDescent="0.35">
      <c r="A213" s="964"/>
      <c r="B213" s="395" t="s">
        <v>908</v>
      </c>
      <c r="C213" s="1040">
        <v>11715</v>
      </c>
      <c r="D213" s="1040">
        <v>7404</v>
      </c>
      <c r="E213" s="1040">
        <v>19119</v>
      </c>
      <c r="F213" s="1040">
        <v>326</v>
      </c>
      <c r="G213" s="1040">
        <v>431</v>
      </c>
      <c r="H213" s="1040">
        <v>757</v>
      </c>
      <c r="I213" s="1040">
        <v>221599</v>
      </c>
      <c r="J213" s="1040">
        <v>309829</v>
      </c>
      <c r="K213" s="1040">
        <v>531428</v>
      </c>
      <c r="L213" s="1040">
        <v>2607963</v>
      </c>
      <c r="M213" s="1040">
        <v>2755880</v>
      </c>
      <c r="N213" s="1040">
        <v>5363843</v>
      </c>
      <c r="O213" s="1040">
        <v>7722</v>
      </c>
      <c r="P213" s="1040">
        <v>5222</v>
      </c>
      <c r="Q213" s="1040">
        <v>12944</v>
      </c>
      <c r="R213" s="1040">
        <v>177313</v>
      </c>
      <c r="S213" s="1040">
        <v>90672</v>
      </c>
      <c r="T213" s="1040">
        <v>267985</v>
      </c>
      <c r="U213" s="1040">
        <v>16241</v>
      </c>
      <c r="V213" s="1040">
        <v>17756</v>
      </c>
      <c r="W213" s="1040">
        <v>33997</v>
      </c>
      <c r="X213" s="1040">
        <v>21867</v>
      </c>
      <c r="Y213" s="1040">
        <v>12337</v>
      </c>
      <c r="Z213" s="1040">
        <v>34204</v>
      </c>
      <c r="AA213" s="1040">
        <v>3064746</v>
      </c>
      <c r="AB213" s="1040">
        <v>3199531</v>
      </c>
      <c r="AC213" s="1040">
        <v>6264277</v>
      </c>
    </row>
    <row r="214" spans="1:29" x14ac:dyDescent="0.35">
      <c r="A214" s="963">
        <v>35</v>
      </c>
      <c r="B214" s="505" t="s">
        <v>44</v>
      </c>
      <c r="C214" s="1037"/>
      <c r="D214" s="1038"/>
      <c r="E214" s="1038"/>
      <c r="F214" s="1038"/>
      <c r="G214" s="1038"/>
      <c r="H214" s="1038"/>
      <c r="I214" s="1038"/>
      <c r="J214" s="1038"/>
      <c r="K214" s="1039"/>
      <c r="L214" s="1037"/>
      <c r="M214" s="1038"/>
      <c r="N214" s="1038"/>
      <c r="O214" s="1038"/>
      <c r="P214" s="1038"/>
      <c r="Q214" s="1038"/>
      <c r="R214" s="1038"/>
      <c r="S214" s="1038"/>
      <c r="T214" s="1039"/>
      <c r="U214" s="1037"/>
      <c r="V214" s="1038"/>
      <c r="W214" s="1038"/>
      <c r="X214" s="1038"/>
      <c r="Y214" s="1038"/>
      <c r="Z214" s="1038"/>
      <c r="AA214" s="1038"/>
      <c r="AB214" s="1038"/>
      <c r="AC214" s="1038"/>
    </row>
    <row r="215" spans="1:29" x14ac:dyDescent="0.35">
      <c r="A215" s="964"/>
      <c r="B215" s="505" t="s">
        <v>912</v>
      </c>
      <c r="C215" s="1037">
        <v>4367</v>
      </c>
      <c r="D215" s="1038">
        <v>2919</v>
      </c>
      <c r="E215" s="1038">
        <v>7286</v>
      </c>
      <c r="F215" s="1038"/>
      <c r="G215" s="1038"/>
      <c r="H215" s="1038"/>
      <c r="I215" s="1038">
        <v>28066</v>
      </c>
      <c r="J215" s="1038">
        <v>36546</v>
      </c>
      <c r="K215" s="1039">
        <v>64612</v>
      </c>
      <c r="L215" s="1037">
        <v>182145</v>
      </c>
      <c r="M215" s="1038">
        <v>183845</v>
      </c>
      <c r="N215" s="1038">
        <v>365990</v>
      </c>
      <c r="O215" s="1038">
        <v>236</v>
      </c>
      <c r="P215" s="1038">
        <v>247</v>
      </c>
      <c r="Q215" s="1038">
        <v>483</v>
      </c>
      <c r="R215" s="1038">
        <v>20165</v>
      </c>
      <c r="S215" s="1038">
        <v>7668</v>
      </c>
      <c r="T215" s="1039">
        <v>27833</v>
      </c>
      <c r="U215" s="1037">
        <v>238</v>
      </c>
      <c r="V215" s="1038">
        <v>98</v>
      </c>
      <c r="W215" s="1038">
        <v>336</v>
      </c>
      <c r="X215" s="1038">
        <v>3465</v>
      </c>
      <c r="Y215" s="1038">
        <v>2308</v>
      </c>
      <c r="Z215" s="1038">
        <v>5773</v>
      </c>
      <c r="AA215" s="1038">
        <v>238683</v>
      </c>
      <c r="AB215" s="1038">
        <v>233630</v>
      </c>
      <c r="AC215" s="1038">
        <v>472313</v>
      </c>
    </row>
    <row r="216" spans="1:29" x14ac:dyDescent="0.35">
      <c r="A216" s="964"/>
      <c r="B216" s="395" t="s">
        <v>911</v>
      </c>
      <c r="C216" s="1037">
        <v>2573</v>
      </c>
      <c r="D216" s="1038">
        <v>1900</v>
      </c>
      <c r="E216" s="1038">
        <v>4473</v>
      </c>
      <c r="F216" s="1038">
        <v>5</v>
      </c>
      <c r="G216" s="1038"/>
      <c r="H216" s="1038">
        <v>5</v>
      </c>
      <c r="I216" s="1038">
        <v>28525</v>
      </c>
      <c r="J216" s="1038">
        <v>35467</v>
      </c>
      <c r="K216" s="1039">
        <v>63992</v>
      </c>
      <c r="L216" s="1037">
        <v>181244</v>
      </c>
      <c r="M216" s="1038">
        <v>184318</v>
      </c>
      <c r="N216" s="1038">
        <v>365562</v>
      </c>
      <c r="O216" s="1038">
        <v>274</v>
      </c>
      <c r="P216" s="1038">
        <v>258</v>
      </c>
      <c r="Q216" s="1038">
        <v>532</v>
      </c>
      <c r="R216" s="1038">
        <v>20043</v>
      </c>
      <c r="S216" s="1038">
        <v>7382</v>
      </c>
      <c r="T216" s="1039">
        <v>27425</v>
      </c>
      <c r="U216" s="1037">
        <v>216</v>
      </c>
      <c r="V216" s="1038">
        <v>64</v>
      </c>
      <c r="W216" s="1038">
        <v>280</v>
      </c>
      <c r="X216" s="1038">
        <v>3555</v>
      </c>
      <c r="Y216" s="1038">
        <v>2390</v>
      </c>
      <c r="Z216" s="1038">
        <v>5945</v>
      </c>
      <c r="AA216" s="1038">
        <v>236435</v>
      </c>
      <c r="AB216" s="1038">
        <v>231779</v>
      </c>
      <c r="AC216" s="1038">
        <v>468214</v>
      </c>
    </row>
    <row r="217" spans="1:29" x14ac:dyDescent="0.35">
      <c r="A217" s="964"/>
      <c r="B217" s="395" t="s">
        <v>910</v>
      </c>
      <c r="C217" s="1040">
        <v>4099</v>
      </c>
      <c r="D217" s="1040">
        <v>2533</v>
      </c>
      <c r="E217" s="1040">
        <v>6632</v>
      </c>
      <c r="F217" s="1040">
        <v>4</v>
      </c>
      <c r="G217" s="1040">
        <v>1</v>
      </c>
      <c r="H217" s="1040">
        <v>5</v>
      </c>
      <c r="I217" s="1040">
        <v>31382</v>
      </c>
      <c r="J217" s="1040">
        <v>40142</v>
      </c>
      <c r="K217" s="1040">
        <v>71524</v>
      </c>
      <c r="L217" s="1040">
        <v>194631</v>
      </c>
      <c r="M217" s="1040">
        <v>207892</v>
      </c>
      <c r="N217" s="1040">
        <v>402523</v>
      </c>
      <c r="O217" s="1040">
        <v>772</v>
      </c>
      <c r="P217" s="1040">
        <v>917</v>
      </c>
      <c r="Q217" s="1040">
        <v>1689</v>
      </c>
      <c r="R217" s="1040">
        <v>20453</v>
      </c>
      <c r="S217" s="1040">
        <v>7620</v>
      </c>
      <c r="T217" s="1040">
        <v>28073</v>
      </c>
      <c r="U217" s="1040">
        <v>303</v>
      </c>
      <c r="V217" s="1040">
        <v>75</v>
      </c>
      <c r="W217" s="1040">
        <v>378</v>
      </c>
      <c r="X217" s="1040">
        <v>3951</v>
      </c>
      <c r="Y217" s="1040">
        <v>2549</v>
      </c>
      <c r="Z217" s="1040">
        <v>6500</v>
      </c>
      <c r="AA217" s="1040">
        <v>255595</v>
      </c>
      <c r="AB217" s="1040">
        <v>261729</v>
      </c>
      <c r="AC217" s="1040">
        <v>517324</v>
      </c>
    </row>
    <row r="218" spans="1:29" x14ac:dyDescent="0.35">
      <c r="A218" s="964"/>
      <c r="B218" s="395" t="s">
        <v>909</v>
      </c>
      <c r="C218" s="1041">
        <v>3449</v>
      </c>
      <c r="D218" s="1041">
        <v>2019</v>
      </c>
      <c r="E218" s="1041">
        <v>5468</v>
      </c>
      <c r="F218" s="1041">
        <v>21</v>
      </c>
      <c r="G218" s="1041">
        <v>13</v>
      </c>
      <c r="H218" s="1041">
        <v>34</v>
      </c>
      <c r="I218" s="1041">
        <v>22980</v>
      </c>
      <c r="J218" s="1041">
        <v>30380</v>
      </c>
      <c r="K218" s="1041">
        <v>53360</v>
      </c>
      <c r="L218" s="1041">
        <v>157586</v>
      </c>
      <c r="M218" s="1041">
        <v>158781</v>
      </c>
      <c r="N218" s="1041">
        <v>316367</v>
      </c>
      <c r="O218" s="1041">
        <v>734</v>
      </c>
      <c r="P218" s="1041">
        <v>842</v>
      </c>
      <c r="Q218" s="1041">
        <v>1576</v>
      </c>
      <c r="R218" s="1041">
        <v>21397</v>
      </c>
      <c r="S218" s="1041">
        <v>7576</v>
      </c>
      <c r="T218" s="1041">
        <v>28973</v>
      </c>
      <c r="U218" s="1041">
        <v>292</v>
      </c>
      <c r="V218" s="1041">
        <v>55</v>
      </c>
      <c r="W218" s="1041">
        <v>347</v>
      </c>
      <c r="X218" s="1041">
        <v>3366</v>
      </c>
      <c r="Y218" s="1041">
        <v>2286</v>
      </c>
      <c r="Z218" s="1041">
        <v>5652</v>
      </c>
      <c r="AA218" s="1041">
        <v>209825</v>
      </c>
      <c r="AB218" s="1041">
        <v>201952</v>
      </c>
      <c r="AC218" s="1041">
        <v>411777</v>
      </c>
    </row>
    <row r="219" spans="1:29" x14ac:dyDescent="0.35">
      <c r="A219" s="964"/>
      <c r="B219" s="395" t="s">
        <v>908</v>
      </c>
      <c r="C219" s="1040">
        <v>2903</v>
      </c>
      <c r="D219" s="1040">
        <v>1759</v>
      </c>
      <c r="E219" s="1040">
        <v>4662</v>
      </c>
      <c r="F219" s="1040">
        <v>18</v>
      </c>
      <c r="G219" s="1040">
        <v>9</v>
      </c>
      <c r="H219" s="1040">
        <v>27</v>
      </c>
      <c r="I219" s="1040">
        <v>23575</v>
      </c>
      <c r="J219" s="1040">
        <v>28739</v>
      </c>
      <c r="K219" s="1040">
        <v>52314</v>
      </c>
      <c r="L219" s="1040">
        <v>157059</v>
      </c>
      <c r="M219" s="1040">
        <v>155233</v>
      </c>
      <c r="N219" s="1040">
        <v>312292</v>
      </c>
      <c r="O219" s="1040">
        <v>788</v>
      </c>
      <c r="P219" s="1040">
        <v>908</v>
      </c>
      <c r="Q219" s="1040">
        <v>1696</v>
      </c>
      <c r="R219" s="1040">
        <v>23470</v>
      </c>
      <c r="S219" s="1040">
        <v>8387</v>
      </c>
      <c r="T219" s="1040">
        <v>31857</v>
      </c>
      <c r="U219" s="1040">
        <v>214</v>
      </c>
      <c r="V219" s="1040">
        <v>61</v>
      </c>
      <c r="W219" s="1040">
        <v>275</v>
      </c>
      <c r="X219" s="1040">
        <v>3092</v>
      </c>
      <c r="Y219" s="1040">
        <v>1923</v>
      </c>
      <c r="Z219" s="1040">
        <v>5015</v>
      </c>
      <c r="AA219" s="1040">
        <v>211119</v>
      </c>
      <c r="AB219" s="1040">
        <v>197019</v>
      </c>
      <c r="AC219" s="1040">
        <v>408138</v>
      </c>
    </row>
    <row r="220" spans="1:29" x14ac:dyDescent="0.35">
      <c r="A220" s="968">
        <v>36</v>
      </c>
      <c r="B220" s="505" t="s">
        <v>45</v>
      </c>
      <c r="C220" s="1037"/>
      <c r="D220" s="1038"/>
      <c r="E220" s="1038"/>
      <c r="F220" s="1038"/>
      <c r="G220" s="1038"/>
      <c r="H220" s="1038"/>
      <c r="I220" s="1038"/>
      <c r="J220" s="1038"/>
      <c r="K220" s="1039"/>
      <c r="L220" s="1037"/>
      <c r="M220" s="1038"/>
      <c r="N220" s="1038"/>
      <c r="O220" s="1038"/>
      <c r="P220" s="1038"/>
      <c r="Q220" s="1038"/>
      <c r="R220" s="1038"/>
      <c r="S220" s="1038"/>
      <c r="T220" s="1039"/>
      <c r="U220" s="1037"/>
      <c r="V220" s="1038"/>
      <c r="W220" s="1038"/>
      <c r="X220" s="1038"/>
      <c r="Y220" s="1038"/>
      <c r="Z220" s="1038"/>
      <c r="AA220" s="1038"/>
      <c r="AB220" s="1038"/>
      <c r="AC220" s="1038"/>
    </row>
    <row r="221" spans="1:29" x14ac:dyDescent="0.35">
      <c r="A221" s="969"/>
      <c r="B221" s="505" t="s">
        <v>912</v>
      </c>
      <c r="C221" s="1037">
        <v>7931</v>
      </c>
      <c r="D221" s="1038">
        <v>4640</v>
      </c>
      <c r="E221" s="1038">
        <v>12571</v>
      </c>
      <c r="F221" s="1038">
        <v>313</v>
      </c>
      <c r="G221" s="1038">
        <v>262</v>
      </c>
      <c r="H221" s="1038">
        <v>575</v>
      </c>
      <c r="I221" s="1038">
        <v>55996</v>
      </c>
      <c r="J221" s="1038">
        <v>69726</v>
      </c>
      <c r="K221" s="1039">
        <v>125722</v>
      </c>
      <c r="L221" s="1037">
        <v>852464</v>
      </c>
      <c r="M221" s="1038">
        <v>916819</v>
      </c>
      <c r="N221" s="1038">
        <v>1769283</v>
      </c>
      <c r="O221" s="1038">
        <v>2122</v>
      </c>
      <c r="P221" s="1038">
        <v>1118</v>
      </c>
      <c r="Q221" s="1038">
        <v>3240</v>
      </c>
      <c r="R221" s="1038">
        <v>116921</v>
      </c>
      <c r="S221" s="1038">
        <v>77440</v>
      </c>
      <c r="T221" s="1039">
        <v>194361</v>
      </c>
      <c r="U221" s="1037">
        <v>3661</v>
      </c>
      <c r="V221" s="1038">
        <v>4578</v>
      </c>
      <c r="W221" s="1038">
        <v>8239</v>
      </c>
      <c r="X221" s="1038">
        <v>9922</v>
      </c>
      <c r="Y221" s="1038">
        <v>6880</v>
      </c>
      <c r="Z221" s="1038">
        <v>16802</v>
      </c>
      <c r="AA221" s="1038">
        <v>1049331</v>
      </c>
      <c r="AB221" s="1038">
        <v>1081463</v>
      </c>
      <c r="AC221" s="1038">
        <v>2130794</v>
      </c>
    </row>
    <row r="222" spans="1:29" x14ac:dyDescent="0.35">
      <c r="A222" s="969"/>
      <c r="B222" s="395" t="s">
        <v>911</v>
      </c>
      <c r="C222" s="1037">
        <v>8683</v>
      </c>
      <c r="D222" s="1038">
        <v>5103</v>
      </c>
      <c r="E222" s="1038">
        <v>13786</v>
      </c>
      <c r="F222" s="1038">
        <v>688</v>
      </c>
      <c r="G222" s="1038">
        <v>614</v>
      </c>
      <c r="H222" s="1038">
        <v>1302</v>
      </c>
      <c r="I222" s="1038">
        <v>53497</v>
      </c>
      <c r="J222" s="1038">
        <v>65622</v>
      </c>
      <c r="K222" s="1039">
        <v>119119</v>
      </c>
      <c r="L222" s="1037">
        <v>857467</v>
      </c>
      <c r="M222" s="1038">
        <v>925737</v>
      </c>
      <c r="N222" s="1038">
        <v>1783204</v>
      </c>
      <c r="O222" s="1038">
        <v>2236</v>
      </c>
      <c r="P222" s="1038">
        <v>1199</v>
      </c>
      <c r="Q222" s="1038">
        <v>3435</v>
      </c>
      <c r="R222" s="1038">
        <v>116975</v>
      </c>
      <c r="S222" s="1038">
        <v>71656</v>
      </c>
      <c r="T222" s="1039">
        <v>188631</v>
      </c>
      <c r="U222" s="1037">
        <v>2112</v>
      </c>
      <c r="V222" s="1038">
        <v>1470</v>
      </c>
      <c r="W222" s="1038">
        <v>3582</v>
      </c>
      <c r="X222" s="1038">
        <v>9590</v>
      </c>
      <c r="Y222" s="1038">
        <v>6626</v>
      </c>
      <c r="Z222" s="1038">
        <v>16216</v>
      </c>
      <c r="AA222" s="1038">
        <v>1051248</v>
      </c>
      <c r="AB222" s="1038">
        <v>1078027</v>
      </c>
      <c r="AC222" s="1038">
        <v>2129275</v>
      </c>
    </row>
    <row r="223" spans="1:29" x14ac:dyDescent="0.35">
      <c r="A223" s="969"/>
      <c r="B223" s="395" t="s">
        <v>910</v>
      </c>
      <c r="C223" s="1040">
        <v>8757</v>
      </c>
      <c r="D223" s="1040">
        <v>5173</v>
      </c>
      <c r="E223" s="1040">
        <v>13930</v>
      </c>
      <c r="F223" s="1040">
        <v>1003</v>
      </c>
      <c r="G223" s="1040">
        <v>963</v>
      </c>
      <c r="H223" s="1040">
        <v>1966</v>
      </c>
      <c r="I223" s="1040">
        <v>54306</v>
      </c>
      <c r="J223" s="1040">
        <v>58050</v>
      </c>
      <c r="K223" s="1040">
        <v>112356</v>
      </c>
      <c r="L223" s="1040">
        <v>796648</v>
      </c>
      <c r="M223" s="1040">
        <v>880729</v>
      </c>
      <c r="N223" s="1040">
        <v>1677377</v>
      </c>
      <c r="O223" s="1040">
        <v>2461</v>
      </c>
      <c r="P223" s="1040">
        <v>1487</v>
      </c>
      <c r="Q223" s="1040">
        <v>3948</v>
      </c>
      <c r="R223" s="1040">
        <v>116546</v>
      </c>
      <c r="S223" s="1040">
        <v>73976</v>
      </c>
      <c r="T223" s="1040">
        <v>190522</v>
      </c>
      <c r="U223" s="1040">
        <v>2050</v>
      </c>
      <c r="V223" s="1040">
        <v>2631</v>
      </c>
      <c r="W223" s="1040">
        <v>4681</v>
      </c>
      <c r="X223" s="1040">
        <v>9939</v>
      </c>
      <c r="Y223" s="1040">
        <v>5418</v>
      </c>
      <c r="Z223" s="1040">
        <v>15357</v>
      </c>
      <c r="AA223" s="1040">
        <v>991710</v>
      </c>
      <c r="AB223" s="1040">
        <v>1028427</v>
      </c>
      <c r="AC223" s="1040">
        <v>2020137</v>
      </c>
    </row>
    <row r="224" spans="1:29" x14ac:dyDescent="0.35">
      <c r="A224" s="969"/>
      <c r="B224" s="395" t="s">
        <v>909</v>
      </c>
      <c r="C224" s="1041">
        <v>8063</v>
      </c>
      <c r="D224" s="1041">
        <v>4773</v>
      </c>
      <c r="E224" s="1041">
        <v>12836</v>
      </c>
      <c r="F224" s="1041">
        <v>1195</v>
      </c>
      <c r="G224" s="1041">
        <v>983</v>
      </c>
      <c r="H224" s="1041">
        <v>2178</v>
      </c>
      <c r="I224" s="1041">
        <v>43523</v>
      </c>
      <c r="J224" s="1041">
        <v>48248</v>
      </c>
      <c r="K224" s="1041">
        <v>91771</v>
      </c>
      <c r="L224" s="1041">
        <v>792565</v>
      </c>
      <c r="M224" s="1041">
        <v>875822</v>
      </c>
      <c r="N224" s="1041">
        <v>1668387</v>
      </c>
      <c r="O224" s="1041">
        <v>2697</v>
      </c>
      <c r="P224" s="1041">
        <v>1508</v>
      </c>
      <c r="Q224" s="1041">
        <v>4205</v>
      </c>
      <c r="R224" s="1041">
        <v>114411</v>
      </c>
      <c r="S224" s="1041">
        <v>58012</v>
      </c>
      <c r="T224" s="1041">
        <v>172423</v>
      </c>
      <c r="U224" s="1041">
        <v>3583</v>
      </c>
      <c r="V224" s="1041">
        <v>3223</v>
      </c>
      <c r="W224" s="1041">
        <v>6806</v>
      </c>
      <c r="X224" s="1041">
        <v>9336</v>
      </c>
      <c r="Y224" s="1041">
        <v>5595</v>
      </c>
      <c r="Z224" s="1041">
        <v>14931</v>
      </c>
      <c r="AA224" s="1041">
        <v>975373</v>
      </c>
      <c r="AB224" s="1041">
        <v>998164</v>
      </c>
      <c r="AC224" s="1041">
        <v>1973537</v>
      </c>
    </row>
    <row r="225" spans="1:29" x14ac:dyDescent="0.35">
      <c r="A225" s="969"/>
      <c r="B225" s="395" t="s">
        <v>908</v>
      </c>
      <c r="C225" s="1040">
        <v>7161</v>
      </c>
      <c r="D225" s="1040">
        <v>4570</v>
      </c>
      <c r="E225" s="1040">
        <v>11731</v>
      </c>
      <c r="F225" s="1040">
        <v>959</v>
      </c>
      <c r="G225" s="1040">
        <v>803</v>
      </c>
      <c r="H225" s="1040">
        <v>1762</v>
      </c>
      <c r="I225" s="1040">
        <v>41496</v>
      </c>
      <c r="J225" s="1040">
        <v>44754</v>
      </c>
      <c r="K225" s="1040">
        <v>86250</v>
      </c>
      <c r="L225" s="1040">
        <v>776437</v>
      </c>
      <c r="M225" s="1040">
        <v>827504</v>
      </c>
      <c r="N225" s="1040">
        <v>1603941</v>
      </c>
      <c r="O225" s="1040">
        <v>2375</v>
      </c>
      <c r="P225" s="1040">
        <v>1715</v>
      </c>
      <c r="Q225" s="1040">
        <v>4090</v>
      </c>
      <c r="R225" s="1040">
        <v>112901</v>
      </c>
      <c r="S225" s="1040">
        <v>54662</v>
      </c>
      <c r="T225" s="1040">
        <v>167563</v>
      </c>
      <c r="U225" s="1040">
        <v>3009</v>
      </c>
      <c r="V225" s="1040">
        <v>3005</v>
      </c>
      <c r="W225" s="1040">
        <v>6014</v>
      </c>
      <c r="X225" s="1040">
        <v>9144</v>
      </c>
      <c r="Y225" s="1040">
        <v>4756</v>
      </c>
      <c r="Z225" s="1040">
        <v>13900</v>
      </c>
      <c r="AA225" s="1040">
        <v>953482</v>
      </c>
      <c r="AB225" s="1040">
        <v>941769</v>
      </c>
      <c r="AC225" s="1040">
        <v>1895251</v>
      </c>
    </row>
  </sheetData>
  <mergeCells count="51">
    <mergeCell ref="C1:K1"/>
    <mergeCell ref="L1:T1"/>
    <mergeCell ref="U1:AC1"/>
    <mergeCell ref="A220:A225"/>
    <mergeCell ref="A154:A159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08:A213"/>
    <mergeCell ref="A214:A219"/>
    <mergeCell ref="A148:A153"/>
    <mergeCell ref="A130:A135"/>
    <mergeCell ref="A136:A141"/>
    <mergeCell ref="A83:A88"/>
    <mergeCell ref="A89:A94"/>
    <mergeCell ref="A95:A100"/>
    <mergeCell ref="A101:A106"/>
    <mergeCell ref="A107:A111"/>
    <mergeCell ref="A142:A147"/>
    <mergeCell ref="A77:A82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A65:A70"/>
    <mergeCell ref="A71:A76"/>
    <mergeCell ref="A112:A117"/>
    <mergeCell ref="A118:A123"/>
    <mergeCell ref="A124:A129"/>
    <mergeCell ref="O2:Q2"/>
    <mergeCell ref="R2:T2"/>
    <mergeCell ref="U2:W2"/>
    <mergeCell ref="X2:Z2"/>
    <mergeCell ref="AA2:AC2"/>
    <mergeCell ref="I2:K2"/>
    <mergeCell ref="L2:N2"/>
    <mergeCell ref="A5:A10"/>
    <mergeCell ref="A2:A3"/>
    <mergeCell ref="B2:B3"/>
    <mergeCell ref="C2:E2"/>
    <mergeCell ref="F2:H2"/>
  </mergeCells>
  <pageMargins left="0.59055118110236227" right="0.35433070866141736" top="0.39370078740157483" bottom="0.39370078740157483" header="0.31496062992125984" footer="0.19685039370078741"/>
  <pageSetup paperSize="9" scale="69" firstPageNumber="2" orientation="portrait" r:id="rId1"/>
  <headerFooter>
    <oddFooter>&amp;L&amp;"Arial,Italic"&amp;9AISHE 2022-23&amp;RT-44</oddFooter>
  </headerFooter>
  <rowBreaks count="2" manualBreakCount="2">
    <brk id="76" max="28" man="1"/>
    <brk id="153" max="28" man="1"/>
  </rowBreaks>
  <colBreaks count="2" manualBreakCount="2">
    <brk id="11" max="224" man="1"/>
    <brk id="20" max="224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39CA-A051-4AB9-A4C9-4647880AC524}">
  <sheetPr codeName="Sheet9">
    <tabColor rgb="FF92D050"/>
  </sheetPr>
  <dimension ref="A1:N224"/>
  <sheetViews>
    <sheetView view="pageBreakPreview" zoomScale="98" zoomScaleSheetLayoutView="98" workbookViewId="0">
      <pane xSplit="2" ySplit="4" topLeftCell="G5" activePane="bottomRight" state="frozen"/>
      <selection activeCell="S20" sqref="S20"/>
      <selection pane="topRight" activeCell="S20" sqref="S20"/>
      <selection pane="bottomLeft" activeCell="S20" sqref="S20"/>
      <selection pane="bottomRight" activeCell="C3" sqref="C1:N1048576"/>
    </sheetView>
  </sheetViews>
  <sheetFormatPr defaultColWidth="9.1796875" defaultRowHeight="14" x14ac:dyDescent="0.35"/>
  <cols>
    <col min="1" max="1" width="4.453125" style="392" bestFit="1" customWidth="1"/>
    <col min="2" max="2" width="35.54296875" style="392" customWidth="1"/>
    <col min="3" max="8" width="14" style="1051" customWidth="1"/>
    <col min="9" max="14" width="15.54296875" style="1051" customWidth="1"/>
    <col min="15" max="16384" width="9.1796875" style="392"/>
  </cols>
  <sheetData>
    <row r="1" spans="1:14" ht="23.25" customHeight="1" x14ac:dyDescent="0.35">
      <c r="B1" s="397" t="s">
        <v>979</v>
      </c>
      <c r="C1" s="1052" t="s">
        <v>1052</v>
      </c>
      <c r="D1" s="1053"/>
      <c r="E1" s="1053"/>
      <c r="F1" s="1053"/>
      <c r="G1" s="1053"/>
      <c r="I1" s="1053" t="str">
        <f>C1</f>
        <v xml:space="preserve">
Social Group-Wise Enrollment Trends Over the Last 5 Years</v>
      </c>
      <c r="J1" s="1053"/>
      <c r="K1" s="1053"/>
      <c r="L1" s="1053"/>
      <c r="M1" s="1053"/>
      <c r="N1" s="1053"/>
    </row>
    <row r="2" spans="1:14" ht="18.75" customHeight="1" x14ac:dyDescent="0.35">
      <c r="A2" s="965" t="s">
        <v>974</v>
      </c>
      <c r="B2" s="962" t="s">
        <v>50</v>
      </c>
      <c r="C2" s="1032" t="s">
        <v>574</v>
      </c>
      <c r="D2" s="1033"/>
      <c r="E2" s="1033"/>
      <c r="F2" s="1032" t="s">
        <v>980</v>
      </c>
      <c r="G2" s="1033"/>
      <c r="H2" s="1033"/>
      <c r="I2" s="1032" t="s">
        <v>567</v>
      </c>
      <c r="J2" s="1033"/>
      <c r="K2" s="1033"/>
      <c r="L2" s="1032" t="s">
        <v>568</v>
      </c>
      <c r="M2" s="1033"/>
      <c r="N2" s="1033"/>
    </row>
    <row r="3" spans="1:14" ht="18.75" customHeight="1" x14ac:dyDescent="0.35">
      <c r="A3" s="966"/>
      <c r="B3" s="962"/>
      <c r="C3" s="1034" t="s">
        <v>93</v>
      </c>
      <c r="D3" s="1034" t="s">
        <v>94</v>
      </c>
      <c r="E3" s="1034" t="s">
        <v>975</v>
      </c>
      <c r="F3" s="1034" t="s">
        <v>93</v>
      </c>
      <c r="G3" s="1034" t="s">
        <v>94</v>
      </c>
      <c r="H3" s="1034" t="s">
        <v>975</v>
      </c>
      <c r="I3" s="1034" t="s">
        <v>93</v>
      </c>
      <c r="J3" s="1034" t="s">
        <v>94</v>
      </c>
      <c r="K3" s="1034" t="s">
        <v>975</v>
      </c>
      <c r="L3" s="1034" t="s">
        <v>93</v>
      </c>
      <c r="M3" s="1034" t="s">
        <v>94</v>
      </c>
      <c r="N3" s="1034" t="s">
        <v>975</v>
      </c>
    </row>
    <row r="4" spans="1:14" x14ac:dyDescent="0.35">
      <c r="A4" s="393">
        <v>1</v>
      </c>
      <c r="B4" s="394">
        <v>2</v>
      </c>
      <c r="C4" s="1036">
        <v>3</v>
      </c>
      <c r="D4" s="1035">
        <v>4</v>
      </c>
      <c r="E4" s="1036">
        <v>5</v>
      </c>
      <c r="F4" s="1035">
        <v>6</v>
      </c>
      <c r="G4" s="1036">
        <v>7</v>
      </c>
      <c r="H4" s="1035">
        <v>8</v>
      </c>
      <c r="I4" s="1036">
        <v>9</v>
      </c>
      <c r="J4" s="1035">
        <v>10</v>
      </c>
      <c r="K4" s="1036">
        <v>11</v>
      </c>
      <c r="L4" s="1035">
        <v>12</v>
      </c>
      <c r="M4" s="1036">
        <v>13</v>
      </c>
      <c r="N4" s="1035">
        <v>14</v>
      </c>
    </row>
    <row r="5" spans="1:14" x14ac:dyDescent="0.35">
      <c r="A5" s="968"/>
      <c r="B5" s="510" t="s">
        <v>913</v>
      </c>
      <c r="C5" s="1054"/>
      <c r="D5" s="1055"/>
      <c r="E5" s="1055"/>
      <c r="F5" s="1055"/>
      <c r="G5" s="1055"/>
      <c r="H5" s="1056"/>
      <c r="I5" s="1054"/>
      <c r="J5" s="1055"/>
      <c r="K5" s="1055"/>
      <c r="L5" s="1055"/>
      <c r="M5" s="1055"/>
      <c r="N5" s="1055"/>
    </row>
    <row r="6" spans="1:14" x14ac:dyDescent="0.35">
      <c r="A6" s="969"/>
      <c r="B6" s="511" t="s">
        <v>912</v>
      </c>
      <c r="C6" s="1054">
        <v>22877371.62561683</v>
      </c>
      <c r="D6" s="1055">
        <v>21754889.615062039</v>
      </c>
      <c r="E6" s="1055">
        <v>44632261.240678862</v>
      </c>
      <c r="F6" s="1055">
        <v>3523780.8489900278</v>
      </c>
      <c r="G6" s="1055">
        <v>3389285.8568060989</v>
      </c>
      <c r="H6" s="1055">
        <v>6913066.7057961281</v>
      </c>
      <c r="I6" s="1054">
        <v>1405119.7174815319</v>
      </c>
      <c r="J6" s="1055">
        <v>1466852.8225853341</v>
      </c>
      <c r="K6" s="1055">
        <v>2871972.5400668662</v>
      </c>
      <c r="L6" s="1055">
        <v>8873533.6909617744</v>
      </c>
      <c r="M6" s="1055">
        <v>8531510.5543305632</v>
      </c>
      <c r="N6" s="1055">
        <v>17405044.245292339</v>
      </c>
    </row>
    <row r="7" spans="1:14" x14ac:dyDescent="0.35">
      <c r="A7" s="969"/>
      <c r="B7" s="512" t="s">
        <v>911</v>
      </c>
      <c r="C7" s="1054">
        <v>22576389</v>
      </c>
      <c r="D7" s="1054">
        <v>20691792</v>
      </c>
      <c r="E7" s="1054">
        <v>43268181</v>
      </c>
      <c r="F7" s="1054">
        <v>3452038</v>
      </c>
      <c r="G7" s="1054">
        <v>3171278</v>
      </c>
      <c r="H7" s="1054">
        <v>6623316</v>
      </c>
      <c r="I7" s="1054">
        <v>1364135</v>
      </c>
      <c r="J7" s="1054">
        <v>1346150</v>
      </c>
      <c r="K7" s="1054">
        <v>2710285</v>
      </c>
      <c r="L7" s="1054">
        <v>8517847</v>
      </c>
      <c r="M7" s="1054">
        <v>7818613</v>
      </c>
      <c r="N7" s="1054">
        <v>16336460</v>
      </c>
    </row>
    <row r="8" spans="1:14" x14ac:dyDescent="0.35">
      <c r="A8" s="969"/>
      <c r="B8" s="512" t="s">
        <v>910</v>
      </c>
      <c r="C8" s="1054">
        <v>21237910</v>
      </c>
      <c r="D8" s="1054">
        <v>20142803</v>
      </c>
      <c r="E8" s="1054">
        <v>41380713</v>
      </c>
      <c r="F8" s="1054">
        <v>2993521</v>
      </c>
      <c r="G8" s="1054">
        <v>2901179</v>
      </c>
      <c r="H8" s="1054">
        <v>5894700</v>
      </c>
      <c r="I8" s="1054">
        <v>1191037</v>
      </c>
      <c r="J8" s="1054">
        <v>1221032</v>
      </c>
      <c r="K8" s="1054">
        <v>2412069</v>
      </c>
      <c r="L8" s="1054">
        <v>7533866</v>
      </c>
      <c r="M8" s="1054">
        <v>7287671</v>
      </c>
      <c r="N8" s="1054">
        <v>14821537</v>
      </c>
    </row>
    <row r="9" spans="1:14" x14ac:dyDescent="0.35">
      <c r="A9" s="969"/>
      <c r="B9" s="512" t="s">
        <v>909</v>
      </c>
      <c r="C9" s="1054">
        <v>19643747</v>
      </c>
      <c r="D9" s="1054">
        <v>18892612</v>
      </c>
      <c r="E9" s="1054">
        <v>38536359</v>
      </c>
      <c r="F9" s="1054">
        <v>2854313</v>
      </c>
      <c r="G9" s="1054">
        <v>2803359</v>
      </c>
      <c r="H9" s="1054">
        <v>5657672</v>
      </c>
      <c r="I9" s="1054">
        <v>1072646</v>
      </c>
      <c r="J9" s="1054">
        <v>1083463</v>
      </c>
      <c r="K9" s="1054">
        <v>2156109</v>
      </c>
      <c r="L9" s="1054">
        <v>7202109</v>
      </c>
      <c r="M9" s="1054">
        <v>7047005</v>
      </c>
      <c r="N9" s="1054">
        <v>14249114</v>
      </c>
    </row>
    <row r="10" spans="1:14" x14ac:dyDescent="0.35">
      <c r="A10" s="969"/>
      <c r="B10" s="512" t="s">
        <v>908</v>
      </c>
      <c r="C10" s="1054">
        <v>19209888</v>
      </c>
      <c r="D10" s="1054">
        <v>18189500</v>
      </c>
      <c r="E10" s="1054">
        <v>37399388</v>
      </c>
      <c r="F10" s="1054">
        <v>2835663</v>
      </c>
      <c r="G10" s="1054">
        <v>2731415</v>
      </c>
      <c r="H10" s="1054">
        <v>5567078</v>
      </c>
      <c r="I10" s="1054">
        <v>1052121</v>
      </c>
      <c r="J10" s="1054">
        <v>1015627</v>
      </c>
      <c r="K10" s="1054">
        <v>2067748</v>
      </c>
      <c r="L10" s="1054">
        <v>6909174</v>
      </c>
      <c r="M10" s="1054">
        <v>6682820</v>
      </c>
      <c r="N10" s="1054">
        <v>13591994</v>
      </c>
    </row>
    <row r="11" spans="1:14" ht="15.5" x14ac:dyDescent="0.35">
      <c r="A11" s="968">
        <v>1</v>
      </c>
      <c r="B11" s="510" t="s">
        <v>116</v>
      </c>
      <c r="C11" s="1042"/>
      <c r="D11" s="1054"/>
      <c r="E11" s="1054"/>
      <c r="F11" s="1054"/>
      <c r="G11" s="1054"/>
      <c r="H11" s="1054"/>
      <c r="I11" s="1054"/>
      <c r="J11" s="1054"/>
      <c r="K11" s="1054"/>
      <c r="L11" s="1054"/>
      <c r="M11" s="1054"/>
      <c r="N11" s="1054"/>
    </row>
    <row r="12" spans="1:14" x14ac:dyDescent="0.35">
      <c r="A12" s="969"/>
      <c r="B12" s="511" t="s">
        <v>912</v>
      </c>
      <c r="C12" s="1054">
        <v>3853</v>
      </c>
      <c r="D12" s="1054">
        <v>3588</v>
      </c>
      <c r="E12" s="1054">
        <v>7441</v>
      </c>
      <c r="F12" s="1054">
        <v>52</v>
      </c>
      <c r="G12" s="1054">
        <v>20</v>
      </c>
      <c r="H12" s="1054">
        <v>72</v>
      </c>
      <c r="I12" s="1054">
        <v>87</v>
      </c>
      <c r="J12" s="1054">
        <v>94</v>
      </c>
      <c r="K12" s="1054">
        <v>181</v>
      </c>
      <c r="L12" s="1054">
        <v>1058</v>
      </c>
      <c r="M12" s="1054">
        <v>1074</v>
      </c>
      <c r="N12" s="1054">
        <v>2132</v>
      </c>
    </row>
    <row r="13" spans="1:14" x14ac:dyDescent="0.35">
      <c r="A13" s="969"/>
      <c r="B13" s="512" t="s">
        <v>911</v>
      </c>
      <c r="C13" s="1054">
        <v>5200</v>
      </c>
      <c r="D13" s="1054">
        <v>6227</v>
      </c>
      <c r="E13" s="1054">
        <v>11427</v>
      </c>
      <c r="F13" s="1054">
        <v>42</v>
      </c>
      <c r="G13" s="1054">
        <v>11</v>
      </c>
      <c r="H13" s="1054">
        <v>53</v>
      </c>
      <c r="I13" s="1054">
        <v>192</v>
      </c>
      <c r="J13" s="1054">
        <v>283</v>
      </c>
      <c r="K13" s="1054">
        <v>475</v>
      </c>
      <c r="L13" s="1054">
        <v>1437</v>
      </c>
      <c r="M13" s="1054">
        <v>1806</v>
      </c>
      <c r="N13" s="1054">
        <v>3243</v>
      </c>
    </row>
    <row r="14" spans="1:14" x14ac:dyDescent="0.35">
      <c r="A14" s="969"/>
      <c r="B14" s="512" t="s">
        <v>910</v>
      </c>
      <c r="C14" s="1054">
        <v>5534</v>
      </c>
      <c r="D14" s="1054">
        <v>6431</v>
      </c>
      <c r="E14" s="1054">
        <v>11965</v>
      </c>
      <c r="F14" s="1054">
        <v>32</v>
      </c>
      <c r="G14" s="1054">
        <v>15</v>
      </c>
      <c r="H14" s="1054">
        <v>47</v>
      </c>
      <c r="I14" s="1054">
        <v>186</v>
      </c>
      <c r="J14" s="1054">
        <v>276</v>
      </c>
      <c r="K14" s="1054">
        <v>462</v>
      </c>
      <c r="L14" s="1054">
        <v>1581</v>
      </c>
      <c r="M14" s="1054">
        <v>1888</v>
      </c>
      <c r="N14" s="1054">
        <v>3469</v>
      </c>
    </row>
    <row r="15" spans="1:14" x14ac:dyDescent="0.35">
      <c r="A15" s="969"/>
      <c r="B15" s="512" t="s">
        <v>909</v>
      </c>
      <c r="C15" s="1054">
        <v>4532</v>
      </c>
      <c r="D15" s="1054">
        <v>5599</v>
      </c>
      <c r="E15" s="1054">
        <v>10131</v>
      </c>
      <c r="F15" s="1054">
        <v>42</v>
      </c>
      <c r="G15" s="1054">
        <v>11</v>
      </c>
      <c r="H15" s="1054">
        <v>53</v>
      </c>
      <c r="I15" s="1054">
        <v>151</v>
      </c>
      <c r="J15" s="1054">
        <v>286</v>
      </c>
      <c r="K15" s="1054">
        <v>437</v>
      </c>
      <c r="L15" s="1054">
        <v>1122</v>
      </c>
      <c r="M15" s="1054">
        <v>1539</v>
      </c>
      <c r="N15" s="1054">
        <v>2661</v>
      </c>
    </row>
    <row r="16" spans="1:14" x14ac:dyDescent="0.35">
      <c r="A16" s="969"/>
      <c r="B16" s="512" t="s">
        <v>908</v>
      </c>
      <c r="C16" s="1054">
        <v>5103</v>
      </c>
      <c r="D16" s="1054">
        <v>6408</v>
      </c>
      <c r="E16" s="1054">
        <v>11511</v>
      </c>
      <c r="F16" s="1054">
        <v>57</v>
      </c>
      <c r="G16" s="1054">
        <v>20</v>
      </c>
      <c r="H16" s="1054">
        <v>77</v>
      </c>
      <c r="I16" s="1054">
        <v>196</v>
      </c>
      <c r="J16" s="1054">
        <v>317</v>
      </c>
      <c r="K16" s="1054">
        <v>513</v>
      </c>
      <c r="L16" s="1054">
        <v>1395</v>
      </c>
      <c r="M16" s="1054">
        <v>1684</v>
      </c>
      <c r="N16" s="1054">
        <v>3079</v>
      </c>
    </row>
    <row r="17" spans="1:14" x14ac:dyDescent="0.35">
      <c r="A17" s="968">
        <v>2</v>
      </c>
      <c r="B17" s="510" t="s">
        <v>13</v>
      </c>
      <c r="C17" s="1054"/>
      <c r="D17" s="1054"/>
      <c r="E17" s="1054"/>
      <c r="F17" s="1054"/>
      <c r="G17" s="1054"/>
      <c r="H17" s="1054"/>
      <c r="I17" s="1054"/>
      <c r="J17" s="1054"/>
      <c r="K17" s="1054"/>
      <c r="L17" s="1054"/>
      <c r="M17" s="1054"/>
      <c r="N17" s="1054"/>
    </row>
    <row r="18" spans="1:14" x14ac:dyDescent="0.35">
      <c r="A18" s="969"/>
      <c r="B18" s="511" t="s">
        <v>912</v>
      </c>
      <c r="C18" s="1054">
        <v>961164.89734113473</v>
      </c>
      <c r="D18" s="1054">
        <v>879179.94385683339</v>
      </c>
      <c r="E18" s="1054">
        <v>1840344.841197968</v>
      </c>
      <c r="F18" s="1054">
        <v>162897.53286961111</v>
      </c>
      <c r="G18" s="1054">
        <v>156801.99003753869</v>
      </c>
      <c r="H18" s="1054">
        <v>319699.52290714992</v>
      </c>
      <c r="I18" s="1054">
        <v>48277.00707387751</v>
      </c>
      <c r="J18" s="1054">
        <v>47267.809841566363</v>
      </c>
      <c r="K18" s="1054">
        <v>95544.816915443866</v>
      </c>
      <c r="L18" s="1054">
        <v>447041.06727478548</v>
      </c>
      <c r="M18" s="1054">
        <v>381981.77073977952</v>
      </c>
      <c r="N18" s="1054">
        <v>829022.83801456494</v>
      </c>
    </row>
    <row r="19" spans="1:14" x14ac:dyDescent="0.35">
      <c r="A19" s="969"/>
      <c r="B19" s="512" t="s">
        <v>911</v>
      </c>
      <c r="C19" s="1054">
        <v>1028739</v>
      </c>
      <c r="D19" s="1054">
        <v>900420</v>
      </c>
      <c r="E19" s="1054">
        <v>1929159</v>
      </c>
      <c r="F19" s="1054">
        <v>174877</v>
      </c>
      <c r="G19" s="1054">
        <v>162015</v>
      </c>
      <c r="H19" s="1054">
        <v>336892</v>
      </c>
      <c r="I19" s="1054">
        <v>50146</v>
      </c>
      <c r="J19" s="1054">
        <v>46729</v>
      </c>
      <c r="K19" s="1054">
        <v>96875</v>
      </c>
      <c r="L19" s="1054">
        <v>481074</v>
      </c>
      <c r="M19" s="1054">
        <v>394159</v>
      </c>
      <c r="N19" s="1054">
        <v>875233</v>
      </c>
    </row>
    <row r="20" spans="1:14" x14ac:dyDescent="0.35">
      <c r="A20" s="969"/>
      <c r="B20" s="512" t="s">
        <v>910</v>
      </c>
      <c r="C20" s="1054">
        <v>1056065</v>
      </c>
      <c r="D20" s="1054">
        <v>931553</v>
      </c>
      <c r="E20" s="1054">
        <v>1987618</v>
      </c>
      <c r="F20" s="1054">
        <v>171844</v>
      </c>
      <c r="G20" s="1054">
        <v>160275</v>
      </c>
      <c r="H20" s="1054">
        <v>332119</v>
      </c>
      <c r="I20" s="1054">
        <v>48475</v>
      </c>
      <c r="J20" s="1054">
        <v>44369</v>
      </c>
      <c r="K20" s="1054">
        <v>92844</v>
      </c>
      <c r="L20" s="1054">
        <v>463929</v>
      </c>
      <c r="M20" s="1054">
        <v>386063</v>
      </c>
      <c r="N20" s="1054">
        <v>849992</v>
      </c>
    </row>
    <row r="21" spans="1:14" x14ac:dyDescent="0.35">
      <c r="A21" s="969"/>
      <c r="B21" s="512" t="s">
        <v>909</v>
      </c>
      <c r="C21" s="1054">
        <v>1021126</v>
      </c>
      <c r="D21" s="1054">
        <v>876023</v>
      </c>
      <c r="E21" s="1054">
        <v>1897149</v>
      </c>
      <c r="F21" s="1054">
        <v>167358</v>
      </c>
      <c r="G21" s="1054">
        <v>149215</v>
      </c>
      <c r="H21" s="1054">
        <v>316573</v>
      </c>
      <c r="I21" s="1054">
        <v>47292</v>
      </c>
      <c r="J21" s="1054">
        <v>40939</v>
      </c>
      <c r="K21" s="1054">
        <v>88231</v>
      </c>
      <c r="L21" s="1054">
        <v>464389</v>
      </c>
      <c r="M21" s="1054">
        <v>373065</v>
      </c>
      <c r="N21" s="1054">
        <v>837454</v>
      </c>
    </row>
    <row r="22" spans="1:14" x14ac:dyDescent="0.35">
      <c r="A22" s="969"/>
      <c r="B22" s="512" t="s">
        <v>908</v>
      </c>
      <c r="C22" s="1054">
        <v>964806</v>
      </c>
      <c r="D22" s="1054">
        <v>796024</v>
      </c>
      <c r="E22" s="1054">
        <v>1760830</v>
      </c>
      <c r="F22" s="1054">
        <v>155601</v>
      </c>
      <c r="G22" s="1054">
        <v>135201</v>
      </c>
      <c r="H22" s="1054">
        <v>290802</v>
      </c>
      <c r="I22" s="1054">
        <v>42159</v>
      </c>
      <c r="J22" s="1054">
        <v>36528</v>
      </c>
      <c r="K22" s="1054">
        <v>78687</v>
      </c>
      <c r="L22" s="1054">
        <v>431061</v>
      </c>
      <c r="M22" s="1054">
        <v>334446</v>
      </c>
      <c r="N22" s="1054">
        <v>765507</v>
      </c>
    </row>
    <row r="23" spans="1:14" x14ac:dyDescent="0.35">
      <c r="A23" s="968">
        <v>3</v>
      </c>
      <c r="B23" s="510" t="s">
        <v>14</v>
      </c>
      <c r="C23" s="1054"/>
      <c r="D23" s="1054"/>
      <c r="E23" s="1054"/>
      <c r="F23" s="1054"/>
      <c r="G23" s="1054"/>
      <c r="H23" s="1054"/>
      <c r="I23" s="1054"/>
      <c r="J23" s="1054"/>
      <c r="K23" s="1054"/>
      <c r="L23" s="1054"/>
      <c r="M23" s="1054"/>
      <c r="N23" s="1054"/>
    </row>
    <row r="24" spans="1:14" x14ac:dyDescent="0.35">
      <c r="A24" s="969"/>
      <c r="B24" s="511" t="s">
        <v>912</v>
      </c>
      <c r="C24" s="1054">
        <v>33710</v>
      </c>
      <c r="D24" s="1054">
        <v>29802</v>
      </c>
      <c r="E24" s="1054">
        <v>63512</v>
      </c>
      <c r="F24" s="1054">
        <v>544</v>
      </c>
      <c r="G24" s="1054">
        <v>398</v>
      </c>
      <c r="H24" s="1054">
        <v>942</v>
      </c>
      <c r="I24" s="1054">
        <v>23930</v>
      </c>
      <c r="J24" s="1054">
        <v>23776</v>
      </c>
      <c r="K24" s="1054">
        <v>47706</v>
      </c>
      <c r="L24" s="1054">
        <v>1444</v>
      </c>
      <c r="M24" s="1054">
        <v>1071</v>
      </c>
      <c r="N24" s="1054">
        <v>2515</v>
      </c>
    </row>
    <row r="25" spans="1:14" x14ac:dyDescent="0.35">
      <c r="A25" s="969"/>
      <c r="B25" s="512" t="s">
        <v>911</v>
      </c>
      <c r="C25" s="1054">
        <v>34995</v>
      </c>
      <c r="D25" s="1054">
        <v>29895</v>
      </c>
      <c r="E25" s="1054">
        <v>64890</v>
      </c>
      <c r="F25" s="1054">
        <v>609</v>
      </c>
      <c r="G25" s="1054">
        <v>338</v>
      </c>
      <c r="H25" s="1054">
        <v>947</v>
      </c>
      <c r="I25" s="1054">
        <v>24790</v>
      </c>
      <c r="J25" s="1054">
        <v>23529</v>
      </c>
      <c r="K25" s="1054">
        <v>48319</v>
      </c>
      <c r="L25" s="1054">
        <v>1291</v>
      </c>
      <c r="M25" s="1054">
        <v>822</v>
      </c>
      <c r="N25" s="1054">
        <v>2113</v>
      </c>
    </row>
    <row r="26" spans="1:14" x14ac:dyDescent="0.35">
      <c r="A26" s="969"/>
      <c r="B26" s="512" t="s">
        <v>910</v>
      </c>
      <c r="C26" s="1054">
        <v>31465</v>
      </c>
      <c r="D26" s="1054">
        <v>28270</v>
      </c>
      <c r="E26" s="1054">
        <v>59735</v>
      </c>
      <c r="F26" s="1054">
        <v>670</v>
      </c>
      <c r="G26" s="1054">
        <v>407</v>
      </c>
      <c r="H26" s="1054">
        <v>1077</v>
      </c>
      <c r="I26" s="1054">
        <v>20576</v>
      </c>
      <c r="J26" s="1054">
        <v>21101</v>
      </c>
      <c r="K26" s="1054">
        <v>41677</v>
      </c>
      <c r="L26" s="1054">
        <v>1222</v>
      </c>
      <c r="M26" s="1054">
        <v>845</v>
      </c>
      <c r="N26" s="1054">
        <v>2067</v>
      </c>
    </row>
    <row r="27" spans="1:14" x14ac:dyDescent="0.35">
      <c r="A27" s="969"/>
      <c r="B27" s="512" t="s">
        <v>909</v>
      </c>
      <c r="C27" s="1054">
        <v>28801</v>
      </c>
      <c r="D27" s="1054">
        <v>27015</v>
      </c>
      <c r="E27" s="1054">
        <v>55816</v>
      </c>
      <c r="F27" s="1054">
        <v>750</v>
      </c>
      <c r="G27" s="1054">
        <v>729</v>
      </c>
      <c r="H27" s="1054">
        <v>1479</v>
      </c>
      <c r="I27" s="1054">
        <v>19078</v>
      </c>
      <c r="J27" s="1054">
        <v>19264</v>
      </c>
      <c r="K27" s="1054">
        <v>38342</v>
      </c>
      <c r="L27" s="1054">
        <v>1141</v>
      </c>
      <c r="M27" s="1054">
        <v>772</v>
      </c>
      <c r="N27" s="1054">
        <v>1913</v>
      </c>
    </row>
    <row r="28" spans="1:14" x14ac:dyDescent="0.35">
      <c r="A28" s="969"/>
      <c r="B28" s="512" t="s">
        <v>908</v>
      </c>
      <c r="C28" s="1054">
        <v>23724</v>
      </c>
      <c r="D28" s="1054">
        <v>23444</v>
      </c>
      <c r="E28" s="1054">
        <v>47168</v>
      </c>
      <c r="F28" s="1054">
        <v>304</v>
      </c>
      <c r="G28" s="1054">
        <v>192</v>
      </c>
      <c r="H28" s="1054">
        <v>496</v>
      </c>
      <c r="I28" s="1054">
        <v>16486</v>
      </c>
      <c r="J28" s="1054">
        <v>18557</v>
      </c>
      <c r="K28" s="1054">
        <v>35043</v>
      </c>
      <c r="L28" s="1054">
        <v>916</v>
      </c>
      <c r="M28" s="1054">
        <v>692</v>
      </c>
      <c r="N28" s="1054">
        <v>1608</v>
      </c>
    </row>
    <row r="29" spans="1:14" x14ac:dyDescent="0.35">
      <c r="A29" s="968">
        <v>4</v>
      </c>
      <c r="B29" s="510" t="s">
        <v>15</v>
      </c>
      <c r="C29" s="1054"/>
      <c r="D29" s="1054"/>
      <c r="E29" s="1054"/>
      <c r="F29" s="1054"/>
      <c r="G29" s="1054"/>
      <c r="H29" s="1054"/>
      <c r="I29" s="1054"/>
      <c r="J29" s="1054"/>
      <c r="K29" s="1054"/>
      <c r="L29" s="1054"/>
      <c r="M29" s="1054"/>
      <c r="N29" s="1054"/>
    </row>
    <row r="30" spans="1:14" x14ac:dyDescent="0.35">
      <c r="A30" s="969"/>
      <c r="B30" s="511" t="s">
        <v>912</v>
      </c>
      <c r="C30" s="1054">
        <v>361132.57142857142</v>
      </c>
      <c r="D30" s="1054">
        <v>390140.5</v>
      </c>
      <c r="E30" s="1054">
        <v>751273.07142857148</v>
      </c>
      <c r="F30" s="1054">
        <v>31058.5</v>
      </c>
      <c r="G30" s="1054">
        <v>30604.428571428569</v>
      </c>
      <c r="H30" s="1054">
        <v>61662.928571428572</v>
      </c>
      <c r="I30" s="1054">
        <v>66127.892857142855</v>
      </c>
      <c r="J30" s="1054">
        <v>71674.28571428571</v>
      </c>
      <c r="K30" s="1054">
        <v>137802.17857142861</v>
      </c>
      <c r="L30" s="1054">
        <v>95804.428571428565</v>
      </c>
      <c r="M30" s="1054">
        <v>109089</v>
      </c>
      <c r="N30" s="1054">
        <v>204893.42857142861</v>
      </c>
    </row>
    <row r="31" spans="1:14" x14ac:dyDescent="0.35">
      <c r="A31" s="969"/>
      <c r="B31" s="512" t="s">
        <v>911</v>
      </c>
      <c r="C31" s="1054">
        <v>333926</v>
      </c>
      <c r="D31" s="1054">
        <v>344086</v>
      </c>
      <c r="E31" s="1054">
        <v>678012</v>
      </c>
      <c r="F31" s="1054">
        <v>29419</v>
      </c>
      <c r="G31" s="1054">
        <v>27820</v>
      </c>
      <c r="H31" s="1054">
        <v>57239</v>
      </c>
      <c r="I31" s="1054">
        <v>63952</v>
      </c>
      <c r="J31" s="1054">
        <v>66267</v>
      </c>
      <c r="K31" s="1054">
        <v>130219</v>
      </c>
      <c r="L31" s="1054">
        <v>85446</v>
      </c>
      <c r="M31" s="1054">
        <v>92054</v>
      </c>
      <c r="N31" s="1054">
        <v>177500</v>
      </c>
    </row>
    <row r="32" spans="1:14" x14ac:dyDescent="0.35">
      <c r="A32" s="969"/>
      <c r="B32" s="512" t="s">
        <v>910</v>
      </c>
      <c r="C32" s="1054">
        <v>341985</v>
      </c>
      <c r="D32" s="1054">
        <v>355108</v>
      </c>
      <c r="E32" s="1054">
        <v>697093</v>
      </c>
      <c r="F32" s="1054">
        <v>27177</v>
      </c>
      <c r="G32" s="1054">
        <v>26775</v>
      </c>
      <c r="H32" s="1054">
        <v>53952</v>
      </c>
      <c r="I32" s="1054">
        <v>59272</v>
      </c>
      <c r="J32" s="1054">
        <v>63715</v>
      </c>
      <c r="K32" s="1054">
        <v>122987</v>
      </c>
      <c r="L32" s="1054">
        <v>84052</v>
      </c>
      <c r="M32" s="1054">
        <v>91542</v>
      </c>
      <c r="N32" s="1054">
        <v>175594</v>
      </c>
    </row>
    <row r="33" spans="1:14" x14ac:dyDescent="0.35">
      <c r="A33" s="969"/>
      <c r="B33" s="512" t="s">
        <v>909</v>
      </c>
      <c r="C33" s="1054">
        <v>316908</v>
      </c>
      <c r="D33" s="1054">
        <v>333693</v>
      </c>
      <c r="E33" s="1054">
        <v>650601</v>
      </c>
      <c r="F33" s="1054">
        <v>27642</v>
      </c>
      <c r="G33" s="1054">
        <v>26519</v>
      </c>
      <c r="H33" s="1054">
        <v>54161</v>
      </c>
      <c r="I33" s="1054">
        <v>50251</v>
      </c>
      <c r="J33" s="1054">
        <v>55109</v>
      </c>
      <c r="K33" s="1054">
        <v>105360</v>
      </c>
      <c r="L33" s="1054">
        <v>83549</v>
      </c>
      <c r="M33" s="1054">
        <v>93431</v>
      </c>
      <c r="N33" s="1054">
        <v>176980</v>
      </c>
    </row>
    <row r="34" spans="1:14" x14ac:dyDescent="0.35">
      <c r="A34" s="969"/>
      <c r="B34" s="512" t="s">
        <v>908</v>
      </c>
      <c r="C34" s="1054">
        <v>347484</v>
      </c>
      <c r="D34" s="1054">
        <v>352679</v>
      </c>
      <c r="E34" s="1054">
        <v>700163</v>
      </c>
      <c r="F34" s="1054">
        <v>30045</v>
      </c>
      <c r="G34" s="1054">
        <v>28123</v>
      </c>
      <c r="H34" s="1054">
        <v>58168</v>
      </c>
      <c r="I34" s="1054">
        <v>56783</v>
      </c>
      <c r="J34" s="1054">
        <v>57526</v>
      </c>
      <c r="K34" s="1054">
        <v>114309</v>
      </c>
      <c r="L34" s="1054">
        <v>91467</v>
      </c>
      <c r="M34" s="1054">
        <v>98892</v>
      </c>
      <c r="N34" s="1054">
        <v>190359</v>
      </c>
    </row>
    <row r="35" spans="1:14" x14ac:dyDescent="0.35">
      <c r="A35" s="968">
        <v>5</v>
      </c>
      <c r="B35" s="510" t="s">
        <v>16</v>
      </c>
      <c r="C35" s="1054"/>
      <c r="D35" s="1054"/>
      <c r="E35" s="1054"/>
      <c r="F35" s="1054"/>
      <c r="G35" s="1054"/>
      <c r="H35" s="1054"/>
      <c r="I35" s="1054"/>
      <c r="J35" s="1054"/>
      <c r="K35" s="1054"/>
      <c r="L35" s="1054"/>
      <c r="M35" s="1054"/>
      <c r="N35" s="1054"/>
    </row>
    <row r="36" spans="1:14" x14ac:dyDescent="0.35">
      <c r="A36" s="969"/>
      <c r="B36" s="511" t="s">
        <v>912</v>
      </c>
      <c r="C36" s="1054">
        <v>1357863.6162157829</v>
      </c>
      <c r="D36" s="1054">
        <v>1270027.8057104719</v>
      </c>
      <c r="E36" s="1054">
        <v>2627891.4219262549</v>
      </c>
      <c r="F36" s="1054">
        <v>203200.10151168489</v>
      </c>
      <c r="G36" s="1054">
        <v>166347.84365209361</v>
      </c>
      <c r="H36" s="1054">
        <v>369547.9451637785</v>
      </c>
      <c r="I36" s="1054">
        <v>30216.247132413799</v>
      </c>
      <c r="J36" s="1054">
        <v>27694.329296829299</v>
      </c>
      <c r="K36" s="1054">
        <v>57910.576429243098</v>
      </c>
      <c r="L36" s="1054">
        <v>723148.48375865037</v>
      </c>
      <c r="M36" s="1054">
        <v>680681.61082619417</v>
      </c>
      <c r="N36" s="1054">
        <v>1403830.094584845</v>
      </c>
    </row>
    <row r="37" spans="1:14" x14ac:dyDescent="0.35">
      <c r="A37" s="969"/>
      <c r="B37" s="512" t="s">
        <v>911</v>
      </c>
      <c r="C37" s="1054">
        <v>1447460</v>
      </c>
      <c r="D37" s="1054">
        <v>1175486</v>
      </c>
      <c r="E37" s="1054">
        <v>2622946</v>
      </c>
      <c r="F37" s="1054">
        <v>224269</v>
      </c>
      <c r="G37" s="1054">
        <v>153799</v>
      </c>
      <c r="H37" s="1054">
        <v>378068</v>
      </c>
      <c r="I37" s="1054">
        <v>36612</v>
      </c>
      <c r="J37" s="1054">
        <v>28622</v>
      </c>
      <c r="K37" s="1054">
        <v>65234</v>
      </c>
      <c r="L37" s="1054">
        <v>707676</v>
      </c>
      <c r="M37" s="1054">
        <v>575245</v>
      </c>
      <c r="N37" s="1054">
        <v>1282921</v>
      </c>
    </row>
    <row r="38" spans="1:14" x14ac:dyDescent="0.35">
      <c r="A38" s="969"/>
      <c r="B38" s="512" t="s">
        <v>910</v>
      </c>
      <c r="C38" s="1054">
        <v>1309402</v>
      </c>
      <c r="D38" s="1054">
        <v>1051539</v>
      </c>
      <c r="E38" s="1054">
        <v>2360941</v>
      </c>
      <c r="F38" s="1054">
        <v>152405</v>
      </c>
      <c r="G38" s="1054">
        <v>105205</v>
      </c>
      <c r="H38" s="1054">
        <v>257610</v>
      </c>
      <c r="I38" s="1054">
        <v>20577</v>
      </c>
      <c r="J38" s="1054">
        <v>15421</v>
      </c>
      <c r="K38" s="1054">
        <v>35998</v>
      </c>
      <c r="L38" s="1054">
        <v>547653</v>
      </c>
      <c r="M38" s="1054">
        <v>446029</v>
      </c>
      <c r="N38" s="1054">
        <v>993682</v>
      </c>
    </row>
    <row r="39" spans="1:14" x14ac:dyDescent="0.35">
      <c r="A39" s="969"/>
      <c r="B39" s="512" t="s">
        <v>909</v>
      </c>
      <c r="C39" s="1054">
        <v>969902</v>
      </c>
      <c r="D39" s="1054">
        <v>768530</v>
      </c>
      <c r="E39" s="1054">
        <v>1738432</v>
      </c>
      <c r="F39" s="1054">
        <v>123647</v>
      </c>
      <c r="G39" s="1054">
        <v>74568</v>
      </c>
      <c r="H39" s="1054">
        <v>198215</v>
      </c>
      <c r="I39" s="1054">
        <v>17236</v>
      </c>
      <c r="J39" s="1054">
        <v>13286</v>
      </c>
      <c r="K39" s="1054">
        <v>30522</v>
      </c>
      <c r="L39" s="1054">
        <v>458383</v>
      </c>
      <c r="M39" s="1054">
        <v>356262</v>
      </c>
      <c r="N39" s="1054">
        <v>814645</v>
      </c>
    </row>
    <row r="40" spans="1:14" x14ac:dyDescent="0.35">
      <c r="A40" s="969"/>
      <c r="B40" s="512" t="s">
        <v>908</v>
      </c>
      <c r="C40" s="1054">
        <v>920485</v>
      </c>
      <c r="D40" s="1054">
        <v>686523</v>
      </c>
      <c r="E40" s="1054">
        <v>1607008</v>
      </c>
      <c r="F40" s="1054">
        <v>111827</v>
      </c>
      <c r="G40" s="1054">
        <v>66058</v>
      </c>
      <c r="H40" s="1054">
        <v>177885</v>
      </c>
      <c r="I40" s="1054">
        <v>15816</v>
      </c>
      <c r="J40" s="1054">
        <v>10728</v>
      </c>
      <c r="K40" s="1054">
        <v>26544</v>
      </c>
      <c r="L40" s="1054">
        <v>411594</v>
      </c>
      <c r="M40" s="1054">
        <v>295551</v>
      </c>
      <c r="N40" s="1054">
        <v>707145</v>
      </c>
    </row>
    <row r="41" spans="1:14" x14ac:dyDescent="0.35">
      <c r="A41" s="968">
        <v>6</v>
      </c>
      <c r="B41" s="510" t="s">
        <v>17</v>
      </c>
      <c r="C41" s="1054"/>
      <c r="D41" s="1054"/>
      <c r="E41" s="1054"/>
      <c r="F41" s="1054"/>
      <c r="G41" s="1054"/>
      <c r="H41" s="1054"/>
      <c r="I41" s="1054"/>
      <c r="J41" s="1054"/>
      <c r="K41" s="1054"/>
      <c r="L41" s="1054"/>
      <c r="M41" s="1054"/>
      <c r="N41" s="1054"/>
    </row>
    <row r="42" spans="1:14" x14ac:dyDescent="0.35">
      <c r="A42" s="969"/>
      <c r="B42" s="511" t="s">
        <v>912</v>
      </c>
      <c r="C42" s="1054">
        <v>54071</v>
      </c>
      <c r="D42" s="1054">
        <v>54024</v>
      </c>
      <c r="E42" s="1054">
        <v>108095</v>
      </c>
      <c r="F42" s="1054">
        <v>8589</v>
      </c>
      <c r="G42" s="1054">
        <v>7490</v>
      </c>
      <c r="H42" s="1054">
        <v>16079</v>
      </c>
      <c r="I42" s="1054">
        <v>1279</v>
      </c>
      <c r="J42" s="1054">
        <v>1148</v>
      </c>
      <c r="K42" s="1054">
        <v>2427</v>
      </c>
      <c r="L42" s="1054">
        <v>5186</v>
      </c>
      <c r="M42" s="1054">
        <v>3755</v>
      </c>
      <c r="N42" s="1054">
        <v>8941</v>
      </c>
    </row>
    <row r="43" spans="1:14" x14ac:dyDescent="0.35">
      <c r="A43" s="969"/>
      <c r="B43" s="512" t="s">
        <v>911</v>
      </c>
      <c r="C43" s="1054">
        <v>55291</v>
      </c>
      <c r="D43" s="1054">
        <v>55712</v>
      </c>
      <c r="E43" s="1054">
        <v>111003</v>
      </c>
      <c r="F43" s="1054">
        <v>9631</v>
      </c>
      <c r="G43" s="1054">
        <v>8082</v>
      </c>
      <c r="H43" s="1054">
        <v>17713</v>
      </c>
      <c r="I43" s="1054">
        <v>1243</v>
      </c>
      <c r="J43" s="1054">
        <v>1129</v>
      </c>
      <c r="K43" s="1054">
        <v>2372</v>
      </c>
      <c r="L43" s="1054">
        <v>5504</v>
      </c>
      <c r="M43" s="1054">
        <v>3655</v>
      </c>
      <c r="N43" s="1054">
        <v>9159</v>
      </c>
    </row>
    <row r="44" spans="1:14" x14ac:dyDescent="0.35">
      <c r="A44" s="969"/>
      <c r="B44" s="512" t="s">
        <v>910</v>
      </c>
      <c r="C44" s="1054">
        <v>54809</v>
      </c>
      <c r="D44" s="1054">
        <v>55656</v>
      </c>
      <c r="E44" s="1054">
        <v>110465</v>
      </c>
      <c r="F44" s="1054">
        <v>9293</v>
      </c>
      <c r="G44" s="1054">
        <v>7542</v>
      </c>
      <c r="H44" s="1054">
        <v>16835</v>
      </c>
      <c r="I44" s="1054">
        <v>1055</v>
      </c>
      <c r="J44" s="1054">
        <v>968</v>
      </c>
      <c r="K44" s="1054">
        <v>2023</v>
      </c>
      <c r="L44" s="1054">
        <v>5261</v>
      </c>
      <c r="M44" s="1054">
        <v>3541</v>
      </c>
      <c r="N44" s="1054">
        <v>8802</v>
      </c>
    </row>
    <row r="45" spans="1:14" x14ac:dyDescent="0.35">
      <c r="A45" s="969"/>
      <c r="B45" s="512" t="s">
        <v>909</v>
      </c>
      <c r="C45" s="1054">
        <v>53170</v>
      </c>
      <c r="D45" s="1054">
        <v>53497</v>
      </c>
      <c r="E45" s="1054">
        <v>106667</v>
      </c>
      <c r="F45" s="1054">
        <v>6827</v>
      </c>
      <c r="G45" s="1054">
        <v>6037</v>
      </c>
      <c r="H45" s="1054">
        <v>12864</v>
      </c>
      <c r="I45" s="1054">
        <v>961</v>
      </c>
      <c r="J45" s="1054">
        <v>829</v>
      </c>
      <c r="K45" s="1054">
        <v>1790</v>
      </c>
      <c r="L45" s="1054">
        <v>3837</v>
      </c>
      <c r="M45" s="1054">
        <v>2373</v>
      </c>
      <c r="N45" s="1054">
        <v>6210</v>
      </c>
    </row>
    <row r="46" spans="1:14" x14ac:dyDescent="0.35">
      <c r="A46" s="969"/>
      <c r="B46" s="512" t="s">
        <v>908</v>
      </c>
      <c r="C46" s="1054">
        <v>48566</v>
      </c>
      <c r="D46" s="1054">
        <v>50443</v>
      </c>
      <c r="E46" s="1054">
        <v>99009</v>
      </c>
      <c r="F46" s="1054">
        <v>6578</v>
      </c>
      <c r="G46" s="1054">
        <v>5813</v>
      </c>
      <c r="H46" s="1054">
        <v>12391</v>
      </c>
      <c r="I46" s="1054">
        <v>836</v>
      </c>
      <c r="J46" s="1054">
        <v>776</v>
      </c>
      <c r="K46" s="1054">
        <v>1612</v>
      </c>
      <c r="L46" s="1054">
        <v>3107</v>
      </c>
      <c r="M46" s="1054">
        <v>2050</v>
      </c>
      <c r="N46" s="1054">
        <v>5157</v>
      </c>
    </row>
    <row r="47" spans="1:14" x14ac:dyDescent="0.35">
      <c r="A47" s="968">
        <v>7</v>
      </c>
      <c r="B47" s="510" t="s">
        <v>749</v>
      </c>
      <c r="C47" s="1054"/>
      <c r="D47" s="1054"/>
      <c r="E47" s="1054"/>
      <c r="F47" s="1054"/>
      <c r="G47" s="1054"/>
      <c r="H47" s="1054"/>
      <c r="I47" s="1054"/>
      <c r="J47" s="1054"/>
      <c r="K47" s="1054"/>
      <c r="L47" s="1054"/>
      <c r="M47" s="1054"/>
      <c r="N47" s="1054"/>
    </row>
    <row r="48" spans="1:14" x14ac:dyDescent="0.35">
      <c r="A48" s="969"/>
      <c r="B48" s="511" t="s">
        <v>912</v>
      </c>
      <c r="C48" s="1054">
        <v>424564.4185865671</v>
      </c>
      <c r="D48" s="1054">
        <v>503737.51744962542</v>
      </c>
      <c r="E48" s="1054">
        <v>928301.93603619246</v>
      </c>
      <c r="F48" s="1054">
        <v>60431.206183113391</v>
      </c>
      <c r="G48" s="1054">
        <v>66432.639336698863</v>
      </c>
      <c r="H48" s="1054">
        <v>126863.8455198123</v>
      </c>
      <c r="I48" s="1054">
        <v>82363.348126246463</v>
      </c>
      <c r="J48" s="1054">
        <v>120908.4257535839</v>
      </c>
      <c r="K48" s="1054">
        <v>203271.77387983029</v>
      </c>
      <c r="L48" s="1054">
        <v>197577.18584821449</v>
      </c>
      <c r="M48" s="1054">
        <v>222020.78773823619</v>
      </c>
      <c r="N48" s="1054">
        <v>419597.97358645062</v>
      </c>
    </row>
    <row r="49" spans="1:14" x14ac:dyDescent="0.35">
      <c r="A49" s="969"/>
      <c r="B49" s="512" t="s">
        <v>911</v>
      </c>
      <c r="C49" s="1054">
        <v>298601</v>
      </c>
      <c r="D49" s="1054">
        <v>357740</v>
      </c>
      <c r="E49" s="1054">
        <v>656341</v>
      </c>
      <c r="F49" s="1054">
        <v>43431</v>
      </c>
      <c r="G49" s="1054">
        <v>47514</v>
      </c>
      <c r="H49" s="1054">
        <v>90945</v>
      </c>
      <c r="I49" s="1054">
        <v>52777</v>
      </c>
      <c r="J49" s="1054">
        <v>77518</v>
      </c>
      <c r="K49" s="1054">
        <v>130295</v>
      </c>
      <c r="L49" s="1054">
        <v>133393</v>
      </c>
      <c r="M49" s="1054">
        <v>154494</v>
      </c>
      <c r="N49" s="1054">
        <v>287887</v>
      </c>
    </row>
    <row r="50" spans="1:14" x14ac:dyDescent="0.35">
      <c r="A50" s="969"/>
      <c r="B50" s="512" t="s">
        <v>910</v>
      </c>
      <c r="C50" s="1054">
        <v>302840</v>
      </c>
      <c r="D50" s="1054">
        <v>350565</v>
      </c>
      <c r="E50" s="1054">
        <v>653405</v>
      </c>
      <c r="F50" s="1054">
        <v>41449</v>
      </c>
      <c r="G50" s="1054">
        <v>44456</v>
      </c>
      <c r="H50" s="1054">
        <v>85905</v>
      </c>
      <c r="I50" s="1054">
        <v>57790</v>
      </c>
      <c r="J50" s="1054">
        <v>81319</v>
      </c>
      <c r="K50" s="1054">
        <v>139109</v>
      </c>
      <c r="L50" s="1054">
        <v>133754</v>
      </c>
      <c r="M50" s="1054">
        <v>151173</v>
      </c>
      <c r="N50" s="1054">
        <v>284927</v>
      </c>
    </row>
    <row r="51" spans="1:14" x14ac:dyDescent="0.35">
      <c r="A51" s="969"/>
      <c r="B51" s="512" t="s">
        <v>909</v>
      </c>
      <c r="C51" s="1054">
        <v>272813</v>
      </c>
      <c r="D51" s="1054">
        <v>313582</v>
      </c>
      <c r="E51" s="1054">
        <v>586395</v>
      </c>
      <c r="F51" s="1054">
        <v>37575</v>
      </c>
      <c r="G51" s="1054">
        <v>40055</v>
      </c>
      <c r="H51" s="1054">
        <v>77630</v>
      </c>
      <c r="I51" s="1054">
        <v>46084</v>
      </c>
      <c r="J51" s="1054">
        <v>62803</v>
      </c>
      <c r="K51" s="1054">
        <v>108887</v>
      </c>
      <c r="L51" s="1054">
        <v>121781</v>
      </c>
      <c r="M51" s="1054">
        <v>136814</v>
      </c>
      <c r="N51" s="1054">
        <v>258595</v>
      </c>
    </row>
    <row r="52" spans="1:14" x14ac:dyDescent="0.35">
      <c r="A52" s="969"/>
      <c r="B52" s="512" t="s">
        <v>908</v>
      </c>
      <c r="C52" s="1054">
        <v>282785</v>
      </c>
      <c r="D52" s="1054">
        <v>304139</v>
      </c>
      <c r="E52" s="1054">
        <v>586924</v>
      </c>
      <c r="F52" s="1054">
        <v>37893</v>
      </c>
      <c r="G52" s="1054">
        <v>38995</v>
      </c>
      <c r="H52" s="1054">
        <v>76888</v>
      </c>
      <c r="I52" s="1054">
        <v>46644</v>
      </c>
      <c r="J52" s="1054">
        <v>59222</v>
      </c>
      <c r="K52" s="1054">
        <v>105866</v>
      </c>
      <c r="L52" s="1054">
        <v>122888</v>
      </c>
      <c r="M52" s="1054">
        <v>129965</v>
      </c>
      <c r="N52" s="1054">
        <v>252853</v>
      </c>
    </row>
    <row r="53" spans="1:14" x14ac:dyDescent="0.35">
      <c r="A53" s="968">
        <v>8</v>
      </c>
      <c r="B53" s="510" t="s">
        <v>19</v>
      </c>
      <c r="C53" s="1054"/>
      <c r="D53" s="1054"/>
      <c r="E53" s="1054"/>
      <c r="F53" s="1054"/>
      <c r="G53" s="1054"/>
      <c r="H53" s="1054"/>
      <c r="I53" s="1054"/>
      <c r="J53" s="1054"/>
      <c r="K53" s="1054"/>
      <c r="L53" s="1054"/>
      <c r="M53" s="1054"/>
      <c r="N53" s="1054"/>
    </row>
    <row r="54" spans="1:14" x14ac:dyDescent="0.35">
      <c r="A54" s="969"/>
      <c r="B54" s="511" t="s">
        <v>912</v>
      </c>
      <c r="C54" s="1054">
        <v>666944.70061022125</v>
      </c>
      <c r="D54" s="1054">
        <v>634816.27418637171</v>
      </c>
      <c r="E54" s="1054">
        <v>1301760.974796593</v>
      </c>
      <c r="F54" s="1054">
        <v>86877.313596491222</v>
      </c>
      <c r="G54" s="1054">
        <v>82742.875794558859</v>
      </c>
      <c r="H54" s="1054">
        <v>169620.18939105011</v>
      </c>
      <c r="I54" s="1054">
        <v>11192.52094457157</v>
      </c>
      <c r="J54" s="1054">
        <v>10169.725464022369</v>
      </c>
      <c r="K54" s="1054">
        <v>21362.24640859395</v>
      </c>
      <c r="L54" s="1054">
        <v>109989.3785596237</v>
      </c>
      <c r="M54" s="1054">
        <v>88479.41816043733</v>
      </c>
      <c r="N54" s="1054">
        <v>198468.79672006099</v>
      </c>
    </row>
    <row r="55" spans="1:14" x14ac:dyDescent="0.35">
      <c r="A55" s="969"/>
      <c r="B55" s="512" t="s">
        <v>911</v>
      </c>
      <c r="C55" s="1054">
        <v>585353</v>
      </c>
      <c r="D55" s="1054">
        <v>560037</v>
      </c>
      <c r="E55" s="1054">
        <v>1145390</v>
      </c>
      <c r="F55" s="1054">
        <v>81427</v>
      </c>
      <c r="G55" s="1054">
        <v>77126</v>
      </c>
      <c r="H55" s="1054">
        <v>158553</v>
      </c>
      <c r="I55" s="1054">
        <v>11197</v>
      </c>
      <c r="J55" s="1054">
        <v>9976</v>
      </c>
      <c r="K55" s="1054">
        <v>21173</v>
      </c>
      <c r="L55" s="1054">
        <v>100008</v>
      </c>
      <c r="M55" s="1054">
        <v>75996</v>
      </c>
      <c r="N55" s="1054">
        <v>176004</v>
      </c>
    </row>
    <row r="56" spans="1:14" x14ac:dyDescent="0.35">
      <c r="A56" s="969"/>
      <c r="B56" s="512" t="s">
        <v>910</v>
      </c>
      <c r="C56" s="1054">
        <v>564849</v>
      </c>
      <c r="D56" s="1054">
        <v>541422</v>
      </c>
      <c r="E56" s="1054">
        <v>1106271</v>
      </c>
      <c r="F56" s="1054">
        <v>58208</v>
      </c>
      <c r="G56" s="1054">
        <v>51061</v>
      </c>
      <c r="H56" s="1054">
        <v>109269</v>
      </c>
      <c r="I56" s="1054">
        <v>10597</v>
      </c>
      <c r="J56" s="1054">
        <v>8934</v>
      </c>
      <c r="K56" s="1054">
        <v>19531</v>
      </c>
      <c r="L56" s="1054">
        <v>90936</v>
      </c>
      <c r="M56" s="1054">
        <v>65976</v>
      </c>
      <c r="N56" s="1054">
        <v>156912</v>
      </c>
    </row>
    <row r="57" spans="1:14" x14ac:dyDescent="0.35">
      <c r="A57" s="969"/>
      <c r="B57" s="512" t="s">
        <v>909</v>
      </c>
      <c r="C57" s="1054">
        <v>578747</v>
      </c>
      <c r="D57" s="1054">
        <v>554109</v>
      </c>
      <c r="E57" s="1054">
        <v>1132856</v>
      </c>
      <c r="F57" s="1054">
        <v>80990</v>
      </c>
      <c r="G57" s="1054">
        <v>81296</v>
      </c>
      <c r="H57" s="1054">
        <v>162286</v>
      </c>
      <c r="I57" s="1054">
        <v>8315</v>
      </c>
      <c r="J57" s="1054">
        <v>7314</v>
      </c>
      <c r="K57" s="1054">
        <v>15629</v>
      </c>
      <c r="L57" s="1054">
        <v>108206</v>
      </c>
      <c r="M57" s="1054">
        <v>81721</v>
      </c>
      <c r="N57" s="1054">
        <v>189927</v>
      </c>
    </row>
    <row r="58" spans="1:14" x14ac:dyDescent="0.35">
      <c r="A58" s="969"/>
      <c r="B58" s="512" t="s">
        <v>908</v>
      </c>
      <c r="C58" s="1054">
        <v>549782</v>
      </c>
      <c r="D58" s="1054">
        <v>527774</v>
      </c>
      <c r="E58" s="1054">
        <v>1077556</v>
      </c>
      <c r="F58" s="1054">
        <v>74144</v>
      </c>
      <c r="G58" s="1054">
        <v>73583</v>
      </c>
      <c r="H58" s="1054">
        <v>147727</v>
      </c>
      <c r="I58" s="1054">
        <v>11244</v>
      </c>
      <c r="J58" s="1054">
        <v>9151</v>
      </c>
      <c r="K58" s="1054">
        <v>20395</v>
      </c>
      <c r="L58" s="1054">
        <v>90392</v>
      </c>
      <c r="M58" s="1054">
        <v>64796</v>
      </c>
      <c r="N58" s="1054">
        <v>155188</v>
      </c>
    </row>
    <row r="59" spans="1:14" x14ac:dyDescent="0.35">
      <c r="A59" s="968">
        <v>9</v>
      </c>
      <c r="B59" s="510" t="s">
        <v>20</v>
      </c>
      <c r="C59" s="1054"/>
      <c r="D59" s="1054"/>
      <c r="E59" s="1054"/>
      <c r="F59" s="1054"/>
      <c r="G59" s="1054"/>
      <c r="H59" s="1054"/>
      <c r="I59" s="1054"/>
      <c r="J59" s="1054"/>
      <c r="K59" s="1054"/>
      <c r="L59" s="1054"/>
      <c r="M59" s="1054"/>
      <c r="N59" s="1054"/>
    </row>
    <row r="60" spans="1:14" x14ac:dyDescent="0.35">
      <c r="A60" s="969"/>
      <c r="B60" s="511" t="s">
        <v>912</v>
      </c>
      <c r="C60" s="1054">
        <v>34621</v>
      </c>
      <c r="D60" s="1054">
        <v>31404</v>
      </c>
      <c r="E60" s="1054">
        <v>66025</v>
      </c>
      <c r="F60" s="1054">
        <v>857</v>
      </c>
      <c r="G60" s="1054">
        <v>620</v>
      </c>
      <c r="H60" s="1054">
        <v>1477</v>
      </c>
      <c r="I60" s="1054">
        <v>2061</v>
      </c>
      <c r="J60" s="1054">
        <v>2912</v>
      </c>
      <c r="K60" s="1054">
        <v>4973</v>
      </c>
      <c r="L60" s="1054">
        <v>5329</v>
      </c>
      <c r="M60" s="1054">
        <v>6014</v>
      </c>
      <c r="N60" s="1054">
        <v>11343</v>
      </c>
    </row>
    <row r="61" spans="1:14" x14ac:dyDescent="0.35">
      <c r="A61" s="969"/>
      <c r="B61" s="512" t="s">
        <v>911</v>
      </c>
      <c r="C61" s="1054">
        <v>35398</v>
      </c>
      <c r="D61" s="1054">
        <v>30017</v>
      </c>
      <c r="E61" s="1054">
        <v>65415</v>
      </c>
      <c r="F61" s="1054">
        <v>822</v>
      </c>
      <c r="G61" s="1054">
        <v>592</v>
      </c>
      <c r="H61" s="1054">
        <v>1414</v>
      </c>
      <c r="I61" s="1054">
        <v>2106</v>
      </c>
      <c r="J61" s="1054">
        <v>2783</v>
      </c>
      <c r="K61" s="1054">
        <v>4889</v>
      </c>
      <c r="L61" s="1054">
        <v>5182</v>
      </c>
      <c r="M61" s="1054">
        <v>5690</v>
      </c>
      <c r="N61" s="1054">
        <v>10872</v>
      </c>
    </row>
    <row r="62" spans="1:14" x14ac:dyDescent="0.35">
      <c r="A62" s="969"/>
      <c r="B62" s="512" t="s">
        <v>910</v>
      </c>
      <c r="C62" s="1054">
        <v>29404</v>
      </c>
      <c r="D62" s="1054">
        <v>30881</v>
      </c>
      <c r="E62" s="1054">
        <v>60285</v>
      </c>
      <c r="F62" s="1054">
        <v>899</v>
      </c>
      <c r="G62" s="1054">
        <v>674</v>
      </c>
      <c r="H62" s="1054">
        <v>1573</v>
      </c>
      <c r="I62" s="1054">
        <v>2088</v>
      </c>
      <c r="J62" s="1054">
        <v>2756</v>
      </c>
      <c r="K62" s="1054">
        <v>4844</v>
      </c>
      <c r="L62" s="1054">
        <v>5615</v>
      </c>
      <c r="M62" s="1054">
        <v>6104</v>
      </c>
      <c r="N62" s="1054">
        <v>11719</v>
      </c>
    </row>
    <row r="63" spans="1:14" x14ac:dyDescent="0.35">
      <c r="A63" s="969"/>
      <c r="B63" s="512" t="s">
        <v>909</v>
      </c>
      <c r="C63" s="1054">
        <v>25055</v>
      </c>
      <c r="D63" s="1054">
        <v>27727</v>
      </c>
      <c r="E63" s="1054">
        <v>52782</v>
      </c>
      <c r="F63" s="1054">
        <v>555</v>
      </c>
      <c r="G63" s="1054">
        <v>540</v>
      </c>
      <c r="H63" s="1054">
        <v>1095</v>
      </c>
      <c r="I63" s="1054">
        <v>1850</v>
      </c>
      <c r="J63" s="1054">
        <v>2652</v>
      </c>
      <c r="K63" s="1054">
        <v>4502</v>
      </c>
      <c r="L63" s="1054">
        <v>4089</v>
      </c>
      <c r="M63" s="1054">
        <v>5499</v>
      </c>
      <c r="N63" s="1054">
        <v>9588</v>
      </c>
    </row>
    <row r="64" spans="1:14" x14ac:dyDescent="0.35">
      <c r="A64" s="969"/>
      <c r="B64" s="512" t="s">
        <v>908</v>
      </c>
      <c r="C64" s="1054">
        <v>26967</v>
      </c>
      <c r="D64" s="1054">
        <v>27713</v>
      </c>
      <c r="E64" s="1054">
        <v>54680</v>
      </c>
      <c r="F64" s="1054">
        <v>552</v>
      </c>
      <c r="G64" s="1054">
        <v>514</v>
      </c>
      <c r="H64" s="1054">
        <v>1066</v>
      </c>
      <c r="I64" s="1054">
        <v>1992</v>
      </c>
      <c r="J64" s="1054">
        <v>2622</v>
      </c>
      <c r="K64" s="1054">
        <v>4614</v>
      </c>
      <c r="L64" s="1054">
        <v>4341</v>
      </c>
      <c r="M64" s="1054">
        <v>5398</v>
      </c>
      <c r="N64" s="1054">
        <v>9739</v>
      </c>
    </row>
    <row r="65" spans="1:14" x14ac:dyDescent="0.35">
      <c r="A65" s="968">
        <v>10</v>
      </c>
      <c r="B65" s="510" t="s">
        <v>21</v>
      </c>
      <c r="C65" s="1054"/>
      <c r="D65" s="1054"/>
      <c r="E65" s="1054"/>
      <c r="F65" s="1054"/>
      <c r="G65" s="1054"/>
      <c r="H65" s="1054"/>
      <c r="I65" s="1054"/>
      <c r="J65" s="1054"/>
      <c r="K65" s="1054"/>
      <c r="L65" s="1054"/>
      <c r="M65" s="1054"/>
      <c r="N65" s="1054"/>
    </row>
    <row r="66" spans="1:14" x14ac:dyDescent="0.35">
      <c r="A66" s="969"/>
      <c r="B66" s="511" t="s">
        <v>912</v>
      </c>
      <c r="C66" s="1054">
        <v>1044778</v>
      </c>
      <c r="D66" s="1054">
        <v>842763</v>
      </c>
      <c r="E66" s="1054">
        <v>1887541</v>
      </c>
      <c r="F66" s="1054">
        <v>98208</v>
      </c>
      <c r="G66" s="1054">
        <v>83087</v>
      </c>
      <c r="H66" s="1054">
        <v>181295</v>
      </c>
      <c r="I66" s="1054">
        <v>109208</v>
      </c>
      <c r="J66" s="1054">
        <v>115440</v>
      </c>
      <c r="K66" s="1054">
        <v>224648</v>
      </c>
      <c r="L66" s="1054">
        <v>348289</v>
      </c>
      <c r="M66" s="1054">
        <v>261493</v>
      </c>
      <c r="N66" s="1054">
        <v>609782</v>
      </c>
    </row>
    <row r="67" spans="1:14" x14ac:dyDescent="0.35">
      <c r="A67" s="969"/>
      <c r="B67" s="512" t="s">
        <v>911</v>
      </c>
      <c r="C67" s="1054">
        <v>1009666</v>
      </c>
      <c r="D67" s="1054">
        <v>787996</v>
      </c>
      <c r="E67" s="1054">
        <v>1797662</v>
      </c>
      <c r="F67" s="1054">
        <v>95144</v>
      </c>
      <c r="G67" s="1054">
        <v>76178</v>
      </c>
      <c r="H67" s="1054">
        <v>171322</v>
      </c>
      <c r="I67" s="1054">
        <v>101665</v>
      </c>
      <c r="J67" s="1054">
        <v>102861</v>
      </c>
      <c r="K67" s="1054">
        <v>204526</v>
      </c>
      <c r="L67" s="1054">
        <v>340381</v>
      </c>
      <c r="M67" s="1054">
        <v>244776</v>
      </c>
      <c r="N67" s="1054">
        <v>585157</v>
      </c>
    </row>
    <row r="68" spans="1:14" x14ac:dyDescent="0.35">
      <c r="A68" s="969"/>
      <c r="B68" s="512" t="s">
        <v>910</v>
      </c>
      <c r="C68" s="1054">
        <v>938144</v>
      </c>
      <c r="D68" s="1054">
        <v>714986</v>
      </c>
      <c r="E68" s="1054">
        <v>1653130</v>
      </c>
      <c r="F68" s="1054">
        <v>84815</v>
      </c>
      <c r="G68" s="1054">
        <v>65967</v>
      </c>
      <c r="H68" s="1054">
        <v>150782</v>
      </c>
      <c r="I68" s="1054">
        <v>89913</v>
      </c>
      <c r="J68" s="1054">
        <v>87551</v>
      </c>
      <c r="K68" s="1054">
        <v>177464</v>
      </c>
      <c r="L68" s="1054">
        <v>294584</v>
      </c>
      <c r="M68" s="1054">
        <v>207275</v>
      </c>
      <c r="N68" s="1054">
        <v>501859</v>
      </c>
    </row>
    <row r="69" spans="1:14" x14ac:dyDescent="0.35">
      <c r="A69" s="969"/>
      <c r="B69" s="512" t="s">
        <v>909</v>
      </c>
      <c r="C69" s="1054">
        <v>864967</v>
      </c>
      <c r="D69" s="1054">
        <v>679873</v>
      </c>
      <c r="E69" s="1054">
        <v>1544840</v>
      </c>
      <c r="F69" s="1054">
        <v>78255</v>
      </c>
      <c r="G69" s="1054">
        <v>63324</v>
      </c>
      <c r="H69" s="1054">
        <v>141579</v>
      </c>
      <c r="I69" s="1054">
        <v>79347</v>
      </c>
      <c r="J69" s="1054">
        <v>81512</v>
      </c>
      <c r="K69" s="1054">
        <v>160859</v>
      </c>
      <c r="L69" s="1054">
        <v>283069</v>
      </c>
      <c r="M69" s="1054">
        <v>203627</v>
      </c>
      <c r="N69" s="1054">
        <v>486696</v>
      </c>
    </row>
    <row r="70" spans="1:14" x14ac:dyDescent="0.35">
      <c r="A70" s="969"/>
      <c r="B70" s="512" t="s">
        <v>908</v>
      </c>
      <c r="C70" s="1054">
        <v>832946</v>
      </c>
      <c r="D70" s="1054">
        <v>645106</v>
      </c>
      <c r="E70" s="1054">
        <v>1478052</v>
      </c>
      <c r="F70" s="1054">
        <v>77192</v>
      </c>
      <c r="G70" s="1054">
        <v>61009</v>
      </c>
      <c r="H70" s="1054">
        <v>138201</v>
      </c>
      <c r="I70" s="1054">
        <v>72369</v>
      </c>
      <c r="J70" s="1054">
        <v>72197</v>
      </c>
      <c r="K70" s="1054">
        <v>144566</v>
      </c>
      <c r="L70" s="1054">
        <v>261824</v>
      </c>
      <c r="M70" s="1054">
        <v>185616</v>
      </c>
      <c r="N70" s="1054">
        <v>447440</v>
      </c>
    </row>
    <row r="71" spans="1:14" x14ac:dyDescent="0.35">
      <c r="A71" s="968">
        <v>11</v>
      </c>
      <c r="B71" s="510" t="s">
        <v>22</v>
      </c>
      <c r="C71" s="1054"/>
      <c r="D71" s="1054"/>
      <c r="E71" s="1054"/>
      <c r="F71" s="1054"/>
      <c r="G71" s="1054"/>
      <c r="H71" s="1054"/>
      <c r="I71" s="1054"/>
      <c r="J71" s="1054"/>
      <c r="K71" s="1054"/>
      <c r="L71" s="1054"/>
      <c r="M71" s="1054"/>
      <c r="N71" s="1054"/>
    </row>
    <row r="72" spans="1:14" x14ac:dyDescent="0.35">
      <c r="A72" s="969"/>
      <c r="B72" s="511" t="s">
        <v>912</v>
      </c>
      <c r="C72" s="1054">
        <v>554551</v>
      </c>
      <c r="D72" s="1054">
        <v>591011</v>
      </c>
      <c r="E72" s="1054">
        <v>1145562</v>
      </c>
      <c r="F72" s="1054">
        <v>90479</v>
      </c>
      <c r="G72" s="1054">
        <v>102294</v>
      </c>
      <c r="H72" s="1054">
        <v>192773</v>
      </c>
      <c r="I72" s="1054">
        <v>2830</v>
      </c>
      <c r="J72" s="1054">
        <v>2033</v>
      </c>
      <c r="K72" s="1054">
        <v>4863</v>
      </c>
      <c r="L72" s="1054">
        <v>130635</v>
      </c>
      <c r="M72" s="1054">
        <v>136898</v>
      </c>
      <c r="N72" s="1054">
        <v>267533</v>
      </c>
    </row>
    <row r="73" spans="1:14" x14ac:dyDescent="0.35">
      <c r="A73" s="969"/>
      <c r="B73" s="512" t="s">
        <v>911</v>
      </c>
      <c r="C73" s="1054">
        <v>542146</v>
      </c>
      <c r="D73" s="1054">
        <v>562386</v>
      </c>
      <c r="E73" s="1054">
        <v>1104532</v>
      </c>
      <c r="F73" s="1054">
        <v>92355</v>
      </c>
      <c r="G73" s="1054">
        <v>93635</v>
      </c>
      <c r="H73" s="1054">
        <v>185990</v>
      </c>
      <c r="I73" s="1054">
        <v>3153</v>
      </c>
      <c r="J73" s="1054">
        <v>2027</v>
      </c>
      <c r="K73" s="1054">
        <v>5180</v>
      </c>
      <c r="L73" s="1054">
        <v>126050</v>
      </c>
      <c r="M73" s="1054">
        <v>127165</v>
      </c>
      <c r="N73" s="1054">
        <v>253215</v>
      </c>
    </row>
    <row r="74" spans="1:14" x14ac:dyDescent="0.35">
      <c r="A74" s="969"/>
      <c r="B74" s="512" t="s">
        <v>910</v>
      </c>
      <c r="C74" s="1054">
        <v>517813</v>
      </c>
      <c r="D74" s="1054">
        <v>511346</v>
      </c>
      <c r="E74" s="1054">
        <v>1029159</v>
      </c>
      <c r="F74" s="1054">
        <v>78157</v>
      </c>
      <c r="G74" s="1054">
        <v>76128</v>
      </c>
      <c r="H74" s="1054">
        <v>154285</v>
      </c>
      <c r="I74" s="1054">
        <v>2799</v>
      </c>
      <c r="J74" s="1054">
        <v>1776</v>
      </c>
      <c r="K74" s="1054">
        <v>4575</v>
      </c>
      <c r="L74" s="1054">
        <v>116069</v>
      </c>
      <c r="M74" s="1054">
        <v>109671</v>
      </c>
      <c r="N74" s="1054">
        <v>225740</v>
      </c>
    </row>
    <row r="75" spans="1:14" x14ac:dyDescent="0.35">
      <c r="A75" s="969"/>
      <c r="B75" s="512" t="s">
        <v>909</v>
      </c>
      <c r="C75" s="1054">
        <v>460487</v>
      </c>
      <c r="D75" s="1054">
        <v>473054</v>
      </c>
      <c r="E75" s="1054">
        <v>933541</v>
      </c>
      <c r="F75" s="1054">
        <v>64017</v>
      </c>
      <c r="G75" s="1054">
        <v>65958</v>
      </c>
      <c r="H75" s="1054">
        <v>129975</v>
      </c>
      <c r="I75" s="1054">
        <v>1795</v>
      </c>
      <c r="J75" s="1054">
        <v>1240</v>
      </c>
      <c r="K75" s="1054">
        <v>3035</v>
      </c>
      <c r="L75" s="1054">
        <v>103486</v>
      </c>
      <c r="M75" s="1054">
        <v>104970</v>
      </c>
      <c r="N75" s="1054">
        <v>208456</v>
      </c>
    </row>
    <row r="76" spans="1:14" x14ac:dyDescent="0.35">
      <c r="A76" s="969"/>
      <c r="B76" s="512" t="s">
        <v>908</v>
      </c>
      <c r="C76" s="1054">
        <v>457289</v>
      </c>
      <c r="D76" s="1054">
        <v>471604</v>
      </c>
      <c r="E76" s="1054">
        <v>928893</v>
      </c>
      <c r="F76" s="1054">
        <v>67317</v>
      </c>
      <c r="G76" s="1054">
        <v>67451</v>
      </c>
      <c r="H76" s="1054">
        <v>134768</v>
      </c>
      <c r="I76" s="1054">
        <v>1757</v>
      </c>
      <c r="J76" s="1054">
        <v>1028</v>
      </c>
      <c r="K76" s="1054">
        <v>2785</v>
      </c>
      <c r="L76" s="1054">
        <v>105567</v>
      </c>
      <c r="M76" s="1054">
        <v>108534</v>
      </c>
      <c r="N76" s="1054">
        <v>214101</v>
      </c>
    </row>
    <row r="77" spans="1:14" x14ac:dyDescent="0.35">
      <c r="A77" s="968">
        <v>12</v>
      </c>
      <c r="B77" s="510" t="s">
        <v>23</v>
      </c>
      <c r="C77" s="1054"/>
      <c r="D77" s="1054"/>
      <c r="E77" s="1054"/>
      <c r="F77" s="1054"/>
      <c r="G77" s="1054"/>
      <c r="H77" s="1054"/>
      <c r="I77" s="1054"/>
      <c r="J77" s="1054"/>
      <c r="K77" s="1054"/>
      <c r="L77" s="1054"/>
      <c r="M77" s="1054"/>
      <c r="N77" s="1054"/>
    </row>
    <row r="78" spans="1:14" x14ac:dyDescent="0.35">
      <c r="A78" s="969"/>
      <c r="B78" s="511" t="s">
        <v>912</v>
      </c>
      <c r="C78" s="1054">
        <v>150177.90572196621</v>
      </c>
      <c r="D78" s="1054">
        <v>173589.60841493859</v>
      </c>
      <c r="E78" s="1054">
        <v>323767.51413690468</v>
      </c>
      <c r="F78" s="1054">
        <v>30091.408530145931</v>
      </c>
      <c r="G78" s="1054">
        <v>36603.609158986183</v>
      </c>
      <c r="H78" s="1054">
        <v>66695.017689132103</v>
      </c>
      <c r="I78" s="1054">
        <v>8096.1502016129034</v>
      </c>
      <c r="J78" s="1054">
        <v>10075.847230222729</v>
      </c>
      <c r="K78" s="1054">
        <v>18171.99743183564</v>
      </c>
      <c r="L78" s="1054">
        <v>19305.502976190481</v>
      </c>
      <c r="M78" s="1054">
        <v>25377.331557219659</v>
      </c>
      <c r="N78" s="1054">
        <v>44682.83453341014</v>
      </c>
    </row>
    <row r="79" spans="1:14" x14ac:dyDescent="0.35">
      <c r="A79" s="969"/>
      <c r="B79" s="512" t="s">
        <v>911</v>
      </c>
      <c r="C79" s="1054">
        <v>147143</v>
      </c>
      <c r="D79" s="1054">
        <v>172508</v>
      </c>
      <c r="E79" s="1054">
        <v>319651</v>
      </c>
      <c r="F79" s="1054">
        <v>30001</v>
      </c>
      <c r="G79" s="1054">
        <v>36535</v>
      </c>
      <c r="H79" s="1054">
        <v>66536</v>
      </c>
      <c r="I79" s="1054">
        <v>8689</v>
      </c>
      <c r="J79" s="1054">
        <v>10609</v>
      </c>
      <c r="K79" s="1054">
        <v>19298</v>
      </c>
      <c r="L79" s="1054">
        <v>18959</v>
      </c>
      <c r="M79" s="1054">
        <v>25173</v>
      </c>
      <c r="N79" s="1054">
        <v>44132</v>
      </c>
    </row>
    <row r="80" spans="1:14" x14ac:dyDescent="0.35">
      <c r="A80" s="969"/>
      <c r="B80" s="512" t="s">
        <v>910</v>
      </c>
      <c r="C80" s="1054">
        <v>133196</v>
      </c>
      <c r="D80" s="1054">
        <v>156389</v>
      </c>
      <c r="E80" s="1054">
        <v>289585</v>
      </c>
      <c r="F80" s="1054">
        <v>25382</v>
      </c>
      <c r="G80" s="1054">
        <v>30990</v>
      </c>
      <c r="H80" s="1054">
        <v>56372</v>
      </c>
      <c r="I80" s="1054">
        <v>7967</v>
      </c>
      <c r="J80" s="1054">
        <v>9353</v>
      </c>
      <c r="K80" s="1054">
        <v>17320</v>
      </c>
      <c r="L80" s="1054">
        <v>16132</v>
      </c>
      <c r="M80" s="1054">
        <v>21501</v>
      </c>
      <c r="N80" s="1054">
        <v>37633</v>
      </c>
    </row>
    <row r="81" spans="1:14" x14ac:dyDescent="0.35">
      <c r="A81" s="969"/>
      <c r="B81" s="512" t="s">
        <v>909</v>
      </c>
      <c r="C81" s="1054">
        <v>132231</v>
      </c>
      <c r="D81" s="1054">
        <v>157257</v>
      </c>
      <c r="E81" s="1054">
        <v>289488</v>
      </c>
      <c r="F81" s="1054">
        <v>24422</v>
      </c>
      <c r="G81" s="1054">
        <v>30850</v>
      </c>
      <c r="H81" s="1054">
        <v>55272</v>
      </c>
      <c r="I81" s="1054">
        <v>7555</v>
      </c>
      <c r="J81" s="1054">
        <v>9179</v>
      </c>
      <c r="K81" s="1054">
        <v>16734</v>
      </c>
      <c r="L81" s="1054">
        <v>16277</v>
      </c>
      <c r="M81" s="1054">
        <v>22529</v>
      </c>
      <c r="N81" s="1054">
        <v>38806</v>
      </c>
    </row>
    <row r="82" spans="1:14" x14ac:dyDescent="0.35">
      <c r="A82" s="969"/>
      <c r="B82" s="512" t="s">
        <v>908</v>
      </c>
      <c r="C82" s="1054">
        <v>129449</v>
      </c>
      <c r="D82" s="1054">
        <v>154411</v>
      </c>
      <c r="E82" s="1054">
        <v>283860</v>
      </c>
      <c r="F82" s="1054">
        <v>24684</v>
      </c>
      <c r="G82" s="1054">
        <v>30277</v>
      </c>
      <c r="H82" s="1054">
        <v>54961</v>
      </c>
      <c r="I82" s="1054">
        <v>7550</v>
      </c>
      <c r="J82" s="1054">
        <v>9078</v>
      </c>
      <c r="K82" s="1054">
        <v>16628</v>
      </c>
      <c r="L82" s="1054">
        <v>16236</v>
      </c>
      <c r="M82" s="1054">
        <v>22758</v>
      </c>
      <c r="N82" s="1054">
        <v>38994</v>
      </c>
    </row>
    <row r="83" spans="1:14" x14ac:dyDescent="0.35">
      <c r="A83" s="968">
        <v>13</v>
      </c>
      <c r="B83" s="510" t="s">
        <v>24</v>
      </c>
      <c r="C83" s="1054"/>
      <c r="D83" s="1054"/>
      <c r="E83" s="1054"/>
      <c r="F83" s="1054"/>
      <c r="G83" s="1054"/>
      <c r="H83" s="1054"/>
      <c r="I83" s="1054"/>
      <c r="J83" s="1054"/>
      <c r="K83" s="1054"/>
      <c r="L83" s="1054"/>
      <c r="M83" s="1054"/>
      <c r="N83" s="1054"/>
    </row>
    <row r="84" spans="1:14" x14ac:dyDescent="0.35">
      <c r="A84" s="969"/>
      <c r="B84" s="511" t="s">
        <v>912</v>
      </c>
      <c r="C84" s="1054">
        <v>190325</v>
      </c>
      <c r="D84" s="1054">
        <v>205986</v>
      </c>
      <c r="E84" s="1054">
        <v>396311</v>
      </c>
      <c r="F84" s="1054">
        <v>12493</v>
      </c>
      <c r="G84" s="1054">
        <v>14327</v>
      </c>
      <c r="H84" s="1054">
        <v>26820</v>
      </c>
      <c r="I84" s="1054">
        <v>15644</v>
      </c>
      <c r="J84" s="1054">
        <v>13318</v>
      </c>
      <c r="K84" s="1054">
        <v>28962</v>
      </c>
      <c r="L84" s="1054">
        <v>16473</v>
      </c>
      <c r="M84" s="1054">
        <v>13742</v>
      </c>
      <c r="N84" s="1054">
        <v>30215</v>
      </c>
    </row>
    <row r="85" spans="1:14" x14ac:dyDescent="0.35">
      <c r="A85" s="969"/>
      <c r="B85" s="512" t="s">
        <v>911</v>
      </c>
      <c r="C85" s="1054">
        <v>192954</v>
      </c>
      <c r="D85" s="1054">
        <v>207469</v>
      </c>
      <c r="E85" s="1054">
        <v>400423</v>
      </c>
      <c r="F85" s="1054">
        <v>12952</v>
      </c>
      <c r="G85" s="1054">
        <v>13915</v>
      </c>
      <c r="H85" s="1054">
        <v>26867</v>
      </c>
      <c r="I85" s="1054">
        <v>16001</v>
      </c>
      <c r="J85" s="1054">
        <v>12770</v>
      </c>
      <c r="K85" s="1054">
        <v>28771</v>
      </c>
      <c r="L85" s="1054">
        <v>15593</v>
      </c>
      <c r="M85" s="1054">
        <v>13361</v>
      </c>
      <c r="N85" s="1054">
        <v>28954</v>
      </c>
    </row>
    <row r="86" spans="1:14" x14ac:dyDescent="0.35">
      <c r="A86" s="969"/>
      <c r="B86" s="512" t="s">
        <v>910</v>
      </c>
      <c r="C86" s="1054">
        <v>193476</v>
      </c>
      <c r="D86" s="1054">
        <v>205378</v>
      </c>
      <c r="E86" s="1054">
        <v>398854</v>
      </c>
      <c r="F86" s="1054">
        <v>10549</v>
      </c>
      <c r="G86" s="1054">
        <v>11892</v>
      </c>
      <c r="H86" s="1054">
        <v>22441</v>
      </c>
      <c r="I86" s="1054">
        <v>13607</v>
      </c>
      <c r="J86" s="1054">
        <v>11126</v>
      </c>
      <c r="K86" s="1054">
        <v>24733</v>
      </c>
      <c r="L86" s="1054">
        <v>14281</v>
      </c>
      <c r="M86" s="1054">
        <v>12033</v>
      </c>
      <c r="N86" s="1054">
        <v>26314</v>
      </c>
    </row>
    <row r="87" spans="1:14" x14ac:dyDescent="0.35">
      <c r="A87" s="969"/>
      <c r="B87" s="512" t="s">
        <v>909</v>
      </c>
      <c r="C87" s="1054">
        <v>199249</v>
      </c>
      <c r="D87" s="1054">
        <v>196167</v>
      </c>
      <c r="E87" s="1054">
        <v>395416</v>
      </c>
      <c r="F87" s="1054">
        <v>9302</v>
      </c>
      <c r="G87" s="1054">
        <v>11703</v>
      </c>
      <c r="H87" s="1054">
        <v>21005</v>
      </c>
      <c r="I87" s="1054">
        <v>12261</v>
      </c>
      <c r="J87" s="1054">
        <v>10081</v>
      </c>
      <c r="K87" s="1054">
        <v>22342</v>
      </c>
      <c r="L87" s="1054">
        <v>14636</v>
      </c>
      <c r="M87" s="1054">
        <v>11364</v>
      </c>
      <c r="N87" s="1054">
        <v>26000</v>
      </c>
    </row>
    <row r="88" spans="1:14" x14ac:dyDescent="0.35">
      <c r="A88" s="969"/>
      <c r="B88" s="512" t="s">
        <v>908</v>
      </c>
      <c r="C88" s="1054">
        <v>195270</v>
      </c>
      <c r="D88" s="1054">
        <v>198829</v>
      </c>
      <c r="E88" s="1054">
        <v>394099</v>
      </c>
      <c r="F88" s="1054">
        <v>9739</v>
      </c>
      <c r="G88" s="1054">
        <v>11673</v>
      </c>
      <c r="H88" s="1054">
        <v>21412</v>
      </c>
      <c r="I88" s="1054">
        <v>13031</v>
      </c>
      <c r="J88" s="1054">
        <v>11831</v>
      </c>
      <c r="K88" s="1054">
        <v>24862</v>
      </c>
      <c r="L88" s="1054">
        <v>14633</v>
      </c>
      <c r="M88" s="1054">
        <v>11736</v>
      </c>
      <c r="N88" s="1054">
        <v>26369</v>
      </c>
    </row>
    <row r="89" spans="1:14" x14ac:dyDescent="0.35">
      <c r="A89" s="968">
        <v>14</v>
      </c>
      <c r="B89" s="510" t="s">
        <v>25</v>
      </c>
      <c r="C89" s="1054"/>
      <c r="D89" s="1054"/>
      <c r="E89" s="1054"/>
      <c r="F89" s="1054"/>
      <c r="G89" s="1054"/>
      <c r="H89" s="1054"/>
      <c r="I89" s="1054"/>
      <c r="J89" s="1054"/>
      <c r="K89" s="1054"/>
      <c r="L89" s="1054"/>
      <c r="M89" s="1054"/>
      <c r="N89" s="1054"/>
    </row>
    <row r="90" spans="1:14" x14ac:dyDescent="0.35">
      <c r="A90" s="969"/>
      <c r="B90" s="511" t="s">
        <v>912</v>
      </c>
      <c r="C90" s="1054">
        <v>450826</v>
      </c>
      <c r="D90" s="1054">
        <v>449954</v>
      </c>
      <c r="E90" s="1054">
        <v>900780</v>
      </c>
      <c r="F90" s="1054">
        <v>44920</v>
      </c>
      <c r="G90" s="1054">
        <v>39857</v>
      </c>
      <c r="H90" s="1054">
        <v>84777</v>
      </c>
      <c r="I90" s="1054">
        <v>79061</v>
      </c>
      <c r="J90" s="1054">
        <v>101701</v>
      </c>
      <c r="K90" s="1054">
        <v>180762</v>
      </c>
      <c r="L90" s="1054">
        <v>193387</v>
      </c>
      <c r="M90" s="1054">
        <v>185986</v>
      </c>
      <c r="N90" s="1054">
        <v>379373</v>
      </c>
    </row>
    <row r="91" spans="1:14" x14ac:dyDescent="0.35">
      <c r="A91" s="969"/>
      <c r="B91" s="512" t="s">
        <v>911</v>
      </c>
      <c r="C91" s="1054">
        <v>450106</v>
      </c>
      <c r="D91" s="1054">
        <v>429859</v>
      </c>
      <c r="E91" s="1054">
        <v>879965</v>
      </c>
      <c r="F91" s="1054">
        <v>45691</v>
      </c>
      <c r="G91" s="1054">
        <v>37065</v>
      </c>
      <c r="H91" s="1054">
        <v>82756</v>
      </c>
      <c r="I91" s="1054">
        <v>76826</v>
      </c>
      <c r="J91" s="1054">
        <v>91503</v>
      </c>
      <c r="K91" s="1054">
        <v>168329</v>
      </c>
      <c r="L91" s="1054">
        <v>187445</v>
      </c>
      <c r="M91" s="1054">
        <v>172605</v>
      </c>
      <c r="N91" s="1054">
        <v>360050</v>
      </c>
    </row>
    <row r="92" spans="1:14" x14ac:dyDescent="0.35">
      <c r="A92" s="969"/>
      <c r="B92" s="512" t="s">
        <v>910</v>
      </c>
      <c r="C92" s="1054">
        <v>393349</v>
      </c>
      <c r="D92" s="1054">
        <v>393338</v>
      </c>
      <c r="E92" s="1054">
        <v>786687</v>
      </c>
      <c r="F92" s="1054">
        <v>38118</v>
      </c>
      <c r="G92" s="1054">
        <v>33279</v>
      </c>
      <c r="H92" s="1054">
        <v>71397</v>
      </c>
      <c r="I92" s="1054">
        <v>66777</v>
      </c>
      <c r="J92" s="1054">
        <v>80751</v>
      </c>
      <c r="K92" s="1054">
        <v>147528</v>
      </c>
      <c r="L92" s="1054">
        <v>154440</v>
      </c>
      <c r="M92" s="1054">
        <v>149715</v>
      </c>
      <c r="N92" s="1054">
        <v>304155</v>
      </c>
    </row>
    <row r="93" spans="1:14" x14ac:dyDescent="0.35">
      <c r="A93" s="969"/>
      <c r="B93" s="512" t="s">
        <v>909</v>
      </c>
      <c r="C93" s="1054">
        <v>408859</v>
      </c>
      <c r="D93" s="1054">
        <v>408701</v>
      </c>
      <c r="E93" s="1054">
        <v>817560</v>
      </c>
      <c r="F93" s="1054">
        <v>39061</v>
      </c>
      <c r="G93" s="1054">
        <v>33841</v>
      </c>
      <c r="H93" s="1054">
        <v>72902</v>
      </c>
      <c r="I93" s="1054">
        <v>68787</v>
      </c>
      <c r="J93" s="1054">
        <v>84739</v>
      </c>
      <c r="K93" s="1054">
        <v>153526</v>
      </c>
      <c r="L93" s="1054">
        <v>170328</v>
      </c>
      <c r="M93" s="1054">
        <v>161304</v>
      </c>
      <c r="N93" s="1054">
        <v>331632</v>
      </c>
    </row>
    <row r="94" spans="1:14" x14ac:dyDescent="0.35">
      <c r="A94" s="969"/>
      <c r="B94" s="512" t="s">
        <v>908</v>
      </c>
      <c r="C94" s="1054">
        <v>377741</v>
      </c>
      <c r="D94" s="1054">
        <v>361743</v>
      </c>
      <c r="E94" s="1054">
        <v>739484</v>
      </c>
      <c r="F94" s="1054">
        <v>39314</v>
      </c>
      <c r="G94" s="1054">
        <v>33723</v>
      </c>
      <c r="H94" s="1054">
        <v>73037</v>
      </c>
      <c r="I94" s="1054">
        <v>62774</v>
      </c>
      <c r="J94" s="1054">
        <v>73610</v>
      </c>
      <c r="K94" s="1054">
        <v>136384</v>
      </c>
      <c r="L94" s="1054">
        <v>151098</v>
      </c>
      <c r="M94" s="1054">
        <v>142185</v>
      </c>
      <c r="N94" s="1054">
        <v>293283</v>
      </c>
    </row>
    <row r="95" spans="1:14" x14ac:dyDescent="0.35">
      <c r="A95" s="968">
        <v>15</v>
      </c>
      <c r="B95" s="510" t="s">
        <v>26</v>
      </c>
      <c r="C95" s="1054"/>
      <c r="D95" s="1054"/>
      <c r="E95" s="1054"/>
      <c r="F95" s="1054"/>
      <c r="G95" s="1054"/>
      <c r="H95" s="1054"/>
      <c r="I95" s="1054"/>
      <c r="J95" s="1054"/>
      <c r="K95" s="1054"/>
      <c r="L95" s="1054"/>
      <c r="M95" s="1054"/>
      <c r="N95" s="1054"/>
    </row>
    <row r="96" spans="1:14" x14ac:dyDescent="0.35">
      <c r="A96" s="969"/>
      <c r="B96" s="511" t="s">
        <v>912</v>
      </c>
      <c r="C96" s="1054">
        <v>1354809.498212181</v>
      </c>
      <c r="D96" s="1054">
        <v>1283554.343029592</v>
      </c>
      <c r="E96" s="1054">
        <v>2638363.8412417732</v>
      </c>
      <c r="F96" s="1054">
        <v>200183.16122696639</v>
      </c>
      <c r="G96" s="1054">
        <v>172774.03481140171</v>
      </c>
      <c r="H96" s="1054">
        <v>372957.19603836822</v>
      </c>
      <c r="I96" s="1054">
        <v>78013.764236896168</v>
      </c>
      <c r="J96" s="1054">
        <v>69202.285166291884</v>
      </c>
      <c r="K96" s="1054">
        <v>147216.04940318811</v>
      </c>
      <c r="L96" s="1054">
        <v>663546.95066277287</v>
      </c>
      <c r="M96" s="1054">
        <v>637656.5250365251</v>
      </c>
      <c r="N96" s="1054">
        <v>1301203.4756992981</v>
      </c>
    </row>
    <row r="97" spans="1:14" x14ac:dyDescent="0.35">
      <c r="A97" s="969"/>
      <c r="B97" s="512" t="s">
        <v>911</v>
      </c>
      <c r="C97" s="1054">
        <v>1258004</v>
      </c>
      <c r="D97" s="1054">
        <v>1178536</v>
      </c>
      <c r="E97" s="1054">
        <v>2436540</v>
      </c>
      <c r="F97" s="1054">
        <v>177617</v>
      </c>
      <c r="G97" s="1054">
        <v>158281</v>
      </c>
      <c r="H97" s="1054">
        <v>335898</v>
      </c>
      <c r="I97" s="1054">
        <v>66315</v>
      </c>
      <c r="J97" s="1054">
        <v>59233</v>
      </c>
      <c r="K97" s="1054">
        <v>125548</v>
      </c>
      <c r="L97" s="1054">
        <v>620133</v>
      </c>
      <c r="M97" s="1054">
        <v>587035</v>
      </c>
      <c r="N97" s="1054">
        <v>1207168</v>
      </c>
    </row>
    <row r="98" spans="1:14" x14ac:dyDescent="0.35">
      <c r="A98" s="969"/>
      <c r="B98" s="512" t="s">
        <v>910</v>
      </c>
      <c r="C98" s="1054">
        <v>1223601</v>
      </c>
      <c r="D98" s="1054">
        <v>1216836</v>
      </c>
      <c r="E98" s="1054">
        <v>2440437</v>
      </c>
      <c r="F98" s="1054">
        <v>157702</v>
      </c>
      <c r="G98" s="1054">
        <v>154146</v>
      </c>
      <c r="H98" s="1054">
        <v>311848</v>
      </c>
      <c r="I98" s="1054">
        <v>58644</v>
      </c>
      <c r="J98" s="1054">
        <v>56327</v>
      </c>
      <c r="K98" s="1054">
        <v>114971</v>
      </c>
      <c r="L98" s="1054">
        <v>565089</v>
      </c>
      <c r="M98" s="1054">
        <v>573864</v>
      </c>
      <c r="N98" s="1054">
        <v>1138953</v>
      </c>
    </row>
    <row r="99" spans="1:14" x14ac:dyDescent="0.35">
      <c r="A99" s="969"/>
      <c r="B99" s="512" t="s">
        <v>909</v>
      </c>
      <c r="C99" s="1054">
        <v>1088883</v>
      </c>
      <c r="D99" s="1054">
        <v>1099009</v>
      </c>
      <c r="E99" s="1054">
        <v>2187892</v>
      </c>
      <c r="F99" s="1054">
        <v>147206</v>
      </c>
      <c r="G99" s="1054">
        <v>142956</v>
      </c>
      <c r="H99" s="1054">
        <v>290162</v>
      </c>
      <c r="I99" s="1054">
        <v>53814</v>
      </c>
      <c r="J99" s="1054">
        <v>51947</v>
      </c>
      <c r="K99" s="1054">
        <v>105761</v>
      </c>
      <c r="L99" s="1054">
        <v>536146</v>
      </c>
      <c r="M99" s="1054">
        <v>564008</v>
      </c>
      <c r="N99" s="1054">
        <v>1100154</v>
      </c>
    </row>
    <row r="100" spans="1:14" x14ac:dyDescent="0.35">
      <c r="A100" s="969"/>
      <c r="B100" s="512" t="s">
        <v>908</v>
      </c>
      <c r="C100" s="1054">
        <v>993417</v>
      </c>
      <c r="D100" s="1054">
        <v>995077</v>
      </c>
      <c r="E100" s="1054">
        <v>1988494</v>
      </c>
      <c r="F100" s="1054">
        <v>132676</v>
      </c>
      <c r="G100" s="1054">
        <v>128603</v>
      </c>
      <c r="H100" s="1054">
        <v>261279</v>
      </c>
      <c r="I100" s="1054">
        <v>48370</v>
      </c>
      <c r="J100" s="1054">
        <v>46750</v>
      </c>
      <c r="K100" s="1054">
        <v>95120</v>
      </c>
      <c r="L100" s="1054">
        <v>480822</v>
      </c>
      <c r="M100" s="1054">
        <v>505308</v>
      </c>
      <c r="N100" s="1054">
        <v>986130</v>
      </c>
    </row>
    <row r="101" spans="1:14" x14ac:dyDescent="0.35">
      <c r="A101" s="968">
        <v>16</v>
      </c>
      <c r="B101" s="510" t="s">
        <v>27</v>
      </c>
      <c r="C101" s="1054"/>
      <c r="D101" s="1054"/>
      <c r="E101" s="1054"/>
      <c r="F101" s="1054"/>
      <c r="G101" s="1054"/>
      <c r="H101" s="1054"/>
      <c r="I101" s="1054"/>
      <c r="J101" s="1054"/>
      <c r="K101" s="1054"/>
      <c r="L101" s="1054"/>
      <c r="M101" s="1054"/>
      <c r="N101" s="1054"/>
    </row>
    <row r="102" spans="1:14" x14ac:dyDescent="0.35">
      <c r="A102" s="969"/>
      <c r="B102" s="511" t="s">
        <v>912</v>
      </c>
      <c r="C102" s="1054">
        <v>512656.94894202409</v>
      </c>
      <c r="D102" s="1054">
        <v>711642.52912446763</v>
      </c>
      <c r="E102" s="1054">
        <v>1224299.4780664919</v>
      </c>
      <c r="F102" s="1054">
        <v>32732.627656286579</v>
      </c>
      <c r="G102" s="1054">
        <v>54989.81218986406</v>
      </c>
      <c r="H102" s="1054">
        <v>87722.439846150635</v>
      </c>
      <c r="I102" s="1054">
        <v>5486.2464801317974</v>
      </c>
      <c r="J102" s="1054">
        <v>8197.6246321799754</v>
      </c>
      <c r="K102" s="1054">
        <v>13683.87111231177</v>
      </c>
      <c r="L102" s="1054">
        <v>257803.16793686029</v>
      </c>
      <c r="M102" s="1054">
        <v>385169.35465922602</v>
      </c>
      <c r="N102" s="1054">
        <v>642972.52259608626</v>
      </c>
    </row>
    <row r="103" spans="1:14" x14ac:dyDescent="0.35">
      <c r="A103" s="969"/>
      <c r="B103" s="512" t="s">
        <v>911</v>
      </c>
      <c r="C103" s="1054">
        <v>554572</v>
      </c>
      <c r="D103" s="1054">
        <v>749873</v>
      </c>
      <c r="E103" s="1054">
        <v>1304445</v>
      </c>
      <c r="F103" s="1054">
        <v>29991</v>
      </c>
      <c r="G103" s="1054">
        <v>50960</v>
      </c>
      <c r="H103" s="1054">
        <v>80951</v>
      </c>
      <c r="I103" s="1054">
        <v>5914</v>
      </c>
      <c r="J103" s="1054">
        <v>8352</v>
      </c>
      <c r="K103" s="1054">
        <v>14266</v>
      </c>
      <c r="L103" s="1054">
        <v>218765</v>
      </c>
      <c r="M103" s="1054">
        <v>318522</v>
      </c>
      <c r="N103" s="1054">
        <v>537287</v>
      </c>
    </row>
    <row r="104" spans="1:14" x14ac:dyDescent="0.35">
      <c r="A104" s="969"/>
      <c r="B104" s="512" t="s">
        <v>910</v>
      </c>
      <c r="C104" s="1054">
        <v>559625</v>
      </c>
      <c r="D104" s="1054">
        <v>804911</v>
      </c>
      <c r="E104" s="1054">
        <v>1364536</v>
      </c>
      <c r="F104" s="1054">
        <v>34488</v>
      </c>
      <c r="G104" s="1054">
        <v>62108</v>
      </c>
      <c r="H104" s="1054">
        <v>96596</v>
      </c>
      <c r="I104" s="1054">
        <v>5702</v>
      </c>
      <c r="J104" s="1054">
        <v>8712</v>
      </c>
      <c r="K104" s="1054">
        <v>14414</v>
      </c>
      <c r="L104" s="1054">
        <v>270266</v>
      </c>
      <c r="M104" s="1054">
        <v>426085</v>
      </c>
      <c r="N104" s="1054">
        <v>696351</v>
      </c>
    </row>
    <row r="105" spans="1:14" x14ac:dyDescent="0.35">
      <c r="A105" s="969"/>
      <c r="B105" s="512" t="s">
        <v>909</v>
      </c>
      <c r="C105" s="1054">
        <v>484849</v>
      </c>
      <c r="D105" s="1054">
        <v>653004</v>
      </c>
      <c r="E105" s="1054">
        <v>1137853</v>
      </c>
      <c r="F105" s="1054">
        <v>25434</v>
      </c>
      <c r="G105" s="1054">
        <v>46838</v>
      </c>
      <c r="H105" s="1054">
        <v>72272</v>
      </c>
      <c r="I105" s="1054">
        <v>4360</v>
      </c>
      <c r="J105" s="1054">
        <v>6877</v>
      </c>
      <c r="K105" s="1054">
        <v>11237</v>
      </c>
      <c r="L105" s="1054">
        <v>194158</v>
      </c>
      <c r="M105" s="1054">
        <v>295290</v>
      </c>
      <c r="N105" s="1054">
        <v>489448</v>
      </c>
    </row>
    <row r="106" spans="1:14" x14ac:dyDescent="0.35">
      <c r="A106" s="969"/>
      <c r="B106" s="512" t="s">
        <v>908</v>
      </c>
      <c r="C106" s="1054">
        <v>458200</v>
      </c>
      <c r="D106" s="1054">
        <v>637642</v>
      </c>
      <c r="E106" s="1054">
        <v>1095842</v>
      </c>
      <c r="F106" s="1054">
        <v>24464</v>
      </c>
      <c r="G106" s="1054">
        <v>44947</v>
      </c>
      <c r="H106" s="1054">
        <v>69411</v>
      </c>
      <c r="I106" s="1054">
        <v>4272</v>
      </c>
      <c r="J106" s="1054">
        <v>6455</v>
      </c>
      <c r="K106" s="1054">
        <v>10727</v>
      </c>
      <c r="L106" s="1054">
        <v>185095</v>
      </c>
      <c r="M106" s="1054">
        <v>274967</v>
      </c>
      <c r="N106" s="1054">
        <v>460062</v>
      </c>
    </row>
    <row r="107" spans="1:14" x14ac:dyDescent="0.35">
      <c r="A107" s="969">
        <v>17</v>
      </c>
      <c r="B107" s="513" t="s">
        <v>28</v>
      </c>
      <c r="C107" s="1054"/>
      <c r="D107" s="1054"/>
      <c r="E107" s="1054"/>
      <c r="F107" s="1054"/>
      <c r="G107" s="1054"/>
      <c r="H107" s="1054"/>
      <c r="I107" s="1054"/>
      <c r="J107" s="1054"/>
      <c r="K107" s="1054"/>
      <c r="L107" s="1054"/>
      <c r="M107" s="1054"/>
      <c r="N107" s="1054"/>
    </row>
    <row r="108" spans="1:14" x14ac:dyDescent="0.35">
      <c r="A108" s="969"/>
      <c r="B108" s="511" t="s">
        <v>912</v>
      </c>
      <c r="C108" s="1054">
        <v>1657</v>
      </c>
      <c r="D108" s="1054">
        <v>3021</v>
      </c>
      <c r="E108" s="1054">
        <v>4678</v>
      </c>
      <c r="F108" s="1054">
        <v>0</v>
      </c>
      <c r="G108" s="1054">
        <v>1</v>
      </c>
      <c r="H108" s="1054">
        <v>1</v>
      </c>
      <c r="I108" s="1054">
        <v>1591</v>
      </c>
      <c r="J108" s="1054">
        <v>2739</v>
      </c>
      <c r="K108" s="1054">
        <v>4330</v>
      </c>
      <c r="L108" s="1054">
        <v>0</v>
      </c>
      <c r="M108" s="1054">
        <v>5</v>
      </c>
      <c r="N108" s="1054">
        <v>5</v>
      </c>
    </row>
    <row r="109" spans="1:14" x14ac:dyDescent="0.35">
      <c r="A109" s="969"/>
      <c r="B109" s="512" t="s">
        <v>911</v>
      </c>
      <c r="C109" s="1054">
        <v>1571</v>
      </c>
      <c r="D109" s="1054">
        <v>2869</v>
      </c>
      <c r="E109" s="1054">
        <v>4440</v>
      </c>
      <c r="F109" s="1054">
        <v>20</v>
      </c>
      <c r="G109" s="1054">
        <v>20</v>
      </c>
      <c r="H109" s="1054">
        <v>40</v>
      </c>
      <c r="I109" s="1054">
        <v>1525</v>
      </c>
      <c r="J109" s="1054">
        <v>2722</v>
      </c>
      <c r="K109" s="1054">
        <v>4247</v>
      </c>
      <c r="L109" s="1054">
        <v>0</v>
      </c>
      <c r="M109" s="1054">
        <v>5</v>
      </c>
      <c r="N109" s="1054">
        <v>5</v>
      </c>
    </row>
    <row r="110" spans="1:14" x14ac:dyDescent="0.35">
      <c r="A110" s="969"/>
      <c r="B110" s="512" t="s">
        <v>910</v>
      </c>
      <c r="C110" s="1054">
        <v>1108</v>
      </c>
      <c r="D110" s="1054">
        <v>2039</v>
      </c>
      <c r="E110" s="1054">
        <v>3147</v>
      </c>
      <c r="F110" s="1054">
        <v>0</v>
      </c>
      <c r="G110" s="1054">
        <v>16</v>
      </c>
      <c r="H110" s="1054">
        <v>16</v>
      </c>
      <c r="I110" s="1054">
        <v>902</v>
      </c>
      <c r="J110" s="1054">
        <v>1937</v>
      </c>
      <c r="K110" s="1054">
        <v>2839</v>
      </c>
      <c r="L110" s="1054">
        <v>35</v>
      </c>
      <c r="M110" s="1054">
        <v>24</v>
      </c>
      <c r="N110" s="1054">
        <v>59</v>
      </c>
    </row>
    <row r="111" spans="1:14" x14ac:dyDescent="0.35">
      <c r="A111" s="969"/>
      <c r="B111" s="512" t="s">
        <v>909</v>
      </c>
      <c r="C111" s="1054">
        <v>999</v>
      </c>
      <c r="D111" s="1054">
        <v>1898</v>
      </c>
      <c r="E111" s="1054">
        <v>2897</v>
      </c>
      <c r="F111" s="1054">
        <v>0</v>
      </c>
      <c r="G111" s="1054">
        <v>0</v>
      </c>
      <c r="H111" s="1054">
        <v>0</v>
      </c>
      <c r="I111" s="1054">
        <v>923</v>
      </c>
      <c r="J111" s="1054">
        <v>1892</v>
      </c>
      <c r="K111" s="1054">
        <v>2815</v>
      </c>
      <c r="L111" s="1054">
        <v>14</v>
      </c>
      <c r="M111" s="1054">
        <v>0</v>
      </c>
      <c r="N111" s="1054">
        <v>14</v>
      </c>
    </row>
    <row r="112" spans="1:14" x14ac:dyDescent="0.35">
      <c r="A112" s="968">
        <v>18</v>
      </c>
      <c r="B112" s="510" t="s">
        <v>72</v>
      </c>
      <c r="C112" s="1054"/>
      <c r="D112" s="1054"/>
      <c r="E112" s="1054"/>
      <c r="F112" s="1054"/>
      <c r="G112" s="1054"/>
      <c r="H112" s="1054"/>
      <c r="I112" s="1054"/>
      <c r="J112" s="1054"/>
      <c r="K112" s="1054"/>
      <c r="L112" s="1054"/>
      <c r="M112" s="1054"/>
      <c r="N112" s="1054"/>
    </row>
    <row r="113" spans="1:14" x14ac:dyDescent="0.35">
      <c r="A113" s="969"/>
      <c r="B113" s="511" t="s">
        <v>912</v>
      </c>
      <c r="C113" s="1054">
        <v>192</v>
      </c>
      <c r="D113" s="1054">
        <v>321</v>
      </c>
      <c r="E113" s="1054">
        <v>513</v>
      </c>
      <c r="F113" s="1054">
        <v>0</v>
      </c>
      <c r="G113" s="1054">
        <v>0</v>
      </c>
      <c r="H113" s="1054">
        <v>0</v>
      </c>
      <c r="I113" s="1054">
        <v>192</v>
      </c>
      <c r="J113" s="1054">
        <v>321</v>
      </c>
      <c r="K113" s="1054">
        <v>513</v>
      </c>
      <c r="L113" s="1054">
        <v>0</v>
      </c>
      <c r="M113" s="1054">
        <v>0</v>
      </c>
      <c r="N113" s="1054">
        <v>0</v>
      </c>
    </row>
    <row r="114" spans="1:14" x14ac:dyDescent="0.35">
      <c r="A114" s="969"/>
      <c r="B114" s="512" t="s">
        <v>911</v>
      </c>
      <c r="C114" s="1054">
        <v>14</v>
      </c>
      <c r="D114" s="1054">
        <v>74</v>
      </c>
      <c r="E114" s="1054">
        <v>88</v>
      </c>
      <c r="F114" s="1054">
        <v>0</v>
      </c>
      <c r="G114" s="1054">
        <v>0</v>
      </c>
      <c r="H114" s="1054">
        <v>0</v>
      </c>
      <c r="I114" s="1054">
        <v>14</v>
      </c>
      <c r="J114" s="1054">
        <v>74</v>
      </c>
      <c r="K114" s="1054">
        <v>88</v>
      </c>
      <c r="L114" s="1054">
        <v>0</v>
      </c>
      <c r="M114" s="1054">
        <v>0</v>
      </c>
      <c r="N114" s="1054">
        <v>0</v>
      </c>
    </row>
    <row r="115" spans="1:14" x14ac:dyDescent="0.35">
      <c r="A115" s="969"/>
      <c r="B115" s="512" t="s">
        <v>910</v>
      </c>
      <c r="C115" s="1054">
        <v>133</v>
      </c>
      <c r="D115" s="1054">
        <v>427</v>
      </c>
      <c r="E115" s="1054">
        <v>560</v>
      </c>
      <c r="F115" s="1054">
        <v>0</v>
      </c>
      <c r="G115" s="1054">
        <v>0</v>
      </c>
      <c r="H115" s="1054">
        <v>0</v>
      </c>
      <c r="I115" s="1054">
        <v>70</v>
      </c>
      <c r="J115" s="1054">
        <v>256</v>
      </c>
      <c r="K115" s="1054">
        <v>326</v>
      </c>
      <c r="L115" s="1054">
        <v>0</v>
      </c>
      <c r="M115" s="1054">
        <v>0</v>
      </c>
      <c r="N115" s="1054">
        <v>0</v>
      </c>
    </row>
    <row r="116" spans="1:14" x14ac:dyDescent="0.35">
      <c r="A116" s="969"/>
      <c r="B116" s="512" t="s">
        <v>909</v>
      </c>
      <c r="C116" s="1054">
        <v>133</v>
      </c>
      <c r="D116" s="1054">
        <v>427</v>
      </c>
      <c r="E116" s="1054">
        <v>560</v>
      </c>
      <c r="F116" s="1054">
        <v>0</v>
      </c>
      <c r="G116" s="1054">
        <v>0</v>
      </c>
      <c r="H116" s="1054">
        <v>0</v>
      </c>
      <c r="I116" s="1054">
        <v>70</v>
      </c>
      <c r="J116" s="1054">
        <v>256</v>
      </c>
      <c r="K116" s="1054">
        <v>326</v>
      </c>
      <c r="L116" s="1054">
        <v>0</v>
      </c>
      <c r="M116" s="1054">
        <v>0</v>
      </c>
      <c r="N116" s="1054">
        <v>0</v>
      </c>
    </row>
    <row r="117" spans="1:14" x14ac:dyDescent="0.35">
      <c r="A117" s="969"/>
      <c r="B117" s="512" t="s">
        <v>908</v>
      </c>
      <c r="C117" s="1054">
        <v>127</v>
      </c>
      <c r="D117" s="1054">
        <v>418</v>
      </c>
      <c r="E117" s="1054">
        <v>545</v>
      </c>
      <c r="F117" s="1054">
        <v>0</v>
      </c>
      <c r="G117" s="1054">
        <v>0</v>
      </c>
      <c r="H117" s="1054">
        <v>0</v>
      </c>
      <c r="I117" s="1054">
        <v>64</v>
      </c>
      <c r="J117" s="1054">
        <v>246</v>
      </c>
      <c r="K117" s="1054">
        <v>310</v>
      </c>
      <c r="L117" s="1054">
        <v>0</v>
      </c>
      <c r="M117" s="1054">
        <v>0</v>
      </c>
      <c r="N117" s="1054">
        <v>0</v>
      </c>
    </row>
    <row r="118" spans="1:14" x14ac:dyDescent="0.35">
      <c r="A118" s="968">
        <v>19</v>
      </c>
      <c r="B118" s="510" t="s">
        <v>29</v>
      </c>
      <c r="C118" s="1054"/>
      <c r="D118" s="1054"/>
      <c r="E118" s="1054"/>
      <c r="F118" s="1054"/>
      <c r="G118" s="1054"/>
      <c r="H118" s="1054"/>
      <c r="I118" s="1054"/>
      <c r="J118" s="1054"/>
      <c r="K118" s="1054"/>
      <c r="L118" s="1054"/>
      <c r="M118" s="1054"/>
      <c r="N118" s="1054"/>
    </row>
    <row r="119" spans="1:14" x14ac:dyDescent="0.35">
      <c r="A119" s="969"/>
      <c r="B119" s="511" t="s">
        <v>912</v>
      </c>
      <c r="C119" s="1054">
        <v>1437451.5687109591</v>
      </c>
      <c r="D119" s="1054">
        <v>1297797.2946802389</v>
      </c>
      <c r="E119" s="1054">
        <v>2735248.8633911982</v>
      </c>
      <c r="F119" s="1054">
        <v>218473.2733582842</v>
      </c>
      <c r="G119" s="1054">
        <v>194940.53292235141</v>
      </c>
      <c r="H119" s="1054">
        <v>413413.80628063559</v>
      </c>
      <c r="I119" s="1054">
        <v>152187.5852856081</v>
      </c>
      <c r="J119" s="1054">
        <v>164670.9134602113</v>
      </c>
      <c r="K119" s="1054">
        <v>316858.49874581938</v>
      </c>
      <c r="L119" s="1054">
        <v>572283.22391392826</v>
      </c>
      <c r="M119" s="1054">
        <v>537475.790424873</v>
      </c>
      <c r="N119" s="1054">
        <v>1109759.0143388009</v>
      </c>
    </row>
    <row r="120" spans="1:14" x14ac:dyDescent="0.35">
      <c r="A120" s="969"/>
      <c r="B120" s="512" t="s">
        <v>911</v>
      </c>
      <c r="C120" s="1054">
        <v>1505908</v>
      </c>
      <c r="D120" s="1054">
        <v>1294257</v>
      </c>
      <c r="E120" s="1054">
        <v>2800165</v>
      </c>
      <c r="F120" s="1054">
        <v>226394</v>
      </c>
      <c r="G120" s="1054">
        <v>193880</v>
      </c>
      <c r="H120" s="1054">
        <v>420274</v>
      </c>
      <c r="I120" s="1054">
        <v>164651</v>
      </c>
      <c r="J120" s="1054">
        <v>166351</v>
      </c>
      <c r="K120" s="1054">
        <v>331002</v>
      </c>
      <c r="L120" s="1054">
        <v>575079</v>
      </c>
      <c r="M120" s="1054">
        <v>526841</v>
      </c>
      <c r="N120" s="1054">
        <v>1101920</v>
      </c>
    </row>
    <row r="121" spans="1:14" x14ac:dyDescent="0.35">
      <c r="A121" s="969"/>
      <c r="B121" s="512" t="s">
        <v>910</v>
      </c>
      <c r="C121" s="1054">
        <v>1374036</v>
      </c>
      <c r="D121" s="1054">
        <v>1224525</v>
      </c>
      <c r="E121" s="1054">
        <v>2598561</v>
      </c>
      <c r="F121" s="1054">
        <v>210178</v>
      </c>
      <c r="G121" s="1054">
        <v>184840</v>
      </c>
      <c r="H121" s="1054">
        <v>395018</v>
      </c>
      <c r="I121" s="1054">
        <v>140698</v>
      </c>
      <c r="J121" s="1054">
        <v>153701</v>
      </c>
      <c r="K121" s="1054">
        <v>294399</v>
      </c>
      <c r="L121" s="1054">
        <v>528269</v>
      </c>
      <c r="M121" s="1054">
        <v>512294</v>
      </c>
      <c r="N121" s="1054">
        <v>1040563</v>
      </c>
    </row>
    <row r="122" spans="1:14" x14ac:dyDescent="0.35">
      <c r="A122" s="969"/>
      <c r="B122" s="512" t="s">
        <v>909</v>
      </c>
      <c r="C122" s="1054">
        <v>1144576</v>
      </c>
      <c r="D122" s="1054">
        <v>1037578</v>
      </c>
      <c r="E122" s="1054">
        <v>2182154</v>
      </c>
      <c r="F122" s="1054">
        <v>176528</v>
      </c>
      <c r="G122" s="1054">
        <v>154691</v>
      </c>
      <c r="H122" s="1054">
        <v>331219</v>
      </c>
      <c r="I122" s="1054">
        <v>107910</v>
      </c>
      <c r="J122" s="1054">
        <v>107489</v>
      </c>
      <c r="K122" s="1054">
        <v>215399</v>
      </c>
      <c r="L122" s="1054">
        <v>449846</v>
      </c>
      <c r="M122" s="1054">
        <v>425197</v>
      </c>
      <c r="N122" s="1054">
        <v>875043</v>
      </c>
    </row>
    <row r="123" spans="1:14" x14ac:dyDescent="0.35">
      <c r="A123" s="969"/>
      <c r="B123" s="512" t="s">
        <v>908</v>
      </c>
      <c r="C123" s="1054">
        <v>1027738</v>
      </c>
      <c r="D123" s="1054">
        <v>901606</v>
      </c>
      <c r="E123" s="1054">
        <v>1929344</v>
      </c>
      <c r="F123" s="1054">
        <v>154836</v>
      </c>
      <c r="G123" s="1054">
        <v>129221</v>
      </c>
      <c r="H123" s="1054">
        <v>284057</v>
      </c>
      <c r="I123" s="1054">
        <v>101105</v>
      </c>
      <c r="J123" s="1054">
        <v>97921</v>
      </c>
      <c r="K123" s="1054">
        <v>199026</v>
      </c>
      <c r="L123" s="1054">
        <v>406281</v>
      </c>
      <c r="M123" s="1054">
        <v>366091</v>
      </c>
      <c r="N123" s="1054">
        <v>772372</v>
      </c>
    </row>
    <row r="124" spans="1:14" x14ac:dyDescent="0.35">
      <c r="A124" s="968">
        <v>20</v>
      </c>
      <c r="B124" s="510" t="s">
        <v>30</v>
      </c>
      <c r="C124" s="1054"/>
      <c r="D124" s="1054"/>
      <c r="E124" s="1054"/>
      <c r="F124" s="1054"/>
      <c r="G124" s="1054"/>
      <c r="H124" s="1054"/>
      <c r="I124" s="1054"/>
      <c r="J124" s="1054"/>
      <c r="K124" s="1054"/>
      <c r="L124" s="1054"/>
      <c r="M124" s="1054"/>
      <c r="N124" s="1054"/>
    </row>
    <row r="125" spans="1:14" x14ac:dyDescent="0.35">
      <c r="A125" s="969"/>
      <c r="B125" s="511" t="s">
        <v>912</v>
      </c>
      <c r="C125" s="1054">
        <v>2651540.4556586249</v>
      </c>
      <c r="D125" s="1054">
        <v>2207589.0687756981</v>
      </c>
      <c r="E125" s="1054">
        <v>4859129.5244343234</v>
      </c>
      <c r="F125" s="1054">
        <v>327606.09532289929</v>
      </c>
      <c r="G125" s="1054">
        <v>294749.66864030098</v>
      </c>
      <c r="H125" s="1054">
        <v>622355.76396320038</v>
      </c>
      <c r="I125" s="1054">
        <v>127649.2088028236</v>
      </c>
      <c r="J125" s="1054">
        <v>104643.92103343341</v>
      </c>
      <c r="K125" s="1054">
        <v>232293.12983625699</v>
      </c>
      <c r="L125" s="1054">
        <v>839907.32933049358</v>
      </c>
      <c r="M125" s="1054">
        <v>701544.64712424111</v>
      </c>
      <c r="N125" s="1054">
        <v>1541451.976454735</v>
      </c>
    </row>
    <row r="126" spans="1:14" x14ac:dyDescent="0.35">
      <c r="A126" s="969"/>
      <c r="B126" s="512" t="s">
        <v>911</v>
      </c>
      <c r="C126" s="1054">
        <v>2542831</v>
      </c>
      <c r="D126" s="1054">
        <v>2035012</v>
      </c>
      <c r="E126" s="1054">
        <v>4577843</v>
      </c>
      <c r="F126" s="1054">
        <v>313255</v>
      </c>
      <c r="G126" s="1054">
        <v>268938</v>
      </c>
      <c r="H126" s="1054">
        <v>582193</v>
      </c>
      <c r="I126" s="1054">
        <v>115731</v>
      </c>
      <c r="J126" s="1054">
        <v>90990</v>
      </c>
      <c r="K126" s="1054">
        <v>206721</v>
      </c>
      <c r="L126" s="1054">
        <v>763737</v>
      </c>
      <c r="M126" s="1054">
        <v>615985</v>
      </c>
      <c r="N126" s="1054">
        <v>1379722</v>
      </c>
    </row>
    <row r="127" spans="1:14" x14ac:dyDescent="0.35">
      <c r="A127" s="969"/>
      <c r="B127" s="512" t="s">
        <v>910</v>
      </c>
      <c r="C127" s="1054">
        <v>2491897</v>
      </c>
      <c r="D127" s="1054">
        <v>2054252</v>
      </c>
      <c r="E127" s="1054">
        <v>4546149</v>
      </c>
      <c r="F127" s="1054">
        <v>290289</v>
      </c>
      <c r="G127" s="1054">
        <v>255618</v>
      </c>
      <c r="H127" s="1054">
        <v>545907</v>
      </c>
      <c r="I127" s="1054">
        <v>111489</v>
      </c>
      <c r="J127" s="1054">
        <v>86643</v>
      </c>
      <c r="K127" s="1054">
        <v>198132</v>
      </c>
      <c r="L127" s="1054">
        <v>723073</v>
      </c>
      <c r="M127" s="1054">
        <v>583566</v>
      </c>
      <c r="N127" s="1054">
        <v>1306639</v>
      </c>
    </row>
    <row r="128" spans="1:14" x14ac:dyDescent="0.35">
      <c r="A128" s="969"/>
      <c r="B128" s="512" t="s">
        <v>909</v>
      </c>
      <c r="C128" s="1054">
        <v>2313862</v>
      </c>
      <c r="D128" s="1054">
        <v>1951610</v>
      </c>
      <c r="E128" s="1054">
        <v>4265472</v>
      </c>
      <c r="F128" s="1054">
        <v>260361</v>
      </c>
      <c r="G128" s="1054">
        <v>243253</v>
      </c>
      <c r="H128" s="1054">
        <v>503614</v>
      </c>
      <c r="I128" s="1054">
        <v>105835</v>
      </c>
      <c r="J128" s="1054">
        <v>82907</v>
      </c>
      <c r="K128" s="1054">
        <v>188742</v>
      </c>
      <c r="L128" s="1054">
        <v>684718</v>
      </c>
      <c r="M128" s="1054">
        <v>581699</v>
      </c>
      <c r="N128" s="1054">
        <v>1266417</v>
      </c>
    </row>
    <row r="129" spans="1:14" x14ac:dyDescent="0.35">
      <c r="A129" s="969"/>
      <c r="B129" s="512" t="s">
        <v>908</v>
      </c>
      <c r="C129" s="1054">
        <v>2324424</v>
      </c>
      <c r="D129" s="1054">
        <v>1905902</v>
      </c>
      <c r="E129" s="1054">
        <v>4230326</v>
      </c>
      <c r="F129" s="1054">
        <v>269942</v>
      </c>
      <c r="G129" s="1054">
        <v>240577</v>
      </c>
      <c r="H129" s="1054">
        <v>510519</v>
      </c>
      <c r="I129" s="1054">
        <v>105146</v>
      </c>
      <c r="J129" s="1054">
        <v>79830</v>
      </c>
      <c r="K129" s="1054">
        <v>184976</v>
      </c>
      <c r="L129" s="1054">
        <v>681445</v>
      </c>
      <c r="M129" s="1054">
        <v>565904</v>
      </c>
      <c r="N129" s="1054">
        <v>1247349</v>
      </c>
    </row>
    <row r="130" spans="1:14" x14ac:dyDescent="0.35">
      <c r="A130" s="968">
        <v>21</v>
      </c>
      <c r="B130" s="510" t="s">
        <v>31</v>
      </c>
      <c r="C130" s="1054"/>
      <c r="D130" s="1054"/>
      <c r="E130" s="1054"/>
      <c r="F130" s="1054"/>
      <c r="G130" s="1054"/>
      <c r="H130" s="1054"/>
      <c r="I130" s="1054"/>
      <c r="J130" s="1054"/>
      <c r="K130" s="1054"/>
      <c r="L130" s="1054"/>
      <c r="M130" s="1054"/>
      <c r="N130" s="1054"/>
    </row>
    <row r="131" spans="1:14" x14ac:dyDescent="0.35">
      <c r="A131" s="969"/>
      <c r="B131" s="511" t="s">
        <v>912</v>
      </c>
      <c r="C131" s="1054">
        <v>61774.737123557563</v>
      </c>
      <c r="D131" s="1054">
        <v>61231.478187447217</v>
      </c>
      <c r="E131" s="1054">
        <v>123006.21531100479</v>
      </c>
      <c r="F131" s="1054">
        <v>3628.4411764705878</v>
      </c>
      <c r="G131" s="1054">
        <v>3641.4165493948781</v>
      </c>
      <c r="H131" s="1054">
        <v>7269.8577258654659</v>
      </c>
      <c r="I131" s="1054">
        <v>22021.542217844071</v>
      </c>
      <c r="J131" s="1054">
        <v>22352.584998592742</v>
      </c>
      <c r="K131" s="1054">
        <v>44374.127216436813</v>
      </c>
      <c r="L131" s="1054">
        <v>19986.33703912187</v>
      </c>
      <c r="M131" s="1054">
        <v>20753.839994370948</v>
      </c>
      <c r="N131" s="1054">
        <v>40740.177033492822</v>
      </c>
    </row>
    <row r="132" spans="1:14" x14ac:dyDescent="0.35">
      <c r="A132" s="969"/>
      <c r="B132" s="512" t="s">
        <v>911</v>
      </c>
      <c r="C132" s="1054">
        <v>66234</v>
      </c>
      <c r="D132" s="1054">
        <v>64154</v>
      </c>
      <c r="E132" s="1054">
        <v>130388</v>
      </c>
      <c r="F132" s="1054">
        <v>3910</v>
      </c>
      <c r="G132" s="1054">
        <v>3755</v>
      </c>
      <c r="H132" s="1054">
        <v>7665</v>
      </c>
      <c r="I132" s="1054">
        <v>22375</v>
      </c>
      <c r="J132" s="1054">
        <v>22919</v>
      </c>
      <c r="K132" s="1054">
        <v>45294</v>
      </c>
      <c r="L132" s="1054">
        <v>20640</v>
      </c>
      <c r="M132" s="1054">
        <v>21195</v>
      </c>
      <c r="N132" s="1054">
        <v>41835</v>
      </c>
    </row>
    <row r="133" spans="1:14" x14ac:dyDescent="0.35">
      <c r="A133" s="969"/>
      <c r="B133" s="512" t="s">
        <v>910</v>
      </c>
      <c r="C133" s="1054">
        <v>68916</v>
      </c>
      <c r="D133" s="1054">
        <v>69583</v>
      </c>
      <c r="E133" s="1054">
        <v>138499</v>
      </c>
      <c r="F133" s="1054">
        <v>5110</v>
      </c>
      <c r="G133" s="1054">
        <v>4229</v>
      </c>
      <c r="H133" s="1054">
        <v>9339</v>
      </c>
      <c r="I133" s="1054">
        <v>18790</v>
      </c>
      <c r="J133" s="1054">
        <v>18859</v>
      </c>
      <c r="K133" s="1054">
        <v>37649</v>
      </c>
      <c r="L133" s="1054">
        <v>18578</v>
      </c>
      <c r="M133" s="1054">
        <v>22308</v>
      </c>
      <c r="N133" s="1054">
        <v>40886</v>
      </c>
    </row>
    <row r="134" spans="1:14" x14ac:dyDescent="0.35">
      <c r="A134" s="969"/>
      <c r="B134" s="512" t="s">
        <v>909</v>
      </c>
      <c r="C134" s="1054">
        <v>60918</v>
      </c>
      <c r="D134" s="1054">
        <v>63620</v>
      </c>
      <c r="E134" s="1054">
        <v>124538</v>
      </c>
      <c r="F134" s="1054">
        <v>3353</v>
      </c>
      <c r="G134" s="1054">
        <v>3259</v>
      </c>
      <c r="H134" s="1054">
        <v>6612</v>
      </c>
      <c r="I134" s="1054">
        <v>17660</v>
      </c>
      <c r="J134" s="1054">
        <v>18273</v>
      </c>
      <c r="K134" s="1054">
        <v>35933</v>
      </c>
      <c r="L134" s="1054">
        <v>17875</v>
      </c>
      <c r="M134" s="1054">
        <v>22253</v>
      </c>
      <c r="N134" s="1054">
        <v>40128</v>
      </c>
    </row>
    <row r="135" spans="1:14" x14ac:dyDescent="0.35">
      <c r="A135" s="969"/>
      <c r="B135" s="512" t="s">
        <v>908</v>
      </c>
      <c r="C135" s="1054">
        <v>54679</v>
      </c>
      <c r="D135" s="1054">
        <v>55698</v>
      </c>
      <c r="E135" s="1054">
        <v>110377</v>
      </c>
      <c r="F135" s="1054">
        <v>3325</v>
      </c>
      <c r="G135" s="1054">
        <v>3023</v>
      </c>
      <c r="H135" s="1054">
        <v>6348</v>
      </c>
      <c r="I135" s="1054">
        <v>18323</v>
      </c>
      <c r="J135" s="1054">
        <v>17453</v>
      </c>
      <c r="K135" s="1054">
        <v>35776</v>
      </c>
      <c r="L135" s="1054">
        <v>16068</v>
      </c>
      <c r="M135" s="1054">
        <v>19638</v>
      </c>
      <c r="N135" s="1054">
        <v>35706</v>
      </c>
    </row>
    <row r="136" spans="1:14" x14ac:dyDescent="0.35">
      <c r="A136" s="968">
        <v>22</v>
      </c>
      <c r="B136" s="510" t="s">
        <v>32</v>
      </c>
      <c r="C136" s="1054"/>
      <c r="D136" s="1054"/>
      <c r="E136" s="1054"/>
      <c r="F136" s="1054"/>
      <c r="G136" s="1054"/>
      <c r="H136" s="1054"/>
      <c r="I136" s="1054"/>
      <c r="J136" s="1054"/>
      <c r="K136" s="1054"/>
      <c r="L136" s="1054"/>
      <c r="M136" s="1054"/>
      <c r="N136" s="1054"/>
    </row>
    <row r="137" spans="1:14" x14ac:dyDescent="0.35">
      <c r="A137" s="969"/>
      <c r="B137" s="511" t="s">
        <v>912</v>
      </c>
      <c r="C137" s="1054">
        <v>45017.484848484848</v>
      </c>
      <c r="D137" s="1054">
        <v>56914.878787878777</v>
      </c>
      <c r="E137" s="1054">
        <v>101932.3636363636</v>
      </c>
      <c r="F137" s="1054">
        <v>826.18181818181813</v>
      </c>
      <c r="G137" s="1054">
        <v>783</v>
      </c>
      <c r="H137" s="1054">
        <v>1609.181818181818</v>
      </c>
      <c r="I137" s="1054">
        <v>34005.666666666657</v>
      </c>
      <c r="J137" s="1054">
        <v>47133.42424242424</v>
      </c>
      <c r="K137" s="1054">
        <v>81139.090909090912</v>
      </c>
      <c r="L137" s="1054">
        <v>1512.606060606061</v>
      </c>
      <c r="M137" s="1054">
        <v>1590</v>
      </c>
      <c r="N137" s="1054">
        <v>3102.606060606061</v>
      </c>
    </row>
    <row r="138" spans="1:14" x14ac:dyDescent="0.35">
      <c r="A138" s="969"/>
      <c r="B138" s="512" t="s">
        <v>911</v>
      </c>
      <c r="C138" s="1054">
        <v>43588</v>
      </c>
      <c r="D138" s="1054">
        <v>52865</v>
      </c>
      <c r="E138" s="1054">
        <v>96453</v>
      </c>
      <c r="F138" s="1054">
        <v>1317</v>
      </c>
      <c r="G138" s="1054">
        <v>1311</v>
      </c>
      <c r="H138" s="1054">
        <v>2628</v>
      </c>
      <c r="I138" s="1054">
        <v>32765</v>
      </c>
      <c r="J138" s="1054">
        <v>43390</v>
      </c>
      <c r="K138" s="1054">
        <v>76155</v>
      </c>
      <c r="L138" s="1054">
        <v>1403</v>
      </c>
      <c r="M138" s="1054">
        <v>1362</v>
      </c>
      <c r="N138" s="1054">
        <v>2765</v>
      </c>
    </row>
    <row r="139" spans="1:14" x14ac:dyDescent="0.35">
      <c r="A139" s="969"/>
      <c r="B139" s="512" t="s">
        <v>910</v>
      </c>
      <c r="C139" s="1054">
        <v>43104</v>
      </c>
      <c r="D139" s="1054">
        <v>54480</v>
      </c>
      <c r="E139" s="1054">
        <v>97584</v>
      </c>
      <c r="F139" s="1054">
        <v>2114</v>
      </c>
      <c r="G139" s="1054">
        <v>1697</v>
      </c>
      <c r="H139" s="1054">
        <v>3811</v>
      </c>
      <c r="I139" s="1054">
        <v>30260</v>
      </c>
      <c r="J139" s="1054">
        <v>41669</v>
      </c>
      <c r="K139" s="1054">
        <v>71929</v>
      </c>
      <c r="L139" s="1054">
        <v>1120</v>
      </c>
      <c r="M139" s="1054">
        <v>1158</v>
      </c>
      <c r="N139" s="1054">
        <v>2278</v>
      </c>
    </row>
    <row r="140" spans="1:14" x14ac:dyDescent="0.35">
      <c r="A140" s="969"/>
      <c r="B140" s="512" t="s">
        <v>909</v>
      </c>
      <c r="C140" s="1054">
        <v>39844</v>
      </c>
      <c r="D140" s="1054">
        <v>47697</v>
      </c>
      <c r="E140" s="1054">
        <v>87541</v>
      </c>
      <c r="F140" s="1054">
        <v>1124</v>
      </c>
      <c r="G140" s="1054">
        <v>824</v>
      </c>
      <c r="H140" s="1054">
        <v>1948</v>
      </c>
      <c r="I140" s="1054">
        <v>29208</v>
      </c>
      <c r="J140" s="1054">
        <v>39413</v>
      </c>
      <c r="K140" s="1054">
        <v>68621</v>
      </c>
      <c r="L140" s="1054">
        <v>2503</v>
      </c>
      <c r="M140" s="1054">
        <v>1460</v>
      </c>
      <c r="N140" s="1054">
        <v>3963</v>
      </c>
    </row>
    <row r="141" spans="1:14" x14ac:dyDescent="0.35">
      <c r="A141" s="969"/>
      <c r="B141" s="512" t="s">
        <v>908</v>
      </c>
      <c r="C141" s="1054">
        <v>39461</v>
      </c>
      <c r="D141" s="1054">
        <v>47470</v>
      </c>
      <c r="E141" s="1054">
        <v>86931</v>
      </c>
      <c r="F141" s="1054">
        <v>909</v>
      </c>
      <c r="G141" s="1054">
        <v>2112</v>
      </c>
      <c r="H141" s="1054">
        <v>3021</v>
      </c>
      <c r="I141" s="1054">
        <v>29641</v>
      </c>
      <c r="J141" s="1054">
        <v>38383</v>
      </c>
      <c r="K141" s="1054">
        <v>68024</v>
      </c>
      <c r="L141" s="1054">
        <v>2446</v>
      </c>
      <c r="M141" s="1054">
        <v>1421</v>
      </c>
      <c r="N141" s="1054">
        <v>3867</v>
      </c>
    </row>
    <row r="142" spans="1:14" x14ac:dyDescent="0.35">
      <c r="A142" s="968">
        <v>23</v>
      </c>
      <c r="B142" s="510" t="s">
        <v>33</v>
      </c>
      <c r="C142" s="1054"/>
      <c r="D142" s="1054"/>
      <c r="E142" s="1054"/>
      <c r="F142" s="1054"/>
      <c r="G142" s="1054"/>
      <c r="H142" s="1054"/>
      <c r="I142" s="1054"/>
      <c r="J142" s="1054"/>
      <c r="K142" s="1054"/>
      <c r="L142" s="1054"/>
      <c r="M142" s="1054"/>
      <c r="N142" s="1054"/>
    </row>
    <row r="143" spans="1:14" x14ac:dyDescent="0.35">
      <c r="A143" s="969"/>
      <c r="B143" s="511" t="s">
        <v>912</v>
      </c>
      <c r="C143" s="1054">
        <v>24181</v>
      </c>
      <c r="D143" s="1054">
        <v>24430</v>
      </c>
      <c r="E143" s="1054">
        <v>48611</v>
      </c>
      <c r="F143" s="1054">
        <v>273</v>
      </c>
      <c r="G143" s="1054">
        <v>160</v>
      </c>
      <c r="H143" s="1054">
        <v>433</v>
      </c>
      <c r="I143" s="1054">
        <v>22514</v>
      </c>
      <c r="J143" s="1054">
        <v>23420</v>
      </c>
      <c r="K143" s="1054">
        <v>45934</v>
      </c>
      <c r="L143" s="1054">
        <v>423</v>
      </c>
      <c r="M143" s="1054">
        <v>314</v>
      </c>
      <c r="N143" s="1054">
        <v>737</v>
      </c>
    </row>
    <row r="144" spans="1:14" x14ac:dyDescent="0.35">
      <c r="A144" s="969"/>
      <c r="B144" s="512" t="s">
        <v>911</v>
      </c>
      <c r="C144" s="1054">
        <v>23191</v>
      </c>
      <c r="D144" s="1054">
        <v>23580</v>
      </c>
      <c r="E144" s="1054">
        <v>46771</v>
      </c>
      <c r="F144" s="1054">
        <v>643</v>
      </c>
      <c r="G144" s="1054">
        <v>207</v>
      </c>
      <c r="H144" s="1054">
        <v>850</v>
      </c>
      <c r="I144" s="1054">
        <v>21424</v>
      </c>
      <c r="J144" s="1054">
        <v>22654</v>
      </c>
      <c r="K144" s="1054">
        <v>44078</v>
      </c>
      <c r="L144" s="1054">
        <v>392</v>
      </c>
      <c r="M144" s="1054">
        <v>281</v>
      </c>
      <c r="N144" s="1054">
        <v>673</v>
      </c>
    </row>
    <row r="145" spans="1:14" x14ac:dyDescent="0.35">
      <c r="A145" s="969"/>
      <c r="B145" s="512" t="s">
        <v>910</v>
      </c>
      <c r="C145" s="1054">
        <v>19201</v>
      </c>
      <c r="D145" s="1054">
        <v>19509</v>
      </c>
      <c r="E145" s="1054">
        <v>38710</v>
      </c>
      <c r="F145" s="1054">
        <v>200</v>
      </c>
      <c r="G145" s="1054">
        <v>111</v>
      </c>
      <c r="H145" s="1054">
        <v>311</v>
      </c>
      <c r="I145" s="1054">
        <v>17963</v>
      </c>
      <c r="J145" s="1054">
        <v>18673</v>
      </c>
      <c r="K145" s="1054">
        <v>36636</v>
      </c>
      <c r="L145" s="1054">
        <v>379</v>
      </c>
      <c r="M145" s="1054">
        <v>244</v>
      </c>
      <c r="N145" s="1054">
        <v>623</v>
      </c>
    </row>
    <row r="146" spans="1:14" x14ac:dyDescent="0.35">
      <c r="A146" s="969"/>
      <c r="B146" s="512" t="s">
        <v>909</v>
      </c>
      <c r="C146" s="1054">
        <v>17156</v>
      </c>
      <c r="D146" s="1054">
        <v>16080</v>
      </c>
      <c r="E146" s="1054">
        <v>33236</v>
      </c>
      <c r="F146" s="1054">
        <v>161</v>
      </c>
      <c r="G146" s="1054">
        <v>61</v>
      </c>
      <c r="H146" s="1054">
        <v>222</v>
      </c>
      <c r="I146" s="1054">
        <v>15882</v>
      </c>
      <c r="J146" s="1054">
        <v>15689</v>
      </c>
      <c r="K146" s="1054">
        <v>31571</v>
      </c>
      <c r="L146" s="1054">
        <v>380</v>
      </c>
      <c r="M146" s="1054">
        <v>181</v>
      </c>
      <c r="N146" s="1054">
        <v>561</v>
      </c>
    </row>
    <row r="147" spans="1:14" x14ac:dyDescent="0.35">
      <c r="A147" s="969"/>
      <c r="B147" s="512" t="s">
        <v>908</v>
      </c>
      <c r="C147" s="1054">
        <v>16852</v>
      </c>
      <c r="D147" s="1054">
        <v>15986</v>
      </c>
      <c r="E147" s="1054">
        <v>32838</v>
      </c>
      <c r="F147" s="1054">
        <v>143</v>
      </c>
      <c r="G147" s="1054">
        <v>77</v>
      </c>
      <c r="H147" s="1054">
        <v>220</v>
      </c>
      <c r="I147" s="1054">
        <v>15836</v>
      </c>
      <c r="J147" s="1054">
        <v>15391</v>
      </c>
      <c r="K147" s="1054">
        <v>31227</v>
      </c>
      <c r="L147" s="1054">
        <v>361</v>
      </c>
      <c r="M147" s="1054">
        <v>181</v>
      </c>
      <c r="N147" s="1054">
        <v>542</v>
      </c>
    </row>
    <row r="148" spans="1:14" x14ac:dyDescent="0.35">
      <c r="A148" s="968">
        <v>24</v>
      </c>
      <c r="B148" s="510" t="s">
        <v>34</v>
      </c>
      <c r="C148" s="1054"/>
      <c r="D148" s="1054"/>
      <c r="E148" s="1054"/>
      <c r="F148" s="1054"/>
      <c r="G148" s="1054"/>
      <c r="H148" s="1054"/>
      <c r="I148" s="1054"/>
      <c r="J148" s="1054"/>
      <c r="K148" s="1054"/>
      <c r="L148" s="1054"/>
      <c r="M148" s="1054"/>
      <c r="N148" s="1054"/>
    </row>
    <row r="149" spans="1:14" x14ac:dyDescent="0.35">
      <c r="A149" s="969"/>
      <c r="B149" s="511" t="s">
        <v>912</v>
      </c>
      <c r="C149" s="1054">
        <v>22939</v>
      </c>
      <c r="D149" s="1054">
        <v>28367</v>
      </c>
      <c r="E149" s="1054">
        <v>51306</v>
      </c>
      <c r="F149" s="1054">
        <v>299</v>
      </c>
      <c r="G149" s="1054">
        <v>185</v>
      </c>
      <c r="H149" s="1054">
        <v>484</v>
      </c>
      <c r="I149" s="1054">
        <v>20507</v>
      </c>
      <c r="J149" s="1054">
        <v>26082</v>
      </c>
      <c r="K149" s="1054">
        <v>46589</v>
      </c>
      <c r="L149" s="1054">
        <v>639</v>
      </c>
      <c r="M149" s="1054">
        <v>537</v>
      </c>
      <c r="N149" s="1054">
        <v>1176</v>
      </c>
    </row>
    <row r="150" spans="1:14" x14ac:dyDescent="0.35">
      <c r="A150" s="969"/>
      <c r="B150" s="512" t="s">
        <v>911</v>
      </c>
      <c r="C150" s="1054">
        <v>23557</v>
      </c>
      <c r="D150" s="1054">
        <v>27666</v>
      </c>
      <c r="E150" s="1054">
        <v>51223</v>
      </c>
      <c r="F150" s="1054">
        <v>286</v>
      </c>
      <c r="G150" s="1054">
        <v>312</v>
      </c>
      <c r="H150" s="1054">
        <v>598</v>
      </c>
      <c r="I150" s="1054">
        <v>20887</v>
      </c>
      <c r="J150" s="1054">
        <v>24980</v>
      </c>
      <c r="K150" s="1054">
        <v>45867</v>
      </c>
      <c r="L150" s="1054">
        <v>603</v>
      </c>
      <c r="M150" s="1054">
        <v>550</v>
      </c>
      <c r="N150" s="1054">
        <v>1153</v>
      </c>
    </row>
    <row r="151" spans="1:14" x14ac:dyDescent="0.35">
      <c r="A151" s="969"/>
      <c r="B151" s="512" t="s">
        <v>910</v>
      </c>
      <c r="C151" s="1054">
        <v>21750</v>
      </c>
      <c r="D151" s="1054">
        <v>25204</v>
      </c>
      <c r="E151" s="1054">
        <v>46954</v>
      </c>
      <c r="F151" s="1054">
        <v>279</v>
      </c>
      <c r="G151" s="1054">
        <v>265</v>
      </c>
      <c r="H151" s="1054">
        <v>544</v>
      </c>
      <c r="I151" s="1054">
        <v>18340</v>
      </c>
      <c r="J151" s="1054">
        <v>21869</v>
      </c>
      <c r="K151" s="1054">
        <v>40209</v>
      </c>
      <c r="L151" s="1054">
        <v>517</v>
      </c>
      <c r="M151" s="1054">
        <v>472</v>
      </c>
      <c r="N151" s="1054">
        <v>989</v>
      </c>
    </row>
    <row r="152" spans="1:14" x14ac:dyDescent="0.35">
      <c r="A152" s="969"/>
      <c r="B152" s="512" t="s">
        <v>909</v>
      </c>
      <c r="C152" s="1054">
        <v>20255</v>
      </c>
      <c r="D152" s="1054">
        <v>24306</v>
      </c>
      <c r="E152" s="1054">
        <v>44561</v>
      </c>
      <c r="F152" s="1054">
        <v>191</v>
      </c>
      <c r="G152" s="1054">
        <v>145</v>
      </c>
      <c r="H152" s="1054">
        <v>336</v>
      </c>
      <c r="I152" s="1054">
        <v>18460</v>
      </c>
      <c r="J152" s="1054">
        <v>22495</v>
      </c>
      <c r="K152" s="1054">
        <v>40955</v>
      </c>
      <c r="L152" s="1054">
        <v>454</v>
      </c>
      <c r="M152" s="1054">
        <v>389</v>
      </c>
      <c r="N152" s="1054">
        <v>843</v>
      </c>
    </row>
    <row r="153" spans="1:14" x14ac:dyDescent="0.35">
      <c r="A153" s="969"/>
      <c r="B153" s="512" t="s">
        <v>908</v>
      </c>
      <c r="C153" s="1054">
        <v>21987</v>
      </c>
      <c r="D153" s="1054">
        <v>23475</v>
      </c>
      <c r="E153" s="1054">
        <v>45462</v>
      </c>
      <c r="F153" s="1054">
        <v>233</v>
      </c>
      <c r="G153" s="1054">
        <v>168</v>
      </c>
      <c r="H153" s="1054">
        <v>401</v>
      </c>
      <c r="I153" s="1054">
        <v>18615</v>
      </c>
      <c r="J153" s="1054">
        <v>21483</v>
      </c>
      <c r="K153" s="1054">
        <v>40098</v>
      </c>
      <c r="L153" s="1054">
        <v>471</v>
      </c>
      <c r="M153" s="1054">
        <v>377</v>
      </c>
      <c r="N153" s="1054">
        <v>848</v>
      </c>
    </row>
    <row r="154" spans="1:14" x14ac:dyDescent="0.35">
      <c r="A154" s="968">
        <v>25</v>
      </c>
      <c r="B154" s="510" t="s">
        <v>35</v>
      </c>
      <c r="C154" s="1054"/>
      <c r="D154" s="1054"/>
      <c r="E154" s="1054"/>
      <c r="F154" s="1054"/>
      <c r="G154" s="1054"/>
      <c r="H154" s="1054"/>
      <c r="I154" s="1054"/>
      <c r="J154" s="1054"/>
      <c r="K154" s="1054"/>
      <c r="L154" s="1054"/>
      <c r="M154" s="1054"/>
      <c r="N154" s="1054"/>
    </row>
    <row r="155" spans="1:14" x14ac:dyDescent="0.35">
      <c r="A155" s="969"/>
      <c r="B155" s="511" t="s">
        <v>912</v>
      </c>
      <c r="C155" s="1054">
        <v>583096</v>
      </c>
      <c r="D155" s="1054">
        <v>518512</v>
      </c>
      <c r="E155" s="1054">
        <v>1101608</v>
      </c>
      <c r="F155" s="1054">
        <v>109702</v>
      </c>
      <c r="G155" s="1054">
        <v>90277</v>
      </c>
      <c r="H155" s="1054">
        <v>199979</v>
      </c>
      <c r="I155" s="1054">
        <v>86365</v>
      </c>
      <c r="J155" s="1054">
        <v>82475</v>
      </c>
      <c r="K155" s="1054">
        <v>168840</v>
      </c>
      <c r="L155" s="1054">
        <v>129749</v>
      </c>
      <c r="M155" s="1054">
        <v>124860</v>
      </c>
      <c r="N155" s="1054">
        <v>254609</v>
      </c>
    </row>
    <row r="156" spans="1:14" x14ac:dyDescent="0.35">
      <c r="A156" s="969"/>
      <c r="B156" s="512" t="s">
        <v>911</v>
      </c>
      <c r="C156" s="1054">
        <v>581167</v>
      </c>
      <c r="D156" s="1054">
        <v>492712</v>
      </c>
      <c r="E156" s="1054">
        <v>1073879</v>
      </c>
      <c r="F156" s="1054">
        <v>109719</v>
      </c>
      <c r="G156" s="1054">
        <v>83994</v>
      </c>
      <c r="H156" s="1054">
        <v>193713</v>
      </c>
      <c r="I156" s="1054">
        <v>85933</v>
      </c>
      <c r="J156" s="1054">
        <v>77279</v>
      </c>
      <c r="K156" s="1054">
        <v>163212</v>
      </c>
      <c r="L156" s="1054">
        <v>124645</v>
      </c>
      <c r="M156" s="1054">
        <v>114571</v>
      </c>
      <c r="N156" s="1054">
        <v>239216</v>
      </c>
    </row>
    <row r="157" spans="1:14" x14ac:dyDescent="0.35">
      <c r="A157" s="969"/>
      <c r="B157" s="512" t="s">
        <v>910</v>
      </c>
      <c r="C157" s="1054">
        <v>525883</v>
      </c>
      <c r="D157" s="1054">
        <v>481139</v>
      </c>
      <c r="E157" s="1054">
        <v>1007022</v>
      </c>
      <c r="F157" s="1054">
        <v>93024</v>
      </c>
      <c r="G157" s="1054">
        <v>77606</v>
      </c>
      <c r="H157" s="1054">
        <v>170630</v>
      </c>
      <c r="I157" s="1054">
        <v>72697</v>
      </c>
      <c r="J157" s="1054">
        <v>69019</v>
      </c>
      <c r="K157" s="1054">
        <v>141716</v>
      </c>
      <c r="L157" s="1054">
        <v>100218</v>
      </c>
      <c r="M157" s="1054">
        <v>99879</v>
      </c>
      <c r="N157" s="1054">
        <v>200097</v>
      </c>
    </row>
    <row r="158" spans="1:14" x14ac:dyDescent="0.35">
      <c r="A158" s="969"/>
      <c r="B158" s="512" t="s">
        <v>909</v>
      </c>
      <c r="C158" s="1054">
        <v>529226</v>
      </c>
      <c r="D158" s="1054">
        <v>465703</v>
      </c>
      <c r="E158" s="1054">
        <v>994929</v>
      </c>
      <c r="F158" s="1054">
        <v>88766</v>
      </c>
      <c r="G158" s="1054">
        <v>71362</v>
      </c>
      <c r="H158" s="1054">
        <v>160128</v>
      </c>
      <c r="I158" s="1054">
        <v>70031</v>
      </c>
      <c r="J158" s="1054">
        <v>64832</v>
      </c>
      <c r="K158" s="1054">
        <v>134863</v>
      </c>
      <c r="L158" s="1054">
        <v>110320</v>
      </c>
      <c r="M158" s="1054">
        <v>102419</v>
      </c>
      <c r="N158" s="1054">
        <v>212739</v>
      </c>
    </row>
    <row r="159" spans="1:14" x14ac:dyDescent="0.35">
      <c r="A159" s="969"/>
      <c r="B159" s="512" t="s">
        <v>908</v>
      </c>
      <c r="C159" s="1054">
        <v>558364</v>
      </c>
      <c r="D159" s="1054">
        <v>460828</v>
      </c>
      <c r="E159" s="1054">
        <v>1019192</v>
      </c>
      <c r="F159" s="1054">
        <v>92203</v>
      </c>
      <c r="G159" s="1054">
        <v>70405</v>
      </c>
      <c r="H159" s="1054">
        <v>162608</v>
      </c>
      <c r="I159" s="1054">
        <v>68967</v>
      </c>
      <c r="J159" s="1054">
        <v>58845</v>
      </c>
      <c r="K159" s="1054">
        <v>127812</v>
      </c>
      <c r="L159" s="1054">
        <v>110862</v>
      </c>
      <c r="M159" s="1054">
        <v>99396</v>
      </c>
      <c r="N159" s="1054">
        <v>210258</v>
      </c>
    </row>
    <row r="160" spans="1:14" x14ac:dyDescent="0.35">
      <c r="A160" s="968">
        <v>26</v>
      </c>
      <c r="B160" s="510" t="s">
        <v>36</v>
      </c>
      <c r="C160" s="1054"/>
      <c r="D160" s="1054"/>
      <c r="E160" s="1054"/>
      <c r="F160" s="1054"/>
      <c r="G160" s="1054"/>
      <c r="H160" s="1054"/>
      <c r="I160" s="1054"/>
      <c r="J160" s="1054"/>
      <c r="K160" s="1054"/>
      <c r="L160" s="1054"/>
      <c r="M160" s="1054"/>
      <c r="N160" s="1054"/>
    </row>
    <row r="161" spans="1:14" x14ac:dyDescent="0.35">
      <c r="A161" s="969"/>
      <c r="B161" s="511" t="s">
        <v>912</v>
      </c>
      <c r="C161" s="1054">
        <v>48058.569298245609</v>
      </c>
      <c r="D161" s="1054">
        <v>52565.012280701747</v>
      </c>
      <c r="E161" s="1054">
        <v>100623.5815789474</v>
      </c>
      <c r="F161" s="1054">
        <v>6105.1868421052632</v>
      </c>
      <c r="G161" s="1054">
        <v>6477.2280701754389</v>
      </c>
      <c r="H161" s="1054">
        <v>12582.414912280699</v>
      </c>
      <c r="I161" s="1054">
        <v>655.82456140350882</v>
      </c>
      <c r="J161" s="1054">
        <v>458.54824561403512</v>
      </c>
      <c r="K161" s="1054">
        <v>1114.3728070175439</v>
      </c>
      <c r="L161" s="1054">
        <v>25794.34122807017</v>
      </c>
      <c r="M161" s="1054">
        <v>30846.988596491228</v>
      </c>
      <c r="N161" s="1054">
        <v>56641.329824561413</v>
      </c>
    </row>
    <row r="162" spans="1:14" x14ac:dyDescent="0.35">
      <c r="A162" s="969"/>
      <c r="B162" s="512" t="s">
        <v>911</v>
      </c>
      <c r="C162" s="1054">
        <v>44821</v>
      </c>
      <c r="D162" s="1054">
        <v>49822</v>
      </c>
      <c r="E162" s="1054">
        <v>94643</v>
      </c>
      <c r="F162" s="1054">
        <v>5507</v>
      </c>
      <c r="G162" s="1054">
        <v>6131</v>
      </c>
      <c r="H162" s="1054">
        <v>11638</v>
      </c>
      <c r="I162" s="1054">
        <v>568</v>
      </c>
      <c r="J162" s="1054">
        <v>466</v>
      </c>
      <c r="K162" s="1054">
        <v>1034</v>
      </c>
      <c r="L162" s="1054">
        <v>24233</v>
      </c>
      <c r="M162" s="1054">
        <v>28241</v>
      </c>
      <c r="N162" s="1054">
        <v>52474</v>
      </c>
    </row>
    <row r="163" spans="1:14" x14ac:dyDescent="0.35">
      <c r="A163" s="969"/>
      <c r="B163" s="512" t="s">
        <v>910</v>
      </c>
      <c r="C163" s="1054">
        <v>43187</v>
      </c>
      <c r="D163" s="1054">
        <v>48066</v>
      </c>
      <c r="E163" s="1054">
        <v>91253</v>
      </c>
      <c r="F163" s="1054">
        <v>5684</v>
      </c>
      <c r="G163" s="1054">
        <v>6319</v>
      </c>
      <c r="H163" s="1054">
        <v>12003</v>
      </c>
      <c r="I163" s="1054">
        <v>463</v>
      </c>
      <c r="J163" s="1054">
        <v>440</v>
      </c>
      <c r="K163" s="1054">
        <v>903</v>
      </c>
      <c r="L163" s="1054">
        <v>27277</v>
      </c>
      <c r="M163" s="1054">
        <v>31222</v>
      </c>
      <c r="N163" s="1054">
        <v>58499</v>
      </c>
    </row>
    <row r="164" spans="1:14" x14ac:dyDescent="0.35">
      <c r="A164" s="969"/>
      <c r="B164" s="512" t="s">
        <v>909</v>
      </c>
      <c r="C164" s="1054">
        <v>38156</v>
      </c>
      <c r="D164" s="1054">
        <v>41968</v>
      </c>
      <c r="E164" s="1054">
        <v>80124</v>
      </c>
      <c r="F164" s="1054">
        <v>4892</v>
      </c>
      <c r="G164" s="1054">
        <v>5165</v>
      </c>
      <c r="H164" s="1054">
        <v>10057</v>
      </c>
      <c r="I164" s="1054">
        <v>547</v>
      </c>
      <c r="J164" s="1054">
        <v>476</v>
      </c>
      <c r="K164" s="1054">
        <v>1023</v>
      </c>
      <c r="L164" s="1054">
        <v>22563</v>
      </c>
      <c r="M164" s="1054">
        <v>26083</v>
      </c>
      <c r="N164" s="1054">
        <v>48646</v>
      </c>
    </row>
    <row r="165" spans="1:14" x14ac:dyDescent="0.35">
      <c r="A165" s="969"/>
      <c r="B165" s="512" t="s">
        <v>908</v>
      </c>
      <c r="C165" s="1054">
        <v>36894</v>
      </c>
      <c r="D165" s="1054">
        <v>40448</v>
      </c>
      <c r="E165" s="1054">
        <v>77342</v>
      </c>
      <c r="F165" s="1054">
        <v>5018</v>
      </c>
      <c r="G165" s="1054">
        <v>5239</v>
      </c>
      <c r="H165" s="1054">
        <v>10257</v>
      </c>
      <c r="I165" s="1054">
        <v>556</v>
      </c>
      <c r="J165" s="1054">
        <v>382</v>
      </c>
      <c r="K165" s="1054">
        <v>938</v>
      </c>
      <c r="L165" s="1054">
        <v>21472</v>
      </c>
      <c r="M165" s="1054">
        <v>25478</v>
      </c>
      <c r="N165" s="1054">
        <v>46950</v>
      </c>
    </row>
    <row r="166" spans="1:14" x14ac:dyDescent="0.35">
      <c r="A166" s="968">
        <v>27</v>
      </c>
      <c r="B166" s="510" t="s">
        <v>37</v>
      </c>
      <c r="C166" s="1054"/>
      <c r="D166" s="1054"/>
      <c r="E166" s="1054"/>
      <c r="F166" s="1054"/>
      <c r="G166" s="1054"/>
      <c r="H166" s="1054"/>
      <c r="I166" s="1054"/>
      <c r="J166" s="1054"/>
      <c r="K166" s="1054"/>
      <c r="L166" s="1054"/>
      <c r="M166" s="1054"/>
      <c r="N166" s="1054"/>
    </row>
    <row r="167" spans="1:14" x14ac:dyDescent="0.35">
      <c r="A167" s="969"/>
      <c r="B167" s="511" t="s">
        <v>912</v>
      </c>
      <c r="C167" s="1054">
        <v>466842.76086956519</v>
      </c>
      <c r="D167" s="1054">
        <v>449103.02898550732</v>
      </c>
      <c r="E167" s="1054">
        <v>915945.78985507251</v>
      </c>
      <c r="F167" s="1054">
        <v>105369.7717391304</v>
      </c>
      <c r="G167" s="1054">
        <v>125207.69927536231</v>
      </c>
      <c r="H167" s="1054">
        <v>230577.4710144928</v>
      </c>
      <c r="I167" s="1054">
        <v>2887.170289855072</v>
      </c>
      <c r="J167" s="1054">
        <v>2314.43115942029</v>
      </c>
      <c r="K167" s="1054">
        <v>5201.601449275362</v>
      </c>
      <c r="L167" s="1054">
        <v>59382.10144927536</v>
      </c>
      <c r="M167" s="1054">
        <v>63480.518115942032</v>
      </c>
      <c r="N167" s="1054">
        <v>122862.61956521741</v>
      </c>
    </row>
    <row r="168" spans="1:14" x14ac:dyDescent="0.35">
      <c r="A168" s="969"/>
      <c r="B168" s="512" t="s">
        <v>911</v>
      </c>
      <c r="C168" s="1054">
        <v>434616</v>
      </c>
      <c r="D168" s="1054">
        <v>424128</v>
      </c>
      <c r="E168" s="1054">
        <v>858744</v>
      </c>
      <c r="F168" s="1054">
        <v>92970</v>
      </c>
      <c r="G168" s="1054">
        <v>108745</v>
      </c>
      <c r="H168" s="1054">
        <v>201715</v>
      </c>
      <c r="I168" s="1054">
        <v>2479</v>
      </c>
      <c r="J168" s="1054">
        <v>2015</v>
      </c>
      <c r="K168" s="1054">
        <v>4494</v>
      </c>
      <c r="L168" s="1054">
        <v>52400</v>
      </c>
      <c r="M168" s="1054">
        <v>56125</v>
      </c>
      <c r="N168" s="1054">
        <v>108525</v>
      </c>
    </row>
    <row r="169" spans="1:14" x14ac:dyDescent="0.35">
      <c r="A169" s="969"/>
      <c r="B169" s="512" t="s">
        <v>910</v>
      </c>
      <c r="C169" s="1054">
        <v>418244</v>
      </c>
      <c r="D169" s="1054">
        <v>415091</v>
      </c>
      <c r="E169" s="1054">
        <v>833335</v>
      </c>
      <c r="F169" s="1054">
        <v>83203</v>
      </c>
      <c r="G169" s="1054">
        <v>102784</v>
      </c>
      <c r="H169" s="1054">
        <v>185987</v>
      </c>
      <c r="I169" s="1054">
        <v>2946</v>
      </c>
      <c r="J169" s="1054">
        <v>1975</v>
      </c>
      <c r="K169" s="1054">
        <v>4921</v>
      </c>
      <c r="L169" s="1054">
        <v>53023</v>
      </c>
      <c r="M169" s="1054">
        <v>54386</v>
      </c>
      <c r="N169" s="1054">
        <v>107409</v>
      </c>
    </row>
    <row r="170" spans="1:14" x14ac:dyDescent="0.35">
      <c r="A170" s="969"/>
      <c r="B170" s="512" t="s">
        <v>909</v>
      </c>
      <c r="C170" s="1054">
        <v>425331</v>
      </c>
      <c r="D170" s="1054">
        <v>444132</v>
      </c>
      <c r="E170" s="1054">
        <v>869463</v>
      </c>
      <c r="F170" s="1054">
        <v>90941</v>
      </c>
      <c r="G170" s="1054">
        <v>107929</v>
      </c>
      <c r="H170" s="1054">
        <v>198870</v>
      </c>
      <c r="I170" s="1054">
        <v>3075</v>
      </c>
      <c r="J170" s="1054">
        <v>1942</v>
      </c>
      <c r="K170" s="1054">
        <v>5017</v>
      </c>
      <c r="L170" s="1054">
        <v>55729</v>
      </c>
      <c r="M170" s="1054">
        <v>55521</v>
      </c>
      <c r="N170" s="1054">
        <v>111250</v>
      </c>
    </row>
    <row r="171" spans="1:14" x14ac:dyDescent="0.35">
      <c r="A171" s="969"/>
      <c r="B171" s="512" t="s">
        <v>908</v>
      </c>
      <c r="C171" s="1054">
        <v>436730</v>
      </c>
      <c r="D171" s="1054">
        <v>482846</v>
      </c>
      <c r="E171" s="1054">
        <v>919576</v>
      </c>
      <c r="F171" s="1054">
        <v>101143</v>
      </c>
      <c r="G171" s="1054">
        <v>120175</v>
      </c>
      <c r="H171" s="1054">
        <v>221318</v>
      </c>
      <c r="I171" s="1054">
        <v>3586</v>
      </c>
      <c r="J171" s="1054">
        <v>1712</v>
      </c>
      <c r="K171" s="1054">
        <v>5298</v>
      </c>
      <c r="L171" s="1054">
        <v>54022</v>
      </c>
      <c r="M171" s="1054">
        <v>57855</v>
      </c>
      <c r="N171" s="1054">
        <v>111877</v>
      </c>
    </row>
    <row r="172" spans="1:14" x14ac:dyDescent="0.35">
      <c r="A172" s="968">
        <v>28</v>
      </c>
      <c r="B172" s="510" t="s">
        <v>38</v>
      </c>
      <c r="C172" s="1054"/>
      <c r="D172" s="1054"/>
      <c r="E172" s="1054"/>
      <c r="F172" s="1054"/>
      <c r="G172" s="1054"/>
      <c r="H172" s="1054"/>
      <c r="I172" s="1054"/>
      <c r="J172" s="1054"/>
      <c r="K172" s="1054"/>
      <c r="L172" s="1054"/>
      <c r="M172" s="1054"/>
      <c r="N172" s="1054"/>
    </row>
    <row r="173" spans="1:14" x14ac:dyDescent="0.35">
      <c r="A173" s="969"/>
      <c r="B173" s="511" t="s">
        <v>912</v>
      </c>
      <c r="C173" s="1054">
        <v>1358853.0212758339</v>
      </c>
      <c r="D173" s="1054">
        <v>1276564.4111613811</v>
      </c>
      <c r="E173" s="1054">
        <v>2635417.432437215</v>
      </c>
      <c r="F173" s="1054">
        <v>241915.32055193</v>
      </c>
      <c r="G173" s="1054">
        <v>218155.11795969281</v>
      </c>
      <c r="H173" s="1054">
        <v>460070.43851162278</v>
      </c>
      <c r="I173" s="1054">
        <v>167889.30865545719</v>
      </c>
      <c r="J173" s="1054">
        <v>166076.32002466361</v>
      </c>
      <c r="K173" s="1054">
        <v>333965.62868012069</v>
      </c>
      <c r="L173" s="1054">
        <v>583706.09001306712</v>
      </c>
      <c r="M173" s="1054">
        <v>553398.19263600034</v>
      </c>
      <c r="N173" s="1054">
        <v>1137104.282649067</v>
      </c>
    </row>
    <row r="174" spans="1:14" x14ac:dyDescent="0.35">
      <c r="A174" s="969"/>
      <c r="B174" s="512" t="s">
        <v>911</v>
      </c>
      <c r="C174" s="1054">
        <v>1430283</v>
      </c>
      <c r="D174" s="1054">
        <v>1259057</v>
      </c>
      <c r="E174" s="1054">
        <v>2689340</v>
      </c>
      <c r="F174" s="1054">
        <v>250646</v>
      </c>
      <c r="G174" s="1054">
        <v>210897</v>
      </c>
      <c r="H174" s="1054">
        <v>461543</v>
      </c>
      <c r="I174" s="1054">
        <v>176760</v>
      </c>
      <c r="J174" s="1054">
        <v>163273</v>
      </c>
      <c r="K174" s="1054">
        <v>340033</v>
      </c>
      <c r="L174" s="1054">
        <v>610007</v>
      </c>
      <c r="M174" s="1054">
        <v>539720</v>
      </c>
      <c r="N174" s="1054">
        <v>1149727</v>
      </c>
    </row>
    <row r="175" spans="1:14" x14ac:dyDescent="0.35">
      <c r="A175" s="969"/>
      <c r="B175" s="512" t="s">
        <v>910</v>
      </c>
      <c r="C175" s="1054">
        <v>1278304</v>
      </c>
      <c r="D175" s="1054">
        <v>1154486</v>
      </c>
      <c r="E175" s="1054">
        <v>2432790</v>
      </c>
      <c r="F175" s="1054">
        <v>209453</v>
      </c>
      <c r="G175" s="1054">
        <v>180795</v>
      </c>
      <c r="H175" s="1054">
        <v>390248</v>
      </c>
      <c r="I175" s="1054">
        <v>138517</v>
      </c>
      <c r="J175" s="1054">
        <v>139281</v>
      </c>
      <c r="K175" s="1054">
        <v>277798</v>
      </c>
      <c r="L175" s="1054">
        <v>494833</v>
      </c>
      <c r="M175" s="1054">
        <v>466248</v>
      </c>
      <c r="N175" s="1054">
        <v>961081</v>
      </c>
    </row>
    <row r="176" spans="1:14" x14ac:dyDescent="0.35">
      <c r="A176" s="969"/>
      <c r="B176" s="512" t="s">
        <v>909</v>
      </c>
      <c r="C176" s="1054">
        <v>1151186</v>
      </c>
      <c r="D176" s="1054">
        <v>1055331</v>
      </c>
      <c r="E176" s="1054">
        <v>2206517</v>
      </c>
      <c r="F176" s="1054">
        <v>186353</v>
      </c>
      <c r="G176" s="1054">
        <v>165088</v>
      </c>
      <c r="H176" s="1054">
        <v>351441</v>
      </c>
      <c r="I176" s="1054">
        <v>128038</v>
      </c>
      <c r="J176" s="1054">
        <v>125991</v>
      </c>
      <c r="K176" s="1054">
        <v>254029</v>
      </c>
      <c r="L176" s="1054">
        <v>453177</v>
      </c>
      <c r="M176" s="1054">
        <v>446822</v>
      </c>
      <c r="N176" s="1054">
        <v>899999</v>
      </c>
    </row>
    <row r="177" spans="1:14" x14ac:dyDescent="0.35">
      <c r="A177" s="969"/>
      <c r="B177" s="512" t="s">
        <v>908</v>
      </c>
      <c r="C177" s="1054">
        <v>1082466</v>
      </c>
      <c r="D177" s="1054">
        <v>1001947</v>
      </c>
      <c r="E177" s="1054">
        <v>2084413</v>
      </c>
      <c r="F177" s="1054">
        <v>180245</v>
      </c>
      <c r="G177" s="1054">
        <v>150924</v>
      </c>
      <c r="H177" s="1054">
        <v>331169</v>
      </c>
      <c r="I177" s="1054">
        <v>128628</v>
      </c>
      <c r="J177" s="1054">
        <v>117238</v>
      </c>
      <c r="K177" s="1054">
        <v>245866</v>
      </c>
      <c r="L177" s="1054">
        <v>433092</v>
      </c>
      <c r="M177" s="1054">
        <v>427045</v>
      </c>
      <c r="N177" s="1054">
        <v>860137</v>
      </c>
    </row>
    <row r="178" spans="1:14" x14ac:dyDescent="0.35">
      <c r="A178" s="968">
        <v>29</v>
      </c>
      <c r="B178" s="510" t="s">
        <v>39</v>
      </c>
      <c r="C178" s="1054"/>
      <c r="D178" s="1054"/>
      <c r="E178" s="1054"/>
      <c r="F178" s="1054"/>
      <c r="G178" s="1054"/>
      <c r="H178" s="1054"/>
      <c r="I178" s="1054"/>
      <c r="J178" s="1054"/>
      <c r="K178" s="1054"/>
      <c r="L178" s="1054"/>
      <c r="M178" s="1054"/>
      <c r="N178" s="1054"/>
    </row>
    <row r="179" spans="1:14" x14ac:dyDescent="0.35">
      <c r="A179" s="969"/>
      <c r="B179" s="511" t="s">
        <v>912</v>
      </c>
      <c r="C179" s="1054">
        <v>16146.55555555556</v>
      </c>
      <c r="D179" s="1054">
        <v>17704.777777777781</v>
      </c>
      <c r="E179" s="1054">
        <v>33851.333333333343</v>
      </c>
      <c r="F179" s="1054">
        <v>971.66666666666663</v>
      </c>
      <c r="G179" s="1054">
        <v>903.55555555555554</v>
      </c>
      <c r="H179" s="1054">
        <v>1875.2222222222219</v>
      </c>
      <c r="I179" s="1054">
        <v>4748.666666666667</v>
      </c>
      <c r="J179" s="1054">
        <v>6354.1111111111113</v>
      </c>
      <c r="K179" s="1054">
        <v>11102.777777777779</v>
      </c>
      <c r="L179" s="1054">
        <v>4416</v>
      </c>
      <c r="M179" s="1054">
        <v>5201</v>
      </c>
      <c r="N179" s="1054">
        <v>9617</v>
      </c>
    </row>
    <row r="180" spans="1:14" x14ac:dyDescent="0.35">
      <c r="A180" s="969"/>
      <c r="B180" s="512" t="s">
        <v>911</v>
      </c>
      <c r="C180" s="1054">
        <v>16274</v>
      </c>
      <c r="D180" s="1054">
        <v>17487</v>
      </c>
      <c r="E180" s="1054">
        <v>33761</v>
      </c>
      <c r="F180" s="1054">
        <v>978</v>
      </c>
      <c r="G180" s="1054">
        <v>829</v>
      </c>
      <c r="H180" s="1054">
        <v>1807</v>
      </c>
      <c r="I180" s="1054">
        <v>4360</v>
      </c>
      <c r="J180" s="1054">
        <v>5988</v>
      </c>
      <c r="K180" s="1054">
        <v>10348</v>
      </c>
      <c r="L180" s="1054">
        <v>3930</v>
      </c>
      <c r="M180" s="1054">
        <v>4782</v>
      </c>
      <c r="N180" s="1054">
        <v>8712</v>
      </c>
    </row>
    <row r="181" spans="1:14" x14ac:dyDescent="0.35">
      <c r="A181" s="969"/>
      <c r="B181" s="512" t="s">
        <v>910</v>
      </c>
      <c r="C181" s="1054">
        <v>16707</v>
      </c>
      <c r="D181" s="1054">
        <v>18067</v>
      </c>
      <c r="E181" s="1054">
        <v>34774</v>
      </c>
      <c r="F181" s="1054">
        <v>858</v>
      </c>
      <c r="G181" s="1054">
        <v>774</v>
      </c>
      <c r="H181" s="1054">
        <v>1632</v>
      </c>
      <c r="I181" s="1054">
        <v>4209</v>
      </c>
      <c r="J181" s="1054">
        <v>5899</v>
      </c>
      <c r="K181" s="1054">
        <v>10108</v>
      </c>
      <c r="L181" s="1054">
        <v>3759</v>
      </c>
      <c r="M181" s="1054">
        <v>5060</v>
      </c>
      <c r="N181" s="1054">
        <v>8819</v>
      </c>
    </row>
    <row r="182" spans="1:14" x14ac:dyDescent="0.35">
      <c r="A182" s="969"/>
      <c r="B182" s="512" t="s">
        <v>909</v>
      </c>
      <c r="C182" s="1054">
        <v>33049</v>
      </c>
      <c r="D182" s="1054">
        <v>25022</v>
      </c>
      <c r="E182" s="1054">
        <v>58071</v>
      </c>
      <c r="F182" s="1054">
        <v>681</v>
      </c>
      <c r="G182" s="1054">
        <v>621</v>
      </c>
      <c r="H182" s="1054">
        <v>1302</v>
      </c>
      <c r="I182" s="1054">
        <v>3586</v>
      </c>
      <c r="J182" s="1054">
        <v>5423</v>
      </c>
      <c r="K182" s="1054">
        <v>9009</v>
      </c>
      <c r="L182" s="1054">
        <v>3274</v>
      </c>
      <c r="M182" s="1054">
        <v>4187</v>
      </c>
      <c r="N182" s="1054">
        <v>7461</v>
      </c>
    </row>
    <row r="183" spans="1:14" x14ac:dyDescent="0.35">
      <c r="A183" s="969"/>
      <c r="B183" s="512" t="s">
        <v>908</v>
      </c>
      <c r="C183" s="1054">
        <v>21489</v>
      </c>
      <c r="D183" s="1054">
        <v>20083</v>
      </c>
      <c r="E183" s="1054">
        <v>41572</v>
      </c>
      <c r="F183" s="1054">
        <v>733</v>
      </c>
      <c r="G183" s="1054">
        <v>627</v>
      </c>
      <c r="H183" s="1054">
        <v>1360</v>
      </c>
      <c r="I183" s="1054">
        <v>3454</v>
      </c>
      <c r="J183" s="1054">
        <v>5315</v>
      </c>
      <c r="K183" s="1054">
        <v>8769</v>
      </c>
      <c r="L183" s="1054">
        <v>3006</v>
      </c>
      <c r="M183" s="1054">
        <v>3767</v>
      </c>
      <c r="N183" s="1054">
        <v>6773</v>
      </c>
    </row>
    <row r="184" spans="1:14" x14ac:dyDescent="0.35">
      <c r="A184" s="968">
        <v>30</v>
      </c>
      <c r="B184" s="510" t="s">
        <v>40</v>
      </c>
      <c r="C184" s="1054"/>
      <c r="D184" s="1054"/>
      <c r="E184" s="1054"/>
      <c r="F184" s="1054"/>
      <c r="G184" s="1054"/>
      <c r="H184" s="1054"/>
      <c r="I184" s="1054"/>
      <c r="J184" s="1054"/>
      <c r="K184" s="1054"/>
      <c r="L184" s="1054"/>
      <c r="M184" s="1054"/>
      <c r="N184" s="1054"/>
    </row>
    <row r="185" spans="1:14" x14ac:dyDescent="0.35">
      <c r="A185" s="969"/>
      <c r="B185" s="511" t="s">
        <v>912</v>
      </c>
      <c r="C185" s="1054">
        <v>1745879.743924835</v>
      </c>
      <c r="D185" s="1054">
        <v>1659109.048077442</v>
      </c>
      <c r="E185" s="1054">
        <v>3404988.7920022779</v>
      </c>
      <c r="F185" s="1054">
        <v>315253.3371390985</v>
      </c>
      <c r="G185" s="1054">
        <v>314212.18012706091</v>
      </c>
      <c r="H185" s="1054">
        <v>629465.51726615941</v>
      </c>
      <c r="I185" s="1054">
        <v>19156.99318418387</v>
      </c>
      <c r="J185" s="1054">
        <v>15496.79240059702</v>
      </c>
      <c r="K185" s="1054">
        <v>34653.78558478089</v>
      </c>
      <c r="L185" s="1054">
        <v>1140322.806253877</v>
      </c>
      <c r="M185" s="1054">
        <v>1106559.031107483</v>
      </c>
      <c r="N185" s="1054">
        <v>2246881.83736136</v>
      </c>
    </row>
    <row r="186" spans="1:14" x14ac:dyDescent="0.35">
      <c r="A186" s="969"/>
      <c r="B186" s="512" t="s">
        <v>911</v>
      </c>
      <c r="C186" s="1054">
        <v>1698112</v>
      </c>
      <c r="D186" s="1054">
        <v>1611215</v>
      </c>
      <c r="E186" s="1054">
        <v>3309327</v>
      </c>
      <c r="F186" s="1054">
        <v>302054</v>
      </c>
      <c r="G186" s="1054">
        <v>305306</v>
      </c>
      <c r="H186" s="1054">
        <v>607360</v>
      </c>
      <c r="I186" s="1054">
        <v>20238</v>
      </c>
      <c r="J186" s="1054">
        <v>14975</v>
      </c>
      <c r="K186" s="1054">
        <v>35213</v>
      </c>
      <c r="L186" s="1054">
        <v>1071450</v>
      </c>
      <c r="M186" s="1054">
        <v>1033326</v>
      </c>
      <c r="N186" s="1054">
        <v>2104776</v>
      </c>
    </row>
    <row r="187" spans="1:14" x14ac:dyDescent="0.35">
      <c r="A187" s="969"/>
      <c r="B187" s="512" t="s">
        <v>910</v>
      </c>
      <c r="C187" s="1054">
        <v>1662153</v>
      </c>
      <c r="D187" s="1054">
        <v>1674286</v>
      </c>
      <c r="E187" s="1054">
        <v>3336439</v>
      </c>
      <c r="F187" s="1054">
        <v>275101</v>
      </c>
      <c r="G187" s="1054">
        <v>297976</v>
      </c>
      <c r="H187" s="1054">
        <v>573077</v>
      </c>
      <c r="I187" s="1054">
        <v>17434</v>
      </c>
      <c r="J187" s="1054">
        <v>15418</v>
      </c>
      <c r="K187" s="1054">
        <v>32852</v>
      </c>
      <c r="L187" s="1054">
        <v>963357</v>
      </c>
      <c r="M187" s="1054">
        <v>972604</v>
      </c>
      <c r="N187" s="1054">
        <v>1935961</v>
      </c>
    </row>
    <row r="188" spans="1:14" x14ac:dyDescent="0.35">
      <c r="A188" s="969"/>
      <c r="B188" s="512" t="s">
        <v>909</v>
      </c>
      <c r="C188" s="1054">
        <v>1778186</v>
      </c>
      <c r="D188" s="1054">
        <v>1742125</v>
      </c>
      <c r="E188" s="1054">
        <v>3520311</v>
      </c>
      <c r="F188" s="1054">
        <v>298278</v>
      </c>
      <c r="G188" s="1054">
        <v>315606</v>
      </c>
      <c r="H188" s="1054">
        <v>613884</v>
      </c>
      <c r="I188" s="1054">
        <v>17240</v>
      </c>
      <c r="J188" s="1054">
        <v>15526</v>
      </c>
      <c r="K188" s="1054">
        <v>32766</v>
      </c>
      <c r="L188" s="1054">
        <v>1074844</v>
      </c>
      <c r="M188" s="1054">
        <v>1070143</v>
      </c>
      <c r="N188" s="1054">
        <v>2144987</v>
      </c>
    </row>
    <row r="189" spans="1:14" x14ac:dyDescent="0.35">
      <c r="A189" s="969"/>
      <c r="B189" s="512" t="s">
        <v>908</v>
      </c>
      <c r="C189" s="1054">
        <v>1736870</v>
      </c>
      <c r="D189" s="1054">
        <v>1677326</v>
      </c>
      <c r="E189" s="1054">
        <v>3414196</v>
      </c>
      <c r="F189" s="1054">
        <v>313465</v>
      </c>
      <c r="G189" s="1054">
        <v>321401</v>
      </c>
      <c r="H189" s="1054">
        <v>634866</v>
      </c>
      <c r="I189" s="1054">
        <v>16785</v>
      </c>
      <c r="J189" s="1054">
        <v>13223</v>
      </c>
      <c r="K189" s="1054">
        <v>30008</v>
      </c>
      <c r="L189" s="1054">
        <v>1055823</v>
      </c>
      <c r="M189" s="1054">
        <v>1065035</v>
      </c>
      <c r="N189" s="1054">
        <v>2120858</v>
      </c>
    </row>
    <row r="190" spans="1:14" x14ac:dyDescent="0.35">
      <c r="A190" s="969">
        <v>31</v>
      </c>
      <c r="B190" s="510" t="s">
        <v>41</v>
      </c>
      <c r="C190" s="1054"/>
      <c r="D190" s="1054"/>
      <c r="E190" s="1054"/>
      <c r="F190" s="1054"/>
      <c r="G190" s="1054"/>
      <c r="H190" s="1054"/>
      <c r="I190" s="1054"/>
      <c r="J190" s="1054"/>
      <c r="K190" s="1054"/>
      <c r="L190" s="1054"/>
      <c r="M190" s="1054"/>
      <c r="N190" s="1054"/>
    </row>
    <row r="191" spans="1:14" x14ac:dyDescent="0.35">
      <c r="A191" s="969"/>
      <c r="B191" s="511" t="s">
        <v>912</v>
      </c>
      <c r="C191" s="1054">
        <v>818588.47943106527</v>
      </c>
      <c r="D191" s="1054">
        <v>852973.73486957047</v>
      </c>
      <c r="E191" s="1054">
        <v>1671562.214300636</v>
      </c>
      <c r="F191" s="1054">
        <v>123455.27051618219</v>
      </c>
      <c r="G191" s="1054">
        <v>142874.5502244423</v>
      </c>
      <c r="H191" s="1054">
        <v>266329.82074062439</v>
      </c>
      <c r="I191" s="1054">
        <v>75518.820576506885</v>
      </c>
      <c r="J191" s="1054">
        <v>71209.789889471402</v>
      </c>
      <c r="K191" s="1054">
        <v>146728.6104659783</v>
      </c>
      <c r="L191" s="1054">
        <v>389406.84575923323</v>
      </c>
      <c r="M191" s="1054">
        <v>400758.76571523992</v>
      </c>
      <c r="N191" s="1054">
        <v>790165.61147447303</v>
      </c>
    </row>
    <row r="192" spans="1:14" x14ac:dyDescent="0.35">
      <c r="A192" s="969"/>
      <c r="B192" s="512" t="s">
        <v>911</v>
      </c>
      <c r="C192" s="1054">
        <v>793353</v>
      </c>
      <c r="D192" s="1054">
        <v>803327.4</v>
      </c>
      <c r="E192" s="1054">
        <v>1596680.4</v>
      </c>
      <c r="F192" s="1054">
        <v>119137.4</v>
      </c>
      <c r="G192" s="1054">
        <v>134691.1</v>
      </c>
      <c r="H192" s="1054">
        <v>253828.6</v>
      </c>
      <c r="I192" s="1054">
        <v>72200.600000000006</v>
      </c>
      <c r="J192" s="1054">
        <v>65372.2</v>
      </c>
      <c r="K192" s="1054">
        <v>137572.9</v>
      </c>
      <c r="L192" s="1054">
        <v>370857</v>
      </c>
      <c r="M192" s="1054">
        <v>368609.9</v>
      </c>
      <c r="N192" s="1054">
        <v>739467</v>
      </c>
    </row>
    <row r="193" spans="1:14" x14ac:dyDescent="0.35">
      <c r="A193" s="969"/>
      <c r="B193" s="512" t="s">
        <v>910</v>
      </c>
      <c r="C193" s="1054">
        <v>775309</v>
      </c>
      <c r="D193" s="1054">
        <v>798477</v>
      </c>
      <c r="E193" s="1054">
        <v>1573786</v>
      </c>
      <c r="F193" s="1054">
        <v>107016</v>
      </c>
      <c r="G193" s="1054">
        <v>124337</v>
      </c>
      <c r="H193" s="1054">
        <v>231353</v>
      </c>
      <c r="I193" s="1054">
        <v>63453</v>
      </c>
      <c r="J193" s="1054">
        <v>59454</v>
      </c>
      <c r="K193" s="1054">
        <v>122907</v>
      </c>
      <c r="L193" s="1054">
        <v>328401</v>
      </c>
      <c r="M193" s="1054">
        <v>335695</v>
      </c>
      <c r="N193" s="1054">
        <v>664096</v>
      </c>
    </row>
    <row r="194" spans="1:14" x14ac:dyDescent="0.35">
      <c r="A194" s="969"/>
      <c r="B194" s="512" t="s">
        <v>909</v>
      </c>
      <c r="C194" s="1054">
        <v>672768</v>
      </c>
      <c r="D194" s="1054">
        <v>716840</v>
      </c>
      <c r="E194" s="1054">
        <v>1389608</v>
      </c>
      <c r="F194" s="1054">
        <v>93804</v>
      </c>
      <c r="G194" s="1054">
        <v>115713</v>
      </c>
      <c r="H194" s="1054">
        <v>209517</v>
      </c>
      <c r="I194" s="1054">
        <v>55494</v>
      </c>
      <c r="J194" s="1054">
        <v>53143</v>
      </c>
      <c r="K194" s="1054">
        <v>108637</v>
      </c>
      <c r="L194" s="1054">
        <v>301585</v>
      </c>
      <c r="M194" s="1054">
        <v>325657</v>
      </c>
      <c r="N194" s="1054">
        <v>627242</v>
      </c>
    </row>
    <row r="195" spans="1:14" x14ac:dyDescent="0.35">
      <c r="A195" s="969"/>
      <c r="B195" s="512" t="s">
        <v>908</v>
      </c>
      <c r="C195" s="1054">
        <v>701229</v>
      </c>
      <c r="D195" s="1054">
        <v>725232</v>
      </c>
      <c r="E195" s="1054">
        <v>1426461</v>
      </c>
      <c r="F195" s="1054">
        <v>98325</v>
      </c>
      <c r="G195" s="1054">
        <v>117289</v>
      </c>
      <c r="H195" s="1054">
        <v>215614</v>
      </c>
      <c r="I195" s="1054">
        <v>57323</v>
      </c>
      <c r="J195" s="1054">
        <v>52326</v>
      </c>
      <c r="K195" s="1054">
        <v>109649</v>
      </c>
      <c r="L195" s="1054">
        <v>315118</v>
      </c>
      <c r="M195" s="1054">
        <v>325599</v>
      </c>
      <c r="N195" s="1054">
        <v>640717</v>
      </c>
    </row>
    <row r="196" spans="1:14" x14ac:dyDescent="0.35">
      <c r="A196" s="969">
        <v>32</v>
      </c>
      <c r="B196" s="614" t="s">
        <v>83</v>
      </c>
      <c r="C196" s="1054"/>
      <c r="D196" s="1054"/>
      <c r="E196" s="1054"/>
      <c r="F196" s="1054"/>
      <c r="G196" s="1054"/>
      <c r="H196" s="1054"/>
      <c r="I196" s="1054"/>
      <c r="J196" s="1054"/>
      <c r="K196" s="1054"/>
      <c r="L196" s="1054"/>
      <c r="M196" s="1054"/>
      <c r="N196" s="1054"/>
    </row>
    <row r="197" spans="1:14" x14ac:dyDescent="0.35">
      <c r="A197" s="969"/>
      <c r="B197" s="511" t="s">
        <v>912</v>
      </c>
      <c r="C197" s="1054">
        <v>6607</v>
      </c>
      <c r="D197" s="1054">
        <v>6402</v>
      </c>
      <c r="E197" s="1054">
        <v>13009</v>
      </c>
      <c r="F197" s="1054">
        <v>264</v>
      </c>
      <c r="G197" s="1054">
        <v>296</v>
      </c>
      <c r="H197" s="1054">
        <v>560</v>
      </c>
      <c r="I197" s="1054">
        <v>950</v>
      </c>
      <c r="J197" s="1054">
        <v>1178</v>
      </c>
      <c r="K197" s="1054">
        <v>2128</v>
      </c>
      <c r="L197" s="1054">
        <v>1194</v>
      </c>
      <c r="M197" s="1054">
        <v>1111</v>
      </c>
      <c r="N197" s="1054">
        <v>2305</v>
      </c>
    </row>
    <row r="198" spans="1:14" x14ac:dyDescent="0.35">
      <c r="A198" s="969"/>
      <c r="B198" s="512" t="s">
        <v>911</v>
      </c>
      <c r="C198" s="1054">
        <v>6683</v>
      </c>
      <c r="D198" s="1054">
        <v>6122</v>
      </c>
      <c r="E198" s="1054">
        <v>12805</v>
      </c>
      <c r="F198" s="1054">
        <v>260</v>
      </c>
      <c r="G198" s="1054">
        <v>267</v>
      </c>
      <c r="H198" s="1054">
        <v>527</v>
      </c>
      <c r="I198" s="1054">
        <v>924</v>
      </c>
      <c r="J198" s="1054">
        <v>1160</v>
      </c>
      <c r="K198" s="1054">
        <v>2084</v>
      </c>
      <c r="L198" s="1054">
        <v>1026</v>
      </c>
      <c r="M198" s="1054">
        <v>1022</v>
      </c>
      <c r="N198" s="1054">
        <v>2048</v>
      </c>
    </row>
    <row r="199" spans="1:14" x14ac:dyDescent="0.35">
      <c r="A199" s="969"/>
      <c r="B199" s="512" t="s">
        <v>910</v>
      </c>
      <c r="C199" s="1054">
        <v>5948</v>
      </c>
      <c r="D199" s="1054">
        <v>5622</v>
      </c>
      <c r="E199" s="1054">
        <v>11570</v>
      </c>
      <c r="F199" s="1054">
        <v>231</v>
      </c>
      <c r="G199" s="1054">
        <v>251</v>
      </c>
      <c r="H199" s="1054">
        <v>482</v>
      </c>
      <c r="I199" s="1054">
        <v>816</v>
      </c>
      <c r="J199" s="1054">
        <v>1056</v>
      </c>
      <c r="K199" s="1054">
        <v>1872</v>
      </c>
      <c r="L199" s="1054">
        <v>832</v>
      </c>
      <c r="M199" s="1054">
        <v>1035</v>
      </c>
      <c r="N199" s="1054">
        <v>1867</v>
      </c>
    </row>
    <row r="200" spans="1:14" x14ac:dyDescent="0.35">
      <c r="A200" s="969"/>
      <c r="B200" s="512" t="s">
        <v>909</v>
      </c>
      <c r="C200" s="1054">
        <v>5320</v>
      </c>
      <c r="D200" s="1054">
        <v>5005</v>
      </c>
      <c r="E200" s="1054">
        <v>10325</v>
      </c>
      <c r="F200" s="1054">
        <v>201</v>
      </c>
      <c r="G200" s="1054">
        <v>233</v>
      </c>
      <c r="H200" s="1054">
        <v>434</v>
      </c>
      <c r="I200" s="1054">
        <v>721</v>
      </c>
      <c r="J200" s="1054">
        <v>998</v>
      </c>
      <c r="K200" s="1054">
        <v>1719</v>
      </c>
      <c r="L200" s="1054">
        <v>951</v>
      </c>
      <c r="M200" s="1054">
        <v>943</v>
      </c>
      <c r="N200" s="1054">
        <v>1894</v>
      </c>
    </row>
    <row r="201" spans="1:14" x14ac:dyDescent="0.35">
      <c r="A201" s="969">
        <v>33</v>
      </c>
      <c r="B201" s="510" t="s">
        <v>42</v>
      </c>
      <c r="C201" s="1054"/>
      <c r="D201" s="1054"/>
      <c r="E201" s="1054"/>
      <c r="F201" s="1054"/>
      <c r="G201" s="1054"/>
      <c r="H201" s="1054"/>
      <c r="I201" s="1054"/>
      <c r="J201" s="1054"/>
      <c r="K201" s="1054"/>
      <c r="L201" s="1054"/>
      <c r="M201" s="1054"/>
      <c r="N201" s="1054"/>
    </row>
    <row r="202" spans="1:14" x14ac:dyDescent="0.35">
      <c r="A202" s="969"/>
      <c r="B202" s="511" t="s">
        <v>912</v>
      </c>
      <c r="C202" s="1054">
        <v>52168</v>
      </c>
      <c r="D202" s="1054">
        <v>50156</v>
      </c>
      <c r="E202" s="1054">
        <v>102324</v>
      </c>
      <c r="F202" s="1054">
        <v>9387</v>
      </c>
      <c r="G202" s="1054">
        <v>8824</v>
      </c>
      <c r="H202" s="1054">
        <v>18211</v>
      </c>
      <c r="I202" s="1054">
        <v>13956</v>
      </c>
      <c r="J202" s="1054">
        <v>14058</v>
      </c>
      <c r="K202" s="1054">
        <v>28014</v>
      </c>
      <c r="L202" s="1054">
        <v>9625</v>
      </c>
      <c r="M202" s="1054">
        <v>9265</v>
      </c>
      <c r="N202" s="1054">
        <v>18890</v>
      </c>
    </row>
    <row r="203" spans="1:14" x14ac:dyDescent="0.35">
      <c r="A203" s="969"/>
      <c r="B203" s="512" t="s">
        <v>911</v>
      </c>
      <c r="C203" s="1054">
        <v>53538</v>
      </c>
      <c r="D203" s="1054">
        <v>47013</v>
      </c>
      <c r="E203" s="1054">
        <v>100551</v>
      </c>
      <c r="F203" s="1054">
        <v>10060</v>
      </c>
      <c r="G203" s="1054">
        <v>8402</v>
      </c>
      <c r="H203" s="1054">
        <v>18462</v>
      </c>
      <c r="I203" s="1054">
        <v>13178</v>
      </c>
      <c r="J203" s="1054">
        <v>11895</v>
      </c>
      <c r="K203" s="1054">
        <v>25073</v>
      </c>
      <c r="L203" s="1054">
        <v>9490</v>
      </c>
      <c r="M203" s="1054">
        <v>8918</v>
      </c>
      <c r="N203" s="1054">
        <v>18408</v>
      </c>
    </row>
    <row r="204" spans="1:14" x14ac:dyDescent="0.35">
      <c r="A204" s="969"/>
      <c r="B204" s="512" t="s">
        <v>910</v>
      </c>
      <c r="C204" s="1054">
        <v>48428</v>
      </c>
      <c r="D204" s="1054">
        <v>44232</v>
      </c>
      <c r="E204" s="1054">
        <v>92660</v>
      </c>
      <c r="F204" s="1054">
        <v>7955</v>
      </c>
      <c r="G204" s="1054">
        <v>7047</v>
      </c>
      <c r="H204" s="1054">
        <v>15002</v>
      </c>
      <c r="I204" s="1054">
        <v>10610</v>
      </c>
      <c r="J204" s="1054">
        <v>10115</v>
      </c>
      <c r="K204" s="1054">
        <v>20725</v>
      </c>
      <c r="L204" s="1054">
        <v>8261</v>
      </c>
      <c r="M204" s="1054">
        <v>7359</v>
      </c>
      <c r="N204" s="1054">
        <v>15620</v>
      </c>
    </row>
    <row r="205" spans="1:14" x14ac:dyDescent="0.35">
      <c r="A205" s="969"/>
      <c r="B205" s="512" t="s">
        <v>909</v>
      </c>
      <c r="C205" s="1054">
        <v>47031</v>
      </c>
      <c r="D205" s="1054">
        <v>39216</v>
      </c>
      <c r="E205" s="1054">
        <v>86247</v>
      </c>
      <c r="F205" s="1054">
        <v>8074</v>
      </c>
      <c r="G205" s="1054">
        <v>6042</v>
      </c>
      <c r="H205" s="1054">
        <v>14116</v>
      </c>
      <c r="I205" s="1054">
        <v>10290</v>
      </c>
      <c r="J205" s="1054">
        <v>7996</v>
      </c>
      <c r="K205" s="1054">
        <v>18286</v>
      </c>
      <c r="L205" s="1054">
        <v>8592</v>
      </c>
      <c r="M205" s="1054">
        <v>6700</v>
      </c>
      <c r="N205" s="1054">
        <v>15292</v>
      </c>
    </row>
    <row r="206" spans="1:14" x14ac:dyDescent="0.35">
      <c r="A206" s="969"/>
      <c r="B206" s="512" t="s">
        <v>908</v>
      </c>
      <c r="C206" s="1054">
        <v>44456</v>
      </c>
      <c r="D206" s="1054">
        <v>38247</v>
      </c>
      <c r="E206" s="1054">
        <v>82703</v>
      </c>
      <c r="F206" s="1054">
        <v>7857</v>
      </c>
      <c r="G206" s="1054">
        <v>6325</v>
      </c>
      <c r="H206" s="1054">
        <v>14182</v>
      </c>
      <c r="I206" s="1054">
        <v>10469</v>
      </c>
      <c r="J206" s="1054">
        <v>9157</v>
      </c>
      <c r="K206" s="1054">
        <v>19626</v>
      </c>
      <c r="L206" s="1054">
        <v>8158</v>
      </c>
      <c r="M206" s="1054">
        <v>6228</v>
      </c>
      <c r="N206" s="1054">
        <v>14386</v>
      </c>
    </row>
    <row r="207" spans="1:14" x14ac:dyDescent="0.35">
      <c r="A207" s="969">
        <v>34</v>
      </c>
      <c r="B207" s="510" t="s">
        <v>43</v>
      </c>
      <c r="C207" s="1054"/>
      <c r="D207" s="1054"/>
      <c r="E207" s="1054"/>
      <c r="F207" s="1054"/>
      <c r="G207" s="1054"/>
      <c r="H207" s="1054"/>
      <c r="I207" s="1054"/>
      <c r="J207" s="1054"/>
      <c r="K207" s="1054"/>
      <c r="L207" s="1054"/>
      <c r="M207" s="1054"/>
      <c r="N207" s="1054"/>
    </row>
    <row r="208" spans="1:14" x14ac:dyDescent="0.35">
      <c r="A208" s="969"/>
      <c r="B208" s="511" t="s">
        <v>912</v>
      </c>
      <c r="C208" s="1054">
        <v>3728800.4693300598</v>
      </c>
      <c r="D208" s="1054">
        <v>3516152.1513036089</v>
      </c>
      <c r="E208" s="1054">
        <v>7244952.6206336692</v>
      </c>
      <c r="F208" s="1054">
        <v>687829.04273618117</v>
      </c>
      <c r="G208" s="1054">
        <v>670188.41031321313</v>
      </c>
      <c r="H208" s="1054">
        <v>1358017.4530493941</v>
      </c>
      <c r="I208" s="1054">
        <v>34630.978560264077</v>
      </c>
      <c r="J208" s="1054">
        <v>32382.398814395139</v>
      </c>
      <c r="K208" s="1054">
        <v>67013.37737465922</v>
      </c>
      <c r="L208" s="1054">
        <v>1577492.0782956791</v>
      </c>
      <c r="M208" s="1054">
        <v>1543258.180577657</v>
      </c>
      <c r="N208" s="1054">
        <v>3120750.258873336</v>
      </c>
    </row>
    <row r="209" spans="1:14" x14ac:dyDescent="0.35">
      <c r="A209" s="969"/>
      <c r="B209" s="512" t="s">
        <v>911</v>
      </c>
      <c r="C209" s="1054">
        <v>3669318.1</v>
      </c>
      <c r="D209" s="1054">
        <v>3304105.5</v>
      </c>
      <c r="E209" s="1054">
        <v>6973423.5999999996</v>
      </c>
      <c r="F209" s="1054">
        <v>658396.5</v>
      </c>
      <c r="G209" s="1054">
        <v>606019.4</v>
      </c>
      <c r="H209" s="1054">
        <v>1264416</v>
      </c>
      <c r="I209" s="1054">
        <v>30690.3</v>
      </c>
      <c r="J209" s="1054">
        <v>27492.6</v>
      </c>
      <c r="K209" s="1054">
        <v>58182.9</v>
      </c>
      <c r="L209" s="1054">
        <v>1533961.8</v>
      </c>
      <c r="M209" s="1054">
        <v>1425214.5</v>
      </c>
      <c r="N209" s="1054">
        <v>2959176.3</v>
      </c>
    </row>
    <row r="210" spans="1:14" x14ac:dyDescent="0.35">
      <c r="A210" s="969"/>
      <c r="B210" s="512" t="s">
        <v>910</v>
      </c>
      <c r="C210" s="1054">
        <v>3397012</v>
      </c>
      <c r="D210" s="1054">
        <v>3254055</v>
      </c>
      <c r="E210" s="1054">
        <v>6651067</v>
      </c>
      <c r="F210" s="1054">
        <v>575597</v>
      </c>
      <c r="G210" s="1054">
        <v>580871</v>
      </c>
      <c r="H210" s="1054">
        <v>1156468</v>
      </c>
      <c r="I210" s="1054">
        <v>29258</v>
      </c>
      <c r="J210" s="1054">
        <v>32098</v>
      </c>
      <c r="K210" s="1054">
        <v>61356</v>
      </c>
      <c r="L210" s="1054">
        <v>1289890</v>
      </c>
      <c r="M210" s="1054">
        <v>1317920</v>
      </c>
      <c r="N210" s="1054">
        <v>2607810</v>
      </c>
    </row>
    <row r="211" spans="1:14" x14ac:dyDescent="0.35">
      <c r="A211" s="969"/>
      <c r="B211" s="512" t="s">
        <v>909</v>
      </c>
      <c r="C211" s="1054">
        <v>3136650</v>
      </c>
      <c r="D211" s="1054">
        <v>3251564</v>
      </c>
      <c r="E211" s="1054">
        <v>6388214</v>
      </c>
      <c r="F211" s="1054">
        <v>574191</v>
      </c>
      <c r="G211" s="1054">
        <v>604607</v>
      </c>
      <c r="H211" s="1054">
        <v>1178798</v>
      </c>
      <c r="I211" s="1054">
        <v>24177</v>
      </c>
      <c r="J211" s="1054">
        <v>25358</v>
      </c>
      <c r="K211" s="1054">
        <v>49535</v>
      </c>
      <c r="L211" s="1054">
        <v>1235540</v>
      </c>
      <c r="M211" s="1054">
        <v>1353980</v>
      </c>
      <c r="N211" s="1054">
        <v>2589520</v>
      </c>
    </row>
    <row r="212" spans="1:14" x14ac:dyDescent="0.35">
      <c r="A212" s="969"/>
      <c r="B212" s="512" t="s">
        <v>908</v>
      </c>
      <c r="C212" s="1054">
        <v>3189520</v>
      </c>
      <c r="D212" s="1054">
        <v>3279847</v>
      </c>
      <c r="E212" s="1054">
        <v>6469367</v>
      </c>
      <c r="F212" s="1054">
        <v>588721</v>
      </c>
      <c r="G212" s="1054">
        <v>620749</v>
      </c>
      <c r="H212" s="1054">
        <v>1209470</v>
      </c>
      <c r="I212" s="1054">
        <v>27600</v>
      </c>
      <c r="J212" s="1054">
        <v>27093</v>
      </c>
      <c r="K212" s="1054">
        <v>54693</v>
      </c>
      <c r="L212" s="1054">
        <v>1218268</v>
      </c>
      <c r="M212" s="1054">
        <v>1343327</v>
      </c>
      <c r="N212" s="1054">
        <v>2561595</v>
      </c>
    </row>
    <row r="213" spans="1:14" x14ac:dyDescent="0.35">
      <c r="A213" s="969">
        <v>35</v>
      </c>
      <c r="B213" s="514" t="s">
        <v>44</v>
      </c>
      <c r="C213" s="1054"/>
      <c r="D213" s="1054"/>
      <c r="E213" s="1054"/>
      <c r="F213" s="1054"/>
      <c r="G213" s="1054"/>
      <c r="H213" s="1054"/>
      <c r="I213" s="1054"/>
      <c r="J213" s="1054"/>
      <c r="K213" s="1054"/>
      <c r="L213" s="1054"/>
      <c r="M213" s="1054"/>
      <c r="N213" s="1054"/>
    </row>
    <row r="214" spans="1:14" x14ac:dyDescent="0.35">
      <c r="A214" s="969"/>
      <c r="B214" s="511" t="s">
        <v>912</v>
      </c>
      <c r="C214" s="1054">
        <v>290727.55586492468</v>
      </c>
      <c r="D214" s="1054">
        <v>288687.37506915041</v>
      </c>
      <c r="E214" s="1054">
        <v>579414.93093407503</v>
      </c>
      <c r="F214" s="1054">
        <v>39324.326215265377</v>
      </c>
      <c r="G214" s="1054">
        <v>44596.763615978947</v>
      </c>
      <c r="H214" s="1054">
        <v>83921.089831244331</v>
      </c>
      <c r="I214" s="1054">
        <v>8367.5249613593696</v>
      </c>
      <c r="J214" s="1054">
        <v>8257.7541064174875</v>
      </c>
      <c r="K214" s="1054">
        <v>16625.279067776861</v>
      </c>
      <c r="L214" s="1054">
        <v>58108.266029897139</v>
      </c>
      <c r="M214" s="1054">
        <v>56356.134653979483</v>
      </c>
      <c r="N214" s="1054">
        <v>114464.40068387661</v>
      </c>
    </row>
    <row r="215" spans="1:14" x14ac:dyDescent="0.35">
      <c r="A215" s="969"/>
      <c r="B215" s="512" t="s">
        <v>911</v>
      </c>
      <c r="C215" s="1054">
        <v>286148.59999999998</v>
      </c>
      <c r="D215" s="1054">
        <v>281554.90000000002</v>
      </c>
      <c r="E215" s="1054">
        <v>567703.5</v>
      </c>
      <c r="F215" s="1054">
        <v>39345.800000000003</v>
      </c>
      <c r="G215" s="1054">
        <v>43323.6</v>
      </c>
      <c r="H215" s="1054">
        <v>82669.399999999994</v>
      </c>
      <c r="I215" s="1054">
        <v>9268.2999999999993</v>
      </c>
      <c r="J215" s="1054">
        <v>8843.2000000000007</v>
      </c>
      <c r="K215" s="1054">
        <v>18111.5</v>
      </c>
      <c r="L215" s="1054">
        <v>53211.6</v>
      </c>
      <c r="M215" s="1054">
        <v>51752</v>
      </c>
      <c r="N215" s="1054">
        <v>104963.6</v>
      </c>
    </row>
    <row r="216" spans="1:14" x14ac:dyDescent="0.35">
      <c r="A216" s="969"/>
      <c r="B216" s="512" t="s">
        <v>910</v>
      </c>
      <c r="C216" s="1054">
        <v>304850</v>
      </c>
      <c r="D216" s="1054">
        <v>315301</v>
      </c>
      <c r="E216" s="1054">
        <v>620151</v>
      </c>
      <c r="F216" s="1054">
        <v>42740</v>
      </c>
      <c r="G216" s="1054">
        <v>48262</v>
      </c>
      <c r="H216" s="1054">
        <v>91002</v>
      </c>
      <c r="I216" s="1054">
        <v>10219</v>
      </c>
      <c r="J216" s="1054">
        <v>10944</v>
      </c>
      <c r="K216" s="1054">
        <v>21163</v>
      </c>
      <c r="L216" s="1054">
        <v>53371</v>
      </c>
      <c r="M216" s="1054">
        <v>48798</v>
      </c>
      <c r="N216" s="1054">
        <v>102169</v>
      </c>
    </row>
    <row r="217" spans="1:14" x14ac:dyDescent="0.35">
      <c r="A217" s="969"/>
      <c r="B217" s="512" t="s">
        <v>909</v>
      </c>
      <c r="C217" s="1054">
        <v>248893</v>
      </c>
      <c r="D217" s="1054">
        <v>244386</v>
      </c>
      <c r="E217" s="1054">
        <v>493279</v>
      </c>
      <c r="F217" s="1054">
        <v>34825</v>
      </c>
      <c r="G217" s="1054">
        <v>35946</v>
      </c>
      <c r="H217" s="1054">
        <v>70771</v>
      </c>
      <c r="I217" s="1054">
        <v>8678</v>
      </c>
      <c r="J217" s="1054">
        <v>8758</v>
      </c>
      <c r="K217" s="1054">
        <v>17436</v>
      </c>
      <c r="L217" s="1054">
        <v>45352</v>
      </c>
      <c r="M217" s="1054">
        <v>39825</v>
      </c>
      <c r="N217" s="1054">
        <v>85177</v>
      </c>
    </row>
    <row r="218" spans="1:14" x14ac:dyDescent="0.35">
      <c r="A218" s="969"/>
      <c r="B218" s="512" t="s">
        <v>908</v>
      </c>
      <c r="C218" s="1054">
        <v>241083</v>
      </c>
      <c r="D218" s="1054">
        <v>227172</v>
      </c>
      <c r="E218" s="1054">
        <v>468255</v>
      </c>
      <c r="F218" s="1054">
        <v>34145</v>
      </c>
      <c r="G218" s="1054">
        <v>33699</v>
      </c>
      <c r="H218" s="1054">
        <v>67844</v>
      </c>
      <c r="I218" s="1054">
        <v>8957</v>
      </c>
      <c r="J218" s="1054">
        <v>9168</v>
      </c>
      <c r="K218" s="1054">
        <v>18125</v>
      </c>
      <c r="L218" s="1054">
        <v>44665</v>
      </c>
      <c r="M218" s="1054">
        <v>37465</v>
      </c>
      <c r="N218" s="1054">
        <v>82130</v>
      </c>
    </row>
    <row r="219" spans="1:14" x14ac:dyDescent="0.35">
      <c r="A219" s="969">
        <v>36</v>
      </c>
      <c r="B219" s="510" t="s">
        <v>45</v>
      </c>
      <c r="C219" s="1054"/>
      <c r="D219" s="1054"/>
      <c r="E219" s="1054"/>
      <c r="F219" s="1054"/>
      <c r="G219" s="1054"/>
      <c r="H219" s="1054"/>
      <c r="I219" s="1054"/>
      <c r="J219" s="1054"/>
      <c r="K219" s="1054"/>
      <c r="L219" s="1054"/>
      <c r="M219" s="1054"/>
      <c r="N219" s="1054"/>
    </row>
    <row r="220" spans="1:14" x14ac:dyDescent="0.35">
      <c r="A220" s="969"/>
      <c r="B220" s="511" t="s">
        <v>912</v>
      </c>
      <c r="C220" s="1054">
        <v>1360800.666666667</v>
      </c>
      <c r="D220" s="1054">
        <v>1332067.833333333</v>
      </c>
      <c r="E220" s="1054">
        <v>2692868.5</v>
      </c>
      <c r="F220" s="1054">
        <v>269484.08333333331</v>
      </c>
      <c r="G220" s="1054">
        <v>257422.5</v>
      </c>
      <c r="H220" s="1054">
        <v>526906.58333333337</v>
      </c>
      <c r="I220" s="1054">
        <v>45452.25</v>
      </c>
      <c r="J220" s="1054">
        <v>49616.5</v>
      </c>
      <c r="K220" s="1054">
        <v>95068.75</v>
      </c>
      <c r="L220" s="1054">
        <v>243568.5</v>
      </c>
      <c r="M220" s="1054">
        <v>233706.66666666669</v>
      </c>
      <c r="N220" s="1054">
        <v>477275.16666666669</v>
      </c>
    </row>
    <row r="221" spans="1:14" x14ac:dyDescent="0.35">
      <c r="A221" s="969"/>
      <c r="B221" s="512" t="s">
        <v>911</v>
      </c>
      <c r="C221" s="1054">
        <v>1375627</v>
      </c>
      <c r="D221" s="1054">
        <v>1346524</v>
      </c>
      <c r="E221" s="1054">
        <v>2722151</v>
      </c>
      <c r="F221" s="1054">
        <v>268861</v>
      </c>
      <c r="G221" s="1054">
        <v>250384</v>
      </c>
      <c r="H221" s="1054">
        <v>519245</v>
      </c>
      <c r="I221" s="1054">
        <v>46586</v>
      </c>
      <c r="J221" s="1054">
        <v>49120</v>
      </c>
      <c r="K221" s="1054">
        <v>95706</v>
      </c>
      <c r="L221" s="1054">
        <v>252444</v>
      </c>
      <c r="M221" s="1054">
        <v>227554</v>
      </c>
      <c r="N221" s="1054">
        <v>479998</v>
      </c>
    </row>
    <row r="222" spans="1:14" x14ac:dyDescent="0.35">
      <c r="A222" s="969"/>
      <c r="B222" s="512" t="s">
        <v>910</v>
      </c>
      <c r="C222" s="1054">
        <v>1086183</v>
      </c>
      <c r="D222" s="1054">
        <v>1129353</v>
      </c>
      <c r="E222" s="1054">
        <v>2215536</v>
      </c>
      <c r="F222" s="1054">
        <v>193301</v>
      </c>
      <c r="G222" s="1054">
        <v>196461</v>
      </c>
      <c r="H222" s="1054">
        <v>389762</v>
      </c>
      <c r="I222" s="1054">
        <v>35878</v>
      </c>
      <c r="J222" s="1054">
        <v>37271</v>
      </c>
      <c r="K222" s="1054">
        <v>73149</v>
      </c>
      <c r="L222" s="1054">
        <v>173809</v>
      </c>
      <c r="M222" s="1054">
        <v>174094</v>
      </c>
      <c r="N222" s="1054">
        <v>347903</v>
      </c>
    </row>
    <row r="223" spans="1:14" x14ac:dyDescent="0.35">
      <c r="A223" s="969"/>
      <c r="B223" s="512" t="s">
        <v>909</v>
      </c>
      <c r="C223" s="1054">
        <v>1069629</v>
      </c>
      <c r="D223" s="1054">
        <v>1091264</v>
      </c>
      <c r="E223" s="1054">
        <v>2160893</v>
      </c>
      <c r="F223" s="1054">
        <v>198506</v>
      </c>
      <c r="G223" s="1054">
        <v>198374</v>
      </c>
      <c r="H223" s="1054">
        <v>396880</v>
      </c>
      <c r="I223" s="1054">
        <v>35684</v>
      </c>
      <c r="J223" s="1054">
        <v>36549</v>
      </c>
      <c r="K223" s="1054">
        <v>72233</v>
      </c>
      <c r="L223" s="1054">
        <v>169795</v>
      </c>
      <c r="M223" s="1054">
        <v>168978</v>
      </c>
      <c r="N223" s="1054">
        <v>338773</v>
      </c>
    </row>
    <row r="224" spans="1:14" x14ac:dyDescent="0.35">
      <c r="A224" s="969"/>
      <c r="B224" s="512" t="s">
        <v>908</v>
      </c>
      <c r="C224" s="1054">
        <v>1056511</v>
      </c>
      <c r="D224" s="1054">
        <v>1040899</v>
      </c>
      <c r="E224" s="1054">
        <v>2097410</v>
      </c>
      <c r="F224" s="1054">
        <v>191847</v>
      </c>
      <c r="G224" s="1054">
        <v>183008</v>
      </c>
      <c r="H224" s="1054">
        <v>374855</v>
      </c>
      <c r="I224" s="1054">
        <v>34002</v>
      </c>
      <c r="J224" s="1054">
        <v>33168</v>
      </c>
      <c r="K224" s="1054">
        <v>67170</v>
      </c>
      <c r="L224" s="1054">
        <v>164367</v>
      </c>
      <c r="M224" s="1054">
        <v>152598</v>
      </c>
      <c r="N224" s="1054">
        <v>316965</v>
      </c>
    </row>
  </sheetData>
  <mergeCells count="45">
    <mergeCell ref="C1:G1"/>
    <mergeCell ref="I1:N1"/>
    <mergeCell ref="A219:A224"/>
    <mergeCell ref="A184:A189"/>
    <mergeCell ref="A190:A195"/>
    <mergeCell ref="A196:A200"/>
    <mergeCell ref="A201:A206"/>
    <mergeCell ref="A207:A212"/>
    <mergeCell ref="A213:A218"/>
    <mergeCell ref="A178:A183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07:A111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I2:K2"/>
    <mergeCell ref="L2:N2"/>
    <mergeCell ref="A35:A40"/>
    <mergeCell ref="A2:A3"/>
    <mergeCell ref="B2:B3"/>
    <mergeCell ref="C2:E2"/>
    <mergeCell ref="F2:H2"/>
    <mergeCell ref="A5:A10"/>
    <mergeCell ref="A11:A16"/>
    <mergeCell ref="A17:A22"/>
    <mergeCell ref="A23:A28"/>
    <mergeCell ref="A29:A34"/>
  </mergeCells>
  <pageMargins left="0.35433070866141736" right="0.11811023622047245" top="0.39370078740157483" bottom="0.39370078740157483" header="0.31496062992125984" footer="0.19685039370078741"/>
  <pageSetup paperSize="9" scale="65" firstPageNumber="2" orientation="portrait" r:id="rId1"/>
  <headerFooter>
    <oddFooter>&amp;L&amp;"Arial,Italic"&amp;9AISHE 2022-23&amp;RT-45</oddFooter>
  </headerFooter>
  <rowBreaks count="1" manualBreakCount="1">
    <brk id="76" max="13" man="1"/>
  </rowBreaks>
  <colBreaks count="1" manualBreakCount="1">
    <brk id="8" max="223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10C9-733C-4752-A18B-04C6E86AFF8B}">
  <sheetPr codeName="Sheet10">
    <tabColor rgb="FF92D050"/>
  </sheetPr>
  <dimension ref="A1:N225"/>
  <sheetViews>
    <sheetView view="pageBreakPreview" zoomScale="99" zoomScaleSheetLayoutView="99" workbookViewId="0">
      <pane xSplit="2" ySplit="3" topLeftCell="D4" activePane="bottomRight" state="frozen"/>
      <selection activeCell="S20" sqref="S20"/>
      <selection pane="topRight" activeCell="S20" sqref="S20"/>
      <selection pane="bottomLeft" activeCell="S20" sqref="S20"/>
      <selection pane="bottomRight" activeCell="C3" sqref="C1:N1048576"/>
    </sheetView>
  </sheetViews>
  <sheetFormatPr defaultColWidth="9.1796875" defaultRowHeight="14" x14ac:dyDescent="0.35"/>
  <cols>
    <col min="1" max="1" width="4.453125" style="392" bestFit="1" customWidth="1"/>
    <col min="2" max="2" width="34.54296875" style="392" bestFit="1" customWidth="1"/>
    <col min="3" max="5" width="10.7265625" style="1051" bestFit="1" customWidth="1"/>
    <col min="6" max="7" width="9.6328125" style="1051" bestFit="1" customWidth="1"/>
    <col min="8" max="8" width="10.7265625" style="1051" bestFit="1" customWidth="1"/>
    <col min="9" max="9" width="8" style="1051" bestFit="1" customWidth="1"/>
    <col min="10" max="10" width="8.08984375" style="1051" bestFit="1" customWidth="1"/>
    <col min="11" max="11" width="8" style="1051" bestFit="1" customWidth="1"/>
    <col min="12" max="14" width="9.6328125" style="1051" bestFit="1" customWidth="1"/>
    <col min="15" max="16384" width="9.1796875" style="392"/>
  </cols>
  <sheetData>
    <row r="1" spans="1:14" ht="28.5" customHeight="1" x14ac:dyDescent="0.35">
      <c r="B1" s="397" t="s">
        <v>981</v>
      </c>
      <c r="C1" s="1053" t="s">
        <v>1051</v>
      </c>
      <c r="D1" s="1053"/>
      <c r="E1" s="1053"/>
      <c r="F1" s="1053"/>
      <c r="G1" s="1053"/>
      <c r="H1" s="1053"/>
      <c r="I1" s="1053"/>
      <c r="J1" s="1053"/>
      <c r="K1" s="1053"/>
      <c r="L1" s="1053"/>
      <c r="M1" s="1053"/>
      <c r="N1" s="1053"/>
    </row>
    <row r="2" spans="1:14" ht="17.25" customHeight="1" x14ac:dyDescent="0.35">
      <c r="A2" s="965" t="s">
        <v>974</v>
      </c>
      <c r="B2" s="962" t="s">
        <v>50</v>
      </c>
      <c r="C2" s="1057" t="s">
        <v>122</v>
      </c>
      <c r="D2" s="1058"/>
      <c r="E2" s="1059"/>
      <c r="F2" s="1057" t="s">
        <v>123</v>
      </c>
      <c r="G2" s="1058"/>
      <c r="H2" s="1059"/>
      <c r="I2" s="1057" t="s">
        <v>121</v>
      </c>
      <c r="J2" s="1058"/>
      <c r="K2" s="1059"/>
      <c r="L2" s="1057" t="s">
        <v>124</v>
      </c>
      <c r="M2" s="1058"/>
      <c r="N2" s="1059"/>
    </row>
    <row r="3" spans="1:14" ht="17.25" customHeight="1" x14ac:dyDescent="0.35">
      <c r="A3" s="966"/>
      <c r="B3" s="971"/>
      <c r="C3" s="1034" t="s">
        <v>93</v>
      </c>
      <c r="D3" s="1034" t="s">
        <v>94</v>
      </c>
      <c r="E3" s="1034" t="s">
        <v>975</v>
      </c>
      <c r="F3" s="1034" t="s">
        <v>93</v>
      </c>
      <c r="G3" s="1034" t="s">
        <v>94</v>
      </c>
      <c r="H3" s="1034" t="s">
        <v>975</v>
      </c>
      <c r="I3" s="1034" t="s">
        <v>93</v>
      </c>
      <c r="J3" s="1034" t="s">
        <v>94</v>
      </c>
      <c r="K3" s="1034" t="s">
        <v>975</v>
      </c>
      <c r="L3" s="1034" t="s">
        <v>93</v>
      </c>
      <c r="M3" s="1034" t="s">
        <v>94</v>
      </c>
      <c r="N3" s="1034" t="s">
        <v>975</v>
      </c>
    </row>
    <row r="4" spans="1:14" x14ac:dyDescent="0.35">
      <c r="A4" s="398">
        <v>1</v>
      </c>
      <c r="B4" s="399">
        <v>2</v>
      </c>
      <c r="C4" s="1060">
        <v>3</v>
      </c>
      <c r="D4" s="1061">
        <v>4</v>
      </c>
      <c r="E4" s="1060">
        <v>5</v>
      </c>
      <c r="F4" s="1060">
        <v>6</v>
      </c>
      <c r="G4" s="1061">
        <v>7</v>
      </c>
      <c r="H4" s="1060">
        <v>8</v>
      </c>
      <c r="I4" s="1060">
        <v>9</v>
      </c>
      <c r="J4" s="1061">
        <v>10</v>
      </c>
      <c r="K4" s="1060">
        <v>11</v>
      </c>
      <c r="L4" s="1061">
        <v>12</v>
      </c>
      <c r="M4" s="1060">
        <v>13</v>
      </c>
      <c r="N4" s="1061">
        <v>14</v>
      </c>
    </row>
    <row r="5" spans="1:14" x14ac:dyDescent="0.35">
      <c r="A5" s="963"/>
      <c r="B5" s="508" t="s">
        <v>913</v>
      </c>
      <c r="C5" s="1040"/>
      <c r="D5" s="1040"/>
      <c r="E5" s="1040"/>
      <c r="F5" s="1040"/>
      <c r="G5" s="1040"/>
      <c r="H5" s="1040"/>
      <c r="I5" s="1040"/>
      <c r="J5" s="1040"/>
      <c r="K5" s="1040"/>
      <c r="L5" s="1040"/>
      <c r="M5" s="1040"/>
      <c r="N5" s="1040"/>
    </row>
    <row r="6" spans="1:14" x14ac:dyDescent="0.35">
      <c r="A6" s="964"/>
      <c r="B6" s="400" t="s">
        <v>912</v>
      </c>
      <c r="C6" s="1040">
        <v>1120382.093536471</v>
      </c>
      <c r="D6" s="1040">
        <v>1123430.4317668211</v>
      </c>
      <c r="E6" s="1040">
        <v>2243812.5253032921</v>
      </c>
      <c r="F6" s="1040">
        <v>486130.05524035997</v>
      </c>
      <c r="G6" s="1040">
        <v>560383.84263764741</v>
      </c>
      <c r="H6" s="1040">
        <v>1046513.897878007</v>
      </c>
      <c r="I6" s="1040">
        <v>53665.99032707412</v>
      </c>
      <c r="J6" s="1040">
        <v>35150.175848665232</v>
      </c>
      <c r="K6" s="1040">
        <v>88816.166175739345</v>
      </c>
      <c r="L6" s="1040">
        <v>436708.32203368552</v>
      </c>
      <c r="M6" s="1040">
        <v>383665.51058628922</v>
      </c>
      <c r="N6" s="1040">
        <v>820373.83261997474</v>
      </c>
    </row>
    <row r="7" spans="1:14" x14ac:dyDescent="0.35">
      <c r="A7" s="964"/>
      <c r="B7" s="395" t="s">
        <v>911</v>
      </c>
      <c r="C7" s="1040">
        <v>1068766</v>
      </c>
      <c r="D7" s="1040">
        <v>1039267</v>
      </c>
      <c r="E7" s="1040">
        <v>2108033</v>
      </c>
      <c r="F7" s="1040">
        <v>427425</v>
      </c>
      <c r="G7" s="1040">
        <v>477734</v>
      </c>
      <c r="H7" s="1040">
        <v>905159</v>
      </c>
      <c r="I7" s="1040">
        <v>51373</v>
      </c>
      <c r="J7" s="1040">
        <v>37375</v>
      </c>
      <c r="K7" s="1040">
        <v>88748</v>
      </c>
      <c r="L7" s="1040">
        <v>354534</v>
      </c>
      <c r="M7" s="1040">
        <v>302027</v>
      </c>
      <c r="N7" s="1040">
        <v>656561</v>
      </c>
    </row>
    <row r="8" spans="1:14" x14ac:dyDescent="0.35">
      <c r="A8" s="964"/>
      <c r="B8" s="395" t="s">
        <v>910</v>
      </c>
      <c r="C8" s="1040">
        <v>954655</v>
      </c>
      <c r="D8" s="1040">
        <v>967058</v>
      </c>
      <c r="E8" s="1040">
        <v>1921713</v>
      </c>
      <c r="F8" s="1040">
        <v>381764</v>
      </c>
      <c r="G8" s="1040">
        <v>448102</v>
      </c>
      <c r="H8" s="1040">
        <v>829866</v>
      </c>
      <c r="I8" s="1040">
        <v>49334</v>
      </c>
      <c r="J8" s="1040">
        <v>29701</v>
      </c>
      <c r="K8" s="1040">
        <v>79035</v>
      </c>
      <c r="L8" s="1041">
        <v>244250</v>
      </c>
      <c r="M8" s="1041">
        <v>223526</v>
      </c>
      <c r="N8" s="1041">
        <v>467776</v>
      </c>
    </row>
    <row r="9" spans="1:14" x14ac:dyDescent="0.35">
      <c r="A9" s="964"/>
      <c r="B9" s="395" t="s">
        <v>909</v>
      </c>
      <c r="C9" s="1040">
        <v>1046374</v>
      </c>
      <c r="D9" s="1040">
        <v>1054486</v>
      </c>
      <c r="E9" s="1040">
        <v>2100860</v>
      </c>
      <c r="F9" s="1040">
        <v>404748</v>
      </c>
      <c r="G9" s="1040">
        <v>483002</v>
      </c>
      <c r="H9" s="1040">
        <v>887750</v>
      </c>
      <c r="I9" s="1040">
        <v>47830</v>
      </c>
      <c r="J9" s="1040">
        <v>45001</v>
      </c>
      <c r="K9" s="1040">
        <v>92831</v>
      </c>
      <c r="L9" s="1062"/>
      <c r="M9" s="1062"/>
      <c r="N9" s="1062"/>
    </row>
    <row r="10" spans="1:14" x14ac:dyDescent="0.35">
      <c r="A10" s="964"/>
      <c r="B10" s="395" t="s">
        <v>908</v>
      </c>
      <c r="C10" s="1041">
        <v>993396</v>
      </c>
      <c r="D10" s="1041">
        <v>965608</v>
      </c>
      <c r="E10" s="1041">
        <v>1959004</v>
      </c>
      <c r="F10" s="1041">
        <v>397146</v>
      </c>
      <c r="G10" s="1041">
        <v>470954</v>
      </c>
      <c r="H10" s="1041">
        <v>868100</v>
      </c>
      <c r="I10" s="1040">
        <v>48212</v>
      </c>
      <c r="J10" s="1040">
        <v>37665</v>
      </c>
      <c r="K10" s="1040">
        <v>85877</v>
      </c>
      <c r="L10" s="1062"/>
      <c r="M10" s="1062"/>
      <c r="N10" s="1062"/>
    </row>
    <row r="11" spans="1:14" ht="15" x14ac:dyDescent="0.35">
      <c r="A11" s="963">
        <v>1</v>
      </c>
      <c r="B11" s="506" t="s">
        <v>116</v>
      </c>
      <c r="C11" s="1063"/>
      <c r="D11" s="1064"/>
      <c r="E11" s="1064"/>
      <c r="F11" s="1064"/>
      <c r="G11" s="1064"/>
      <c r="H11" s="1064"/>
      <c r="I11" s="1064"/>
      <c r="J11" s="1064"/>
      <c r="K11" s="1064"/>
      <c r="L11" s="1064"/>
      <c r="M11" s="1064"/>
      <c r="N11" s="1065"/>
    </row>
    <row r="12" spans="1:14" x14ac:dyDescent="0.35">
      <c r="A12" s="964"/>
      <c r="B12" s="400" t="s">
        <v>912</v>
      </c>
      <c r="C12" s="1044">
        <v>142</v>
      </c>
      <c r="D12" s="1044">
        <v>151</v>
      </c>
      <c r="E12" s="1044">
        <v>293</v>
      </c>
      <c r="F12" s="1044">
        <v>153</v>
      </c>
      <c r="G12" s="1044">
        <v>146</v>
      </c>
      <c r="H12" s="1044">
        <v>299</v>
      </c>
      <c r="I12" s="1044">
        <v>11</v>
      </c>
      <c r="J12" s="1044">
        <v>6</v>
      </c>
      <c r="K12" s="1044">
        <v>17</v>
      </c>
      <c r="L12" s="1044">
        <v>94</v>
      </c>
      <c r="M12" s="1044">
        <v>103</v>
      </c>
      <c r="N12" s="1045">
        <v>197</v>
      </c>
    </row>
    <row r="13" spans="1:14" x14ac:dyDescent="0.35">
      <c r="A13" s="964"/>
      <c r="B13" s="395" t="s">
        <v>911</v>
      </c>
      <c r="C13" s="1040">
        <v>239</v>
      </c>
      <c r="D13" s="1040">
        <v>370</v>
      </c>
      <c r="E13" s="1040">
        <v>609</v>
      </c>
      <c r="F13" s="1040">
        <v>402</v>
      </c>
      <c r="G13" s="1040">
        <v>743</v>
      </c>
      <c r="H13" s="1040">
        <v>1145</v>
      </c>
      <c r="I13" s="1040">
        <v>27</v>
      </c>
      <c r="J13" s="1040">
        <v>39</v>
      </c>
      <c r="K13" s="1040">
        <v>66</v>
      </c>
      <c r="L13" s="1040">
        <v>49</v>
      </c>
      <c r="M13" s="1040">
        <v>63</v>
      </c>
      <c r="N13" s="1040">
        <v>112</v>
      </c>
    </row>
    <row r="14" spans="1:14" x14ac:dyDescent="0.35">
      <c r="A14" s="964"/>
      <c r="B14" s="395" t="s">
        <v>910</v>
      </c>
      <c r="C14" s="1040">
        <v>255</v>
      </c>
      <c r="D14" s="1040">
        <v>363</v>
      </c>
      <c r="E14" s="1040">
        <v>618</v>
      </c>
      <c r="F14" s="1040">
        <v>401</v>
      </c>
      <c r="G14" s="1040">
        <v>731</v>
      </c>
      <c r="H14" s="1040">
        <v>1132</v>
      </c>
      <c r="I14" s="1040">
        <v>22</v>
      </c>
      <c r="J14" s="1040">
        <v>34</v>
      </c>
      <c r="K14" s="1040">
        <v>56</v>
      </c>
      <c r="L14" s="1040">
        <v>51</v>
      </c>
      <c r="M14" s="1040">
        <v>37</v>
      </c>
      <c r="N14" s="1040">
        <v>88</v>
      </c>
    </row>
    <row r="15" spans="1:14" x14ac:dyDescent="0.35">
      <c r="A15" s="964"/>
      <c r="B15" s="395" t="s">
        <v>909</v>
      </c>
      <c r="C15" s="1041">
        <v>166</v>
      </c>
      <c r="D15" s="1041">
        <v>304</v>
      </c>
      <c r="E15" s="1041">
        <v>470</v>
      </c>
      <c r="F15" s="1041">
        <v>293</v>
      </c>
      <c r="G15" s="1041">
        <v>645</v>
      </c>
      <c r="H15" s="1041">
        <v>938</v>
      </c>
      <c r="I15" s="1041">
        <v>18</v>
      </c>
      <c r="J15" s="1041">
        <v>44</v>
      </c>
      <c r="K15" s="1041">
        <v>62</v>
      </c>
      <c r="L15" s="1062"/>
      <c r="M15" s="1062"/>
      <c r="N15" s="1062"/>
    </row>
    <row r="16" spans="1:14" x14ac:dyDescent="0.35">
      <c r="A16" s="964"/>
      <c r="B16" s="395" t="s">
        <v>908</v>
      </c>
      <c r="C16" s="1040">
        <v>263</v>
      </c>
      <c r="D16" s="1040">
        <v>376</v>
      </c>
      <c r="E16" s="1040">
        <v>639</v>
      </c>
      <c r="F16" s="1040">
        <v>339</v>
      </c>
      <c r="G16" s="1040">
        <v>670</v>
      </c>
      <c r="H16" s="1040">
        <v>1009</v>
      </c>
      <c r="I16" s="1040">
        <v>20</v>
      </c>
      <c r="J16" s="1040">
        <v>17</v>
      </c>
      <c r="K16" s="1040">
        <v>37</v>
      </c>
      <c r="L16" s="1062"/>
      <c r="M16" s="1062"/>
      <c r="N16" s="1062"/>
    </row>
    <row r="17" spans="1:14" x14ac:dyDescent="0.35">
      <c r="A17" s="963">
        <v>2</v>
      </c>
      <c r="B17" s="506" t="s">
        <v>13</v>
      </c>
      <c r="C17" s="1064"/>
      <c r="D17" s="1064"/>
      <c r="E17" s="1064"/>
      <c r="F17" s="1064"/>
      <c r="G17" s="1064"/>
      <c r="H17" s="1064"/>
      <c r="I17" s="1064"/>
      <c r="J17" s="1064"/>
      <c r="K17" s="1064"/>
      <c r="L17" s="1064"/>
      <c r="M17" s="1064"/>
      <c r="N17" s="1065"/>
    </row>
    <row r="18" spans="1:14" x14ac:dyDescent="0.35">
      <c r="A18" s="964"/>
      <c r="B18" s="400" t="s">
        <v>912</v>
      </c>
      <c r="C18" s="1044">
        <v>31485.762586389541</v>
      </c>
      <c r="D18" s="1044">
        <v>25697.902310614489</v>
      </c>
      <c r="E18" s="1044">
        <v>57183.664897004033</v>
      </c>
      <c r="F18" s="1044">
        <v>4353.9679709427537</v>
      </c>
      <c r="G18" s="1044">
        <v>4210.8853399696882</v>
      </c>
      <c r="H18" s="1044">
        <v>8564.8533109124419</v>
      </c>
      <c r="I18" s="1044">
        <v>1927.5765765765771</v>
      </c>
      <c r="J18" s="1044">
        <v>1194.2528957528959</v>
      </c>
      <c r="K18" s="1044">
        <v>3121.829472329473</v>
      </c>
      <c r="L18" s="1044">
        <v>27900.6676586094</v>
      </c>
      <c r="M18" s="1044">
        <v>26586.911589037671</v>
      </c>
      <c r="N18" s="1045">
        <v>54487.579247647067</v>
      </c>
    </row>
    <row r="19" spans="1:14" x14ac:dyDescent="0.35">
      <c r="A19" s="964"/>
      <c r="B19" s="395" t="s">
        <v>911</v>
      </c>
      <c r="C19" s="1040">
        <v>32718</v>
      </c>
      <c r="D19" s="1040">
        <v>23726</v>
      </c>
      <c r="E19" s="1040">
        <v>56444</v>
      </c>
      <c r="F19" s="1040">
        <v>4241</v>
      </c>
      <c r="G19" s="1040">
        <v>4420</v>
      </c>
      <c r="H19" s="1040">
        <v>8661</v>
      </c>
      <c r="I19" s="1040">
        <v>1361</v>
      </c>
      <c r="J19" s="1040">
        <v>1167</v>
      </c>
      <c r="K19" s="1040">
        <v>2528</v>
      </c>
      <c r="L19" s="1040">
        <v>20391</v>
      </c>
      <c r="M19" s="1040">
        <v>19050</v>
      </c>
      <c r="N19" s="1040">
        <v>39441</v>
      </c>
    </row>
    <row r="20" spans="1:14" x14ac:dyDescent="0.35">
      <c r="A20" s="964"/>
      <c r="B20" s="395" t="s">
        <v>910</v>
      </c>
      <c r="C20" s="1040">
        <v>28338</v>
      </c>
      <c r="D20" s="1040">
        <v>23313</v>
      </c>
      <c r="E20" s="1040">
        <v>51651</v>
      </c>
      <c r="F20" s="1040">
        <v>5727</v>
      </c>
      <c r="G20" s="1040">
        <v>4301</v>
      </c>
      <c r="H20" s="1040">
        <v>10028</v>
      </c>
      <c r="I20" s="1040">
        <v>1659</v>
      </c>
      <c r="J20" s="1040">
        <v>957</v>
      </c>
      <c r="K20" s="1040">
        <v>2616</v>
      </c>
      <c r="L20" s="1041">
        <v>15650</v>
      </c>
      <c r="M20" s="1041">
        <v>14068</v>
      </c>
      <c r="N20" s="1041">
        <v>29718</v>
      </c>
    </row>
    <row r="21" spans="1:14" x14ac:dyDescent="0.35">
      <c r="A21" s="964"/>
      <c r="B21" s="395" t="s">
        <v>909</v>
      </c>
      <c r="C21" s="1041">
        <v>34050</v>
      </c>
      <c r="D21" s="1041">
        <v>27245</v>
      </c>
      <c r="E21" s="1041">
        <v>61295</v>
      </c>
      <c r="F21" s="1041">
        <v>3884</v>
      </c>
      <c r="G21" s="1041">
        <v>3745</v>
      </c>
      <c r="H21" s="1041">
        <v>7629</v>
      </c>
      <c r="I21" s="1041">
        <v>1683</v>
      </c>
      <c r="J21" s="1041">
        <v>982</v>
      </c>
      <c r="K21" s="1041">
        <v>2665</v>
      </c>
      <c r="L21" s="1062"/>
      <c r="M21" s="1062"/>
      <c r="N21" s="1062"/>
    </row>
    <row r="22" spans="1:14" x14ac:dyDescent="0.35">
      <c r="A22" s="964"/>
      <c r="B22" s="395" t="s">
        <v>908</v>
      </c>
      <c r="C22" s="1040">
        <v>33309</v>
      </c>
      <c r="D22" s="1040">
        <v>25470</v>
      </c>
      <c r="E22" s="1040">
        <v>58779</v>
      </c>
      <c r="F22" s="1040">
        <v>4428</v>
      </c>
      <c r="G22" s="1040">
        <v>4406</v>
      </c>
      <c r="H22" s="1040">
        <v>8834</v>
      </c>
      <c r="I22" s="1040">
        <v>1597</v>
      </c>
      <c r="J22" s="1040">
        <v>928</v>
      </c>
      <c r="K22" s="1040">
        <v>2525</v>
      </c>
      <c r="L22" s="1062"/>
      <c r="M22" s="1062"/>
      <c r="N22" s="1062"/>
    </row>
    <row r="23" spans="1:14" x14ac:dyDescent="0.35">
      <c r="A23" s="963">
        <v>3</v>
      </c>
      <c r="B23" s="506" t="s">
        <v>14</v>
      </c>
      <c r="C23" s="1064"/>
      <c r="D23" s="1064"/>
      <c r="E23" s="1064"/>
      <c r="F23" s="1064"/>
      <c r="G23" s="1064"/>
      <c r="H23" s="1064"/>
      <c r="I23" s="1064"/>
      <c r="J23" s="1064"/>
      <c r="K23" s="1064"/>
      <c r="L23" s="1064"/>
      <c r="M23" s="1064"/>
      <c r="N23" s="1065"/>
    </row>
    <row r="24" spans="1:14" x14ac:dyDescent="0.35">
      <c r="A24" s="964"/>
      <c r="B24" s="400" t="s">
        <v>912</v>
      </c>
      <c r="C24" s="1044">
        <v>68</v>
      </c>
      <c r="D24" s="1044">
        <v>57</v>
      </c>
      <c r="E24" s="1044">
        <v>125</v>
      </c>
      <c r="F24" s="1044">
        <v>4879</v>
      </c>
      <c r="G24" s="1044">
        <v>4482</v>
      </c>
      <c r="H24" s="1044">
        <v>9361</v>
      </c>
      <c r="I24" s="1044">
        <v>26</v>
      </c>
      <c r="J24" s="1044">
        <v>13</v>
      </c>
      <c r="K24" s="1044">
        <v>39</v>
      </c>
      <c r="L24" s="1044">
        <v>299</v>
      </c>
      <c r="M24" s="1044">
        <v>163</v>
      </c>
      <c r="N24" s="1045">
        <v>462</v>
      </c>
    </row>
    <row r="25" spans="1:14" x14ac:dyDescent="0.35">
      <c r="A25" s="964"/>
      <c r="B25" s="395" t="s">
        <v>911</v>
      </c>
      <c r="C25" s="1040">
        <v>65</v>
      </c>
      <c r="D25" s="1040">
        <v>42</v>
      </c>
      <c r="E25" s="1040">
        <v>107</v>
      </c>
      <c r="F25" s="1040">
        <v>2470</v>
      </c>
      <c r="G25" s="1040">
        <v>1673</v>
      </c>
      <c r="H25" s="1040">
        <v>4143</v>
      </c>
      <c r="I25" s="1040">
        <v>24</v>
      </c>
      <c r="J25" s="1040">
        <v>28</v>
      </c>
      <c r="K25" s="1040">
        <v>52</v>
      </c>
      <c r="L25" s="1040">
        <v>221</v>
      </c>
      <c r="M25" s="1040">
        <v>124</v>
      </c>
      <c r="N25" s="1040">
        <v>345</v>
      </c>
    </row>
    <row r="26" spans="1:14" x14ac:dyDescent="0.35">
      <c r="A26" s="964"/>
      <c r="B26" s="395" t="s">
        <v>910</v>
      </c>
      <c r="C26" s="1040">
        <v>53</v>
      </c>
      <c r="D26" s="1040">
        <v>40</v>
      </c>
      <c r="E26" s="1040">
        <v>93</v>
      </c>
      <c r="F26" s="1040">
        <v>1849</v>
      </c>
      <c r="G26" s="1040">
        <v>1292</v>
      </c>
      <c r="H26" s="1040">
        <v>3141</v>
      </c>
      <c r="I26" s="1040">
        <v>22</v>
      </c>
      <c r="J26" s="1040">
        <v>10</v>
      </c>
      <c r="K26" s="1040">
        <v>32</v>
      </c>
      <c r="L26" s="1040">
        <v>111</v>
      </c>
      <c r="M26" s="1040">
        <v>74</v>
      </c>
      <c r="N26" s="1040">
        <v>185</v>
      </c>
    </row>
    <row r="27" spans="1:14" x14ac:dyDescent="0.35">
      <c r="A27" s="964"/>
      <c r="B27" s="395" t="s">
        <v>909</v>
      </c>
      <c r="C27" s="1041">
        <v>91</v>
      </c>
      <c r="D27" s="1041">
        <v>59</v>
      </c>
      <c r="E27" s="1041">
        <v>150</v>
      </c>
      <c r="F27" s="1041">
        <v>2519</v>
      </c>
      <c r="G27" s="1041">
        <v>2250</v>
      </c>
      <c r="H27" s="1041">
        <v>4769</v>
      </c>
      <c r="I27" s="1041">
        <v>9</v>
      </c>
      <c r="J27" s="1041">
        <v>5</v>
      </c>
      <c r="K27" s="1041">
        <v>14</v>
      </c>
      <c r="L27" s="1062"/>
      <c r="M27" s="1062"/>
      <c r="N27" s="1062"/>
    </row>
    <row r="28" spans="1:14" x14ac:dyDescent="0.35">
      <c r="A28" s="964"/>
      <c r="B28" s="395" t="s">
        <v>908</v>
      </c>
      <c r="C28" s="1040">
        <v>94</v>
      </c>
      <c r="D28" s="1040">
        <v>42</v>
      </c>
      <c r="E28" s="1040">
        <v>136</v>
      </c>
      <c r="F28" s="1040">
        <v>1688</v>
      </c>
      <c r="G28" s="1040">
        <v>1199</v>
      </c>
      <c r="H28" s="1040">
        <v>2887</v>
      </c>
      <c r="I28" s="1040">
        <v>19</v>
      </c>
      <c r="J28" s="1040">
        <v>9</v>
      </c>
      <c r="K28" s="1040">
        <v>28</v>
      </c>
      <c r="L28" s="1062"/>
      <c r="M28" s="1062"/>
      <c r="N28" s="1062"/>
    </row>
    <row r="29" spans="1:14" x14ac:dyDescent="0.35">
      <c r="A29" s="963">
        <v>4</v>
      </c>
      <c r="B29" s="506" t="s">
        <v>15</v>
      </c>
      <c r="C29" s="1064"/>
      <c r="D29" s="1064"/>
      <c r="E29" s="1064"/>
      <c r="F29" s="1064"/>
      <c r="G29" s="1064"/>
      <c r="H29" s="1064"/>
      <c r="I29" s="1064"/>
      <c r="J29" s="1064"/>
      <c r="K29" s="1064"/>
      <c r="L29" s="1064"/>
      <c r="M29" s="1064"/>
      <c r="N29" s="1065"/>
    </row>
    <row r="30" spans="1:14" x14ac:dyDescent="0.35">
      <c r="A30" s="964"/>
      <c r="B30" s="400" t="s">
        <v>912</v>
      </c>
      <c r="C30" s="1044">
        <v>58008.678571428572</v>
      </c>
      <c r="D30" s="1044">
        <v>58374.035714285717</v>
      </c>
      <c r="E30" s="1044">
        <v>116382.7142857143</v>
      </c>
      <c r="F30" s="1044">
        <v>7907.5</v>
      </c>
      <c r="G30" s="1044">
        <v>9491.8571428571431</v>
      </c>
      <c r="H30" s="1044">
        <v>17399.357142857141</v>
      </c>
      <c r="I30" s="1044">
        <v>800.78571428571433</v>
      </c>
      <c r="J30" s="1044">
        <v>382.96428571428572</v>
      </c>
      <c r="K30" s="1044">
        <v>1183.75</v>
      </c>
      <c r="L30" s="1044">
        <v>10610.28571428571</v>
      </c>
      <c r="M30" s="1044">
        <v>9937.0357142857138</v>
      </c>
      <c r="N30" s="1045">
        <v>20547.321428571431</v>
      </c>
    </row>
    <row r="31" spans="1:14" x14ac:dyDescent="0.35">
      <c r="A31" s="964"/>
      <c r="B31" s="395" t="s">
        <v>911</v>
      </c>
      <c r="C31" s="1040">
        <v>44047</v>
      </c>
      <c r="D31" s="1040">
        <v>40761</v>
      </c>
      <c r="E31" s="1040">
        <v>84808</v>
      </c>
      <c r="F31" s="1040">
        <v>5841</v>
      </c>
      <c r="G31" s="1040">
        <v>5894</v>
      </c>
      <c r="H31" s="1040">
        <v>11735</v>
      </c>
      <c r="I31" s="1040">
        <v>429</v>
      </c>
      <c r="J31" s="1040">
        <v>232</v>
      </c>
      <c r="K31" s="1040">
        <v>661</v>
      </c>
      <c r="L31" s="1040">
        <v>12932</v>
      </c>
      <c r="M31" s="1040">
        <v>14272</v>
      </c>
      <c r="N31" s="1040">
        <v>27204</v>
      </c>
    </row>
    <row r="32" spans="1:14" x14ac:dyDescent="0.35">
      <c r="A32" s="964"/>
      <c r="B32" s="395" t="s">
        <v>910</v>
      </c>
      <c r="C32" s="1040">
        <v>44845</v>
      </c>
      <c r="D32" s="1040">
        <v>43084</v>
      </c>
      <c r="E32" s="1040">
        <v>87929</v>
      </c>
      <c r="F32" s="1040">
        <v>6791</v>
      </c>
      <c r="G32" s="1040">
        <v>6571</v>
      </c>
      <c r="H32" s="1040">
        <v>13362</v>
      </c>
      <c r="I32" s="1040">
        <v>644</v>
      </c>
      <c r="J32" s="1040">
        <v>316</v>
      </c>
      <c r="K32" s="1040">
        <v>960</v>
      </c>
      <c r="L32" s="1041">
        <v>8496</v>
      </c>
      <c r="M32" s="1041">
        <v>8916</v>
      </c>
      <c r="N32" s="1041">
        <v>17412</v>
      </c>
    </row>
    <row r="33" spans="1:14" x14ac:dyDescent="0.35">
      <c r="A33" s="964"/>
      <c r="B33" s="395" t="s">
        <v>909</v>
      </c>
      <c r="C33" s="1041">
        <v>47608</v>
      </c>
      <c r="D33" s="1041">
        <v>45745</v>
      </c>
      <c r="E33" s="1041">
        <v>93353</v>
      </c>
      <c r="F33" s="1041">
        <v>6796</v>
      </c>
      <c r="G33" s="1041">
        <v>7109</v>
      </c>
      <c r="H33" s="1041">
        <v>13905</v>
      </c>
      <c r="I33" s="1041">
        <v>511</v>
      </c>
      <c r="J33" s="1041">
        <v>301</v>
      </c>
      <c r="K33" s="1041">
        <v>812</v>
      </c>
      <c r="L33" s="1062"/>
      <c r="M33" s="1062"/>
      <c r="N33" s="1062"/>
    </row>
    <row r="34" spans="1:14" x14ac:dyDescent="0.35">
      <c r="A34" s="964"/>
      <c r="B34" s="395" t="s">
        <v>908</v>
      </c>
      <c r="C34" s="1040">
        <v>49869</v>
      </c>
      <c r="D34" s="1040">
        <v>47596</v>
      </c>
      <c r="E34" s="1040">
        <v>97465</v>
      </c>
      <c r="F34" s="1040">
        <v>6586</v>
      </c>
      <c r="G34" s="1040">
        <v>6696</v>
      </c>
      <c r="H34" s="1040">
        <v>13282</v>
      </c>
      <c r="I34" s="1040">
        <v>599</v>
      </c>
      <c r="J34" s="1040">
        <v>364</v>
      </c>
      <c r="K34" s="1040">
        <v>963</v>
      </c>
      <c r="L34" s="1062"/>
      <c r="M34" s="1062"/>
      <c r="N34" s="1062"/>
    </row>
    <row r="35" spans="1:14" x14ac:dyDescent="0.35">
      <c r="A35" s="963">
        <v>5</v>
      </c>
      <c r="B35" s="506" t="s">
        <v>16</v>
      </c>
      <c r="C35" s="1064"/>
      <c r="D35" s="1064"/>
      <c r="E35" s="1064"/>
      <c r="F35" s="1064"/>
      <c r="G35" s="1064"/>
      <c r="H35" s="1064"/>
      <c r="I35" s="1064"/>
      <c r="J35" s="1064"/>
      <c r="K35" s="1064"/>
      <c r="L35" s="1064"/>
      <c r="M35" s="1064"/>
      <c r="N35" s="1065"/>
    </row>
    <row r="36" spans="1:14" x14ac:dyDescent="0.35">
      <c r="A36" s="964"/>
      <c r="B36" s="400" t="s">
        <v>912</v>
      </c>
      <c r="C36" s="1044">
        <v>78660.574828074823</v>
      </c>
      <c r="D36" s="1044">
        <v>84183.56277056277</v>
      </c>
      <c r="E36" s="1044">
        <v>162844.13759863761</v>
      </c>
      <c r="F36" s="1044">
        <v>3650.4320987654319</v>
      </c>
      <c r="G36" s="1044">
        <v>3468.1251251251251</v>
      </c>
      <c r="H36" s="1044">
        <v>7118.557223890557</v>
      </c>
      <c r="I36" s="1044">
        <v>2872.665383998718</v>
      </c>
      <c r="J36" s="1044">
        <v>1511.90367965368</v>
      </c>
      <c r="K36" s="1044">
        <v>4384.5690636523968</v>
      </c>
      <c r="L36" s="1044">
        <v>30615.414960414961</v>
      </c>
      <c r="M36" s="1044">
        <v>25277.40473590474</v>
      </c>
      <c r="N36" s="1045">
        <v>55892.819696319697</v>
      </c>
    </row>
    <row r="37" spans="1:14" x14ac:dyDescent="0.35">
      <c r="A37" s="964"/>
      <c r="B37" s="395" t="s">
        <v>911</v>
      </c>
      <c r="C37" s="1040">
        <v>93896</v>
      </c>
      <c r="D37" s="1040">
        <v>78785</v>
      </c>
      <c r="E37" s="1040">
        <v>172681</v>
      </c>
      <c r="F37" s="1040">
        <v>3879</v>
      </c>
      <c r="G37" s="1040">
        <v>4058</v>
      </c>
      <c r="H37" s="1040">
        <v>7937</v>
      </c>
      <c r="I37" s="1040">
        <v>2732</v>
      </c>
      <c r="J37" s="1040">
        <v>1289</v>
      </c>
      <c r="K37" s="1040">
        <v>4021</v>
      </c>
      <c r="L37" s="1040">
        <v>24859</v>
      </c>
      <c r="M37" s="1040">
        <v>18422</v>
      </c>
      <c r="N37" s="1040">
        <v>43281</v>
      </c>
    </row>
    <row r="38" spans="1:14" x14ac:dyDescent="0.35">
      <c r="A38" s="964"/>
      <c r="B38" s="395" t="s">
        <v>910</v>
      </c>
      <c r="C38" s="1040">
        <v>78713</v>
      </c>
      <c r="D38" s="1040">
        <v>75028</v>
      </c>
      <c r="E38" s="1040">
        <v>153741</v>
      </c>
      <c r="F38" s="1040">
        <v>1222</v>
      </c>
      <c r="G38" s="1040">
        <v>1658</v>
      </c>
      <c r="H38" s="1040">
        <v>2880</v>
      </c>
      <c r="I38" s="1040">
        <v>3410</v>
      </c>
      <c r="J38" s="1040">
        <v>2236</v>
      </c>
      <c r="K38" s="1040">
        <v>5646</v>
      </c>
      <c r="L38" s="1041">
        <v>16533</v>
      </c>
      <c r="M38" s="1041">
        <v>12612</v>
      </c>
      <c r="N38" s="1041">
        <v>29145</v>
      </c>
    </row>
    <row r="39" spans="1:14" x14ac:dyDescent="0.35">
      <c r="A39" s="964"/>
      <c r="B39" s="395" t="s">
        <v>909</v>
      </c>
      <c r="C39" s="1041">
        <v>83382</v>
      </c>
      <c r="D39" s="1041">
        <v>80567</v>
      </c>
      <c r="E39" s="1041">
        <v>163949</v>
      </c>
      <c r="F39" s="1041">
        <v>1111</v>
      </c>
      <c r="G39" s="1041">
        <v>840</v>
      </c>
      <c r="H39" s="1041">
        <v>1951</v>
      </c>
      <c r="I39" s="1041">
        <v>1879</v>
      </c>
      <c r="J39" s="1041">
        <v>737</v>
      </c>
      <c r="K39" s="1041">
        <v>2616</v>
      </c>
      <c r="L39" s="1062"/>
      <c r="M39" s="1062"/>
      <c r="N39" s="1062"/>
    </row>
    <row r="40" spans="1:14" x14ac:dyDescent="0.35">
      <c r="A40" s="964"/>
      <c r="B40" s="395" t="s">
        <v>908</v>
      </c>
      <c r="C40" s="1040">
        <v>80401</v>
      </c>
      <c r="D40" s="1040">
        <v>71171</v>
      </c>
      <c r="E40" s="1040">
        <v>151572</v>
      </c>
      <c r="F40" s="1040">
        <v>1167</v>
      </c>
      <c r="G40" s="1040">
        <v>1448</v>
      </c>
      <c r="H40" s="1040">
        <v>2615</v>
      </c>
      <c r="I40" s="1040">
        <v>3433</v>
      </c>
      <c r="J40" s="1040">
        <v>1987</v>
      </c>
      <c r="K40" s="1040">
        <v>5420</v>
      </c>
      <c r="L40" s="1062"/>
      <c r="M40" s="1062"/>
      <c r="N40" s="1062"/>
    </row>
    <row r="41" spans="1:14" x14ac:dyDescent="0.35">
      <c r="A41" s="963">
        <v>6</v>
      </c>
      <c r="B41" s="506" t="s">
        <v>17</v>
      </c>
      <c r="C41" s="1064"/>
      <c r="D41" s="1064"/>
      <c r="E41" s="1064"/>
      <c r="F41" s="1064"/>
      <c r="G41" s="1064"/>
      <c r="H41" s="1064"/>
      <c r="I41" s="1064"/>
      <c r="J41" s="1064"/>
      <c r="K41" s="1064"/>
      <c r="L41" s="1064"/>
      <c r="M41" s="1064"/>
      <c r="N41" s="1065"/>
    </row>
    <row r="42" spans="1:14" x14ac:dyDescent="0.35">
      <c r="A42" s="964"/>
      <c r="B42" s="400" t="s">
        <v>912</v>
      </c>
      <c r="C42" s="1044">
        <v>353</v>
      </c>
      <c r="D42" s="1044">
        <v>381</v>
      </c>
      <c r="E42" s="1044">
        <v>734</v>
      </c>
      <c r="F42" s="1044">
        <v>2068</v>
      </c>
      <c r="G42" s="1044">
        <v>5008</v>
      </c>
      <c r="H42" s="1044">
        <v>7076</v>
      </c>
      <c r="I42" s="1044">
        <v>331</v>
      </c>
      <c r="J42" s="1044">
        <v>187</v>
      </c>
      <c r="K42" s="1044">
        <v>518</v>
      </c>
      <c r="L42" s="1044">
        <v>1223</v>
      </c>
      <c r="M42" s="1044">
        <v>774</v>
      </c>
      <c r="N42" s="1045">
        <v>1997</v>
      </c>
    </row>
    <row r="43" spans="1:14" x14ac:dyDescent="0.35">
      <c r="A43" s="964"/>
      <c r="B43" s="395" t="s">
        <v>911</v>
      </c>
      <c r="C43" s="1040">
        <v>321</v>
      </c>
      <c r="D43" s="1040">
        <v>371</v>
      </c>
      <c r="E43" s="1040">
        <v>692</v>
      </c>
      <c r="F43" s="1040">
        <v>1726</v>
      </c>
      <c r="G43" s="1040">
        <v>2842</v>
      </c>
      <c r="H43" s="1040">
        <v>4568</v>
      </c>
      <c r="I43" s="1040">
        <v>287</v>
      </c>
      <c r="J43" s="1040">
        <v>151</v>
      </c>
      <c r="K43" s="1040">
        <v>438</v>
      </c>
      <c r="L43" s="1040">
        <v>1178</v>
      </c>
      <c r="M43" s="1040">
        <v>1737</v>
      </c>
      <c r="N43" s="1040">
        <v>2915</v>
      </c>
    </row>
    <row r="44" spans="1:14" x14ac:dyDescent="0.35">
      <c r="A44" s="964"/>
      <c r="B44" s="395" t="s">
        <v>910</v>
      </c>
      <c r="C44" s="1040">
        <v>327</v>
      </c>
      <c r="D44" s="1040">
        <v>376</v>
      </c>
      <c r="E44" s="1040">
        <v>703</v>
      </c>
      <c r="F44" s="1040">
        <v>2072</v>
      </c>
      <c r="G44" s="1040">
        <v>3190</v>
      </c>
      <c r="H44" s="1040">
        <v>5262</v>
      </c>
      <c r="I44" s="1040">
        <v>231</v>
      </c>
      <c r="J44" s="1040">
        <v>86</v>
      </c>
      <c r="K44" s="1040">
        <v>317</v>
      </c>
      <c r="L44" s="1041">
        <v>832</v>
      </c>
      <c r="M44" s="1041">
        <v>631</v>
      </c>
      <c r="N44" s="1041">
        <v>1463</v>
      </c>
    </row>
    <row r="45" spans="1:14" x14ac:dyDescent="0.35">
      <c r="A45" s="964"/>
      <c r="B45" s="395" t="s">
        <v>909</v>
      </c>
      <c r="C45" s="1041">
        <v>414</v>
      </c>
      <c r="D45" s="1041">
        <v>273</v>
      </c>
      <c r="E45" s="1041">
        <v>687</v>
      </c>
      <c r="F45" s="1041">
        <v>2140</v>
      </c>
      <c r="G45" s="1041">
        <v>2582</v>
      </c>
      <c r="H45" s="1041">
        <v>4722</v>
      </c>
      <c r="I45" s="1041">
        <v>245</v>
      </c>
      <c r="J45" s="1041">
        <v>86</v>
      </c>
      <c r="K45" s="1041">
        <v>331</v>
      </c>
      <c r="L45" s="1062"/>
      <c r="M45" s="1062"/>
      <c r="N45" s="1062"/>
    </row>
    <row r="46" spans="1:14" x14ac:dyDescent="0.35">
      <c r="A46" s="964"/>
      <c r="B46" s="395" t="s">
        <v>908</v>
      </c>
      <c r="C46" s="1040">
        <v>324</v>
      </c>
      <c r="D46" s="1040">
        <v>228</v>
      </c>
      <c r="E46" s="1040">
        <v>552</v>
      </c>
      <c r="F46" s="1040">
        <v>1876</v>
      </c>
      <c r="G46" s="1040">
        <v>2310</v>
      </c>
      <c r="H46" s="1040">
        <v>4186</v>
      </c>
      <c r="I46" s="1040">
        <v>163</v>
      </c>
      <c r="J46" s="1040">
        <v>73</v>
      </c>
      <c r="K46" s="1040">
        <v>236</v>
      </c>
      <c r="L46" s="1062"/>
      <c r="M46" s="1062"/>
      <c r="N46" s="1062"/>
    </row>
    <row r="47" spans="1:14" x14ac:dyDescent="0.35">
      <c r="A47" s="963">
        <v>7</v>
      </c>
      <c r="B47" s="506" t="s">
        <v>18</v>
      </c>
      <c r="C47" s="1064"/>
      <c r="D47" s="1064"/>
      <c r="E47" s="1064"/>
      <c r="F47" s="1064"/>
      <c r="G47" s="1064"/>
      <c r="H47" s="1064"/>
      <c r="I47" s="1064"/>
      <c r="J47" s="1064"/>
      <c r="K47" s="1064"/>
      <c r="L47" s="1064"/>
      <c r="M47" s="1064"/>
      <c r="N47" s="1065"/>
    </row>
    <row r="48" spans="1:14" x14ac:dyDescent="0.35">
      <c r="A48" s="964"/>
      <c r="B48" s="400" t="s">
        <v>912</v>
      </c>
      <c r="C48" s="1044">
        <v>2468.831187339179</v>
      </c>
      <c r="D48" s="1044">
        <v>2976.0425652145441</v>
      </c>
      <c r="E48" s="1044">
        <v>5444.8737525537226</v>
      </c>
      <c r="F48" s="1044">
        <v>2766.888110677527</v>
      </c>
      <c r="G48" s="1044">
        <v>4254.4427061956712</v>
      </c>
      <c r="H48" s="1044">
        <v>7021.3308168731983</v>
      </c>
      <c r="I48" s="1044">
        <v>608.20861021010489</v>
      </c>
      <c r="J48" s="1044">
        <v>299.4204757312761</v>
      </c>
      <c r="K48" s="1044">
        <v>907.62908594138105</v>
      </c>
      <c r="L48" s="1044">
        <v>1439.6175462435349</v>
      </c>
      <c r="M48" s="1044">
        <v>1462.943505009541</v>
      </c>
      <c r="N48" s="1045">
        <v>2902.5610512530761</v>
      </c>
    </row>
    <row r="49" spans="1:14" x14ac:dyDescent="0.35">
      <c r="A49" s="964"/>
      <c r="B49" s="395" t="s">
        <v>911</v>
      </c>
      <c r="C49" s="1040">
        <v>2348</v>
      </c>
      <c r="D49" s="1040">
        <v>2765</v>
      </c>
      <c r="E49" s="1040">
        <v>5113</v>
      </c>
      <c r="F49" s="1040">
        <v>2911</v>
      </c>
      <c r="G49" s="1040">
        <v>4418</v>
      </c>
      <c r="H49" s="1040">
        <v>7329</v>
      </c>
      <c r="I49" s="1040">
        <v>799</v>
      </c>
      <c r="J49" s="1040">
        <v>411</v>
      </c>
      <c r="K49" s="1040">
        <v>1210</v>
      </c>
      <c r="L49" s="1040">
        <v>2144</v>
      </c>
      <c r="M49" s="1040">
        <v>2520</v>
      </c>
      <c r="N49" s="1040">
        <v>4664</v>
      </c>
    </row>
    <row r="50" spans="1:14" x14ac:dyDescent="0.35">
      <c r="A50" s="964"/>
      <c r="B50" s="395" t="s">
        <v>910</v>
      </c>
      <c r="C50" s="1040">
        <v>2017</v>
      </c>
      <c r="D50" s="1040">
        <v>2676</v>
      </c>
      <c r="E50" s="1040">
        <v>4693</v>
      </c>
      <c r="F50" s="1040">
        <v>1885</v>
      </c>
      <c r="G50" s="1040">
        <v>3038</v>
      </c>
      <c r="H50" s="1040">
        <v>4923</v>
      </c>
      <c r="I50" s="1040">
        <v>344</v>
      </c>
      <c r="J50" s="1040">
        <v>132</v>
      </c>
      <c r="K50" s="1040">
        <v>476</v>
      </c>
      <c r="L50" s="1041">
        <v>1398</v>
      </c>
      <c r="M50" s="1041">
        <v>1143</v>
      </c>
      <c r="N50" s="1041">
        <v>2541</v>
      </c>
    </row>
    <row r="51" spans="1:14" x14ac:dyDescent="0.35">
      <c r="A51" s="964"/>
      <c r="B51" s="395" t="s">
        <v>909</v>
      </c>
      <c r="C51" s="1041">
        <v>2427</v>
      </c>
      <c r="D51" s="1041">
        <v>2957</v>
      </c>
      <c r="E51" s="1041">
        <v>5384</v>
      </c>
      <c r="F51" s="1041">
        <v>2134</v>
      </c>
      <c r="G51" s="1041">
        <v>3465</v>
      </c>
      <c r="H51" s="1041">
        <v>5599</v>
      </c>
      <c r="I51" s="1041">
        <v>353</v>
      </c>
      <c r="J51" s="1041">
        <v>171</v>
      </c>
      <c r="K51" s="1041">
        <v>524</v>
      </c>
      <c r="L51" s="1062"/>
      <c r="M51" s="1062"/>
      <c r="N51" s="1062"/>
    </row>
    <row r="52" spans="1:14" x14ac:dyDescent="0.35">
      <c r="A52" s="964"/>
      <c r="B52" s="395" t="s">
        <v>908</v>
      </c>
      <c r="C52" s="1040">
        <v>2406</v>
      </c>
      <c r="D52" s="1040">
        <v>2716</v>
      </c>
      <c r="E52" s="1040">
        <v>5122</v>
      </c>
      <c r="F52" s="1040">
        <v>1766</v>
      </c>
      <c r="G52" s="1040">
        <v>3141</v>
      </c>
      <c r="H52" s="1040">
        <v>4907</v>
      </c>
      <c r="I52" s="1040">
        <v>350</v>
      </c>
      <c r="J52" s="1040">
        <v>360</v>
      </c>
      <c r="K52" s="1040">
        <v>710</v>
      </c>
      <c r="L52" s="1062"/>
      <c r="M52" s="1062"/>
      <c r="N52" s="1062"/>
    </row>
    <row r="53" spans="1:14" x14ac:dyDescent="0.35">
      <c r="A53" s="963">
        <v>8</v>
      </c>
      <c r="B53" s="506" t="s">
        <v>19</v>
      </c>
      <c r="C53" s="1064"/>
      <c r="D53" s="1064"/>
      <c r="E53" s="1064"/>
      <c r="F53" s="1064"/>
      <c r="G53" s="1064"/>
      <c r="H53" s="1064"/>
      <c r="I53" s="1064"/>
      <c r="J53" s="1064"/>
      <c r="K53" s="1064"/>
      <c r="L53" s="1064"/>
      <c r="M53" s="1064"/>
      <c r="N53" s="1065"/>
    </row>
    <row r="54" spans="1:14" x14ac:dyDescent="0.35">
      <c r="A54" s="964"/>
      <c r="B54" s="400" t="s">
        <v>912</v>
      </c>
      <c r="C54" s="1044">
        <v>14832.243993135011</v>
      </c>
      <c r="D54" s="1044">
        <v>11620.40945207221</v>
      </c>
      <c r="E54" s="1044">
        <v>26452.653445207219</v>
      </c>
      <c r="F54" s="1044">
        <v>4824.544940249174</v>
      </c>
      <c r="G54" s="1044">
        <v>5033.8141050088989</v>
      </c>
      <c r="H54" s="1044">
        <v>9858.359045258072</v>
      </c>
      <c r="I54" s="1044">
        <v>3806.1019260106791</v>
      </c>
      <c r="J54" s="1044">
        <v>2105.012331553522</v>
      </c>
      <c r="K54" s="1044">
        <v>5911.1142575642007</v>
      </c>
      <c r="L54" s="1044">
        <v>23891.34808034579</v>
      </c>
      <c r="M54" s="1044">
        <v>16336.650680142389</v>
      </c>
      <c r="N54" s="1045">
        <v>40227.998760488183</v>
      </c>
    </row>
    <row r="55" spans="1:14" x14ac:dyDescent="0.35">
      <c r="A55" s="964"/>
      <c r="B55" s="395" t="s">
        <v>911</v>
      </c>
      <c r="C55" s="1040">
        <v>15489.4</v>
      </c>
      <c r="D55" s="1040">
        <v>12793.4</v>
      </c>
      <c r="E55" s="1040">
        <v>28282.799999999999</v>
      </c>
      <c r="F55" s="1040">
        <v>5033.3999999999996</v>
      </c>
      <c r="G55" s="1040">
        <v>5155</v>
      </c>
      <c r="H55" s="1040">
        <v>10188.5</v>
      </c>
      <c r="I55" s="1040">
        <v>4073.1</v>
      </c>
      <c r="J55" s="1040">
        <v>2327.6</v>
      </c>
      <c r="K55" s="1040">
        <v>6400.7</v>
      </c>
      <c r="L55" s="1040">
        <v>19811</v>
      </c>
      <c r="M55" s="1040">
        <v>13540.1</v>
      </c>
      <c r="N55" s="1040">
        <v>33351.1</v>
      </c>
    </row>
    <row r="56" spans="1:14" x14ac:dyDescent="0.35">
      <c r="A56" s="964"/>
      <c r="B56" s="395" t="s">
        <v>910</v>
      </c>
      <c r="C56" s="1041">
        <v>11900</v>
      </c>
      <c r="D56" s="1041">
        <v>9304</v>
      </c>
      <c r="E56" s="1041">
        <v>21204</v>
      </c>
      <c r="F56" s="1041">
        <v>4865</v>
      </c>
      <c r="G56" s="1041">
        <v>6211</v>
      </c>
      <c r="H56" s="1041">
        <v>11076</v>
      </c>
      <c r="I56" s="1041">
        <v>2984</v>
      </c>
      <c r="J56" s="1041">
        <v>1442</v>
      </c>
      <c r="K56" s="1041">
        <v>4426</v>
      </c>
      <c r="L56" s="1041">
        <v>14261</v>
      </c>
      <c r="M56" s="1041">
        <v>8932</v>
      </c>
      <c r="N56" s="1041">
        <v>23193</v>
      </c>
    </row>
    <row r="57" spans="1:14" x14ac:dyDescent="0.35">
      <c r="A57" s="964"/>
      <c r="B57" s="395" t="s">
        <v>909</v>
      </c>
      <c r="C57" s="1041">
        <v>16168</v>
      </c>
      <c r="D57" s="1041">
        <v>10307</v>
      </c>
      <c r="E57" s="1041">
        <v>26475</v>
      </c>
      <c r="F57" s="1041">
        <v>6191</v>
      </c>
      <c r="G57" s="1041">
        <v>7797</v>
      </c>
      <c r="H57" s="1041">
        <v>13988</v>
      </c>
      <c r="I57" s="1041">
        <v>4850</v>
      </c>
      <c r="J57" s="1041">
        <v>3412</v>
      </c>
      <c r="K57" s="1041">
        <v>8262</v>
      </c>
      <c r="L57" s="1062"/>
      <c r="M57" s="1062"/>
      <c r="N57" s="1062"/>
    </row>
    <row r="58" spans="1:14" x14ac:dyDescent="0.35">
      <c r="A58" s="964"/>
      <c r="B58" s="395" t="s">
        <v>908</v>
      </c>
      <c r="C58" s="1040">
        <v>15715</v>
      </c>
      <c r="D58" s="1040">
        <v>8632</v>
      </c>
      <c r="E58" s="1040">
        <v>24347</v>
      </c>
      <c r="F58" s="1040">
        <v>6164</v>
      </c>
      <c r="G58" s="1040">
        <v>7775</v>
      </c>
      <c r="H58" s="1040">
        <v>13939</v>
      </c>
      <c r="I58" s="1040">
        <v>4998</v>
      </c>
      <c r="J58" s="1040">
        <v>3348</v>
      </c>
      <c r="K58" s="1040">
        <v>8346</v>
      </c>
      <c r="L58" s="1062"/>
      <c r="M58" s="1062"/>
      <c r="N58" s="1062"/>
    </row>
    <row r="59" spans="1:14" x14ac:dyDescent="0.35">
      <c r="A59" s="963">
        <v>9</v>
      </c>
      <c r="B59" s="506" t="s">
        <v>20</v>
      </c>
      <c r="C59" s="1064"/>
      <c r="D59" s="1064"/>
      <c r="E59" s="1064"/>
      <c r="F59" s="1064"/>
      <c r="G59" s="1064"/>
      <c r="H59" s="1064"/>
      <c r="I59" s="1064"/>
      <c r="J59" s="1064"/>
      <c r="K59" s="1064"/>
      <c r="L59" s="1064"/>
      <c r="M59" s="1064"/>
      <c r="N59" s="1065"/>
    </row>
    <row r="60" spans="1:14" x14ac:dyDescent="0.35">
      <c r="A60" s="964"/>
      <c r="B60" s="400" t="s">
        <v>912</v>
      </c>
      <c r="C60" s="1044">
        <v>1615</v>
      </c>
      <c r="D60" s="1044">
        <v>1799</v>
      </c>
      <c r="E60" s="1044">
        <v>3414</v>
      </c>
      <c r="F60" s="1044">
        <v>4235</v>
      </c>
      <c r="G60" s="1044">
        <v>5867</v>
      </c>
      <c r="H60" s="1044">
        <v>10102</v>
      </c>
      <c r="I60" s="1044">
        <v>50</v>
      </c>
      <c r="J60" s="1044">
        <v>17</v>
      </c>
      <c r="K60" s="1044">
        <v>67</v>
      </c>
      <c r="L60" s="1044">
        <v>963</v>
      </c>
      <c r="M60" s="1044">
        <v>1147</v>
      </c>
      <c r="N60" s="1045">
        <v>2110</v>
      </c>
    </row>
    <row r="61" spans="1:14" x14ac:dyDescent="0.35">
      <c r="A61" s="964"/>
      <c r="B61" s="395" t="s">
        <v>911</v>
      </c>
      <c r="C61" s="1040">
        <v>1531</v>
      </c>
      <c r="D61" s="1040">
        <v>1553</v>
      </c>
      <c r="E61" s="1040">
        <v>3084</v>
      </c>
      <c r="F61" s="1040">
        <v>4446</v>
      </c>
      <c r="G61" s="1040">
        <v>5734</v>
      </c>
      <c r="H61" s="1040">
        <v>10180</v>
      </c>
      <c r="I61" s="1040">
        <v>460</v>
      </c>
      <c r="J61" s="1040">
        <v>144</v>
      </c>
      <c r="K61" s="1040">
        <v>604</v>
      </c>
      <c r="L61" s="1040">
        <v>475</v>
      </c>
      <c r="M61" s="1040">
        <v>405</v>
      </c>
      <c r="N61" s="1040">
        <v>880</v>
      </c>
    </row>
    <row r="62" spans="1:14" x14ac:dyDescent="0.35">
      <c r="A62" s="964"/>
      <c r="B62" s="395" t="s">
        <v>910</v>
      </c>
      <c r="C62" s="1041">
        <v>1378</v>
      </c>
      <c r="D62" s="1041">
        <v>1520</v>
      </c>
      <c r="E62" s="1041">
        <v>2898</v>
      </c>
      <c r="F62" s="1041">
        <v>3630</v>
      </c>
      <c r="G62" s="1041">
        <v>5449</v>
      </c>
      <c r="H62" s="1041">
        <v>9079</v>
      </c>
      <c r="I62" s="1041">
        <v>34</v>
      </c>
      <c r="J62" s="1041">
        <v>13</v>
      </c>
      <c r="K62" s="1041">
        <v>47</v>
      </c>
      <c r="L62" s="1041">
        <v>197</v>
      </c>
      <c r="M62" s="1041">
        <v>98</v>
      </c>
      <c r="N62" s="1041">
        <v>295</v>
      </c>
    </row>
    <row r="63" spans="1:14" x14ac:dyDescent="0.35">
      <c r="A63" s="964"/>
      <c r="B63" s="395" t="s">
        <v>909</v>
      </c>
      <c r="C63" s="1041">
        <v>1291</v>
      </c>
      <c r="D63" s="1041">
        <v>1443</v>
      </c>
      <c r="E63" s="1041">
        <v>2734</v>
      </c>
      <c r="F63" s="1041">
        <v>3412</v>
      </c>
      <c r="G63" s="1041">
        <v>5446</v>
      </c>
      <c r="H63" s="1041">
        <v>8858</v>
      </c>
      <c r="I63" s="1041">
        <v>33</v>
      </c>
      <c r="J63" s="1041">
        <v>26</v>
      </c>
      <c r="K63" s="1041">
        <v>59</v>
      </c>
      <c r="L63" s="1062"/>
      <c r="M63" s="1062"/>
      <c r="N63" s="1062"/>
    </row>
    <row r="64" spans="1:14" x14ac:dyDescent="0.35">
      <c r="A64" s="964"/>
      <c r="B64" s="395" t="s">
        <v>908</v>
      </c>
      <c r="C64" s="1040">
        <v>1274</v>
      </c>
      <c r="D64" s="1040">
        <v>1351</v>
      </c>
      <c r="E64" s="1040">
        <v>2625</v>
      </c>
      <c r="F64" s="1040">
        <v>3843</v>
      </c>
      <c r="G64" s="1040">
        <v>5699</v>
      </c>
      <c r="H64" s="1040">
        <v>9542</v>
      </c>
      <c r="I64" s="1040">
        <v>46</v>
      </c>
      <c r="J64" s="1040">
        <v>23</v>
      </c>
      <c r="K64" s="1040">
        <v>69</v>
      </c>
      <c r="L64" s="1062"/>
      <c r="M64" s="1062"/>
      <c r="N64" s="1062"/>
    </row>
    <row r="65" spans="1:14" x14ac:dyDescent="0.35">
      <c r="A65" s="963">
        <v>10</v>
      </c>
      <c r="B65" s="506" t="s">
        <v>21</v>
      </c>
      <c r="C65" s="1064"/>
      <c r="D65" s="1064"/>
      <c r="E65" s="1064"/>
      <c r="F65" s="1064"/>
      <c r="G65" s="1064"/>
      <c r="H65" s="1064"/>
      <c r="I65" s="1064"/>
      <c r="J65" s="1064"/>
      <c r="K65" s="1064"/>
      <c r="L65" s="1064"/>
      <c r="M65" s="1064"/>
      <c r="N65" s="1065"/>
    </row>
    <row r="66" spans="1:14" x14ac:dyDescent="0.35">
      <c r="A66" s="964"/>
      <c r="B66" s="400" t="s">
        <v>912</v>
      </c>
      <c r="C66" s="1044">
        <v>22632</v>
      </c>
      <c r="D66" s="1044">
        <v>20427</v>
      </c>
      <c r="E66" s="1044">
        <v>43059</v>
      </c>
      <c r="F66" s="1044">
        <v>8297</v>
      </c>
      <c r="G66" s="1044">
        <v>8312</v>
      </c>
      <c r="H66" s="1044">
        <v>16609</v>
      </c>
      <c r="I66" s="1044">
        <v>1614</v>
      </c>
      <c r="J66" s="1044">
        <v>977</v>
      </c>
      <c r="K66" s="1044">
        <v>2591</v>
      </c>
      <c r="L66" s="1044">
        <v>42819</v>
      </c>
      <c r="M66" s="1044">
        <v>32124</v>
      </c>
      <c r="N66" s="1045">
        <v>74943</v>
      </c>
    </row>
    <row r="67" spans="1:14" x14ac:dyDescent="0.35">
      <c r="A67" s="964"/>
      <c r="B67" s="395" t="s">
        <v>911</v>
      </c>
      <c r="C67" s="1040">
        <v>19387</v>
      </c>
      <c r="D67" s="1040">
        <v>16606</v>
      </c>
      <c r="E67" s="1040">
        <v>35993</v>
      </c>
      <c r="F67" s="1040">
        <v>6945</v>
      </c>
      <c r="G67" s="1040">
        <v>7190</v>
      </c>
      <c r="H67" s="1040">
        <v>14135</v>
      </c>
      <c r="I67" s="1040">
        <v>2885</v>
      </c>
      <c r="J67" s="1040">
        <v>2156</v>
      </c>
      <c r="K67" s="1040">
        <v>5041</v>
      </c>
      <c r="L67" s="1040">
        <v>35817</v>
      </c>
      <c r="M67" s="1040">
        <v>24763</v>
      </c>
      <c r="N67" s="1040">
        <v>60580</v>
      </c>
    </row>
    <row r="68" spans="1:14" x14ac:dyDescent="0.35">
      <c r="A68" s="964"/>
      <c r="B68" s="395" t="s">
        <v>910</v>
      </c>
      <c r="C68" s="1041">
        <v>18170</v>
      </c>
      <c r="D68" s="1041">
        <v>14935</v>
      </c>
      <c r="E68" s="1041">
        <v>33105</v>
      </c>
      <c r="F68" s="1041">
        <v>5561</v>
      </c>
      <c r="G68" s="1041">
        <v>5709</v>
      </c>
      <c r="H68" s="1041">
        <v>11270</v>
      </c>
      <c r="I68" s="1041">
        <v>1143</v>
      </c>
      <c r="J68" s="1041">
        <v>628</v>
      </c>
      <c r="K68" s="1041">
        <v>1771</v>
      </c>
      <c r="L68" s="1040">
        <v>23494</v>
      </c>
      <c r="M68" s="1040">
        <v>16279</v>
      </c>
      <c r="N68" s="1040">
        <v>39773</v>
      </c>
    </row>
    <row r="69" spans="1:14" x14ac:dyDescent="0.35">
      <c r="A69" s="964"/>
      <c r="B69" s="395" t="s">
        <v>909</v>
      </c>
      <c r="C69" s="1041">
        <v>24664</v>
      </c>
      <c r="D69" s="1041">
        <v>19350</v>
      </c>
      <c r="E69" s="1041">
        <v>44014</v>
      </c>
      <c r="F69" s="1041">
        <v>6049</v>
      </c>
      <c r="G69" s="1041">
        <v>5647</v>
      </c>
      <c r="H69" s="1041">
        <v>11696</v>
      </c>
      <c r="I69" s="1041">
        <v>1207</v>
      </c>
      <c r="J69" s="1041">
        <v>1130</v>
      </c>
      <c r="K69" s="1041">
        <v>2337</v>
      </c>
      <c r="L69" s="1062"/>
      <c r="M69" s="1062"/>
      <c r="N69" s="1062"/>
    </row>
    <row r="70" spans="1:14" x14ac:dyDescent="0.35">
      <c r="A70" s="964"/>
      <c r="B70" s="395" t="s">
        <v>908</v>
      </c>
      <c r="C70" s="1040">
        <v>20279</v>
      </c>
      <c r="D70" s="1040">
        <v>15773</v>
      </c>
      <c r="E70" s="1040">
        <v>36052</v>
      </c>
      <c r="F70" s="1040">
        <v>5221</v>
      </c>
      <c r="G70" s="1040">
        <v>4455</v>
      </c>
      <c r="H70" s="1040">
        <v>9676</v>
      </c>
      <c r="I70" s="1040">
        <v>1127</v>
      </c>
      <c r="J70" s="1040">
        <v>613</v>
      </c>
      <c r="K70" s="1040">
        <v>1740</v>
      </c>
      <c r="L70" s="1062"/>
      <c r="M70" s="1062"/>
      <c r="N70" s="1062"/>
    </row>
    <row r="71" spans="1:14" x14ac:dyDescent="0.35">
      <c r="A71" s="963">
        <v>11</v>
      </c>
      <c r="B71" s="506" t="s">
        <v>22</v>
      </c>
      <c r="C71" s="1064"/>
      <c r="D71" s="1064"/>
      <c r="E71" s="1064"/>
      <c r="F71" s="1064"/>
      <c r="G71" s="1064"/>
      <c r="H71" s="1064"/>
      <c r="I71" s="1064"/>
      <c r="J71" s="1064"/>
      <c r="K71" s="1064"/>
      <c r="L71" s="1064"/>
      <c r="M71" s="1064"/>
      <c r="N71" s="1065"/>
    </row>
    <row r="72" spans="1:14" x14ac:dyDescent="0.35">
      <c r="A72" s="964"/>
      <c r="B72" s="400" t="s">
        <v>912</v>
      </c>
      <c r="C72" s="1044">
        <v>9131</v>
      </c>
      <c r="D72" s="1044">
        <v>4196</v>
      </c>
      <c r="E72" s="1044">
        <v>13327</v>
      </c>
      <c r="F72" s="1044">
        <v>5786</v>
      </c>
      <c r="G72" s="1044">
        <v>7763</v>
      </c>
      <c r="H72" s="1044">
        <v>13549</v>
      </c>
      <c r="I72" s="1044">
        <v>745</v>
      </c>
      <c r="J72" s="1044">
        <v>297</v>
      </c>
      <c r="K72" s="1044">
        <v>1042</v>
      </c>
      <c r="L72" s="1044">
        <v>9921</v>
      </c>
      <c r="M72" s="1044">
        <v>7156</v>
      </c>
      <c r="N72" s="1045">
        <v>17077</v>
      </c>
    </row>
    <row r="73" spans="1:14" x14ac:dyDescent="0.35">
      <c r="A73" s="964"/>
      <c r="B73" s="395" t="s">
        <v>911</v>
      </c>
      <c r="C73" s="1040">
        <v>7869</v>
      </c>
      <c r="D73" s="1040">
        <v>3092</v>
      </c>
      <c r="E73" s="1040">
        <v>10961</v>
      </c>
      <c r="F73" s="1040">
        <v>5629</v>
      </c>
      <c r="G73" s="1040">
        <v>6447</v>
      </c>
      <c r="H73" s="1040">
        <v>12076</v>
      </c>
      <c r="I73" s="1040">
        <v>798</v>
      </c>
      <c r="J73" s="1040">
        <v>483</v>
      </c>
      <c r="K73" s="1040">
        <v>1281</v>
      </c>
      <c r="L73" s="1040">
        <v>9445</v>
      </c>
      <c r="M73" s="1040">
        <v>6252</v>
      </c>
      <c r="N73" s="1040">
        <v>15697</v>
      </c>
    </row>
    <row r="74" spans="1:14" x14ac:dyDescent="0.35">
      <c r="A74" s="964"/>
      <c r="B74" s="395" t="s">
        <v>910</v>
      </c>
      <c r="C74" s="1041">
        <v>7423</v>
      </c>
      <c r="D74" s="1041">
        <v>3022</v>
      </c>
      <c r="E74" s="1041">
        <v>10445</v>
      </c>
      <c r="F74" s="1041">
        <v>4769</v>
      </c>
      <c r="G74" s="1041">
        <v>6919</v>
      </c>
      <c r="H74" s="1041">
        <v>11688</v>
      </c>
      <c r="I74" s="1041">
        <v>646</v>
      </c>
      <c r="J74" s="1041">
        <v>447</v>
      </c>
      <c r="K74" s="1041">
        <v>1093</v>
      </c>
      <c r="L74" s="1040">
        <v>5867</v>
      </c>
      <c r="M74" s="1040">
        <v>4413</v>
      </c>
      <c r="N74" s="1040">
        <v>10280</v>
      </c>
    </row>
    <row r="75" spans="1:14" x14ac:dyDescent="0.35">
      <c r="A75" s="964"/>
      <c r="B75" s="395" t="s">
        <v>909</v>
      </c>
      <c r="C75" s="1041">
        <v>9317</v>
      </c>
      <c r="D75" s="1041">
        <v>3560</v>
      </c>
      <c r="E75" s="1041">
        <v>12877</v>
      </c>
      <c r="F75" s="1041">
        <v>5012</v>
      </c>
      <c r="G75" s="1041">
        <v>6921</v>
      </c>
      <c r="H75" s="1041">
        <v>11933</v>
      </c>
      <c r="I75" s="1041">
        <v>499</v>
      </c>
      <c r="J75" s="1041">
        <v>215</v>
      </c>
      <c r="K75" s="1041">
        <v>714</v>
      </c>
      <c r="L75" s="1062"/>
      <c r="M75" s="1062"/>
      <c r="N75" s="1062"/>
    </row>
    <row r="76" spans="1:14" x14ac:dyDescent="0.35">
      <c r="A76" s="964"/>
      <c r="B76" s="395" t="s">
        <v>908</v>
      </c>
      <c r="C76" s="1040">
        <v>7297</v>
      </c>
      <c r="D76" s="1040">
        <v>2787</v>
      </c>
      <c r="E76" s="1040">
        <v>10084</v>
      </c>
      <c r="F76" s="1040">
        <v>6152</v>
      </c>
      <c r="G76" s="1040">
        <v>6933</v>
      </c>
      <c r="H76" s="1040">
        <v>13085</v>
      </c>
      <c r="I76" s="1040">
        <v>505</v>
      </c>
      <c r="J76" s="1040">
        <v>829</v>
      </c>
      <c r="K76" s="1040">
        <v>1334</v>
      </c>
      <c r="L76" s="1062"/>
      <c r="M76" s="1062"/>
      <c r="N76" s="1062"/>
    </row>
    <row r="77" spans="1:14" x14ac:dyDescent="0.35">
      <c r="A77" s="963">
        <v>12</v>
      </c>
      <c r="B77" s="506" t="s">
        <v>23</v>
      </c>
      <c r="C77" s="1064"/>
      <c r="D77" s="1064"/>
      <c r="E77" s="1064"/>
      <c r="F77" s="1064"/>
      <c r="G77" s="1064"/>
      <c r="H77" s="1064"/>
      <c r="I77" s="1064"/>
      <c r="J77" s="1064"/>
      <c r="K77" s="1064"/>
      <c r="L77" s="1064"/>
      <c r="M77" s="1064"/>
      <c r="N77" s="1065"/>
    </row>
    <row r="78" spans="1:14" x14ac:dyDescent="0.35">
      <c r="A78" s="964"/>
      <c r="B78" s="400" t="s">
        <v>912</v>
      </c>
      <c r="C78" s="1044">
        <v>742.87562403993854</v>
      </c>
      <c r="D78" s="1044">
        <v>578.64340917818743</v>
      </c>
      <c r="E78" s="1044">
        <v>1321.519033218126</v>
      </c>
      <c r="F78" s="1044">
        <v>1158.2936107910909</v>
      </c>
      <c r="G78" s="1044">
        <v>1056.631432411674</v>
      </c>
      <c r="H78" s="1044">
        <v>2214.9250432027652</v>
      </c>
      <c r="I78" s="1044">
        <v>257.76586501536099</v>
      </c>
      <c r="J78" s="1044">
        <v>109.19429243471581</v>
      </c>
      <c r="K78" s="1044">
        <v>366.96015745007679</v>
      </c>
      <c r="L78" s="1044">
        <v>3676.3734879032259</v>
      </c>
      <c r="M78" s="1044">
        <v>3360.7774097542242</v>
      </c>
      <c r="N78" s="1045">
        <v>7037.1508976574496</v>
      </c>
    </row>
    <row r="79" spans="1:14" x14ac:dyDescent="0.35">
      <c r="A79" s="964"/>
      <c r="B79" s="395" t="s">
        <v>911</v>
      </c>
      <c r="C79" s="1040">
        <v>746</v>
      </c>
      <c r="D79" s="1040">
        <v>568</v>
      </c>
      <c r="E79" s="1040">
        <v>1314</v>
      </c>
      <c r="F79" s="1040">
        <v>1028</v>
      </c>
      <c r="G79" s="1040">
        <v>1104</v>
      </c>
      <c r="H79" s="1040">
        <v>2132</v>
      </c>
      <c r="I79" s="1040">
        <v>335</v>
      </c>
      <c r="J79" s="1040">
        <v>170</v>
      </c>
      <c r="K79" s="1040">
        <v>505</v>
      </c>
      <c r="L79" s="1040">
        <v>2551</v>
      </c>
      <c r="M79" s="1040">
        <v>2085</v>
      </c>
      <c r="N79" s="1040">
        <v>4636</v>
      </c>
    </row>
    <row r="80" spans="1:14" x14ac:dyDescent="0.35">
      <c r="A80" s="964"/>
      <c r="B80" s="395" t="s">
        <v>910</v>
      </c>
      <c r="C80" s="1041">
        <v>616</v>
      </c>
      <c r="D80" s="1041">
        <v>560</v>
      </c>
      <c r="E80" s="1041">
        <v>1176</v>
      </c>
      <c r="F80" s="1041">
        <v>1141</v>
      </c>
      <c r="G80" s="1041">
        <v>1354</v>
      </c>
      <c r="H80" s="1041">
        <v>2495</v>
      </c>
      <c r="I80" s="1041">
        <v>192</v>
      </c>
      <c r="J80" s="1041">
        <v>91</v>
      </c>
      <c r="K80" s="1041">
        <v>283</v>
      </c>
      <c r="L80" s="1040">
        <v>1196</v>
      </c>
      <c r="M80" s="1040">
        <v>1203</v>
      </c>
      <c r="N80" s="1040">
        <v>2399</v>
      </c>
    </row>
    <row r="81" spans="1:14" x14ac:dyDescent="0.35">
      <c r="A81" s="964"/>
      <c r="B81" s="395" t="s">
        <v>909</v>
      </c>
      <c r="C81" s="1041">
        <v>1103</v>
      </c>
      <c r="D81" s="1041">
        <v>661</v>
      </c>
      <c r="E81" s="1041">
        <v>1764</v>
      </c>
      <c r="F81" s="1041">
        <v>1753</v>
      </c>
      <c r="G81" s="1041">
        <v>1531</v>
      </c>
      <c r="H81" s="1041">
        <v>3284</v>
      </c>
      <c r="I81" s="1041">
        <v>246</v>
      </c>
      <c r="J81" s="1041">
        <v>123</v>
      </c>
      <c r="K81" s="1041">
        <v>369</v>
      </c>
      <c r="L81" s="1062"/>
      <c r="M81" s="1062"/>
      <c r="N81" s="1062"/>
    </row>
    <row r="82" spans="1:14" x14ac:dyDescent="0.35">
      <c r="A82" s="964"/>
      <c r="B82" s="395" t="s">
        <v>908</v>
      </c>
      <c r="C82" s="1040">
        <v>1189</v>
      </c>
      <c r="D82" s="1040">
        <v>608</v>
      </c>
      <c r="E82" s="1040">
        <v>1797</v>
      </c>
      <c r="F82" s="1040">
        <v>1048</v>
      </c>
      <c r="G82" s="1040">
        <v>1404</v>
      </c>
      <c r="H82" s="1040">
        <v>2452</v>
      </c>
      <c r="I82" s="1040">
        <v>226</v>
      </c>
      <c r="J82" s="1040">
        <v>83</v>
      </c>
      <c r="K82" s="1040">
        <v>309</v>
      </c>
      <c r="L82" s="1062"/>
      <c r="M82" s="1062"/>
      <c r="N82" s="1062"/>
    </row>
    <row r="83" spans="1:14" x14ac:dyDescent="0.35">
      <c r="A83" s="963">
        <v>13</v>
      </c>
      <c r="B83" s="506" t="s">
        <v>24</v>
      </c>
      <c r="C83" s="1064"/>
      <c r="D83" s="1064"/>
      <c r="E83" s="1064"/>
      <c r="F83" s="1064"/>
      <c r="G83" s="1064"/>
      <c r="H83" s="1064"/>
      <c r="I83" s="1064"/>
      <c r="J83" s="1064"/>
      <c r="K83" s="1064"/>
      <c r="L83" s="1064"/>
      <c r="M83" s="1064"/>
      <c r="N83" s="1065"/>
    </row>
    <row r="84" spans="1:14" x14ac:dyDescent="0.35">
      <c r="A84" s="964"/>
      <c r="B84" s="395" t="s">
        <v>912</v>
      </c>
      <c r="C84" s="1044">
        <v>69770</v>
      </c>
      <c r="D84" s="1044">
        <v>72414</v>
      </c>
      <c r="E84" s="1044">
        <v>142184</v>
      </c>
      <c r="F84" s="1044">
        <v>2980</v>
      </c>
      <c r="G84" s="1044">
        <v>2911</v>
      </c>
      <c r="H84" s="1044">
        <v>5891</v>
      </c>
      <c r="I84" s="1044">
        <v>395</v>
      </c>
      <c r="J84" s="1044">
        <v>167</v>
      </c>
      <c r="K84" s="1044">
        <v>562</v>
      </c>
      <c r="L84" s="1044">
        <v>4250</v>
      </c>
      <c r="M84" s="1044">
        <v>3281</v>
      </c>
      <c r="N84" s="1045">
        <v>7531</v>
      </c>
    </row>
    <row r="85" spans="1:14" x14ac:dyDescent="0.35">
      <c r="A85" s="964"/>
      <c r="B85" s="395" t="s">
        <v>911</v>
      </c>
      <c r="C85" s="1040">
        <v>63796</v>
      </c>
      <c r="D85" s="1040">
        <v>74346</v>
      </c>
      <c r="E85" s="1040">
        <v>138142</v>
      </c>
      <c r="F85" s="1040">
        <v>2323</v>
      </c>
      <c r="G85" s="1040">
        <v>2997</v>
      </c>
      <c r="H85" s="1040">
        <v>5320</v>
      </c>
      <c r="I85" s="1040">
        <v>514</v>
      </c>
      <c r="J85" s="1040">
        <v>221</v>
      </c>
      <c r="K85" s="1040">
        <v>735</v>
      </c>
      <c r="L85" s="1040">
        <v>3604</v>
      </c>
      <c r="M85" s="1040">
        <v>3970</v>
      </c>
      <c r="N85" s="1040">
        <v>7574</v>
      </c>
    </row>
    <row r="86" spans="1:14" x14ac:dyDescent="0.35">
      <c r="A86" s="964"/>
      <c r="B86" s="395" t="s">
        <v>910</v>
      </c>
      <c r="C86" s="1041">
        <v>65193</v>
      </c>
      <c r="D86" s="1041">
        <v>66149</v>
      </c>
      <c r="E86" s="1041">
        <v>131342</v>
      </c>
      <c r="F86" s="1041">
        <v>2465</v>
      </c>
      <c r="G86" s="1041">
        <v>3328</v>
      </c>
      <c r="H86" s="1041">
        <v>5793</v>
      </c>
      <c r="I86" s="1041">
        <v>297</v>
      </c>
      <c r="J86" s="1041">
        <v>291</v>
      </c>
      <c r="K86" s="1041">
        <v>588</v>
      </c>
      <c r="L86" s="1041">
        <v>2500</v>
      </c>
      <c r="M86" s="1041">
        <v>3192</v>
      </c>
      <c r="N86" s="1041">
        <v>5692</v>
      </c>
    </row>
    <row r="87" spans="1:14" x14ac:dyDescent="0.35">
      <c r="A87" s="964"/>
      <c r="B87" s="395" t="s">
        <v>909</v>
      </c>
      <c r="C87" s="1041">
        <v>89608</v>
      </c>
      <c r="D87" s="1041">
        <v>89068</v>
      </c>
      <c r="E87" s="1041">
        <v>178676</v>
      </c>
      <c r="F87" s="1041">
        <v>2447</v>
      </c>
      <c r="G87" s="1041">
        <v>3229</v>
      </c>
      <c r="H87" s="1041">
        <v>5676</v>
      </c>
      <c r="I87" s="1041">
        <v>334</v>
      </c>
      <c r="J87" s="1041">
        <v>262</v>
      </c>
      <c r="K87" s="1041">
        <v>596</v>
      </c>
      <c r="L87" s="1062"/>
      <c r="M87" s="1062"/>
      <c r="N87" s="1062"/>
    </row>
    <row r="88" spans="1:14" x14ac:dyDescent="0.35">
      <c r="A88" s="964"/>
      <c r="B88" s="395" t="s">
        <v>908</v>
      </c>
      <c r="C88" s="1040">
        <v>81908</v>
      </c>
      <c r="D88" s="1040">
        <v>75806</v>
      </c>
      <c r="E88" s="1040">
        <v>157714</v>
      </c>
      <c r="F88" s="1040">
        <v>2675</v>
      </c>
      <c r="G88" s="1040">
        <v>3986</v>
      </c>
      <c r="H88" s="1040">
        <v>6661</v>
      </c>
      <c r="I88" s="1040">
        <v>660</v>
      </c>
      <c r="J88" s="1040">
        <v>1675</v>
      </c>
      <c r="K88" s="1040">
        <v>2335</v>
      </c>
      <c r="L88" s="1062"/>
      <c r="M88" s="1062"/>
      <c r="N88" s="1062"/>
    </row>
    <row r="89" spans="1:14" x14ac:dyDescent="0.35">
      <c r="A89" s="963">
        <v>14</v>
      </c>
      <c r="B89" s="506" t="s">
        <v>25</v>
      </c>
      <c r="C89" s="1064"/>
      <c r="D89" s="1064"/>
      <c r="E89" s="1064"/>
      <c r="F89" s="1064"/>
      <c r="G89" s="1064"/>
      <c r="H89" s="1064"/>
      <c r="I89" s="1064"/>
      <c r="J89" s="1064"/>
      <c r="K89" s="1064"/>
      <c r="L89" s="1064"/>
      <c r="M89" s="1064"/>
      <c r="N89" s="1065"/>
    </row>
    <row r="90" spans="1:14" x14ac:dyDescent="0.35">
      <c r="A90" s="964"/>
      <c r="B90" s="400" t="s">
        <v>912</v>
      </c>
      <c r="C90" s="1044">
        <v>20451</v>
      </c>
      <c r="D90" s="1044">
        <v>21653</v>
      </c>
      <c r="E90" s="1044">
        <v>42104</v>
      </c>
      <c r="F90" s="1044">
        <v>8998</v>
      </c>
      <c r="G90" s="1044">
        <v>11147</v>
      </c>
      <c r="H90" s="1044">
        <v>20145</v>
      </c>
      <c r="I90" s="1044">
        <v>583</v>
      </c>
      <c r="J90" s="1044">
        <v>281</v>
      </c>
      <c r="K90" s="1044">
        <v>864</v>
      </c>
      <c r="L90" s="1044">
        <v>6518</v>
      </c>
      <c r="M90" s="1044">
        <v>3626</v>
      </c>
      <c r="N90" s="1045">
        <v>10144</v>
      </c>
    </row>
    <row r="91" spans="1:14" x14ac:dyDescent="0.35">
      <c r="A91" s="964"/>
      <c r="B91" s="395" t="s">
        <v>911</v>
      </c>
      <c r="C91" s="1040">
        <v>19532</v>
      </c>
      <c r="D91" s="1040">
        <v>18668</v>
      </c>
      <c r="E91" s="1040">
        <v>38200</v>
      </c>
      <c r="F91" s="1040">
        <v>4976</v>
      </c>
      <c r="G91" s="1040">
        <v>7421</v>
      </c>
      <c r="H91" s="1040">
        <v>12397</v>
      </c>
      <c r="I91" s="1040">
        <v>881</v>
      </c>
      <c r="J91" s="1040">
        <v>294</v>
      </c>
      <c r="K91" s="1040">
        <v>1175</v>
      </c>
      <c r="L91" s="1040">
        <v>5837</v>
      </c>
      <c r="M91" s="1040">
        <v>3365</v>
      </c>
      <c r="N91" s="1040">
        <v>9202</v>
      </c>
    </row>
    <row r="92" spans="1:14" x14ac:dyDescent="0.35">
      <c r="A92" s="964"/>
      <c r="B92" s="395" t="s">
        <v>910</v>
      </c>
      <c r="C92" s="1041">
        <v>17069</v>
      </c>
      <c r="D92" s="1041">
        <v>17244</v>
      </c>
      <c r="E92" s="1041">
        <v>34313</v>
      </c>
      <c r="F92" s="1041">
        <v>4916</v>
      </c>
      <c r="G92" s="1041">
        <v>6884</v>
      </c>
      <c r="H92" s="1041">
        <v>11800</v>
      </c>
      <c r="I92" s="1041">
        <v>546</v>
      </c>
      <c r="J92" s="1041">
        <v>225</v>
      </c>
      <c r="K92" s="1041">
        <v>771</v>
      </c>
      <c r="L92" s="1040">
        <v>3010</v>
      </c>
      <c r="M92" s="1040">
        <v>1700</v>
      </c>
      <c r="N92" s="1040">
        <v>4710</v>
      </c>
    </row>
    <row r="93" spans="1:14" x14ac:dyDescent="0.35">
      <c r="A93" s="964"/>
      <c r="B93" s="395" t="s">
        <v>909</v>
      </c>
      <c r="C93" s="1041">
        <v>21742</v>
      </c>
      <c r="D93" s="1041">
        <v>21834</v>
      </c>
      <c r="E93" s="1041">
        <v>43576</v>
      </c>
      <c r="F93" s="1041">
        <v>6150</v>
      </c>
      <c r="G93" s="1041">
        <v>6989</v>
      </c>
      <c r="H93" s="1041">
        <v>13139</v>
      </c>
      <c r="I93" s="1041">
        <v>773</v>
      </c>
      <c r="J93" s="1041">
        <v>384</v>
      </c>
      <c r="K93" s="1041">
        <v>1157</v>
      </c>
      <c r="L93" s="1062"/>
      <c r="M93" s="1062"/>
      <c r="N93" s="1062"/>
    </row>
    <row r="94" spans="1:14" x14ac:dyDescent="0.35">
      <c r="A94" s="964"/>
      <c r="B94" s="395" t="s">
        <v>908</v>
      </c>
      <c r="C94" s="1040">
        <v>20388</v>
      </c>
      <c r="D94" s="1040">
        <v>20122</v>
      </c>
      <c r="E94" s="1040">
        <v>40510</v>
      </c>
      <c r="F94" s="1040">
        <v>5602</v>
      </c>
      <c r="G94" s="1040">
        <v>7056</v>
      </c>
      <c r="H94" s="1040">
        <v>12658</v>
      </c>
      <c r="I94" s="1040">
        <v>459</v>
      </c>
      <c r="J94" s="1040">
        <v>180</v>
      </c>
      <c r="K94" s="1040">
        <v>639</v>
      </c>
      <c r="L94" s="1062"/>
      <c r="M94" s="1062"/>
      <c r="N94" s="1062"/>
    </row>
    <row r="95" spans="1:14" x14ac:dyDescent="0.35">
      <c r="A95" s="963">
        <v>15</v>
      </c>
      <c r="B95" s="506" t="s">
        <v>26</v>
      </c>
      <c r="C95" s="1064"/>
      <c r="D95" s="1064"/>
      <c r="E95" s="1064"/>
      <c r="F95" s="1064"/>
      <c r="G95" s="1064"/>
      <c r="H95" s="1064"/>
      <c r="I95" s="1064"/>
      <c r="J95" s="1064"/>
      <c r="K95" s="1064"/>
      <c r="L95" s="1064"/>
      <c r="M95" s="1064"/>
      <c r="N95" s="1065"/>
    </row>
    <row r="96" spans="1:14" x14ac:dyDescent="0.35">
      <c r="A96" s="964"/>
      <c r="B96" s="400" t="s">
        <v>912</v>
      </c>
      <c r="C96" s="1044">
        <v>82873.292256076311</v>
      </c>
      <c r="D96" s="1044">
        <v>74581.965456764607</v>
      </c>
      <c r="E96" s="1044">
        <v>157455.25771284089</v>
      </c>
      <c r="F96" s="1044">
        <v>43251.521448326923</v>
      </c>
      <c r="G96" s="1044">
        <v>54440.594422859896</v>
      </c>
      <c r="H96" s="1044">
        <v>97692.115871186834</v>
      </c>
      <c r="I96" s="1044">
        <v>3147.1235923101081</v>
      </c>
      <c r="J96" s="1044">
        <v>2188.6331103873258</v>
      </c>
      <c r="K96" s="1044">
        <v>5335.7567026974339</v>
      </c>
      <c r="L96" s="1044">
        <v>20455.11944057728</v>
      </c>
      <c r="M96" s="1044">
        <v>36229.50453782297</v>
      </c>
      <c r="N96" s="1045">
        <v>56684.623978400246</v>
      </c>
    </row>
    <row r="97" spans="1:14" x14ac:dyDescent="0.35">
      <c r="A97" s="964"/>
      <c r="B97" s="395" t="s">
        <v>911</v>
      </c>
      <c r="C97" s="1040">
        <v>78638</v>
      </c>
      <c r="D97" s="1040">
        <v>68611</v>
      </c>
      <c r="E97" s="1040">
        <v>147249</v>
      </c>
      <c r="F97" s="1040">
        <v>42716</v>
      </c>
      <c r="G97" s="1040">
        <v>51895</v>
      </c>
      <c r="H97" s="1040">
        <v>94611</v>
      </c>
      <c r="I97" s="1040">
        <v>3397</v>
      </c>
      <c r="J97" s="1040">
        <v>2660</v>
      </c>
      <c r="K97" s="1040">
        <v>6057</v>
      </c>
      <c r="L97" s="1040">
        <v>26058</v>
      </c>
      <c r="M97" s="1040">
        <v>26549</v>
      </c>
      <c r="N97" s="1040">
        <v>52607</v>
      </c>
    </row>
    <row r="98" spans="1:14" x14ac:dyDescent="0.35">
      <c r="A98" s="964"/>
      <c r="B98" s="395" t="s">
        <v>910</v>
      </c>
      <c r="C98" s="1041">
        <v>72487</v>
      </c>
      <c r="D98" s="1041">
        <v>65871</v>
      </c>
      <c r="E98" s="1041">
        <v>138358</v>
      </c>
      <c r="F98" s="1041">
        <v>36086</v>
      </c>
      <c r="G98" s="1041">
        <v>45593</v>
      </c>
      <c r="H98" s="1041">
        <v>81679</v>
      </c>
      <c r="I98" s="1041">
        <v>2665</v>
      </c>
      <c r="J98" s="1041">
        <v>1830</v>
      </c>
      <c r="K98" s="1041">
        <v>4495</v>
      </c>
      <c r="L98" s="1041">
        <v>15920</v>
      </c>
      <c r="M98" s="1041">
        <v>35128</v>
      </c>
      <c r="N98" s="1041">
        <v>51048</v>
      </c>
    </row>
    <row r="99" spans="1:14" x14ac:dyDescent="0.35">
      <c r="A99" s="964"/>
      <c r="B99" s="395" t="s">
        <v>909</v>
      </c>
      <c r="C99" s="1041">
        <v>75198</v>
      </c>
      <c r="D99" s="1041">
        <v>69313</v>
      </c>
      <c r="E99" s="1041">
        <v>144511</v>
      </c>
      <c r="F99" s="1041">
        <v>38600</v>
      </c>
      <c r="G99" s="1041">
        <v>49170</v>
      </c>
      <c r="H99" s="1041">
        <v>87770</v>
      </c>
      <c r="I99" s="1041">
        <v>2398</v>
      </c>
      <c r="J99" s="1041">
        <v>2204</v>
      </c>
      <c r="K99" s="1041">
        <v>4602</v>
      </c>
      <c r="L99" s="1062"/>
      <c r="M99" s="1062"/>
      <c r="N99" s="1062"/>
    </row>
    <row r="100" spans="1:14" x14ac:dyDescent="0.35">
      <c r="A100" s="964"/>
      <c r="B100" s="395" t="s">
        <v>908</v>
      </c>
      <c r="C100" s="1040">
        <v>65642</v>
      </c>
      <c r="D100" s="1040">
        <v>59894</v>
      </c>
      <c r="E100" s="1040">
        <v>125536</v>
      </c>
      <c r="F100" s="1040">
        <v>36255</v>
      </c>
      <c r="G100" s="1040">
        <v>45244</v>
      </c>
      <c r="H100" s="1040">
        <v>81499</v>
      </c>
      <c r="I100" s="1040">
        <v>2310</v>
      </c>
      <c r="J100" s="1040">
        <v>1986</v>
      </c>
      <c r="K100" s="1040">
        <v>4296</v>
      </c>
      <c r="L100" s="1062"/>
      <c r="M100" s="1062"/>
      <c r="N100" s="1062"/>
    </row>
    <row r="101" spans="1:14" x14ac:dyDescent="0.35">
      <c r="A101" s="963">
        <v>16</v>
      </c>
      <c r="B101" s="506" t="s">
        <v>27</v>
      </c>
      <c r="C101" s="1064"/>
      <c r="D101" s="1064"/>
      <c r="E101" s="1064"/>
      <c r="F101" s="1064"/>
      <c r="G101" s="1064"/>
      <c r="H101" s="1064"/>
      <c r="I101" s="1064"/>
      <c r="J101" s="1064"/>
      <c r="K101" s="1064"/>
      <c r="L101" s="1064"/>
      <c r="M101" s="1064"/>
      <c r="N101" s="1065"/>
    </row>
    <row r="102" spans="1:14" x14ac:dyDescent="0.35">
      <c r="A102" s="964"/>
      <c r="B102" s="400" t="s">
        <v>912</v>
      </c>
      <c r="C102" s="1044">
        <v>82876.987938381339</v>
      </c>
      <c r="D102" s="1044">
        <v>123325.0054684975</v>
      </c>
      <c r="E102" s="1044">
        <v>206201.99340687881</v>
      </c>
      <c r="F102" s="1044">
        <v>57948.143886589984</v>
      </c>
      <c r="G102" s="1044">
        <v>74579.159683219768</v>
      </c>
      <c r="H102" s="1044">
        <v>132527.30356980971</v>
      </c>
      <c r="I102" s="1044">
        <v>2496.3648723817041</v>
      </c>
      <c r="J102" s="1044">
        <v>2411.664834518609</v>
      </c>
      <c r="K102" s="1044">
        <v>4908.0297069003136</v>
      </c>
      <c r="L102" s="1044">
        <v>13478.017484954549</v>
      </c>
      <c r="M102" s="1044">
        <v>21048.70753392277</v>
      </c>
      <c r="N102" s="1045">
        <v>34526.725018877318</v>
      </c>
    </row>
    <row r="103" spans="1:14" x14ac:dyDescent="0.35">
      <c r="A103" s="964"/>
      <c r="B103" s="395" t="s">
        <v>911</v>
      </c>
      <c r="C103" s="1040">
        <v>76375</v>
      </c>
      <c r="D103" s="1040">
        <v>110983</v>
      </c>
      <c r="E103" s="1040">
        <v>187358</v>
      </c>
      <c r="F103" s="1040">
        <v>55951</v>
      </c>
      <c r="G103" s="1040">
        <v>65238</v>
      </c>
      <c r="H103" s="1040">
        <v>121189</v>
      </c>
      <c r="I103" s="1040">
        <v>2843</v>
      </c>
      <c r="J103" s="1040">
        <v>2472</v>
      </c>
      <c r="K103" s="1040">
        <v>5315</v>
      </c>
      <c r="L103" s="1040">
        <v>10383</v>
      </c>
      <c r="M103" s="1040">
        <v>16815</v>
      </c>
      <c r="N103" s="1040">
        <v>27198</v>
      </c>
    </row>
    <row r="104" spans="1:14" x14ac:dyDescent="0.35">
      <c r="A104" s="964"/>
      <c r="B104" s="395" t="s">
        <v>910</v>
      </c>
      <c r="C104" s="1041">
        <v>68170</v>
      </c>
      <c r="D104" s="1041">
        <v>102759</v>
      </c>
      <c r="E104" s="1041">
        <v>170929</v>
      </c>
      <c r="F104" s="1041">
        <v>51334</v>
      </c>
      <c r="G104" s="1041">
        <v>63552</v>
      </c>
      <c r="H104" s="1041">
        <v>114886</v>
      </c>
      <c r="I104" s="1041">
        <v>2103</v>
      </c>
      <c r="J104" s="1041">
        <v>1888</v>
      </c>
      <c r="K104" s="1041">
        <v>3991</v>
      </c>
      <c r="L104" s="1041">
        <v>6189</v>
      </c>
      <c r="M104" s="1041">
        <v>10363</v>
      </c>
      <c r="N104" s="1041">
        <v>16552</v>
      </c>
    </row>
    <row r="105" spans="1:14" x14ac:dyDescent="0.35">
      <c r="A105" s="964"/>
      <c r="B105" s="395" t="s">
        <v>909</v>
      </c>
      <c r="C105" s="1041">
        <v>68848</v>
      </c>
      <c r="D105" s="1041">
        <v>97179</v>
      </c>
      <c r="E105" s="1041">
        <v>166027</v>
      </c>
      <c r="F105" s="1041">
        <v>51070</v>
      </c>
      <c r="G105" s="1041">
        <v>66907</v>
      </c>
      <c r="H105" s="1041">
        <v>117977</v>
      </c>
      <c r="I105" s="1041">
        <v>1975</v>
      </c>
      <c r="J105" s="1041">
        <v>1735</v>
      </c>
      <c r="K105" s="1041">
        <v>3710</v>
      </c>
      <c r="L105" s="1062"/>
      <c r="M105" s="1062"/>
      <c r="N105" s="1062"/>
    </row>
    <row r="106" spans="1:14" x14ac:dyDescent="0.35">
      <c r="A106" s="964"/>
      <c r="B106" s="395" t="s">
        <v>908</v>
      </c>
      <c r="C106" s="1040">
        <v>67175</v>
      </c>
      <c r="D106" s="1040">
        <v>92073</v>
      </c>
      <c r="E106" s="1040">
        <v>159248</v>
      </c>
      <c r="F106" s="1040">
        <v>48761</v>
      </c>
      <c r="G106" s="1040">
        <v>68145</v>
      </c>
      <c r="H106" s="1040">
        <v>116906</v>
      </c>
      <c r="I106" s="1040">
        <v>1807</v>
      </c>
      <c r="J106" s="1040">
        <v>1704</v>
      </c>
      <c r="K106" s="1040">
        <v>3511</v>
      </c>
      <c r="L106" s="1062"/>
      <c r="M106" s="1062"/>
      <c r="N106" s="1062"/>
    </row>
    <row r="107" spans="1:14" x14ac:dyDescent="0.35">
      <c r="A107" s="972">
        <v>17</v>
      </c>
      <c r="B107" s="506" t="s">
        <v>28</v>
      </c>
      <c r="C107" s="1064"/>
      <c r="D107" s="1064"/>
      <c r="E107" s="1064"/>
      <c r="F107" s="1064"/>
      <c r="G107" s="1064"/>
      <c r="H107" s="1064"/>
      <c r="I107" s="1064"/>
      <c r="J107" s="1064"/>
      <c r="K107" s="1064"/>
      <c r="L107" s="1064"/>
      <c r="M107" s="1064"/>
      <c r="N107" s="1065"/>
    </row>
    <row r="108" spans="1:14" x14ac:dyDescent="0.35">
      <c r="A108" s="972"/>
      <c r="B108" s="400" t="s">
        <v>912</v>
      </c>
      <c r="C108" s="1044">
        <v>951</v>
      </c>
      <c r="D108" s="1044">
        <v>1841</v>
      </c>
      <c r="E108" s="1044">
        <v>2792</v>
      </c>
      <c r="F108" s="1044">
        <v>641</v>
      </c>
      <c r="G108" s="1044">
        <v>1032</v>
      </c>
      <c r="H108" s="1044">
        <v>1673</v>
      </c>
      <c r="I108" s="1044">
        <v>1</v>
      </c>
      <c r="J108" s="1044">
        <v>0</v>
      </c>
      <c r="K108" s="1044">
        <v>1</v>
      </c>
      <c r="L108" s="1044">
        <v>0</v>
      </c>
      <c r="M108" s="1044">
        <v>0</v>
      </c>
      <c r="N108" s="1045">
        <v>0</v>
      </c>
    </row>
    <row r="109" spans="1:14" x14ac:dyDescent="0.35">
      <c r="A109" s="972"/>
      <c r="B109" s="395" t="s">
        <v>911</v>
      </c>
      <c r="C109" s="1040">
        <v>421</v>
      </c>
      <c r="D109" s="1040">
        <v>727</v>
      </c>
      <c r="E109" s="1040">
        <v>1148</v>
      </c>
      <c r="F109" s="1040">
        <v>451</v>
      </c>
      <c r="G109" s="1040">
        <v>886</v>
      </c>
      <c r="H109" s="1040">
        <v>1337</v>
      </c>
      <c r="I109" s="1040">
        <v>1</v>
      </c>
      <c r="J109" s="1040">
        <v>0</v>
      </c>
      <c r="K109" s="1040">
        <v>1</v>
      </c>
      <c r="L109" s="1041">
        <v>0</v>
      </c>
      <c r="M109" s="1041">
        <v>0</v>
      </c>
      <c r="N109" s="1041">
        <v>0</v>
      </c>
    </row>
    <row r="110" spans="1:14" x14ac:dyDescent="0.35">
      <c r="A110" s="972"/>
      <c r="B110" s="395" t="s">
        <v>910</v>
      </c>
      <c r="C110" s="1041">
        <v>679</v>
      </c>
      <c r="D110" s="1041">
        <v>1341</v>
      </c>
      <c r="E110" s="1041">
        <v>2020</v>
      </c>
      <c r="F110" s="1041">
        <v>226</v>
      </c>
      <c r="G110" s="1041">
        <v>564</v>
      </c>
      <c r="H110" s="1041">
        <v>790</v>
      </c>
      <c r="I110" s="1040">
        <v>0</v>
      </c>
      <c r="J110" s="1040">
        <v>0</v>
      </c>
      <c r="K110" s="1040">
        <v>0</v>
      </c>
      <c r="L110" s="1041">
        <v>0</v>
      </c>
      <c r="M110" s="1041">
        <v>0</v>
      </c>
      <c r="N110" s="1041">
        <v>0</v>
      </c>
    </row>
    <row r="111" spans="1:14" x14ac:dyDescent="0.35">
      <c r="A111" s="972"/>
      <c r="B111" s="395" t="s">
        <v>909</v>
      </c>
      <c r="C111" s="1041">
        <v>652</v>
      </c>
      <c r="D111" s="1041">
        <v>1302</v>
      </c>
      <c r="E111" s="1041">
        <v>1954</v>
      </c>
      <c r="F111" s="1041">
        <v>307</v>
      </c>
      <c r="G111" s="1041">
        <v>583</v>
      </c>
      <c r="H111" s="1041">
        <v>890</v>
      </c>
      <c r="I111" s="1040">
        <v>0</v>
      </c>
      <c r="J111" s="1040">
        <v>0</v>
      </c>
      <c r="K111" s="1040">
        <v>0</v>
      </c>
      <c r="L111" s="1062"/>
      <c r="M111" s="1062"/>
      <c r="N111" s="1062"/>
    </row>
    <row r="112" spans="1:14" x14ac:dyDescent="0.35">
      <c r="A112" s="963">
        <v>18</v>
      </c>
      <c r="B112" s="506" t="s">
        <v>72</v>
      </c>
      <c r="C112" s="1064"/>
      <c r="D112" s="1064"/>
      <c r="E112" s="1064"/>
      <c r="F112" s="1064"/>
      <c r="G112" s="1064"/>
      <c r="H112" s="1064"/>
      <c r="I112" s="1064"/>
      <c r="J112" s="1064"/>
      <c r="K112" s="1064"/>
      <c r="L112" s="1064"/>
      <c r="M112" s="1064"/>
      <c r="N112" s="1065"/>
    </row>
    <row r="113" spans="1:14" x14ac:dyDescent="0.35">
      <c r="A113" s="964"/>
      <c r="B113" s="400" t="s">
        <v>912</v>
      </c>
      <c r="C113" s="1044">
        <v>52</v>
      </c>
      <c r="D113" s="1044">
        <v>140</v>
      </c>
      <c r="E113" s="1044">
        <v>192</v>
      </c>
      <c r="F113" s="1044">
        <v>0</v>
      </c>
      <c r="G113" s="1044">
        <v>0</v>
      </c>
      <c r="H113" s="1044">
        <v>0</v>
      </c>
      <c r="I113" s="1044">
        <v>2</v>
      </c>
      <c r="J113" s="1044">
        <v>0</v>
      </c>
      <c r="K113" s="1044">
        <v>2</v>
      </c>
      <c r="L113" s="1044">
        <v>0</v>
      </c>
      <c r="M113" s="1044">
        <v>0</v>
      </c>
      <c r="N113" s="1045">
        <v>0</v>
      </c>
    </row>
    <row r="114" spans="1:14" x14ac:dyDescent="0.35">
      <c r="A114" s="964"/>
      <c r="B114" s="395" t="s">
        <v>911</v>
      </c>
      <c r="C114" s="1040">
        <v>14</v>
      </c>
      <c r="D114" s="1040">
        <v>74</v>
      </c>
      <c r="E114" s="1040">
        <v>88</v>
      </c>
      <c r="F114" s="1040">
        <v>0</v>
      </c>
      <c r="G114" s="1040">
        <v>0</v>
      </c>
      <c r="H114" s="1040">
        <v>0</v>
      </c>
      <c r="I114" s="1040">
        <v>0</v>
      </c>
      <c r="J114" s="1040">
        <v>0</v>
      </c>
      <c r="K114" s="1040">
        <v>0</v>
      </c>
      <c r="L114" s="1041">
        <v>0</v>
      </c>
      <c r="M114" s="1041">
        <v>0</v>
      </c>
      <c r="N114" s="1041">
        <v>0</v>
      </c>
    </row>
    <row r="115" spans="1:14" x14ac:dyDescent="0.35">
      <c r="A115" s="964"/>
      <c r="B115" s="395" t="s">
        <v>910</v>
      </c>
      <c r="C115" s="1041">
        <v>70</v>
      </c>
      <c r="D115" s="1041">
        <v>256</v>
      </c>
      <c r="E115" s="1041">
        <v>326</v>
      </c>
      <c r="F115" s="1040">
        <v>0</v>
      </c>
      <c r="G115" s="1040">
        <v>0</v>
      </c>
      <c r="H115" s="1040">
        <v>0</v>
      </c>
      <c r="I115" s="1040">
        <v>0</v>
      </c>
      <c r="J115" s="1040">
        <v>0</v>
      </c>
      <c r="K115" s="1040">
        <v>0</v>
      </c>
      <c r="L115" s="1041">
        <v>0</v>
      </c>
      <c r="M115" s="1041">
        <v>0</v>
      </c>
      <c r="N115" s="1041">
        <v>0</v>
      </c>
    </row>
    <row r="116" spans="1:14" x14ac:dyDescent="0.35">
      <c r="A116" s="964"/>
      <c r="B116" s="395" t="s">
        <v>909</v>
      </c>
      <c r="C116" s="1041">
        <v>70</v>
      </c>
      <c r="D116" s="1041">
        <v>256</v>
      </c>
      <c r="E116" s="1041">
        <v>326</v>
      </c>
      <c r="F116" s="1040">
        <v>0</v>
      </c>
      <c r="G116" s="1040">
        <v>0</v>
      </c>
      <c r="H116" s="1040">
        <v>0</v>
      </c>
      <c r="I116" s="1040">
        <v>0</v>
      </c>
      <c r="J116" s="1040">
        <v>0</v>
      </c>
      <c r="K116" s="1040">
        <v>0</v>
      </c>
      <c r="L116" s="1062"/>
      <c r="M116" s="1062"/>
      <c r="N116" s="1062"/>
    </row>
    <row r="117" spans="1:14" x14ac:dyDescent="0.35">
      <c r="A117" s="964"/>
      <c r="B117" s="395" t="s">
        <v>908</v>
      </c>
      <c r="C117" s="1040">
        <v>64</v>
      </c>
      <c r="D117" s="1040">
        <v>246</v>
      </c>
      <c r="E117" s="1040">
        <v>310</v>
      </c>
      <c r="F117" s="1040">
        <v>0</v>
      </c>
      <c r="G117" s="1040">
        <v>0</v>
      </c>
      <c r="H117" s="1040">
        <v>0</v>
      </c>
      <c r="I117" s="1040">
        <v>0</v>
      </c>
      <c r="J117" s="1040">
        <v>0</v>
      </c>
      <c r="K117" s="1040">
        <v>0</v>
      </c>
      <c r="L117" s="1062"/>
      <c r="M117" s="1062"/>
      <c r="N117" s="1062"/>
    </row>
    <row r="118" spans="1:14" x14ac:dyDescent="0.35">
      <c r="A118" s="963">
        <v>19</v>
      </c>
      <c r="B118" s="506" t="s">
        <v>29</v>
      </c>
      <c r="C118" s="1064"/>
      <c r="D118" s="1064"/>
      <c r="E118" s="1064"/>
      <c r="F118" s="1064"/>
      <c r="G118" s="1064"/>
      <c r="H118" s="1064"/>
      <c r="I118" s="1064"/>
      <c r="J118" s="1064"/>
      <c r="K118" s="1064"/>
      <c r="L118" s="1064"/>
      <c r="M118" s="1064"/>
      <c r="N118" s="1065"/>
    </row>
    <row r="119" spans="1:14" x14ac:dyDescent="0.35">
      <c r="A119" s="964"/>
      <c r="B119" s="400" t="s">
        <v>912</v>
      </c>
      <c r="C119" s="1044">
        <v>23574.367213905261</v>
      </c>
      <c r="D119" s="1044">
        <v>17302.36230999275</v>
      </c>
      <c r="E119" s="1044">
        <v>40876.729523898</v>
      </c>
      <c r="F119" s="1044">
        <v>10099.600307019869</v>
      </c>
      <c r="G119" s="1044">
        <v>9111.4740377979506</v>
      </c>
      <c r="H119" s="1044">
        <v>19211.074344817818</v>
      </c>
      <c r="I119" s="1044">
        <v>1762.8326432022079</v>
      </c>
      <c r="J119" s="1044">
        <v>1591.526742581091</v>
      </c>
      <c r="K119" s="1044">
        <v>3354.3593857832989</v>
      </c>
      <c r="L119" s="1044">
        <v>15052.99292173205</v>
      </c>
      <c r="M119" s="1044">
        <v>10337.48878315726</v>
      </c>
      <c r="N119" s="1045">
        <v>25390.481704889309</v>
      </c>
    </row>
    <row r="120" spans="1:14" x14ac:dyDescent="0.35">
      <c r="A120" s="964"/>
      <c r="B120" s="395" t="s">
        <v>911</v>
      </c>
      <c r="C120" s="1040">
        <v>22617</v>
      </c>
      <c r="D120" s="1040">
        <v>16588</v>
      </c>
      <c r="E120" s="1040">
        <v>39205</v>
      </c>
      <c r="F120" s="1040">
        <v>10826</v>
      </c>
      <c r="G120" s="1040">
        <v>9856</v>
      </c>
      <c r="H120" s="1040">
        <v>20682</v>
      </c>
      <c r="I120" s="1040">
        <v>2277</v>
      </c>
      <c r="J120" s="1040">
        <v>1778</v>
      </c>
      <c r="K120" s="1040">
        <v>4055</v>
      </c>
      <c r="L120" s="1040">
        <v>11964</v>
      </c>
      <c r="M120" s="1040">
        <v>6875</v>
      </c>
      <c r="N120" s="1040">
        <v>18839</v>
      </c>
    </row>
    <row r="121" spans="1:14" x14ac:dyDescent="0.35">
      <c r="A121" s="964"/>
      <c r="B121" s="395" t="s">
        <v>910</v>
      </c>
      <c r="C121" s="1041">
        <v>20995</v>
      </c>
      <c r="D121" s="1041">
        <v>20432</v>
      </c>
      <c r="E121" s="1041">
        <v>41427</v>
      </c>
      <c r="F121" s="1041">
        <v>8968</v>
      </c>
      <c r="G121" s="1041">
        <v>9814</v>
      </c>
      <c r="H121" s="1041">
        <v>18782</v>
      </c>
      <c r="I121" s="1041">
        <v>1886</v>
      </c>
      <c r="J121" s="1041">
        <v>708</v>
      </c>
      <c r="K121" s="1041">
        <v>2594</v>
      </c>
      <c r="L121" s="1041">
        <v>7293</v>
      </c>
      <c r="M121" s="1041">
        <v>5162</v>
      </c>
      <c r="N121" s="1041">
        <v>12455</v>
      </c>
    </row>
    <row r="122" spans="1:14" x14ac:dyDescent="0.35">
      <c r="A122" s="964"/>
      <c r="B122" s="395" t="s">
        <v>909</v>
      </c>
      <c r="C122" s="1041">
        <v>24366</v>
      </c>
      <c r="D122" s="1041">
        <v>19923</v>
      </c>
      <c r="E122" s="1041">
        <v>44289</v>
      </c>
      <c r="F122" s="1041">
        <v>12788</v>
      </c>
      <c r="G122" s="1041">
        <v>12749</v>
      </c>
      <c r="H122" s="1041">
        <v>25537</v>
      </c>
      <c r="I122" s="1041">
        <v>1403</v>
      </c>
      <c r="J122" s="1041">
        <v>1039</v>
      </c>
      <c r="K122" s="1041">
        <v>2442</v>
      </c>
      <c r="L122" s="1062"/>
      <c r="M122" s="1062"/>
      <c r="N122" s="1062"/>
    </row>
    <row r="123" spans="1:14" x14ac:dyDescent="0.35">
      <c r="A123" s="964"/>
      <c r="B123" s="395" t="s">
        <v>908</v>
      </c>
      <c r="C123" s="1041">
        <v>20195</v>
      </c>
      <c r="D123" s="1041">
        <v>16562</v>
      </c>
      <c r="E123" s="1041">
        <v>36757</v>
      </c>
      <c r="F123" s="1041">
        <v>14070</v>
      </c>
      <c r="G123" s="1041">
        <v>11958</v>
      </c>
      <c r="H123" s="1041">
        <v>26028</v>
      </c>
      <c r="I123" s="1041">
        <v>1763</v>
      </c>
      <c r="J123" s="1041">
        <v>1565</v>
      </c>
      <c r="K123" s="1041">
        <v>3328</v>
      </c>
      <c r="L123" s="1062"/>
      <c r="M123" s="1062"/>
      <c r="N123" s="1062"/>
    </row>
    <row r="124" spans="1:14" x14ac:dyDescent="0.35">
      <c r="A124" s="963">
        <v>20</v>
      </c>
      <c r="B124" s="506" t="s">
        <v>30</v>
      </c>
      <c r="C124" s="1064"/>
      <c r="D124" s="1064"/>
      <c r="E124" s="1064"/>
      <c r="F124" s="1064"/>
      <c r="G124" s="1064"/>
      <c r="H124" s="1064"/>
      <c r="I124" s="1064"/>
      <c r="J124" s="1064"/>
      <c r="K124" s="1064"/>
      <c r="L124" s="1064"/>
      <c r="M124" s="1064"/>
      <c r="N124" s="1065"/>
    </row>
    <row r="125" spans="1:14" x14ac:dyDescent="0.35">
      <c r="A125" s="964"/>
      <c r="B125" s="400" t="s">
        <v>912</v>
      </c>
      <c r="C125" s="1044">
        <v>88186.35654110281</v>
      </c>
      <c r="D125" s="1044">
        <v>82063.335111681692</v>
      </c>
      <c r="E125" s="1044">
        <v>170249.6916527845</v>
      </c>
      <c r="F125" s="1044">
        <v>72725.088937678505</v>
      </c>
      <c r="G125" s="1044">
        <v>71731.118949704076</v>
      </c>
      <c r="H125" s="1044">
        <v>144456.2078873826</v>
      </c>
      <c r="I125" s="1044">
        <v>5239.7123256706764</v>
      </c>
      <c r="J125" s="1044">
        <v>3379.1961164234199</v>
      </c>
      <c r="K125" s="1044">
        <v>8618.9084420940962</v>
      </c>
      <c r="L125" s="1044">
        <v>60277.615598640397</v>
      </c>
      <c r="M125" s="1044">
        <v>48066.454795088859</v>
      </c>
      <c r="N125" s="1045">
        <v>108344.0703937293</v>
      </c>
    </row>
    <row r="126" spans="1:14" x14ac:dyDescent="0.35">
      <c r="A126" s="964"/>
      <c r="B126" s="395" t="s">
        <v>911</v>
      </c>
      <c r="C126" s="1040">
        <v>79193</v>
      </c>
      <c r="D126" s="1040">
        <v>75322</v>
      </c>
      <c r="E126" s="1040">
        <v>154515</v>
      </c>
      <c r="F126" s="1040">
        <v>54185</v>
      </c>
      <c r="G126" s="1040">
        <v>52601</v>
      </c>
      <c r="H126" s="1040">
        <v>106786</v>
      </c>
      <c r="I126" s="1040">
        <v>4955</v>
      </c>
      <c r="J126" s="1040">
        <v>3216</v>
      </c>
      <c r="K126" s="1040">
        <v>8171</v>
      </c>
      <c r="L126" s="1040">
        <v>45510</v>
      </c>
      <c r="M126" s="1040">
        <v>32387</v>
      </c>
      <c r="N126" s="1040">
        <v>77897</v>
      </c>
    </row>
    <row r="127" spans="1:14" x14ac:dyDescent="0.35">
      <c r="A127" s="964"/>
      <c r="B127" s="395" t="s">
        <v>910</v>
      </c>
      <c r="C127" s="1041">
        <v>79148</v>
      </c>
      <c r="D127" s="1041">
        <v>71656</v>
      </c>
      <c r="E127" s="1041">
        <v>150804</v>
      </c>
      <c r="F127" s="1041">
        <v>42054</v>
      </c>
      <c r="G127" s="1041">
        <v>39620</v>
      </c>
      <c r="H127" s="1041">
        <v>81674</v>
      </c>
      <c r="I127" s="1041">
        <v>3949</v>
      </c>
      <c r="J127" s="1041">
        <v>2214</v>
      </c>
      <c r="K127" s="1041">
        <v>6163</v>
      </c>
      <c r="L127" s="1041">
        <v>29953</v>
      </c>
      <c r="M127" s="1041">
        <v>21698</v>
      </c>
      <c r="N127" s="1041">
        <v>51651</v>
      </c>
    </row>
    <row r="128" spans="1:14" x14ac:dyDescent="0.35">
      <c r="A128" s="964"/>
      <c r="B128" s="395" t="s">
        <v>909</v>
      </c>
      <c r="C128" s="1041">
        <v>83037</v>
      </c>
      <c r="D128" s="1041">
        <v>83191</v>
      </c>
      <c r="E128" s="1041">
        <v>166228</v>
      </c>
      <c r="F128" s="1041">
        <v>46074</v>
      </c>
      <c r="G128" s="1041">
        <v>49948</v>
      </c>
      <c r="H128" s="1041">
        <v>96022</v>
      </c>
      <c r="I128" s="1041">
        <v>4714</v>
      </c>
      <c r="J128" s="1041">
        <v>3083</v>
      </c>
      <c r="K128" s="1041">
        <v>7797</v>
      </c>
      <c r="L128" s="1062"/>
      <c r="M128" s="1062"/>
      <c r="N128" s="1062"/>
    </row>
    <row r="129" spans="1:14" x14ac:dyDescent="0.35">
      <c r="A129" s="964"/>
      <c r="B129" s="395" t="s">
        <v>908</v>
      </c>
      <c r="C129" s="1041">
        <v>78777</v>
      </c>
      <c r="D129" s="1041">
        <v>73589</v>
      </c>
      <c r="E129" s="1041">
        <v>152366</v>
      </c>
      <c r="F129" s="1041">
        <v>41535</v>
      </c>
      <c r="G129" s="1041">
        <v>43125</v>
      </c>
      <c r="H129" s="1041">
        <v>84660</v>
      </c>
      <c r="I129" s="1041">
        <v>4400</v>
      </c>
      <c r="J129" s="1041">
        <v>3535</v>
      </c>
      <c r="K129" s="1041">
        <v>7935</v>
      </c>
      <c r="L129" s="1062"/>
      <c r="M129" s="1062"/>
      <c r="N129" s="1062"/>
    </row>
    <row r="130" spans="1:14" x14ac:dyDescent="0.35">
      <c r="A130" s="963">
        <v>21</v>
      </c>
      <c r="B130" s="506" t="s">
        <v>31</v>
      </c>
      <c r="C130" s="1064"/>
      <c r="D130" s="1064"/>
      <c r="E130" s="1064"/>
      <c r="F130" s="1064"/>
      <c r="G130" s="1064"/>
      <c r="H130" s="1064"/>
      <c r="I130" s="1064"/>
      <c r="J130" s="1064"/>
      <c r="K130" s="1064"/>
      <c r="L130" s="1064"/>
      <c r="M130" s="1064"/>
      <c r="N130" s="1065"/>
    </row>
    <row r="131" spans="1:14" x14ac:dyDescent="0.35">
      <c r="A131" s="964"/>
      <c r="B131" s="400" t="s">
        <v>912</v>
      </c>
      <c r="C131" s="1044">
        <v>2853.383478750352</v>
      </c>
      <c r="D131" s="1044">
        <v>2219.1687306501549</v>
      </c>
      <c r="E131" s="1044">
        <v>5072.5522094005064</v>
      </c>
      <c r="F131" s="1044">
        <v>5028.971432592175</v>
      </c>
      <c r="G131" s="1044">
        <v>4288.3647621728114</v>
      </c>
      <c r="H131" s="1044">
        <v>9317.3361947649864</v>
      </c>
      <c r="I131" s="1044">
        <v>47.464396284829718</v>
      </c>
      <c r="J131" s="1044">
        <v>31.294117647058819</v>
      </c>
      <c r="K131" s="1044">
        <v>78.758513931888544</v>
      </c>
      <c r="L131" s="1044">
        <v>669.29862088376012</v>
      </c>
      <c r="M131" s="1044">
        <v>438.24866310160428</v>
      </c>
      <c r="N131" s="1045">
        <v>1107.5472839853639</v>
      </c>
    </row>
    <row r="132" spans="1:14" x14ac:dyDescent="0.35">
      <c r="A132" s="964"/>
      <c r="B132" s="395" t="s">
        <v>911</v>
      </c>
      <c r="C132" s="1040">
        <v>964</v>
      </c>
      <c r="D132" s="1040">
        <v>1000</v>
      </c>
      <c r="E132" s="1040">
        <v>1964</v>
      </c>
      <c r="F132" s="1040">
        <v>1080</v>
      </c>
      <c r="G132" s="1040">
        <v>2702</v>
      </c>
      <c r="H132" s="1040">
        <v>3782</v>
      </c>
      <c r="I132" s="1040">
        <v>85</v>
      </c>
      <c r="J132" s="1040">
        <v>91</v>
      </c>
      <c r="K132" s="1040">
        <v>176</v>
      </c>
      <c r="L132" s="1040">
        <v>133</v>
      </c>
      <c r="M132" s="1040">
        <v>62</v>
      </c>
      <c r="N132" s="1040">
        <v>195</v>
      </c>
    </row>
    <row r="133" spans="1:14" x14ac:dyDescent="0.35">
      <c r="A133" s="964"/>
      <c r="B133" s="395" t="s">
        <v>910</v>
      </c>
      <c r="C133" s="1041">
        <v>1904</v>
      </c>
      <c r="D133" s="1041">
        <v>2526</v>
      </c>
      <c r="E133" s="1041">
        <v>4430</v>
      </c>
      <c r="F133" s="1041">
        <v>2519</v>
      </c>
      <c r="G133" s="1041">
        <v>2630</v>
      </c>
      <c r="H133" s="1041">
        <v>5149</v>
      </c>
      <c r="I133" s="1041">
        <v>123</v>
      </c>
      <c r="J133" s="1041">
        <v>110</v>
      </c>
      <c r="K133" s="1041">
        <v>233</v>
      </c>
      <c r="L133" s="1040">
        <v>115</v>
      </c>
      <c r="M133" s="1040">
        <v>59</v>
      </c>
      <c r="N133" s="1040">
        <v>174</v>
      </c>
    </row>
    <row r="134" spans="1:14" x14ac:dyDescent="0.35">
      <c r="A134" s="964"/>
      <c r="B134" s="395" t="s">
        <v>909</v>
      </c>
      <c r="C134" s="1041">
        <v>3380</v>
      </c>
      <c r="D134" s="1041">
        <v>3099</v>
      </c>
      <c r="E134" s="1041">
        <v>6479</v>
      </c>
      <c r="F134" s="1041">
        <v>1977</v>
      </c>
      <c r="G134" s="1041">
        <v>2409</v>
      </c>
      <c r="H134" s="1041">
        <v>4386</v>
      </c>
      <c r="I134" s="1041">
        <v>88</v>
      </c>
      <c r="J134" s="1041">
        <v>80</v>
      </c>
      <c r="K134" s="1041">
        <v>168</v>
      </c>
      <c r="L134" s="1062"/>
      <c r="M134" s="1062"/>
      <c r="N134" s="1062"/>
    </row>
    <row r="135" spans="1:14" x14ac:dyDescent="0.35">
      <c r="A135" s="964"/>
      <c r="B135" s="395" t="s">
        <v>908</v>
      </c>
      <c r="C135" s="1041">
        <v>3047</v>
      </c>
      <c r="D135" s="1041">
        <v>2554</v>
      </c>
      <c r="E135" s="1041">
        <v>5601</v>
      </c>
      <c r="F135" s="1041">
        <v>1496</v>
      </c>
      <c r="G135" s="1041">
        <v>1623</v>
      </c>
      <c r="H135" s="1041">
        <v>3119</v>
      </c>
      <c r="I135" s="1041">
        <v>81</v>
      </c>
      <c r="J135" s="1041">
        <v>48</v>
      </c>
      <c r="K135" s="1041">
        <v>129</v>
      </c>
      <c r="L135" s="1062"/>
      <c r="M135" s="1062"/>
      <c r="N135" s="1062"/>
    </row>
    <row r="136" spans="1:14" x14ac:dyDescent="0.35">
      <c r="A136" s="963">
        <v>22</v>
      </c>
      <c r="B136" s="506" t="s">
        <v>32</v>
      </c>
      <c r="C136" s="1064"/>
      <c r="D136" s="1064"/>
      <c r="E136" s="1064"/>
      <c r="F136" s="1064"/>
      <c r="G136" s="1064"/>
      <c r="H136" s="1064"/>
      <c r="I136" s="1064"/>
      <c r="J136" s="1064"/>
      <c r="K136" s="1064"/>
      <c r="L136" s="1064"/>
      <c r="M136" s="1064"/>
      <c r="N136" s="1065"/>
    </row>
    <row r="137" spans="1:14" x14ac:dyDescent="0.35">
      <c r="A137" s="964"/>
      <c r="B137" s="400" t="s">
        <v>912</v>
      </c>
      <c r="C137" s="1044">
        <v>1716.393939393939</v>
      </c>
      <c r="D137" s="1044">
        <v>1239.787878787879</v>
      </c>
      <c r="E137" s="1044">
        <v>2956.181818181818</v>
      </c>
      <c r="F137" s="1044">
        <v>12180.45454545455</v>
      </c>
      <c r="G137" s="1044">
        <v>15986.21212121212</v>
      </c>
      <c r="H137" s="1044">
        <v>28166.666666666672</v>
      </c>
      <c r="I137" s="1044">
        <v>567.27272727272725</v>
      </c>
      <c r="J137" s="1044">
        <v>529.030303030303</v>
      </c>
      <c r="K137" s="1044">
        <v>1096.30303030303</v>
      </c>
      <c r="L137" s="1044">
        <v>599.12121212121212</v>
      </c>
      <c r="M137" s="1044">
        <v>506.36363636363637</v>
      </c>
      <c r="N137" s="1045">
        <v>1105.484848484848</v>
      </c>
    </row>
    <row r="138" spans="1:14" x14ac:dyDescent="0.35">
      <c r="A138" s="964"/>
      <c r="B138" s="395" t="s">
        <v>911</v>
      </c>
      <c r="C138" s="1040">
        <v>1324</v>
      </c>
      <c r="D138" s="1040">
        <v>795</v>
      </c>
      <c r="E138" s="1040">
        <v>2119</v>
      </c>
      <c r="F138" s="1040">
        <v>6253</v>
      </c>
      <c r="G138" s="1040">
        <v>8492</v>
      </c>
      <c r="H138" s="1040">
        <v>14745</v>
      </c>
      <c r="I138" s="1040">
        <v>477</v>
      </c>
      <c r="J138" s="1040">
        <v>588</v>
      </c>
      <c r="K138" s="1040">
        <v>1065</v>
      </c>
      <c r="L138" s="1040">
        <v>240</v>
      </c>
      <c r="M138" s="1040">
        <v>214</v>
      </c>
      <c r="N138" s="1040">
        <v>454</v>
      </c>
    </row>
    <row r="139" spans="1:14" x14ac:dyDescent="0.35">
      <c r="A139" s="964"/>
      <c r="B139" s="395" t="s">
        <v>910</v>
      </c>
      <c r="C139" s="1041">
        <v>1150</v>
      </c>
      <c r="D139" s="1041">
        <v>912</v>
      </c>
      <c r="E139" s="1041">
        <v>2062</v>
      </c>
      <c r="F139" s="1041">
        <v>13119</v>
      </c>
      <c r="G139" s="1041">
        <v>17005</v>
      </c>
      <c r="H139" s="1041">
        <v>30124</v>
      </c>
      <c r="I139" s="1041">
        <v>188</v>
      </c>
      <c r="J139" s="1041">
        <v>139</v>
      </c>
      <c r="K139" s="1041">
        <v>327</v>
      </c>
      <c r="L139" s="1040">
        <v>207</v>
      </c>
      <c r="M139" s="1040">
        <v>136</v>
      </c>
      <c r="N139" s="1040">
        <v>343</v>
      </c>
    </row>
    <row r="140" spans="1:14" x14ac:dyDescent="0.35">
      <c r="A140" s="964"/>
      <c r="B140" s="395" t="s">
        <v>909</v>
      </c>
      <c r="C140" s="1041">
        <v>1177</v>
      </c>
      <c r="D140" s="1041">
        <v>901</v>
      </c>
      <c r="E140" s="1041">
        <v>2078</v>
      </c>
      <c r="F140" s="1041">
        <v>10928</v>
      </c>
      <c r="G140" s="1041">
        <v>13402</v>
      </c>
      <c r="H140" s="1041">
        <v>24330</v>
      </c>
      <c r="I140" s="1041">
        <v>204</v>
      </c>
      <c r="J140" s="1041">
        <v>163</v>
      </c>
      <c r="K140" s="1041">
        <v>367</v>
      </c>
      <c r="L140" s="1062"/>
      <c r="M140" s="1062"/>
      <c r="N140" s="1062"/>
    </row>
    <row r="141" spans="1:14" x14ac:dyDescent="0.35">
      <c r="A141" s="964"/>
      <c r="B141" s="395" t="s">
        <v>908</v>
      </c>
      <c r="C141" s="1041">
        <v>1318</v>
      </c>
      <c r="D141" s="1041">
        <v>934</v>
      </c>
      <c r="E141" s="1041">
        <v>2252</v>
      </c>
      <c r="F141" s="1041">
        <v>10694</v>
      </c>
      <c r="G141" s="1041">
        <v>13278</v>
      </c>
      <c r="H141" s="1041">
        <v>23972</v>
      </c>
      <c r="I141" s="1041">
        <v>110</v>
      </c>
      <c r="J141" s="1041">
        <v>182</v>
      </c>
      <c r="K141" s="1041">
        <v>292</v>
      </c>
      <c r="L141" s="1062"/>
      <c r="M141" s="1062"/>
      <c r="N141" s="1062"/>
    </row>
    <row r="142" spans="1:14" x14ac:dyDescent="0.35">
      <c r="A142" s="963">
        <v>23</v>
      </c>
      <c r="B142" s="506" t="s">
        <v>33</v>
      </c>
      <c r="C142" s="1064"/>
      <c r="D142" s="1064"/>
      <c r="E142" s="1064"/>
      <c r="F142" s="1064"/>
      <c r="G142" s="1064"/>
      <c r="H142" s="1064"/>
      <c r="I142" s="1064"/>
      <c r="J142" s="1064"/>
      <c r="K142" s="1064"/>
      <c r="L142" s="1064"/>
      <c r="M142" s="1064"/>
      <c r="N142" s="1065"/>
    </row>
    <row r="143" spans="1:14" x14ac:dyDescent="0.35">
      <c r="A143" s="964"/>
      <c r="B143" s="400" t="s">
        <v>912</v>
      </c>
      <c r="C143" s="1044">
        <v>54</v>
      </c>
      <c r="D143" s="1044">
        <v>26</v>
      </c>
      <c r="E143" s="1044">
        <v>80</v>
      </c>
      <c r="F143" s="1044">
        <v>12251</v>
      </c>
      <c r="G143" s="1044">
        <v>12379</v>
      </c>
      <c r="H143" s="1044">
        <v>24630</v>
      </c>
      <c r="I143" s="1044">
        <v>39</v>
      </c>
      <c r="J143" s="1044">
        <v>44</v>
      </c>
      <c r="K143" s="1044">
        <v>83</v>
      </c>
      <c r="L143" s="1044">
        <v>59</v>
      </c>
      <c r="M143" s="1044">
        <v>51</v>
      </c>
      <c r="N143" s="1045">
        <v>110</v>
      </c>
    </row>
    <row r="144" spans="1:14" x14ac:dyDescent="0.35">
      <c r="A144" s="964"/>
      <c r="B144" s="395" t="s">
        <v>911</v>
      </c>
      <c r="C144" s="1040">
        <v>77</v>
      </c>
      <c r="D144" s="1040">
        <v>53</v>
      </c>
      <c r="E144" s="1040">
        <v>130</v>
      </c>
      <c r="F144" s="1040">
        <v>9504</v>
      </c>
      <c r="G144" s="1040">
        <v>9709</v>
      </c>
      <c r="H144" s="1040">
        <v>19213</v>
      </c>
      <c r="I144" s="1040">
        <v>14</v>
      </c>
      <c r="J144" s="1040">
        <v>17</v>
      </c>
      <c r="K144" s="1040">
        <v>31</v>
      </c>
      <c r="L144" s="1040">
        <v>62</v>
      </c>
      <c r="M144" s="1040">
        <v>37</v>
      </c>
      <c r="N144" s="1040">
        <v>99</v>
      </c>
    </row>
    <row r="145" spans="1:14" x14ac:dyDescent="0.35">
      <c r="A145" s="964"/>
      <c r="B145" s="395" t="s">
        <v>910</v>
      </c>
      <c r="C145" s="1041">
        <v>50</v>
      </c>
      <c r="D145" s="1041">
        <v>28</v>
      </c>
      <c r="E145" s="1041">
        <v>78</v>
      </c>
      <c r="F145" s="1041">
        <v>9747</v>
      </c>
      <c r="G145" s="1041">
        <v>10304</v>
      </c>
      <c r="H145" s="1041">
        <v>20051</v>
      </c>
      <c r="I145" s="1041">
        <v>14</v>
      </c>
      <c r="J145" s="1041">
        <v>13</v>
      </c>
      <c r="K145" s="1041">
        <v>27</v>
      </c>
      <c r="L145" s="1040">
        <v>18</v>
      </c>
      <c r="M145" s="1040">
        <v>8</v>
      </c>
      <c r="N145" s="1040">
        <v>26</v>
      </c>
    </row>
    <row r="146" spans="1:14" x14ac:dyDescent="0.35">
      <c r="A146" s="964"/>
      <c r="B146" s="395" t="s">
        <v>909</v>
      </c>
      <c r="C146" s="1041">
        <v>48</v>
      </c>
      <c r="D146" s="1041">
        <v>22</v>
      </c>
      <c r="E146" s="1041">
        <v>70</v>
      </c>
      <c r="F146" s="1041">
        <v>8560</v>
      </c>
      <c r="G146" s="1041">
        <v>8270</v>
      </c>
      <c r="H146" s="1041">
        <v>16830</v>
      </c>
      <c r="I146" s="1041">
        <v>15</v>
      </c>
      <c r="J146" s="1041">
        <v>8</v>
      </c>
      <c r="K146" s="1041">
        <v>23</v>
      </c>
      <c r="L146" s="1062"/>
      <c r="M146" s="1062"/>
      <c r="N146" s="1062"/>
    </row>
    <row r="147" spans="1:14" x14ac:dyDescent="0.35">
      <c r="A147" s="964"/>
      <c r="B147" s="395" t="s">
        <v>908</v>
      </c>
      <c r="C147" s="1041">
        <v>54</v>
      </c>
      <c r="D147" s="1041">
        <v>29</v>
      </c>
      <c r="E147" s="1041">
        <v>83</v>
      </c>
      <c r="F147" s="1041">
        <v>9675</v>
      </c>
      <c r="G147" s="1041">
        <v>8980</v>
      </c>
      <c r="H147" s="1041">
        <v>18655</v>
      </c>
      <c r="I147" s="1041">
        <v>12</v>
      </c>
      <c r="J147" s="1041">
        <v>14</v>
      </c>
      <c r="K147" s="1041">
        <v>26</v>
      </c>
      <c r="L147" s="1062"/>
      <c r="M147" s="1062"/>
      <c r="N147" s="1062"/>
    </row>
    <row r="148" spans="1:14" x14ac:dyDescent="0.35">
      <c r="A148" s="963">
        <v>24</v>
      </c>
      <c r="B148" s="506" t="s">
        <v>34</v>
      </c>
      <c r="C148" s="1064"/>
      <c r="D148" s="1064"/>
      <c r="E148" s="1064"/>
      <c r="F148" s="1064"/>
      <c r="G148" s="1064"/>
      <c r="H148" s="1064"/>
      <c r="I148" s="1064"/>
      <c r="J148" s="1064"/>
      <c r="K148" s="1064"/>
      <c r="L148" s="1064"/>
      <c r="M148" s="1064"/>
      <c r="N148" s="1065"/>
    </row>
    <row r="149" spans="1:14" x14ac:dyDescent="0.35">
      <c r="A149" s="964"/>
      <c r="B149" s="400" t="s">
        <v>912</v>
      </c>
      <c r="C149" s="1044">
        <v>107</v>
      </c>
      <c r="D149" s="1044">
        <v>134</v>
      </c>
      <c r="E149" s="1044">
        <v>241</v>
      </c>
      <c r="F149" s="1044">
        <v>10265</v>
      </c>
      <c r="G149" s="1044">
        <v>12548</v>
      </c>
      <c r="H149" s="1044">
        <v>22813</v>
      </c>
      <c r="I149" s="1044">
        <v>11</v>
      </c>
      <c r="J149" s="1044">
        <v>4</v>
      </c>
      <c r="K149" s="1044">
        <v>15</v>
      </c>
      <c r="L149" s="1044">
        <v>93</v>
      </c>
      <c r="M149" s="1044">
        <v>256</v>
      </c>
      <c r="N149" s="1045">
        <v>349</v>
      </c>
    </row>
    <row r="150" spans="1:14" x14ac:dyDescent="0.35">
      <c r="A150" s="964"/>
      <c r="B150" s="395" t="s">
        <v>911</v>
      </c>
      <c r="C150" s="1040">
        <v>112</v>
      </c>
      <c r="D150" s="1040">
        <v>141</v>
      </c>
      <c r="E150" s="1040">
        <v>253</v>
      </c>
      <c r="F150" s="1040">
        <v>8303</v>
      </c>
      <c r="G150" s="1040">
        <v>9698</v>
      </c>
      <c r="H150" s="1040">
        <v>18001</v>
      </c>
      <c r="I150" s="1040">
        <v>14</v>
      </c>
      <c r="J150" s="1040">
        <v>7</v>
      </c>
      <c r="K150" s="1040">
        <v>21</v>
      </c>
      <c r="L150" s="1040">
        <v>43</v>
      </c>
      <c r="M150" s="1040">
        <v>260</v>
      </c>
      <c r="N150" s="1040">
        <v>303</v>
      </c>
    </row>
    <row r="151" spans="1:14" x14ac:dyDescent="0.35">
      <c r="A151" s="964"/>
      <c r="B151" s="395" t="s">
        <v>910</v>
      </c>
      <c r="C151" s="1041">
        <v>113</v>
      </c>
      <c r="D151" s="1041">
        <v>144</v>
      </c>
      <c r="E151" s="1041">
        <v>257</v>
      </c>
      <c r="F151" s="1041">
        <v>4719</v>
      </c>
      <c r="G151" s="1041">
        <v>6615</v>
      </c>
      <c r="H151" s="1041">
        <v>11334</v>
      </c>
      <c r="I151" s="1041">
        <v>3</v>
      </c>
      <c r="J151" s="1041">
        <v>5</v>
      </c>
      <c r="K151" s="1041">
        <v>8</v>
      </c>
      <c r="L151" s="1041">
        <v>173</v>
      </c>
      <c r="M151" s="1041">
        <v>60</v>
      </c>
      <c r="N151" s="1041">
        <v>233</v>
      </c>
    </row>
    <row r="152" spans="1:14" x14ac:dyDescent="0.35">
      <c r="A152" s="964"/>
      <c r="B152" s="395" t="s">
        <v>909</v>
      </c>
      <c r="C152" s="1041">
        <v>100</v>
      </c>
      <c r="D152" s="1041">
        <v>112</v>
      </c>
      <c r="E152" s="1041">
        <v>212</v>
      </c>
      <c r="F152" s="1041">
        <v>7118</v>
      </c>
      <c r="G152" s="1041">
        <v>8878</v>
      </c>
      <c r="H152" s="1041">
        <v>15996</v>
      </c>
      <c r="I152" s="1041">
        <v>17</v>
      </c>
      <c r="J152" s="1041">
        <v>19</v>
      </c>
      <c r="K152" s="1041">
        <v>36</v>
      </c>
      <c r="L152" s="1062"/>
      <c r="M152" s="1062"/>
      <c r="N152" s="1062"/>
    </row>
    <row r="153" spans="1:14" x14ac:dyDescent="0.35">
      <c r="A153" s="964"/>
      <c r="B153" s="395" t="s">
        <v>908</v>
      </c>
      <c r="C153" s="1041">
        <v>89</v>
      </c>
      <c r="D153" s="1041">
        <v>115</v>
      </c>
      <c r="E153" s="1041">
        <v>204</v>
      </c>
      <c r="F153" s="1041">
        <v>8214</v>
      </c>
      <c r="G153" s="1041">
        <v>10155</v>
      </c>
      <c r="H153" s="1041">
        <v>18369</v>
      </c>
      <c r="I153" s="1041">
        <v>9</v>
      </c>
      <c r="J153" s="1041">
        <v>15</v>
      </c>
      <c r="K153" s="1041">
        <v>24</v>
      </c>
      <c r="L153" s="1062"/>
      <c r="M153" s="1062"/>
      <c r="N153" s="1062"/>
    </row>
    <row r="154" spans="1:14" x14ac:dyDescent="0.35">
      <c r="A154" s="963">
        <v>25</v>
      </c>
      <c r="B154" s="506" t="s">
        <v>35</v>
      </c>
      <c r="C154" s="1064"/>
      <c r="D154" s="1064"/>
      <c r="E154" s="1064"/>
      <c r="F154" s="1064"/>
      <c r="G154" s="1064"/>
      <c r="H154" s="1064"/>
      <c r="I154" s="1064"/>
      <c r="J154" s="1064"/>
      <c r="K154" s="1064"/>
      <c r="L154" s="1064"/>
      <c r="M154" s="1064"/>
      <c r="N154" s="1065"/>
    </row>
    <row r="155" spans="1:14" x14ac:dyDescent="0.35">
      <c r="A155" s="964"/>
      <c r="B155" s="400" t="s">
        <v>912</v>
      </c>
      <c r="C155" s="1044">
        <v>4742</v>
      </c>
      <c r="D155" s="1044">
        <v>4477</v>
      </c>
      <c r="E155" s="1044">
        <v>9219</v>
      </c>
      <c r="F155" s="1044">
        <v>1753</v>
      </c>
      <c r="G155" s="1044">
        <v>2376</v>
      </c>
      <c r="H155" s="1044">
        <v>4129</v>
      </c>
      <c r="I155" s="1044">
        <v>1065</v>
      </c>
      <c r="J155" s="1044">
        <v>815</v>
      </c>
      <c r="K155" s="1044">
        <v>1880</v>
      </c>
      <c r="L155" s="1044">
        <v>9254</v>
      </c>
      <c r="M155" s="1044">
        <v>8049</v>
      </c>
      <c r="N155" s="1045">
        <v>17303</v>
      </c>
    </row>
    <row r="156" spans="1:14" x14ac:dyDescent="0.35">
      <c r="A156" s="964"/>
      <c r="B156" s="395" t="s">
        <v>911</v>
      </c>
      <c r="C156" s="1040">
        <v>4412</v>
      </c>
      <c r="D156" s="1040">
        <v>4097</v>
      </c>
      <c r="E156" s="1040">
        <v>8509</v>
      </c>
      <c r="F156" s="1040">
        <v>2468</v>
      </c>
      <c r="G156" s="1040">
        <v>2478</v>
      </c>
      <c r="H156" s="1040">
        <v>4946</v>
      </c>
      <c r="I156" s="1040">
        <v>1214</v>
      </c>
      <c r="J156" s="1040">
        <v>806</v>
      </c>
      <c r="K156" s="1040">
        <v>2020</v>
      </c>
      <c r="L156" s="1040">
        <v>13816</v>
      </c>
      <c r="M156" s="1040">
        <v>9796</v>
      </c>
      <c r="N156" s="1040">
        <v>23612</v>
      </c>
    </row>
    <row r="157" spans="1:14" x14ac:dyDescent="0.35">
      <c r="A157" s="964"/>
      <c r="B157" s="395" t="s">
        <v>910</v>
      </c>
      <c r="C157" s="1041">
        <v>4728</v>
      </c>
      <c r="D157" s="1041">
        <v>3759</v>
      </c>
      <c r="E157" s="1041">
        <v>8487</v>
      </c>
      <c r="F157" s="1041">
        <v>1562</v>
      </c>
      <c r="G157" s="1041">
        <v>1548</v>
      </c>
      <c r="H157" s="1041">
        <v>3110</v>
      </c>
      <c r="I157" s="1041">
        <v>1041</v>
      </c>
      <c r="J157" s="1041">
        <v>693</v>
      </c>
      <c r="K157" s="1041">
        <v>1734</v>
      </c>
      <c r="L157" s="1040">
        <v>7257</v>
      </c>
      <c r="M157" s="1040">
        <v>7991</v>
      </c>
      <c r="N157" s="1040">
        <v>15248</v>
      </c>
    </row>
    <row r="158" spans="1:14" x14ac:dyDescent="0.35">
      <c r="A158" s="964"/>
      <c r="B158" s="395" t="s">
        <v>909</v>
      </c>
      <c r="C158" s="1041">
        <v>5614</v>
      </c>
      <c r="D158" s="1041">
        <v>4232</v>
      </c>
      <c r="E158" s="1041">
        <v>9846</v>
      </c>
      <c r="F158" s="1041">
        <v>1641</v>
      </c>
      <c r="G158" s="1041">
        <v>1918</v>
      </c>
      <c r="H158" s="1041">
        <v>3559</v>
      </c>
      <c r="I158" s="1041">
        <v>1358</v>
      </c>
      <c r="J158" s="1041">
        <v>736</v>
      </c>
      <c r="K158" s="1041">
        <v>2094</v>
      </c>
      <c r="L158" s="1062"/>
      <c r="M158" s="1062"/>
      <c r="N158" s="1062"/>
    </row>
    <row r="159" spans="1:14" x14ac:dyDescent="0.35">
      <c r="A159" s="964"/>
      <c r="B159" s="395" t="s">
        <v>908</v>
      </c>
      <c r="C159" s="1041">
        <v>5741</v>
      </c>
      <c r="D159" s="1041">
        <v>4600</v>
      </c>
      <c r="E159" s="1041">
        <v>10341</v>
      </c>
      <c r="F159" s="1041">
        <v>1779</v>
      </c>
      <c r="G159" s="1041">
        <v>1831</v>
      </c>
      <c r="H159" s="1041">
        <v>3610</v>
      </c>
      <c r="I159" s="1041">
        <v>1158</v>
      </c>
      <c r="J159" s="1041">
        <v>803</v>
      </c>
      <c r="K159" s="1041">
        <v>1961</v>
      </c>
      <c r="L159" s="1062"/>
      <c r="M159" s="1062"/>
      <c r="N159" s="1062"/>
    </row>
    <row r="160" spans="1:14" x14ac:dyDescent="0.35">
      <c r="A160" s="963">
        <v>26</v>
      </c>
      <c r="B160" s="506" t="s">
        <v>36</v>
      </c>
      <c r="C160" s="1064"/>
      <c r="D160" s="1064"/>
      <c r="E160" s="1064"/>
      <c r="F160" s="1064"/>
      <c r="G160" s="1064"/>
      <c r="H160" s="1064"/>
      <c r="I160" s="1064"/>
      <c r="J160" s="1064"/>
      <c r="K160" s="1064"/>
      <c r="L160" s="1064"/>
      <c r="M160" s="1064"/>
      <c r="N160" s="1065"/>
    </row>
    <row r="161" spans="1:14" x14ac:dyDescent="0.35">
      <c r="A161" s="964"/>
      <c r="B161" s="400" t="s">
        <v>912</v>
      </c>
      <c r="C161" s="1044">
        <v>1554.435964912281</v>
      </c>
      <c r="D161" s="1044">
        <v>1853.863157894737</v>
      </c>
      <c r="E161" s="1044">
        <v>3408.2991228070182</v>
      </c>
      <c r="F161" s="1044">
        <v>822.70701754385959</v>
      </c>
      <c r="G161" s="1044">
        <v>1891.4552631578949</v>
      </c>
      <c r="H161" s="1044">
        <v>2714.1622807017538</v>
      </c>
      <c r="I161" s="1044">
        <v>126.65526315789469</v>
      </c>
      <c r="J161" s="1044">
        <v>147.11315789473679</v>
      </c>
      <c r="K161" s="1044">
        <v>273.7684210526316</v>
      </c>
      <c r="L161" s="1044">
        <v>450.65614035087719</v>
      </c>
      <c r="M161" s="1044">
        <v>350.54035087719302</v>
      </c>
      <c r="N161" s="1045">
        <v>801.19649122807016</v>
      </c>
    </row>
    <row r="162" spans="1:14" x14ac:dyDescent="0.35">
      <c r="A162" s="964"/>
      <c r="B162" s="395" t="s">
        <v>911</v>
      </c>
      <c r="C162" s="1040">
        <v>1565</v>
      </c>
      <c r="D162" s="1040">
        <v>1705</v>
      </c>
      <c r="E162" s="1040">
        <v>3270</v>
      </c>
      <c r="F162" s="1040">
        <v>1035</v>
      </c>
      <c r="G162" s="1040">
        <v>2012</v>
      </c>
      <c r="H162" s="1040">
        <v>3047</v>
      </c>
      <c r="I162" s="1040">
        <v>94</v>
      </c>
      <c r="J162" s="1040">
        <v>193</v>
      </c>
      <c r="K162" s="1040">
        <v>287</v>
      </c>
      <c r="L162" s="1040">
        <v>233</v>
      </c>
      <c r="M162" s="1040">
        <v>150</v>
      </c>
      <c r="N162" s="1040">
        <v>383</v>
      </c>
    </row>
    <row r="163" spans="1:14" x14ac:dyDescent="0.35">
      <c r="A163" s="964"/>
      <c r="B163" s="395" t="s">
        <v>910</v>
      </c>
      <c r="C163" s="1041">
        <v>1202</v>
      </c>
      <c r="D163" s="1041">
        <v>1139</v>
      </c>
      <c r="E163" s="1041">
        <v>2341</v>
      </c>
      <c r="F163" s="1041">
        <v>851</v>
      </c>
      <c r="G163" s="1041">
        <v>1866</v>
      </c>
      <c r="H163" s="1041">
        <v>2717</v>
      </c>
      <c r="I163" s="1041">
        <v>120</v>
      </c>
      <c r="J163" s="1041">
        <v>202</v>
      </c>
      <c r="K163" s="1041">
        <v>322</v>
      </c>
      <c r="L163" s="1041">
        <v>176</v>
      </c>
      <c r="M163" s="1041">
        <v>122</v>
      </c>
      <c r="N163" s="1041">
        <v>298</v>
      </c>
    </row>
    <row r="164" spans="1:14" x14ac:dyDescent="0.35">
      <c r="A164" s="964"/>
      <c r="B164" s="395" t="s">
        <v>909</v>
      </c>
      <c r="C164" s="1041">
        <v>1637</v>
      </c>
      <c r="D164" s="1041">
        <v>1489</v>
      </c>
      <c r="E164" s="1041">
        <v>3126</v>
      </c>
      <c r="F164" s="1041">
        <v>1013</v>
      </c>
      <c r="G164" s="1041">
        <v>2025</v>
      </c>
      <c r="H164" s="1041">
        <v>3038</v>
      </c>
      <c r="I164" s="1041">
        <v>131</v>
      </c>
      <c r="J164" s="1041">
        <v>154</v>
      </c>
      <c r="K164" s="1041">
        <v>285</v>
      </c>
      <c r="L164" s="1062"/>
      <c r="M164" s="1062"/>
      <c r="N164" s="1062"/>
    </row>
    <row r="165" spans="1:14" x14ac:dyDescent="0.35">
      <c r="A165" s="964"/>
      <c r="B165" s="395" t="s">
        <v>908</v>
      </c>
      <c r="C165" s="1041">
        <v>1456</v>
      </c>
      <c r="D165" s="1041">
        <v>1197</v>
      </c>
      <c r="E165" s="1041">
        <v>2653</v>
      </c>
      <c r="F165" s="1041">
        <v>950</v>
      </c>
      <c r="G165" s="1041">
        <v>1894</v>
      </c>
      <c r="H165" s="1041">
        <v>2844</v>
      </c>
      <c r="I165" s="1041">
        <v>158</v>
      </c>
      <c r="J165" s="1041">
        <v>99</v>
      </c>
      <c r="K165" s="1041">
        <v>257</v>
      </c>
      <c r="L165" s="1062"/>
      <c r="M165" s="1062"/>
      <c r="N165" s="1062"/>
    </row>
    <row r="166" spans="1:14" x14ac:dyDescent="0.35">
      <c r="A166" s="963">
        <v>27</v>
      </c>
      <c r="B166" s="506" t="s">
        <v>37</v>
      </c>
      <c r="C166" s="1064"/>
      <c r="D166" s="1064"/>
      <c r="E166" s="1064"/>
      <c r="F166" s="1064"/>
      <c r="G166" s="1064"/>
      <c r="H166" s="1064"/>
      <c r="I166" s="1064"/>
      <c r="J166" s="1064"/>
      <c r="K166" s="1064"/>
      <c r="L166" s="1064"/>
      <c r="M166" s="1064"/>
      <c r="N166" s="1065"/>
    </row>
    <row r="167" spans="1:14" x14ac:dyDescent="0.35">
      <c r="A167" s="964"/>
      <c r="B167" s="400" t="s">
        <v>912</v>
      </c>
      <c r="C167" s="1044">
        <v>14102.04347826087</v>
      </c>
      <c r="D167" s="1044">
        <v>6640.086956521739</v>
      </c>
      <c r="E167" s="1044">
        <v>20742.130434782612</v>
      </c>
      <c r="F167" s="1044">
        <v>65424.72463768116</v>
      </c>
      <c r="G167" s="1044">
        <v>77176.268115942032</v>
      </c>
      <c r="H167" s="1044">
        <v>142600.9927536232</v>
      </c>
      <c r="I167" s="1044">
        <v>759.04347826086962</v>
      </c>
      <c r="J167" s="1044">
        <v>397.04347826086962</v>
      </c>
      <c r="K167" s="1044">
        <v>1156.086956521739</v>
      </c>
      <c r="L167" s="1044">
        <v>8171.130434782609</v>
      </c>
      <c r="M167" s="1044">
        <v>6279.130434782609</v>
      </c>
      <c r="N167" s="1045">
        <v>14450.26086956522</v>
      </c>
    </row>
    <row r="168" spans="1:14" x14ac:dyDescent="0.35">
      <c r="A168" s="964"/>
      <c r="B168" s="395" t="s">
        <v>911</v>
      </c>
      <c r="C168" s="1040">
        <v>14277</v>
      </c>
      <c r="D168" s="1040">
        <v>5640</v>
      </c>
      <c r="E168" s="1040">
        <v>19917</v>
      </c>
      <c r="F168" s="1040">
        <v>60736</v>
      </c>
      <c r="G168" s="1040">
        <v>69745</v>
      </c>
      <c r="H168" s="1040">
        <v>130481</v>
      </c>
      <c r="I168" s="1040">
        <v>599</v>
      </c>
      <c r="J168" s="1040">
        <v>468</v>
      </c>
      <c r="K168" s="1040">
        <v>1067</v>
      </c>
      <c r="L168" s="1040">
        <v>6712</v>
      </c>
      <c r="M168" s="1040">
        <v>5732</v>
      </c>
      <c r="N168" s="1040">
        <v>12444</v>
      </c>
    </row>
    <row r="169" spans="1:14" x14ac:dyDescent="0.35">
      <c r="A169" s="964"/>
      <c r="B169" s="395" t="s">
        <v>910</v>
      </c>
      <c r="C169" s="1041">
        <v>11803</v>
      </c>
      <c r="D169" s="1041">
        <v>4682</v>
      </c>
      <c r="E169" s="1041">
        <v>16485</v>
      </c>
      <c r="F169" s="1041">
        <v>53417</v>
      </c>
      <c r="G169" s="1041">
        <v>65836</v>
      </c>
      <c r="H169" s="1041">
        <v>119253</v>
      </c>
      <c r="I169" s="1041">
        <v>318</v>
      </c>
      <c r="J169" s="1041">
        <v>255</v>
      </c>
      <c r="K169" s="1041">
        <v>573</v>
      </c>
      <c r="L169" s="1041">
        <v>5937</v>
      </c>
      <c r="M169" s="1041">
        <v>3337</v>
      </c>
      <c r="N169" s="1041">
        <v>9274</v>
      </c>
    </row>
    <row r="170" spans="1:14" x14ac:dyDescent="0.35">
      <c r="A170" s="964"/>
      <c r="B170" s="395" t="s">
        <v>909</v>
      </c>
      <c r="C170" s="1041">
        <v>9558</v>
      </c>
      <c r="D170" s="1041">
        <v>4226</v>
      </c>
      <c r="E170" s="1041">
        <v>13784</v>
      </c>
      <c r="F170" s="1041">
        <v>65018</v>
      </c>
      <c r="G170" s="1041">
        <v>77450</v>
      </c>
      <c r="H170" s="1041">
        <v>142468</v>
      </c>
      <c r="I170" s="1041">
        <v>427</v>
      </c>
      <c r="J170" s="1041">
        <v>311</v>
      </c>
      <c r="K170" s="1041">
        <v>738</v>
      </c>
      <c r="L170" s="1062"/>
      <c r="M170" s="1062"/>
      <c r="N170" s="1062"/>
    </row>
    <row r="171" spans="1:14" x14ac:dyDescent="0.35">
      <c r="A171" s="964"/>
      <c r="B171" s="395" t="s">
        <v>908</v>
      </c>
      <c r="C171" s="1041">
        <v>7526</v>
      </c>
      <c r="D171" s="1041">
        <v>3308</v>
      </c>
      <c r="E171" s="1041">
        <v>10834</v>
      </c>
      <c r="F171" s="1041">
        <v>68769</v>
      </c>
      <c r="G171" s="1041">
        <v>88929</v>
      </c>
      <c r="H171" s="1041">
        <v>157698</v>
      </c>
      <c r="I171" s="1041">
        <v>559</v>
      </c>
      <c r="J171" s="1041">
        <v>523</v>
      </c>
      <c r="K171" s="1041">
        <v>1082</v>
      </c>
      <c r="L171" s="1062"/>
      <c r="M171" s="1062"/>
      <c r="N171" s="1062"/>
    </row>
    <row r="172" spans="1:14" x14ac:dyDescent="0.35">
      <c r="A172" s="963">
        <v>28</v>
      </c>
      <c r="B172" s="506" t="s">
        <v>38</v>
      </c>
      <c r="C172" s="1064"/>
      <c r="D172" s="1064"/>
      <c r="E172" s="1064"/>
      <c r="F172" s="1064"/>
      <c r="G172" s="1064"/>
      <c r="H172" s="1064"/>
      <c r="I172" s="1064"/>
      <c r="J172" s="1064"/>
      <c r="K172" s="1064"/>
      <c r="L172" s="1064"/>
      <c r="M172" s="1064"/>
      <c r="N172" s="1065"/>
    </row>
    <row r="173" spans="1:14" x14ac:dyDescent="0.35">
      <c r="A173" s="964"/>
      <c r="B173" s="400" t="s">
        <v>912</v>
      </c>
      <c r="C173" s="1044">
        <v>24939.602585027889</v>
      </c>
      <c r="D173" s="1044">
        <v>20684.07973312938</v>
      </c>
      <c r="E173" s="1044">
        <v>45623.682318157269</v>
      </c>
      <c r="F173" s="1044">
        <v>12334.270878827479</v>
      </c>
      <c r="G173" s="1044">
        <v>11531.61566333987</v>
      </c>
      <c r="H173" s="1044">
        <v>23865.886542167362</v>
      </c>
      <c r="I173" s="1044">
        <v>3479.7929601983128</v>
      </c>
      <c r="J173" s="1044">
        <v>1336.081797760839</v>
      </c>
      <c r="K173" s="1044">
        <v>4815.8747579591518</v>
      </c>
      <c r="L173" s="1044">
        <v>42712.897217835118</v>
      </c>
      <c r="M173" s="1044">
        <v>41684.727387631603</v>
      </c>
      <c r="N173" s="1045">
        <v>84397.624605466714</v>
      </c>
    </row>
    <row r="174" spans="1:14" x14ac:dyDescent="0.35">
      <c r="A174" s="964"/>
      <c r="B174" s="395" t="s">
        <v>911</v>
      </c>
      <c r="C174" s="1040">
        <v>26212</v>
      </c>
      <c r="D174" s="1040">
        <v>20199</v>
      </c>
      <c r="E174" s="1040">
        <v>46411</v>
      </c>
      <c r="F174" s="1040">
        <v>9186</v>
      </c>
      <c r="G174" s="1040">
        <v>10366</v>
      </c>
      <c r="H174" s="1040">
        <v>19552</v>
      </c>
      <c r="I174" s="1040">
        <v>3563</v>
      </c>
      <c r="J174" s="1040">
        <v>1661</v>
      </c>
      <c r="K174" s="1040">
        <v>5224</v>
      </c>
      <c r="L174" s="1040">
        <v>24977</v>
      </c>
      <c r="M174" s="1040">
        <v>25717</v>
      </c>
      <c r="N174" s="1040">
        <v>50694</v>
      </c>
    </row>
    <row r="175" spans="1:14" x14ac:dyDescent="0.35">
      <c r="A175" s="964"/>
      <c r="B175" s="395" t="s">
        <v>910</v>
      </c>
      <c r="C175" s="1041">
        <v>24356</v>
      </c>
      <c r="D175" s="1041">
        <v>18634</v>
      </c>
      <c r="E175" s="1041">
        <v>42990</v>
      </c>
      <c r="F175" s="1041">
        <v>8595</v>
      </c>
      <c r="G175" s="1041">
        <v>11274</v>
      </c>
      <c r="H175" s="1041">
        <v>19869</v>
      </c>
      <c r="I175" s="1041">
        <v>4579</v>
      </c>
      <c r="J175" s="1041">
        <v>1729</v>
      </c>
      <c r="K175" s="1041">
        <v>6308</v>
      </c>
      <c r="L175" s="1041">
        <v>14756</v>
      </c>
      <c r="M175" s="1041">
        <v>13941</v>
      </c>
      <c r="N175" s="1041">
        <v>28697</v>
      </c>
    </row>
    <row r="176" spans="1:14" x14ac:dyDescent="0.35">
      <c r="A176" s="964"/>
      <c r="B176" s="395" t="s">
        <v>909</v>
      </c>
      <c r="C176" s="1041">
        <v>25128</v>
      </c>
      <c r="D176" s="1041">
        <v>19055</v>
      </c>
      <c r="E176" s="1041">
        <v>44183</v>
      </c>
      <c r="F176" s="1041">
        <v>8366</v>
      </c>
      <c r="G176" s="1041">
        <v>10998</v>
      </c>
      <c r="H176" s="1041">
        <v>19364</v>
      </c>
      <c r="I176" s="1041">
        <v>3442</v>
      </c>
      <c r="J176" s="1041">
        <v>6519</v>
      </c>
      <c r="K176" s="1041">
        <v>9961</v>
      </c>
      <c r="L176" s="1062"/>
      <c r="M176" s="1062"/>
      <c r="N176" s="1062"/>
    </row>
    <row r="177" spans="1:14" x14ac:dyDescent="0.35">
      <c r="A177" s="964"/>
      <c r="B177" s="395" t="s">
        <v>908</v>
      </c>
      <c r="C177" s="1041">
        <v>26100</v>
      </c>
      <c r="D177" s="1041">
        <v>18258</v>
      </c>
      <c r="E177" s="1041">
        <v>44358</v>
      </c>
      <c r="F177" s="1041">
        <v>7629</v>
      </c>
      <c r="G177" s="1041">
        <v>10011</v>
      </c>
      <c r="H177" s="1041">
        <v>17640</v>
      </c>
      <c r="I177" s="1041">
        <v>2848</v>
      </c>
      <c r="J177" s="1041">
        <v>1864</v>
      </c>
      <c r="K177" s="1041">
        <v>4712</v>
      </c>
      <c r="L177" s="1062"/>
      <c r="M177" s="1062"/>
      <c r="N177" s="1062"/>
    </row>
    <row r="178" spans="1:14" x14ac:dyDescent="0.35">
      <c r="A178" s="963">
        <v>29</v>
      </c>
      <c r="B178" s="506" t="s">
        <v>39</v>
      </c>
      <c r="C178" s="1064"/>
      <c r="D178" s="1064"/>
      <c r="E178" s="1064"/>
      <c r="F178" s="1064"/>
      <c r="G178" s="1064"/>
      <c r="H178" s="1064"/>
      <c r="I178" s="1064"/>
      <c r="J178" s="1064"/>
      <c r="K178" s="1064"/>
      <c r="L178" s="1064"/>
      <c r="M178" s="1064"/>
      <c r="N178" s="1065"/>
    </row>
    <row r="179" spans="1:14" x14ac:dyDescent="0.35">
      <c r="A179" s="964"/>
      <c r="B179" s="400" t="s">
        <v>912</v>
      </c>
      <c r="C179" s="1044">
        <v>108</v>
      </c>
      <c r="D179" s="1044">
        <v>60.333333333333343</v>
      </c>
      <c r="E179" s="1044">
        <v>168.33333333333329</v>
      </c>
      <c r="F179" s="1044">
        <v>1019.444444444444</v>
      </c>
      <c r="G179" s="1044">
        <v>1394.8888888888889</v>
      </c>
      <c r="H179" s="1044">
        <v>2414.333333333333</v>
      </c>
      <c r="I179" s="1044">
        <v>17</v>
      </c>
      <c r="J179" s="1044">
        <v>7</v>
      </c>
      <c r="K179" s="1044">
        <v>24</v>
      </c>
      <c r="L179" s="1044">
        <v>135</v>
      </c>
      <c r="M179" s="1044">
        <v>88</v>
      </c>
      <c r="N179" s="1045">
        <v>223</v>
      </c>
    </row>
    <row r="180" spans="1:14" x14ac:dyDescent="0.35">
      <c r="A180" s="964"/>
      <c r="B180" s="395" t="s">
        <v>911</v>
      </c>
      <c r="C180" s="1040">
        <v>111</v>
      </c>
      <c r="D180" s="1040">
        <v>51</v>
      </c>
      <c r="E180" s="1040">
        <v>162</v>
      </c>
      <c r="F180" s="1040">
        <v>889</v>
      </c>
      <c r="G180" s="1040">
        <v>1368</v>
      </c>
      <c r="H180" s="1040">
        <v>2257</v>
      </c>
      <c r="I180" s="1040">
        <v>17</v>
      </c>
      <c r="J180" s="1040">
        <v>3</v>
      </c>
      <c r="K180" s="1040">
        <v>20</v>
      </c>
      <c r="L180" s="1040">
        <v>140</v>
      </c>
      <c r="M180" s="1040">
        <v>139</v>
      </c>
      <c r="N180" s="1040">
        <v>279</v>
      </c>
    </row>
    <row r="181" spans="1:14" x14ac:dyDescent="0.35">
      <c r="A181" s="964"/>
      <c r="B181" s="395" t="s">
        <v>910</v>
      </c>
      <c r="C181" s="1041">
        <v>102</v>
      </c>
      <c r="D181" s="1041">
        <v>45</v>
      </c>
      <c r="E181" s="1041">
        <v>147</v>
      </c>
      <c r="F181" s="1041">
        <v>572</v>
      </c>
      <c r="G181" s="1041">
        <v>784</v>
      </c>
      <c r="H181" s="1041">
        <v>1356</v>
      </c>
      <c r="I181" s="1041">
        <v>7</v>
      </c>
      <c r="J181" s="1041">
        <v>1</v>
      </c>
      <c r="K181" s="1041">
        <v>8</v>
      </c>
      <c r="L181" s="1041">
        <v>46</v>
      </c>
      <c r="M181" s="1041">
        <v>41</v>
      </c>
      <c r="N181" s="1041">
        <v>87</v>
      </c>
    </row>
    <row r="182" spans="1:14" x14ac:dyDescent="0.35">
      <c r="A182" s="964"/>
      <c r="B182" s="395" t="s">
        <v>909</v>
      </c>
      <c r="C182" s="1041">
        <v>96</v>
      </c>
      <c r="D182" s="1041">
        <v>50</v>
      </c>
      <c r="E182" s="1041">
        <v>146</v>
      </c>
      <c r="F182" s="1041">
        <v>223</v>
      </c>
      <c r="G182" s="1041">
        <v>502</v>
      </c>
      <c r="H182" s="1041">
        <v>725</v>
      </c>
      <c r="I182" s="1041">
        <v>8</v>
      </c>
      <c r="J182" s="1041">
        <v>4</v>
      </c>
      <c r="K182" s="1041">
        <v>12</v>
      </c>
      <c r="L182" s="1062"/>
      <c r="M182" s="1062"/>
      <c r="N182" s="1062"/>
    </row>
    <row r="183" spans="1:14" x14ac:dyDescent="0.35">
      <c r="A183" s="964"/>
      <c r="B183" s="395" t="s">
        <v>908</v>
      </c>
      <c r="C183" s="1041">
        <v>136</v>
      </c>
      <c r="D183" s="1041">
        <v>60</v>
      </c>
      <c r="E183" s="1041">
        <v>196</v>
      </c>
      <c r="F183" s="1041">
        <v>781</v>
      </c>
      <c r="G183" s="1041">
        <v>1346</v>
      </c>
      <c r="H183" s="1041">
        <v>2127</v>
      </c>
      <c r="I183" s="1041">
        <v>7</v>
      </c>
      <c r="J183" s="1041">
        <v>1</v>
      </c>
      <c r="K183" s="1041">
        <v>8</v>
      </c>
      <c r="L183" s="1062"/>
      <c r="M183" s="1062"/>
      <c r="N183" s="1062"/>
    </row>
    <row r="184" spans="1:14" x14ac:dyDescent="0.35">
      <c r="A184" s="963">
        <v>30</v>
      </c>
      <c r="B184" s="506" t="s">
        <v>40</v>
      </c>
      <c r="C184" s="1064"/>
      <c r="D184" s="1064"/>
      <c r="E184" s="1064"/>
      <c r="F184" s="1064"/>
      <c r="G184" s="1064"/>
      <c r="H184" s="1064"/>
      <c r="I184" s="1064"/>
      <c r="J184" s="1064"/>
      <c r="K184" s="1064"/>
      <c r="L184" s="1064"/>
      <c r="M184" s="1064"/>
      <c r="N184" s="1065"/>
    </row>
    <row r="185" spans="1:14" x14ac:dyDescent="0.35">
      <c r="A185" s="964"/>
      <c r="B185" s="400" t="s">
        <v>912</v>
      </c>
      <c r="C185" s="1044">
        <v>73836.922702221491</v>
      </c>
      <c r="D185" s="1044">
        <v>58283.221086406636</v>
      </c>
      <c r="E185" s="1044">
        <v>132120.14378862811</v>
      </c>
      <c r="F185" s="1044">
        <v>88871.926079449913</v>
      </c>
      <c r="G185" s="1044">
        <v>98186.638239805601</v>
      </c>
      <c r="H185" s="1044">
        <v>187058.5643192555</v>
      </c>
      <c r="I185" s="1044">
        <v>5241.5835822219406</v>
      </c>
      <c r="J185" s="1044">
        <v>5389.8641324714208</v>
      </c>
      <c r="K185" s="1044">
        <v>10631.44771469336</v>
      </c>
      <c r="L185" s="1044">
        <v>17761.111193141882</v>
      </c>
      <c r="M185" s="1044">
        <v>13056.00413353711</v>
      </c>
      <c r="N185" s="1045">
        <v>30817.115326678981</v>
      </c>
    </row>
    <row r="186" spans="1:14" x14ac:dyDescent="0.35">
      <c r="A186" s="964"/>
      <c r="B186" s="395" t="s">
        <v>911</v>
      </c>
      <c r="C186" s="1040">
        <v>64355</v>
      </c>
      <c r="D186" s="1040">
        <v>51335</v>
      </c>
      <c r="E186" s="1040">
        <v>115690</v>
      </c>
      <c r="F186" s="1040">
        <v>82102</v>
      </c>
      <c r="G186" s="1040">
        <v>86618</v>
      </c>
      <c r="H186" s="1040">
        <v>168720</v>
      </c>
      <c r="I186" s="1040">
        <v>4141</v>
      </c>
      <c r="J186" s="1040">
        <v>4670</v>
      </c>
      <c r="K186" s="1040">
        <v>8811</v>
      </c>
      <c r="L186" s="1040">
        <v>15193</v>
      </c>
      <c r="M186" s="1040">
        <v>14612</v>
      </c>
      <c r="N186" s="1040">
        <v>29805</v>
      </c>
    </row>
    <row r="187" spans="1:14" x14ac:dyDescent="0.35">
      <c r="A187" s="964"/>
      <c r="B187" s="395" t="s">
        <v>910</v>
      </c>
      <c r="C187" s="1041">
        <v>65103</v>
      </c>
      <c r="D187" s="1041">
        <v>49869</v>
      </c>
      <c r="E187" s="1041">
        <v>114972</v>
      </c>
      <c r="F187" s="1041">
        <v>76594</v>
      </c>
      <c r="G187" s="1041">
        <v>85648</v>
      </c>
      <c r="H187" s="1041">
        <v>162242</v>
      </c>
      <c r="I187" s="1041">
        <v>2831</v>
      </c>
      <c r="J187" s="1041">
        <v>2038</v>
      </c>
      <c r="K187" s="1041">
        <v>4869</v>
      </c>
      <c r="L187" s="1041">
        <v>20557</v>
      </c>
      <c r="M187" s="1041">
        <v>18667</v>
      </c>
      <c r="N187" s="1041">
        <v>39224</v>
      </c>
    </row>
    <row r="188" spans="1:14" x14ac:dyDescent="0.35">
      <c r="A188" s="964"/>
      <c r="B188" s="395" t="s">
        <v>909</v>
      </c>
      <c r="C188" s="1041">
        <v>72794</v>
      </c>
      <c r="D188" s="1041">
        <v>56771</v>
      </c>
      <c r="E188" s="1041">
        <v>129565</v>
      </c>
      <c r="F188" s="1041">
        <v>76670</v>
      </c>
      <c r="G188" s="1041">
        <v>87694</v>
      </c>
      <c r="H188" s="1041">
        <v>164364</v>
      </c>
      <c r="I188" s="1041">
        <v>3464</v>
      </c>
      <c r="J188" s="1041">
        <v>7437</v>
      </c>
      <c r="K188" s="1041">
        <v>10901</v>
      </c>
      <c r="L188" s="1062"/>
      <c r="M188" s="1062"/>
      <c r="N188" s="1062"/>
    </row>
    <row r="189" spans="1:14" x14ac:dyDescent="0.35">
      <c r="A189" s="964"/>
      <c r="B189" s="395" t="s">
        <v>908</v>
      </c>
      <c r="C189" s="1041">
        <v>71882</v>
      </c>
      <c r="D189" s="1041">
        <v>51689</v>
      </c>
      <c r="E189" s="1041">
        <v>123571</v>
      </c>
      <c r="F189" s="1041">
        <v>72974</v>
      </c>
      <c r="G189" s="1041">
        <v>80926</v>
      </c>
      <c r="H189" s="1041">
        <v>153900</v>
      </c>
      <c r="I189" s="1041">
        <v>5889</v>
      </c>
      <c r="J189" s="1041">
        <v>4310</v>
      </c>
      <c r="K189" s="1041">
        <v>10199</v>
      </c>
      <c r="L189" s="1062"/>
      <c r="M189" s="1062"/>
      <c r="N189" s="1062"/>
    </row>
    <row r="190" spans="1:14" x14ac:dyDescent="0.35">
      <c r="A190" s="963">
        <v>31</v>
      </c>
      <c r="B190" s="506" t="s">
        <v>41</v>
      </c>
      <c r="C190" s="1064"/>
      <c r="D190" s="1064"/>
      <c r="E190" s="1064"/>
      <c r="F190" s="1064"/>
      <c r="G190" s="1064"/>
      <c r="H190" s="1064"/>
      <c r="I190" s="1064"/>
      <c r="J190" s="1064"/>
      <c r="K190" s="1064"/>
      <c r="L190" s="1064"/>
      <c r="M190" s="1064"/>
      <c r="N190" s="1065"/>
    </row>
    <row r="191" spans="1:14" x14ac:dyDescent="0.35">
      <c r="A191" s="964"/>
      <c r="B191" s="400" t="s">
        <v>912</v>
      </c>
      <c r="C191" s="1044">
        <v>76602.082872730476</v>
      </c>
      <c r="D191" s="1044">
        <v>66549.514660938847</v>
      </c>
      <c r="E191" s="1044">
        <v>143151.59753366929</v>
      </c>
      <c r="F191" s="1044">
        <v>4960.3106350553207</v>
      </c>
      <c r="G191" s="1044">
        <v>9566.8534900354298</v>
      </c>
      <c r="H191" s="1044">
        <v>14527.164125090751</v>
      </c>
      <c r="I191" s="1044">
        <v>3888.7901680634441</v>
      </c>
      <c r="J191" s="1044">
        <v>2241.6949924900368</v>
      </c>
      <c r="K191" s="1044">
        <v>6130.4851605534814</v>
      </c>
      <c r="L191" s="1044">
        <v>13650.553224743689</v>
      </c>
      <c r="M191" s="1044">
        <v>13847.292060055859</v>
      </c>
      <c r="N191" s="1045">
        <v>27497.84528479955</v>
      </c>
    </row>
    <row r="192" spans="1:14" x14ac:dyDescent="0.35">
      <c r="A192" s="964"/>
      <c r="B192" s="395" t="s">
        <v>911</v>
      </c>
      <c r="C192" s="1040">
        <v>64775</v>
      </c>
      <c r="D192" s="1040">
        <v>56543</v>
      </c>
      <c r="E192" s="1040">
        <v>121318</v>
      </c>
      <c r="F192" s="1040">
        <v>4036</v>
      </c>
      <c r="G192" s="1040">
        <v>5531</v>
      </c>
      <c r="H192" s="1040">
        <v>9567</v>
      </c>
      <c r="I192" s="1040">
        <v>2371</v>
      </c>
      <c r="J192" s="1040">
        <v>1618</v>
      </c>
      <c r="K192" s="1040">
        <v>3989</v>
      </c>
      <c r="L192" s="1040">
        <v>10800</v>
      </c>
      <c r="M192" s="1040">
        <v>10724</v>
      </c>
      <c r="N192" s="1040">
        <v>21524</v>
      </c>
    </row>
    <row r="193" spans="1:14" x14ac:dyDescent="0.35">
      <c r="A193" s="964"/>
      <c r="B193" s="395" t="s">
        <v>910</v>
      </c>
      <c r="C193" s="1041">
        <v>65893</v>
      </c>
      <c r="D193" s="1041">
        <v>63061</v>
      </c>
      <c r="E193" s="1041">
        <v>128954</v>
      </c>
      <c r="F193" s="1041">
        <v>3769</v>
      </c>
      <c r="G193" s="1041">
        <v>5896</v>
      </c>
      <c r="H193" s="1041">
        <v>9665</v>
      </c>
      <c r="I193" s="1041">
        <v>1761</v>
      </c>
      <c r="J193" s="1041">
        <v>1343</v>
      </c>
      <c r="K193" s="1041">
        <v>3104</v>
      </c>
      <c r="L193" s="1041">
        <v>7201</v>
      </c>
      <c r="M193" s="1041">
        <v>7214</v>
      </c>
      <c r="N193" s="1041">
        <v>14415</v>
      </c>
    </row>
    <row r="194" spans="1:14" x14ac:dyDescent="0.35">
      <c r="A194" s="964"/>
      <c r="B194" s="395" t="s">
        <v>909</v>
      </c>
      <c r="C194" s="1041">
        <v>62229</v>
      </c>
      <c r="D194" s="1041">
        <v>59689</v>
      </c>
      <c r="E194" s="1041">
        <v>121918</v>
      </c>
      <c r="F194" s="1041">
        <v>3744</v>
      </c>
      <c r="G194" s="1041">
        <v>5161</v>
      </c>
      <c r="H194" s="1041">
        <v>8905</v>
      </c>
      <c r="I194" s="1041">
        <v>1468</v>
      </c>
      <c r="J194" s="1041">
        <v>1472</v>
      </c>
      <c r="K194" s="1041">
        <v>2940</v>
      </c>
      <c r="L194" s="1062"/>
      <c r="M194" s="1062"/>
      <c r="N194" s="1062"/>
    </row>
    <row r="195" spans="1:14" x14ac:dyDescent="0.35">
      <c r="A195" s="964"/>
      <c r="B195" s="395" t="s">
        <v>908</v>
      </c>
      <c r="C195" s="1041">
        <v>67314</v>
      </c>
      <c r="D195" s="1041">
        <v>62968</v>
      </c>
      <c r="E195" s="1041">
        <v>130282</v>
      </c>
      <c r="F195" s="1041">
        <v>5054</v>
      </c>
      <c r="G195" s="1041">
        <v>5350</v>
      </c>
      <c r="H195" s="1041">
        <v>10404</v>
      </c>
      <c r="I195" s="1041">
        <v>1583</v>
      </c>
      <c r="J195" s="1041">
        <v>1120</v>
      </c>
      <c r="K195" s="1041">
        <v>2703</v>
      </c>
      <c r="L195" s="1062"/>
      <c r="M195" s="1062"/>
      <c r="N195" s="1062"/>
    </row>
    <row r="196" spans="1:14" ht="30" customHeight="1" x14ac:dyDescent="0.35">
      <c r="A196" s="963">
        <v>32</v>
      </c>
      <c r="B196" s="515" t="s">
        <v>83</v>
      </c>
      <c r="C196" s="1066"/>
      <c r="D196" s="1066"/>
      <c r="E196" s="1066"/>
      <c r="F196" s="1066"/>
      <c r="G196" s="1066"/>
      <c r="H196" s="1066"/>
      <c r="I196" s="1066"/>
      <c r="J196" s="1066"/>
      <c r="K196" s="1066"/>
      <c r="L196" s="1066"/>
      <c r="M196" s="1066"/>
      <c r="N196" s="1067"/>
    </row>
    <row r="197" spans="1:14" ht="30" customHeight="1" x14ac:dyDescent="0.35">
      <c r="A197" s="964"/>
      <c r="B197" s="400" t="s">
        <v>912</v>
      </c>
      <c r="C197" s="1068">
        <v>103</v>
      </c>
      <c r="D197" s="1068">
        <v>109</v>
      </c>
      <c r="E197" s="1068">
        <v>212</v>
      </c>
      <c r="F197" s="1068">
        <v>18</v>
      </c>
      <c r="G197" s="1068">
        <v>17</v>
      </c>
      <c r="H197" s="1068">
        <v>35</v>
      </c>
      <c r="I197" s="1068">
        <v>7</v>
      </c>
      <c r="J197" s="1068">
        <v>7</v>
      </c>
      <c r="K197" s="1068">
        <v>14</v>
      </c>
      <c r="L197" s="1068">
        <v>82</v>
      </c>
      <c r="M197" s="1068">
        <v>58</v>
      </c>
      <c r="N197" s="1069">
        <v>140</v>
      </c>
    </row>
    <row r="198" spans="1:14" x14ac:dyDescent="0.35">
      <c r="A198" s="964"/>
      <c r="B198" s="395" t="s">
        <v>911</v>
      </c>
      <c r="C198" s="1041">
        <v>108</v>
      </c>
      <c r="D198" s="1041">
        <v>120</v>
      </c>
      <c r="E198" s="1041">
        <v>228</v>
      </c>
      <c r="F198" s="1041">
        <v>19</v>
      </c>
      <c r="G198" s="1041">
        <v>333</v>
      </c>
      <c r="H198" s="1041">
        <v>352</v>
      </c>
      <c r="I198" s="1041">
        <v>12</v>
      </c>
      <c r="J198" s="1041">
        <v>8</v>
      </c>
      <c r="K198" s="1041">
        <v>20</v>
      </c>
      <c r="L198" s="1041">
        <v>74</v>
      </c>
      <c r="M198" s="1041">
        <v>79</v>
      </c>
      <c r="N198" s="1041">
        <v>153</v>
      </c>
    </row>
    <row r="199" spans="1:14" x14ac:dyDescent="0.35">
      <c r="A199" s="964"/>
      <c r="B199" s="395" t="s">
        <v>910</v>
      </c>
      <c r="C199" s="1041">
        <v>135</v>
      </c>
      <c r="D199" s="1041">
        <v>132</v>
      </c>
      <c r="E199" s="1041">
        <v>267</v>
      </c>
      <c r="F199" s="1041">
        <v>10</v>
      </c>
      <c r="G199" s="1041">
        <v>297</v>
      </c>
      <c r="H199" s="1041">
        <v>307</v>
      </c>
      <c r="I199" s="1041">
        <v>10</v>
      </c>
      <c r="J199" s="1041">
        <v>10</v>
      </c>
      <c r="K199" s="1041">
        <v>20</v>
      </c>
      <c r="L199" s="1040">
        <v>45</v>
      </c>
      <c r="M199" s="1040">
        <v>39</v>
      </c>
      <c r="N199" s="1040">
        <v>84</v>
      </c>
    </row>
    <row r="200" spans="1:14" x14ac:dyDescent="0.35">
      <c r="A200" s="964"/>
      <c r="B200" s="395" t="s">
        <v>909</v>
      </c>
      <c r="C200" s="1041">
        <v>129</v>
      </c>
      <c r="D200" s="1041">
        <v>102</v>
      </c>
      <c r="E200" s="1041">
        <v>231</v>
      </c>
      <c r="F200" s="1041">
        <v>12</v>
      </c>
      <c r="G200" s="1041">
        <v>302</v>
      </c>
      <c r="H200" s="1041">
        <v>314</v>
      </c>
      <c r="I200" s="1041">
        <v>15</v>
      </c>
      <c r="J200" s="1041">
        <v>10</v>
      </c>
      <c r="K200" s="1041">
        <v>25</v>
      </c>
      <c r="L200" s="1062"/>
      <c r="M200" s="1062"/>
      <c r="N200" s="1062"/>
    </row>
    <row r="201" spans="1:14" x14ac:dyDescent="0.35">
      <c r="A201" s="964"/>
      <c r="B201" s="395" t="s">
        <v>908</v>
      </c>
      <c r="C201" s="1041">
        <v>127</v>
      </c>
      <c r="D201" s="1041">
        <v>113</v>
      </c>
      <c r="E201" s="1041">
        <v>240</v>
      </c>
      <c r="F201" s="1041">
        <v>17</v>
      </c>
      <c r="G201" s="1041">
        <v>276</v>
      </c>
      <c r="H201" s="1041">
        <v>293</v>
      </c>
      <c r="I201" s="1041">
        <v>8</v>
      </c>
      <c r="J201" s="1041">
        <v>7</v>
      </c>
      <c r="K201" s="1041">
        <v>15</v>
      </c>
      <c r="L201" s="1062"/>
      <c r="M201" s="1062"/>
      <c r="N201" s="1062"/>
    </row>
    <row r="202" spans="1:14" x14ac:dyDescent="0.35">
      <c r="A202" s="963">
        <v>33</v>
      </c>
      <c r="B202" s="506" t="s">
        <v>42</v>
      </c>
      <c r="C202" s="1064"/>
      <c r="D202" s="1064"/>
      <c r="E202" s="1064"/>
      <c r="F202" s="1064"/>
      <c r="G202" s="1064"/>
      <c r="H202" s="1064"/>
      <c r="I202" s="1064"/>
      <c r="J202" s="1064"/>
      <c r="K202" s="1064"/>
      <c r="L202" s="1064"/>
      <c r="M202" s="1064"/>
      <c r="N202" s="1065"/>
    </row>
    <row r="203" spans="1:14" x14ac:dyDescent="0.35">
      <c r="A203" s="964"/>
      <c r="B203" s="400" t="s">
        <v>912</v>
      </c>
      <c r="C203" s="1044">
        <v>1335</v>
      </c>
      <c r="D203" s="1044">
        <v>1159</v>
      </c>
      <c r="E203" s="1044">
        <v>2494</v>
      </c>
      <c r="F203" s="1044">
        <v>370</v>
      </c>
      <c r="G203" s="1044">
        <v>348</v>
      </c>
      <c r="H203" s="1044">
        <v>718</v>
      </c>
      <c r="I203" s="1044">
        <v>79</v>
      </c>
      <c r="J203" s="1044">
        <v>27</v>
      </c>
      <c r="K203" s="1044">
        <v>106</v>
      </c>
      <c r="L203" s="1044">
        <v>708</v>
      </c>
      <c r="M203" s="1044">
        <v>360</v>
      </c>
      <c r="N203" s="1045">
        <v>1068</v>
      </c>
    </row>
    <row r="204" spans="1:14" x14ac:dyDescent="0.35">
      <c r="A204" s="964"/>
      <c r="B204" s="395" t="s">
        <v>911</v>
      </c>
      <c r="C204" s="1040">
        <v>1796</v>
      </c>
      <c r="D204" s="1040">
        <v>1206</v>
      </c>
      <c r="E204" s="1040">
        <v>3002</v>
      </c>
      <c r="F204" s="1040">
        <v>219</v>
      </c>
      <c r="G204" s="1040">
        <v>227</v>
      </c>
      <c r="H204" s="1040">
        <v>446</v>
      </c>
      <c r="I204" s="1040">
        <v>157</v>
      </c>
      <c r="J204" s="1040">
        <v>54</v>
      </c>
      <c r="K204" s="1040">
        <v>211</v>
      </c>
      <c r="L204" s="1040">
        <v>445</v>
      </c>
      <c r="M204" s="1040">
        <v>227</v>
      </c>
      <c r="N204" s="1040">
        <v>672</v>
      </c>
    </row>
    <row r="205" spans="1:14" x14ac:dyDescent="0.35">
      <c r="A205" s="964"/>
      <c r="B205" s="395" t="s">
        <v>910</v>
      </c>
      <c r="C205" s="1041">
        <v>656</v>
      </c>
      <c r="D205" s="1041">
        <v>691</v>
      </c>
      <c r="E205" s="1041">
        <v>1347</v>
      </c>
      <c r="F205" s="1041">
        <v>333</v>
      </c>
      <c r="G205" s="1041">
        <v>295</v>
      </c>
      <c r="H205" s="1041">
        <v>628</v>
      </c>
      <c r="I205" s="1041">
        <v>90</v>
      </c>
      <c r="J205" s="1041">
        <v>47</v>
      </c>
      <c r="K205" s="1041">
        <v>137</v>
      </c>
      <c r="L205" s="1040">
        <v>355</v>
      </c>
      <c r="M205" s="1040">
        <v>166</v>
      </c>
      <c r="N205" s="1040">
        <v>521</v>
      </c>
    </row>
    <row r="206" spans="1:14" x14ac:dyDescent="0.35">
      <c r="A206" s="964"/>
      <c r="B206" s="395" t="s">
        <v>909</v>
      </c>
      <c r="C206" s="1041">
        <v>1233</v>
      </c>
      <c r="D206" s="1041">
        <v>882</v>
      </c>
      <c r="E206" s="1041">
        <v>2115</v>
      </c>
      <c r="F206" s="1041">
        <v>300</v>
      </c>
      <c r="G206" s="1041">
        <v>188</v>
      </c>
      <c r="H206" s="1041">
        <v>488</v>
      </c>
      <c r="I206" s="1041">
        <v>290</v>
      </c>
      <c r="J206" s="1041">
        <v>74</v>
      </c>
      <c r="K206" s="1041">
        <v>364</v>
      </c>
      <c r="L206" s="1062"/>
      <c r="M206" s="1062"/>
      <c r="N206" s="1062"/>
    </row>
    <row r="207" spans="1:14" x14ac:dyDescent="0.35">
      <c r="A207" s="964"/>
      <c r="B207" s="395" t="s">
        <v>908</v>
      </c>
      <c r="C207" s="1041">
        <v>1346</v>
      </c>
      <c r="D207" s="1041">
        <v>1002</v>
      </c>
      <c r="E207" s="1041">
        <v>2348</v>
      </c>
      <c r="F207" s="1041">
        <v>482</v>
      </c>
      <c r="G207" s="1041">
        <v>304</v>
      </c>
      <c r="H207" s="1041">
        <v>786</v>
      </c>
      <c r="I207" s="1041">
        <v>165</v>
      </c>
      <c r="J207" s="1041">
        <v>66</v>
      </c>
      <c r="K207" s="1041">
        <v>231</v>
      </c>
      <c r="L207" s="1062"/>
      <c r="M207" s="1062"/>
      <c r="N207" s="1062"/>
    </row>
    <row r="208" spans="1:14" x14ac:dyDescent="0.35">
      <c r="A208" s="963">
        <v>34</v>
      </c>
      <c r="B208" s="506" t="s">
        <v>43</v>
      </c>
      <c r="C208" s="1064"/>
      <c r="D208" s="1064"/>
      <c r="E208" s="1064"/>
      <c r="F208" s="1064"/>
      <c r="G208" s="1064"/>
      <c r="H208" s="1064"/>
      <c r="I208" s="1064"/>
      <c r="J208" s="1064"/>
      <c r="K208" s="1064"/>
      <c r="L208" s="1064"/>
      <c r="M208" s="1064"/>
      <c r="N208" s="1065"/>
    </row>
    <row r="209" spans="1:14" x14ac:dyDescent="0.35">
      <c r="A209" s="964"/>
      <c r="B209" s="400" t="s">
        <v>912</v>
      </c>
      <c r="C209" s="1044">
        <v>165915.69263114809</v>
      </c>
      <c r="D209" s="1044">
        <v>180538.1715788079</v>
      </c>
      <c r="E209" s="1044">
        <v>346453.86420995608</v>
      </c>
      <c r="F209" s="1044">
        <v>12055.478008537561</v>
      </c>
      <c r="G209" s="1044">
        <v>14757.919311509409</v>
      </c>
      <c r="H209" s="1044">
        <v>26813.39732004697</v>
      </c>
      <c r="I209" s="1044">
        <v>6225.385965329875</v>
      </c>
      <c r="J209" s="1044">
        <v>3883.6352282288308</v>
      </c>
      <c r="K209" s="1044">
        <v>10109.02119355871</v>
      </c>
      <c r="L209" s="1044">
        <v>55355.927736797923</v>
      </c>
      <c r="M209" s="1044">
        <v>40174.147139488327</v>
      </c>
      <c r="N209" s="1045">
        <v>95530.074876286235</v>
      </c>
    </row>
    <row r="210" spans="1:14" x14ac:dyDescent="0.35">
      <c r="A210" s="964"/>
      <c r="B210" s="395" t="s">
        <v>911</v>
      </c>
      <c r="C210" s="1040">
        <v>157372</v>
      </c>
      <c r="D210" s="1040">
        <v>169447</v>
      </c>
      <c r="E210" s="1040">
        <v>326819</v>
      </c>
      <c r="F210" s="1040">
        <v>13717</v>
      </c>
      <c r="G210" s="1040">
        <v>15277</v>
      </c>
      <c r="H210" s="1040">
        <v>28994</v>
      </c>
      <c r="I210" s="1040">
        <v>6006</v>
      </c>
      <c r="J210" s="1040">
        <v>5858</v>
      </c>
      <c r="K210" s="1040">
        <v>11864</v>
      </c>
      <c r="L210" s="1040">
        <v>33485</v>
      </c>
      <c r="M210" s="1040">
        <v>24019</v>
      </c>
      <c r="N210" s="1040">
        <v>57504</v>
      </c>
    </row>
    <row r="211" spans="1:14" x14ac:dyDescent="0.35">
      <c r="A211" s="964"/>
      <c r="B211" s="395" t="s">
        <v>910</v>
      </c>
      <c r="C211" s="1041">
        <v>137654</v>
      </c>
      <c r="D211" s="1041">
        <v>161657</v>
      </c>
      <c r="E211" s="1041">
        <v>299311</v>
      </c>
      <c r="F211" s="1041">
        <v>10725</v>
      </c>
      <c r="G211" s="1041">
        <v>12255</v>
      </c>
      <c r="H211" s="1041">
        <v>22980</v>
      </c>
      <c r="I211" s="1041">
        <v>9484</v>
      </c>
      <c r="J211" s="1041">
        <v>5519</v>
      </c>
      <c r="K211" s="1041">
        <v>15003</v>
      </c>
      <c r="L211" s="1040">
        <v>23733</v>
      </c>
      <c r="M211" s="1040">
        <v>16288</v>
      </c>
      <c r="N211" s="1040">
        <v>40021</v>
      </c>
    </row>
    <row r="212" spans="1:14" x14ac:dyDescent="0.35">
      <c r="A212" s="964"/>
      <c r="B212" s="395" t="s">
        <v>909</v>
      </c>
      <c r="C212" s="1041">
        <v>158790</v>
      </c>
      <c r="D212" s="1041">
        <v>198886</v>
      </c>
      <c r="E212" s="1041">
        <v>357676</v>
      </c>
      <c r="F212" s="1041">
        <v>13009</v>
      </c>
      <c r="G212" s="1041">
        <v>14124</v>
      </c>
      <c r="H212" s="1041">
        <v>27133</v>
      </c>
      <c r="I212" s="1041">
        <v>9356</v>
      </c>
      <c r="J212" s="1041">
        <v>8694</v>
      </c>
      <c r="K212" s="1041">
        <v>18050</v>
      </c>
      <c r="L212" s="1062"/>
      <c r="M212" s="1062"/>
      <c r="N212" s="1062"/>
    </row>
    <row r="213" spans="1:14" x14ac:dyDescent="0.35">
      <c r="A213" s="964"/>
      <c r="B213" s="395" t="s">
        <v>908</v>
      </c>
      <c r="C213" s="1041">
        <v>142299</v>
      </c>
      <c r="D213" s="1041">
        <v>177217</v>
      </c>
      <c r="E213" s="1041">
        <v>319516</v>
      </c>
      <c r="F213" s="1041">
        <v>12012</v>
      </c>
      <c r="G213" s="1041">
        <v>11943</v>
      </c>
      <c r="H213" s="1041">
        <v>23955</v>
      </c>
      <c r="I213" s="1041">
        <v>7790</v>
      </c>
      <c r="J213" s="1041">
        <v>7001</v>
      </c>
      <c r="K213" s="1041">
        <v>14791</v>
      </c>
      <c r="L213" s="1062"/>
      <c r="M213" s="1062"/>
      <c r="N213" s="1062"/>
    </row>
    <row r="214" spans="1:14" x14ac:dyDescent="0.35">
      <c r="A214" s="963">
        <v>35</v>
      </c>
      <c r="B214" s="506" t="s">
        <v>44</v>
      </c>
      <c r="C214" s="1064"/>
      <c r="D214" s="1064"/>
      <c r="E214" s="1064"/>
      <c r="F214" s="1064"/>
      <c r="G214" s="1064"/>
      <c r="H214" s="1064"/>
      <c r="I214" s="1064"/>
      <c r="J214" s="1064"/>
      <c r="K214" s="1064"/>
      <c r="L214" s="1064"/>
      <c r="M214" s="1064"/>
      <c r="N214" s="1065"/>
    </row>
    <row r="215" spans="1:14" x14ac:dyDescent="0.35">
      <c r="A215" s="964"/>
      <c r="B215" s="400" t="s">
        <v>912</v>
      </c>
      <c r="C215" s="1044">
        <v>8197.1484774859218</v>
      </c>
      <c r="D215" s="1044">
        <v>10349.273414818839</v>
      </c>
      <c r="E215" s="1044">
        <v>18546.421892304759</v>
      </c>
      <c r="F215" s="1044">
        <v>1572.7862497322769</v>
      </c>
      <c r="G215" s="1044">
        <v>2001.8571697667651</v>
      </c>
      <c r="H215" s="1044">
        <v>3574.643419499042</v>
      </c>
      <c r="I215" s="1044">
        <v>529.86427662237259</v>
      </c>
      <c r="J215" s="1044">
        <v>275.48320946364419</v>
      </c>
      <c r="K215" s="1044">
        <v>805.34748608601683</v>
      </c>
      <c r="L215" s="1044">
        <v>4934.1733593215604</v>
      </c>
      <c r="M215" s="1044">
        <v>3159.1774963250982</v>
      </c>
      <c r="N215" s="1045">
        <v>8093.3508556466577</v>
      </c>
    </row>
    <row r="216" spans="1:14" x14ac:dyDescent="0.35">
      <c r="A216" s="964"/>
      <c r="B216" s="395" t="s">
        <v>911</v>
      </c>
      <c r="C216" s="1040">
        <v>7998</v>
      </c>
      <c r="D216" s="1040">
        <v>8838</v>
      </c>
      <c r="E216" s="1040">
        <v>16836</v>
      </c>
      <c r="F216" s="1040">
        <v>1998</v>
      </c>
      <c r="G216" s="1040">
        <v>2169</v>
      </c>
      <c r="H216" s="1040">
        <v>4167</v>
      </c>
      <c r="I216" s="1040">
        <v>934</v>
      </c>
      <c r="J216" s="1040">
        <v>730</v>
      </c>
      <c r="K216" s="1040">
        <v>1664</v>
      </c>
      <c r="L216" s="1040">
        <v>3750</v>
      </c>
      <c r="M216" s="1040">
        <v>2644</v>
      </c>
      <c r="N216" s="1040">
        <v>6394</v>
      </c>
    </row>
    <row r="217" spans="1:14" x14ac:dyDescent="0.35">
      <c r="A217" s="964"/>
      <c r="B217" s="395" t="s">
        <v>910</v>
      </c>
      <c r="C217" s="1041">
        <v>11100</v>
      </c>
      <c r="D217" s="1041">
        <v>12540</v>
      </c>
      <c r="E217" s="1041">
        <v>23640</v>
      </c>
      <c r="F217" s="1041">
        <v>1889</v>
      </c>
      <c r="G217" s="1041">
        <v>2369</v>
      </c>
      <c r="H217" s="1041">
        <v>4258</v>
      </c>
      <c r="I217" s="1041">
        <v>1497</v>
      </c>
      <c r="J217" s="1041">
        <v>1458</v>
      </c>
      <c r="K217" s="1041">
        <v>2955</v>
      </c>
      <c r="L217" s="1041">
        <v>1970</v>
      </c>
      <c r="M217" s="1041">
        <v>1234</v>
      </c>
      <c r="N217" s="1041">
        <v>3204</v>
      </c>
    </row>
    <row r="218" spans="1:14" x14ac:dyDescent="0.35">
      <c r="A218" s="964"/>
      <c r="B218" s="395" t="s">
        <v>909</v>
      </c>
      <c r="C218" s="1041">
        <v>8380</v>
      </c>
      <c r="D218" s="1041">
        <v>6979</v>
      </c>
      <c r="E218" s="1041">
        <v>15359</v>
      </c>
      <c r="F218" s="1041">
        <v>1864</v>
      </c>
      <c r="G218" s="1041">
        <v>1927</v>
      </c>
      <c r="H218" s="1041">
        <v>3791</v>
      </c>
      <c r="I218" s="1041">
        <v>2009</v>
      </c>
      <c r="J218" s="1041">
        <v>2200</v>
      </c>
      <c r="K218" s="1041">
        <v>4209</v>
      </c>
      <c r="L218" s="1062"/>
      <c r="M218" s="1062"/>
      <c r="N218" s="1062"/>
    </row>
    <row r="219" spans="1:14" x14ac:dyDescent="0.35">
      <c r="A219" s="964"/>
      <c r="B219" s="395" t="s">
        <v>908</v>
      </c>
      <c r="C219" s="1041">
        <v>7135</v>
      </c>
      <c r="D219" s="1041">
        <v>5609</v>
      </c>
      <c r="E219" s="1041">
        <v>12744</v>
      </c>
      <c r="F219" s="1041">
        <v>1686</v>
      </c>
      <c r="G219" s="1041">
        <v>1722</v>
      </c>
      <c r="H219" s="1041">
        <v>3408</v>
      </c>
      <c r="I219" s="1041">
        <v>879</v>
      </c>
      <c r="J219" s="1041">
        <v>969</v>
      </c>
      <c r="K219" s="1041">
        <v>1848</v>
      </c>
      <c r="L219" s="1062"/>
      <c r="M219" s="1062"/>
      <c r="N219" s="1062"/>
    </row>
    <row r="220" spans="1:14" x14ac:dyDescent="0.35">
      <c r="A220" s="963">
        <v>36</v>
      </c>
      <c r="B220" s="506" t="s">
        <v>45</v>
      </c>
      <c r="C220" s="1064"/>
      <c r="D220" s="1064"/>
      <c r="E220" s="1064"/>
      <c r="F220" s="1064"/>
      <c r="G220" s="1064"/>
      <c r="H220" s="1064"/>
      <c r="I220" s="1064"/>
      <c r="J220" s="1064"/>
      <c r="K220" s="1064"/>
      <c r="L220" s="1064"/>
      <c r="M220" s="1064"/>
      <c r="N220" s="1065"/>
    </row>
    <row r="221" spans="1:14" x14ac:dyDescent="0.35">
      <c r="A221" s="964"/>
      <c r="B221" s="400" t="s">
        <v>912</v>
      </c>
      <c r="C221" s="1044">
        <v>155340.41666666669</v>
      </c>
      <c r="D221" s="1044">
        <v>165345.66666666669</v>
      </c>
      <c r="E221" s="1044">
        <v>320686.08333333331</v>
      </c>
      <c r="F221" s="1044">
        <v>10479</v>
      </c>
      <c r="G221" s="1044">
        <v>11887.66666666667</v>
      </c>
      <c r="H221" s="1044">
        <v>22366.666666666672</v>
      </c>
      <c r="I221" s="1044">
        <v>4905</v>
      </c>
      <c r="J221" s="1044">
        <v>2896.166666666667</v>
      </c>
      <c r="K221" s="1044">
        <v>7801.166666666667</v>
      </c>
      <c r="L221" s="1044">
        <v>8588</v>
      </c>
      <c r="M221" s="1044">
        <v>8290</v>
      </c>
      <c r="N221" s="1045">
        <v>16878</v>
      </c>
    </row>
    <row r="222" spans="1:14" x14ac:dyDescent="0.35">
      <c r="A222" s="964"/>
      <c r="B222" s="395" t="s">
        <v>911</v>
      </c>
      <c r="C222" s="1040">
        <v>164066</v>
      </c>
      <c r="D222" s="1040">
        <v>171346</v>
      </c>
      <c r="E222" s="1040">
        <v>335412</v>
      </c>
      <c r="F222" s="1040">
        <v>9901</v>
      </c>
      <c r="G222" s="1040">
        <v>10437</v>
      </c>
      <c r="H222" s="1040">
        <v>20338</v>
      </c>
      <c r="I222" s="1040">
        <v>2597</v>
      </c>
      <c r="J222" s="1040">
        <v>1364</v>
      </c>
      <c r="K222" s="1040">
        <v>3961</v>
      </c>
      <c r="L222" s="1040">
        <v>11202</v>
      </c>
      <c r="M222" s="1040">
        <v>14421</v>
      </c>
      <c r="N222" s="1040">
        <v>25623</v>
      </c>
    </row>
    <row r="223" spans="1:14" x14ac:dyDescent="0.35">
      <c r="A223" s="964"/>
      <c r="B223" s="395" t="s">
        <v>910</v>
      </c>
      <c r="C223" s="1041">
        <v>110860</v>
      </c>
      <c r="D223" s="1041">
        <v>127310</v>
      </c>
      <c r="E223" s="1041">
        <v>238170</v>
      </c>
      <c r="F223" s="1041">
        <v>7381</v>
      </c>
      <c r="G223" s="1041">
        <v>7702</v>
      </c>
      <c r="H223" s="1041">
        <v>15083</v>
      </c>
      <c r="I223" s="1041">
        <v>4491</v>
      </c>
      <c r="J223" s="1041">
        <v>2591</v>
      </c>
      <c r="K223" s="1041">
        <v>7082</v>
      </c>
      <c r="L223" s="1040">
        <v>8753</v>
      </c>
      <c r="M223" s="1040">
        <v>8574</v>
      </c>
      <c r="N223" s="1040">
        <v>17327</v>
      </c>
    </row>
    <row r="224" spans="1:14" x14ac:dyDescent="0.35">
      <c r="A224" s="964"/>
      <c r="B224" s="395" t="s">
        <v>909</v>
      </c>
      <c r="C224" s="1041">
        <v>111879</v>
      </c>
      <c r="D224" s="1041">
        <v>123454</v>
      </c>
      <c r="E224" s="1041">
        <v>235333</v>
      </c>
      <c r="F224" s="1041">
        <v>5575</v>
      </c>
      <c r="G224" s="1041">
        <v>10201</v>
      </c>
      <c r="H224" s="1041">
        <v>15776</v>
      </c>
      <c r="I224" s="1041">
        <v>2408</v>
      </c>
      <c r="J224" s="1041">
        <v>1181</v>
      </c>
      <c r="K224" s="1041">
        <v>3589</v>
      </c>
      <c r="L224" s="1062"/>
      <c r="M224" s="1062"/>
      <c r="N224" s="1062"/>
    </row>
    <row r="225" spans="1:14" x14ac:dyDescent="0.35">
      <c r="A225" s="964"/>
      <c r="B225" s="395" t="s">
        <v>908</v>
      </c>
      <c r="C225" s="1041">
        <v>111257</v>
      </c>
      <c r="D225" s="1041">
        <v>120913</v>
      </c>
      <c r="E225" s="1041">
        <v>232170</v>
      </c>
      <c r="F225" s="1041">
        <v>5758</v>
      </c>
      <c r="G225" s="1041">
        <v>6736</v>
      </c>
      <c r="H225" s="1041">
        <v>12494</v>
      </c>
      <c r="I225" s="1041">
        <v>2474</v>
      </c>
      <c r="J225" s="1041">
        <v>1364</v>
      </c>
      <c r="K225" s="1041">
        <v>3838</v>
      </c>
      <c r="L225" s="1062"/>
      <c r="M225" s="1062"/>
      <c r="N225" s="1062"/>
    </row>
  </sheetData>
  <mergeCells count="44">
    <mergeCell ref="C1:N1"/>
    <mergeCell ref="A220:A225"/>
    <mergeCell ref="A202:A207"/>
    <mergeCell ref="A208:A213"/>
    <mergeCell ref="A214:A219"/>
    <mergeCell ref="A184:A189"/>
    <mergeCell ref="A190:A195"/>
    <mergeCell ref="A196:A201"/>
    <mergeCell ref="A166:A171"/>
    <mergeCell ref="A172:A177"/>
    <mergeCell ref="A178:A183"/>
    <mergeCell ref="A148:A153"/>
    <mergeCell ref="A154:A159"/>
    <mergeCell ref="A160:A165"/>
    <mergeCell ref="A130:A135"/>
    <mergeCell ref="A136:A141"/>
    <mergeCell ref="A142:A147"/>
    <mergeCell ref="A112:A117"/>
    <mergeCell ref="A118:A123"/>
    <mergeCell ref="A124:A129"/>
    <mergeCell ref="A95:A100"/>
    <mergeCell ref="A101:A106"/>
    <mergeCell ref="A107:A111"/>
    <mergeCell ref="A77:A82"/>
    <mergeCell ref="A83:A88"/>
    <mergeCell ref="A89:A94"/>
    <mergeCell ref="A59:A64"/>
    <mergeCell ref="A65:A70"/>
    <mergeCell ref="A71:A76"/>
    <mergeCell ref="A41:A46"/>
    <mergeCell ref="A47:A52"/>
    <mergeCell ref="A53:A58"/>
    <mergeCell ref="A23:A28"/>
    <mergeCell ref="A29:A34"/>
    <mergeCell ref="A35:A40"/>
    <mergeCell ref="A5:A10"/>
    <mergeCell ref="A11:A16"/>
    <mergeCell ref="A17:A22"/>
    <mergeCell ref="L2:N2"/>
    <mergeCell ref="A2:A3"/>
    <mergeCell ref="B2:B3"/>
    <mergeCell ref="C2:E2"/>
    <mergeCell ref="F2:H2"/>
    <mergeCell ref="I2:K2"/>
  </mergeCells>
  <pageMargins left="0.59055118110236227" right="0.11811023622047245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2022-23&amp;RT-46</oddFooter>
  </headerFooter>
  <rowBreaks count="2" manualBreakCount="2">
    <brk id="100" max="13" man="1"/>
    <brk id="195" max="13" man="1"/>
  </rowBreaks>
  <colBreaks count="1" manualBreakCount="1">
    <brk id="8" max="224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98B9-6161-4579-887E-CA8A21486899}">
  <sheetPr codeName="Sheet11">
    <tabColor rgb="FF92D050"/>
  </sheetPr>
  <dimension ref="A1:K225"/>
  <sheetViews>
    <sheetView showZeros="0" view="pageBreakPreview" zoomScale="104" zoomScaleNormal="100" zoomScaleSheetLayoutView="104" workbookViewId="0">
      <pane xSplit="2" ySplit="3" topLeftCell="C35" activePane="bottomRight" state="frozen"/>
      <selection activeCell="S20" sqref="S20"/>
      <selection pane="topRight" activeCell="S20" sqref="S20"/>
      <selection pane="bottomLeft" activeCell="S20" sqref="S20"/>
      <selection pane="bottomRight" activeCell="C60" sqref="C60:K60"/>
    </sheetView>
  </sheetViews>
  <sheetFormatPr defaultColWidth="9.1796875" defaultRowHeight="14" x14ac:dyDescent="0.35"/>
  <cols>
    <col min="1" max="1" width="4" style="517" bestFit="1" customWidth="1"/>
    <col min="2" max="2" width="46.08984375" style="434" bestFit="1" customWidth="1"/>
    <col min="3" max="11" width="7.90625" style="434" customWidth="1"/>
    <col min="12" max="16384" width="9.1796875" style="434"/>
  </cols>
  <sheetData>
    <row r="1" spans="1:11" s="437" customFormat="1" ht="26.25" customHeight="1" x14ac:dyDescent="0.35">
      <c r="A1" s="516"/>
      <c r="B1" s="431" t="s">
        <v>982</v>
      </c>
      <c r="C1" s="975" t="s">
        <v>1050</v>
      </c>
      <c r="D1" s="975"/>
      <c r="E1" s="975"/>
      <c r="F1" s="975"/>
      <c r="G1" s="975"/>
      <c r="H1" s="975"/>
      <c r="I1" s="975"/>
      <c r="J1" s="975"/>
      <c r="K1" s="975"/>
    </row>
    <row r="2" spans="1:11" s="437" customFormat="1" ht="16.5" customHeight="1" x14ac:dyDescent="0.35">
      <c r="A2" s="976" t="s">
        <v>974</v>
      </c>
      <c r="B2" s="978" t="s">
        <v>50</v>
      </c>
      <c r="C2" s="979" t="s">
        <v>927</v>
      </c>
      <c r="D2" s="979"/>
      <c r="E2" s="979"/>
      <c r="F2" s="979" t="s">
        <v>747</v>
      </c>
      <c r="G2" s="979"/>
      <c r="H2" s="979"/>
      <c r="I2" s="979" t="s">
        <v>748</v>
      </c>
      <c r="J2" s="979"/>
      <c r="K2" s="979"/>
    </row>
    <row r="3" spans="1:11" s="437" customFormat="1" ht="16.5" customHeight="1" x14ac:dyDescent="0.35">
      <c r="A3" s="977"/>
      <c r="B3" s="978"/>
      <c r="C3" s="428" t="s">
        <v>93</v>
      </c>
      <c r="D3" s="428" t="s">
        <v>94</v>
      </c>
      <c r="E3" s="428" t="s">
        <v>975</v>
      </c>
      <c r="F3" s="428" t="s">
        <v>93</v>
      </c>
      <c r="G3" s="428" t="s">
        <v>94</v>
      </c>
      <c r="H3" s="428" t="s">
        <v>975</v>
      </c>
      <c r="I3" s="428" t="s">
        <v>93</v>
      </c>
      <c r="J3" s="428" t="s">
        <v>94</v>
      </c>
      <c r="K3" s="428" t="s">
        <v>975</v>
      </c>
    </row>
    <row r="4" spans="1:11" s="437" customFormat="1" ht="12" customHeight="1" x14ac:dyDescent="0.35">
      <c r="A4" s="429">
        <v>1</v>
      </c>
      <c r="B4" s="429">
        <v>2</v>
      </c>
      <c r="C4" s="429">
        <v>3</v>
      </c>
      <c r="D4" s="429">
        <v>4</v>
      </c>
      <c r="E4" s="429">
        <v>5</v>
      </c>
      <c r="F4" s="429">
        <v>6</v>
      </c>
      <c r="G4" s="429">
        <v>7</v>
      </c>
      <c r="H4" s="429">
        <v>8</v>
      </c>
      <c r="I4" s="429">
        <v>9</v>
      </c>
      <c r="J4" s="429">
        <v>10</v>
      </c>
      <c r="K4" s="429">
        <v>11</v>
      </c>
    </row>
    <row r="5" spans="1:11" ht="15.5" x14ac:dyDescent="0.35">
      <c r="A5" s="973"/>
      <c r="B5" s="433" t="s">
        <v>913</v>
      </c>
      <c r="C5" s="435"/>
      <c r="D5" s="435"/>
      <c r="E5" s="435"/>
      <c r="F5" s="435"/>
      <c r="G5" s="435"/>
      <c r="H5" s="435"/>
      <c r="I5" s="435"/>
      <c r="J5" s="435"/>
      <c r="K5" s="435"/>
    </row>
    <row r="6" spans="1:11" ht="15.5" x14ac:dyDescent="0.35">
      <c r="A6" s="974"/>
      <c r="B6" s="435" t="s">
        <v>912</v>
      </c>
      <c r="C6" s="436">
        <v>28.917920332109947</v>
      </c>
      <c r="D6" s="436">
        <v>30.193904860004</v>
      </c>
      <c r="E6" s="436">
        <v>29.526307209319114</v>
      </c>
      <c r="F6" s="436">
        <v>26.596313249824345</v>
      </c>
      <c r="G6" s="436">
        <v>28.04894922045284</v>
      </c>
      <c r="H6" s="436">
        <v>27.289210145207054</v>
      </c>
      <c r="I6" s="436">
        <v>22.182341401547777</v>
      </c>
      <c r="J6" s="436">
        <v>22.919681905519724</v>
      </c>
      <c r="K6" s="436">
        <v>22.55290977022284</v>
      </c>
    </row>
    <row r="7" spans="1:11" ht="15.5" x14ac:dyDescent="0.35">
      <c r="A7" s="974"/>
      <c r="B7" s="435" t="s">
        <v>911</v>
      </c>
      <c r="C7" s="435">
        <v>28.3</v>
      </c>
      <c r="D7" s="435">
        <v>28.5</v>
      </c>
      <c r="E7" s="435">
        <v>28.4</v>
      </c>
      <c r="F7" s="435">
        <v>25.8</v>
      </c>
      <c r="G7" s="435">
        <v>26</v>
      </c>
      <c r="H7" s="435">
        <v>25.9</v>
      </c>
      <c r="I7" s="435">
        <v>21.4</v>
      </c>
      <c r="J7" s="435">
        <v>20.9</v>
      </c>
      <c r="K7" s="435">
        <v>21.2</v>
      </c>
    </row>
    <row r="8" spans="1:11" ht="15.5" x14ac:dyDescent="0.35">
      <c r="A8" s="974"/>
      <c r="B8" s="435" t="s">
        <v>911</v>
      </c>
      <c r="C8" s="430">
        <v>26.711725716227374</v>
      </c>
      <c r="D8" s="430">
        <v>27.930727845029608</v>
      </c>
      <c r="E8" s="430">
        <v>27.291517192729735</v>
      </c>
      <c r="F8" s="430">
        <v>22.420931288622658</v>
      </c>
      <c r="G8" s="430">
        <v>23.931475240287789</v>
      </c>
      <c r="H8" s="430">
        <v>23.139777334943947</v>
      </c>
      <c r="I8" s="430">
        <v>18.760653940481273</v>
      </c>
      <c r="J8" s="430">
        <v>19.081669122527202</v>
      </c>
      <c r="K8" s="430">
        <v>18.921795991063082</v>
      </c>
    </row>
    <row r="9" spans="1:11" ht="15.5" x14ac:dyDescent="0.35">
      <c r="A9" s="974"/>
      <c r="B9" s="435" t="s">
        <v>909</v>
      </c>
      <c r="C9" s="430">
        <v>24.82445858882231</v>
      </c>
      <c r="D9" s="430">
        <v>26.358719218695505</v>
      </c>
      <c r="E9" s="430">
        <v>25.553663067826331</v>
      </c>
      <c r="F9" s="430">
        <v>21.455807049406612</v>
      </c>
      <c r="G9" s="430">
        <v>23.24252663573311</v>
      </c>
      <c r="H9" s="430">
        <v>22.305427578400455</v>
      </c>
      <c r="I9" s="430">
        <v>16.979428166374795</v>
      </c>
      <c r="J9" s="430">
        <v>17.02898704479696</v>
      </c>
      <c r="K9" s="430">
        <v>17.004294471415182</v>
      </c>
    </row>
    <row r="10" spans="1:11" ht="15.5" x14ac:dyDescent="0.35">
      <c r="A10" s="974"/>
      <c r="B10" s="435" t="s">
        <v>908</v>
      </c>
      <c r="C10" s="430">
        <v>24.392450481132144</v>
      </c>
      <c r="D10" s="430">
        <v>25.535215419819469</v>
      </c>
      <c r="E10" s="430">
        <v>24.935183463547791</v>
      </c>
      <c r="F10" s="430">
        <v>21.393192806506356</v>
      </c>
      <c r="G10" s="430">
        <v>22.762148273656287</v>
      </c>
      <c r="H10" s="430">
        <v>22.043651917121466</v>
      </c>
      <c r="I10" s="430">
        <v>16.737354768046465</v>
      </c>
      <c r="J10" s="430">
        <v>16.054940074584881</v>
      </c>
      <c r="K10" s="430">
        <v>16.395068447445183</v>
      </c>
    </row>
    <row r="11" spans="1:11" ht="15.5" x14ac:dyDescent="0.35">
      <c r="A11" s="973">
        <v>1</v>
      </c>
      <c r="B11" s="433" t="s">
        <v>116</v>
      </c>
      <c r="C11" s="432"/>
      <c r="D11" s="430"/>
      <c r="E11" s="430"/>
      <c r="F11" s="430"/>
      <c r="G11" s="430"/>
      <c r="H11" s="430"/>
      <c r="I11" s="430"/>
      <c r="J11" s="430"/>
      <c r="K11" s="430"/>
    </row>
    <row r="12" spans="1:11" ht="15.5" x14ac:dyDescent="0.35">
      <c r="A12" s="974"/>
      <c r="B12" s="435" t="s">
        <v>912</v>
      </c>
      <c r="C12" s="430">
        <v>14.24213424610414</v>
      </c>
      <c r="D12" s="430">
        <v>14.600303739227044</v>
      </c>
      <c r="E12" s="430">
        <v>14.412621061966785</v>
      </c>
      <c r="F12" s="430"/>
      <c r="G12" s="430"/>
      <c r="H12" s="430"/>
      <c r="I12" s="430">
        <v>4.5821722066359083</v>
      </c>
      <c r="J12" s="430">
        <v>5.2519803610722278</v>
      </c>
      <c r="K12" s="430">
        <v>4.9071918849963527</v>
      </c>
    </row>
    <row r="13" spans="1:11" ht="15.5" x14ac:dyDescent="0.35">
      <c r="A13" s="974"/>
      <c r="B13" s="435" t="s">
        <v>911</v>
      </c>
      <c r="C13" s="430">
        <v>19.8</v>
      </c>
      <c r="D13" s="430">
        <v>25.7</v>
      </c>
      <c r="E13" s="430">
        <v>22.6</v>
      </c>
      <c r="F13" s="430" t="s">
        <v>983</v>
      </c>
      <c r="G13" s="430" t="s">
        <v>983</v>
      </c>
      <c r="H13" s="430" t="s">
        <v>983</v>
      </c>
      <c r="I13" s="430">
        <v>10.4</v>
      </c>
      <c r="J13" s="430">
        <v>16.100000000000001</v>
      </c>
      <c r="K13" s="430">
        <v>13.2</v>
      </c>
    </row>
    <row r="14" spans="1:11" ht="15.5" x14ac:dyDescent="0.35">
      <c r="A14" s="974"/>
      <c r="B14" s="435" t="s">
        <v>910</v>
      </c>
      <c r="C14" s="430">
        <v>21.606215593643853</v>
      </c>
      <c r="D14" s="430">
        <v>27.131586718980721</v>
      </c>
      <c r="E14" s="430">
        <v>24.261902830724306</v>
      </c>
      <c r="F14" s="430" t="s">
        <v>983</v>
      </c>
      <c r="G14" s="430" t="s">
        <v>983</v>
      </c>
      <c r="H14" s="430" t="s">
        <v>983</v>
      </c>
      <c r="I14" s="430">
        <v>10.344827586206897</v>
      </c>
      <c r="J14" s="430">
        <v>15.990730011587488</v>
      </c>
      <c r="K14" s="430">
        <v>13.110102156640183</v>
      </c>
    </row>
    <row r="15" spans="1:11" ht="15.5" x14ac:dyDescent="0.35">
      <c r="A15" s="974"/>
      <c r="B15" s="435" t="s">
        <v>909</v>
      </c>
      <c r="C15" s="430">
        <v>18.198610609163556</v>
      </c>
      <c r="D15" s="430">
        <v>24.127380849780231</v>
      </c>
      <c r="E15" s="430">
        <v>21.058429815627015</v>
      </c>
      <c r="F15" s="430" t="s">
        <v>983</v>
      </c>
      <c r="G15" s="430" t="s">
        <v>983</v>
      </c>
      <c r="H15" s="430" t="s">
        <v>983</v>
      </c>
      <c r="I15" s="430">
        <v>8.6384439359267731</v>
      </c>
      <c r="J15" s="430">
        <v>16.923076923076923</v>
      </c>
      <c r="K15" s="430">
        <v>12.7108784176847</v>
      </c>
    </row>
    <row r="16" spans="1:11" ht="15.5" x14ac:dyDescent="0.35">
      <c r="A16" s="974"/>
      <c r="B16" s="435" t="s">
        <v>908</v>
      </c>
      <c r="C16" s="430">
        <v>21.092878105237052</v>
      </c>
      <c r="D16" s="430">
        <v>28.217887181293762</v>
      </c>
      <c r="E16" s="430">
        <v>24.542663425866699</v>
      </c>
      <c r="F16" s="430" t="s">
        <v>983</v>
      </c>
      <c r="G16" s="430" t="s">
        <v>983</v>
      </c>
      <c r="H16" s="430" t="s">
        <v>983</v>
      </c>
      <c r="I16" s="430">
        <v>11.54299175500589</v>
      </c>
      <c r="J16" s="430">
        <v>19.165659008464328</v>
      </c>
      <c r="K16" s="430">
        <v>15.304295942720763</v>
      </c>
    </row>
    <row r="17" spans="1:11" ht="15.5" x14ac:dyDescent="0.35">
      <c r="A17" s="973">
        <v>2</v>
      </c>
      <c r="B17" s="433" t="s">
        <v>13</v>
      </c>
      <c r="C17" s="430"/>
      <c r="D17" s="430"/>
      <c r="E17" s="430"/>
      <c r="F17" s="430"/>
      <c r="G17" s="430"/>
      <c r="H17" s="430"/>
      <c r="I17" s="430"/>
      <c r="J17" s="430"/>
      <c r="K17" s="430"/>
    </row>
    <row r="18" spans="1:11" ht="15.5" x14ac:dyDescent="0.35">
      <c r="A18" s="974"/>
      <c r="B18" s="433" t="s">
        <v>912</v>
      </c>
      <c r="C18" s="430">
        <v>35.958282728811625</v>
      </c>
      <c r="D18" s="430">
        <v>35.049431663882693</v>
      </c>
      <c r="E18" s="430">
        <v>35.519664193583878</v>
      </c>
      <c r="F18" s="430">
        <v>33.245269125286065</v>
      </c>
      <c r="G18" s="430">
        <v>33.471230152140748</v>
      </c>
      <c r="H18" s="430">
        <v>33.355713010565054</v>
      </c>
      <c r="I18" s="430">
        <v>35.076660305675865</v>
      </c>
      <c r="J18" s="430">
        <v>32.495073601362797</v>
      </c>
      <c r="K18" s="430">
        <v>33.750171698155626</v>
      </c>
    </row>
    <row r="19" spans="1:11" ht="15.5" x14ac:dyDescent="0.35">
      <c r="A19" s="974"/>
      <c r="B19" s="435" t="s">
        <v>911</v>
      </c>
      <c r="C19" s="430">
        <v>37.700000000000003</v>
      </c>
      <c r="D19" s="430">
        <v>35.200000000000003</v>
      </c>
      <c r="E19" s="430">
        <v>36.5</v>
      </c>
      <c r="F19" s="430">
        <v>35</v>
      </c>
      <c r="G19" s="430">
        <v>33.9</v>
      </c>
      <c r="H19" s="430">
        <v>34.5</v>
      </c>
      <c r="I19" s="430">
        <v>35.700000000000003</v>
      </c>
      <c r="J19" s="430">
        <v>31.5</v>
      </c>
      <c r="K19" s="430">
        <v>33.6</v>
      </c>
    </row>
    <row r="20" spans="1:11" ht="15.5" x14ac:dyDescent="0.35">
      <c r="A20" s="974"/>
      <c r="B20" s="435" t="s">
        <v>910</v>
      </c>
      <c r="C20" s="430">
        <v>38.290971718636698</v>
      </c>
      <c r="D20" s="430">
        <v>36.03407860126876</v>
      </c>
      <c r="E20" s="430">
        <v>37.199019314268604</v>
      </c>
      <c r="F20" s="430">
        <v>33.990284195202229</v>
      </c>
      <c r="G20" s="430">
        <v>33.196219638740629</v>
      </c>
      <c r="H20" s="430">
        <v>33.602393413862494</v>
      </c>
      <c r="I20" s="430">
        <v>34.134920076050982</v>
      </c>
      <c r="J20" s="430">
        <v>29.596104459193544</v>
      </c>
      <c r="K20" s="430">
        <v>31.804059261796695</v>
      </c>
    </row>
    <row r="21" spans="1:11" ht="15.5" x14ac:dyDescent="0.35">
      <c r="A21" s="974"/>
      <c r="B21" s="435" t="s">
        <v>909</v>
      </c>
      <c r="C21" s="430">
        <v>36.638894869034807</v>
      </c>
      <c r="D21" s="430">
        <v>33.50761168910649</v>
      </c>
      <c r="E21" s="430">
        <v>35.123282852593775</v>
      </c>
      <c r="F21" s="430">
        <v>32.758512695641279</v>
      </c>
      <c r="G21" s="430">
        <v>30.56031163468943</v>
      </c>
      <c r="H21" s="430">
        <v>31.684263308075174</v>
      </c>
      <c r="I21" s="430">
        <v>32.955408597729665</v>
      </c>
      <c r="J21" s="430">
        <v>27.003192443670521</v>
      </c>
      <c r="K21" s="430">
        <v>29.897563967456314</v>
      </c>
    </row>
    <row r="22" spans="1:11" ht="15.5" x14ac:dyDescent="0.35">
      <c r="A22" s="974"/>
      <c r="B22" s="435" t="s">
        <v>908</v>
      </c>
      <c r="C22" s="430">
        <v>34.261576704545455</v>
      </c>
      <c r="D22" s="430">
        <v>30.111363292479954</v>
      </c>
      <c r="E22" s="430">
        <v>32.25199648325885</v>
      </c>
      <c r="F22" s="430">
        <v>30.143549012010851</v>
      </c>
      <c r="G22" s="430">
        <v>27.384255789742323</v>
      </c>
      <c r="H22" s="430">
        <v>28.794615008347215</v>
      </c>
      <c r="I22" s="430">
        <v>29.075974509641643</v>
      </c>
      <c r="J22" s="430">
        <v>23.827477788939479</v>
      </c>
      <c r="K22" s="430">
        <v>26.378654902144831</v>
      </c>
    </row>
    <row r="23" spans="1:11" ht="15.5" x14ac:dyDescent="0.35">
      <c r="A23" s="973">
        <v>3</v>
      </c>
      <c r="B23" s="433" t="s">
        <v>14</v>
      </c>
      <c r="C23" s="430"/>
      <c r="D23" s="430"/>
      <c r="E23" s="430"/>
      <c r="F23" s="430"/>
      <c r="G23" s="430"/>
      <c r="H23" s="430"/>
      <c r="I23" s="430"/>
      <c r="J23" s="430"/>
      <c r="K23" s="430"/>
    </row>
    <row r="24" spans="1:11" ht="15.5" x14ac:dyDescent="0.35">
      <c r="A24" s="974"/>
      <c r="B24" s="433" t="s">
        <v>912</v>
      </c>
      <c r="C24" s="430">
        <v>37.106188422825184</v>
      </c>
      <c r="D24" s="430">
        <v>34.564488832476009</v>
      </c>
      <c r="E24" s="430">
        <v>35.868539701117349</v>
      </c>
      <c r="F24" s="430"/>
      <c r="G24" s="430"/>
      <c r="H24" s="430"/>
      <c r="I24" s="430">
        <v>40.850396807540434</v>
      </c>
      <c r="J24" s="430">
        <v>38.317772176270331</v>
      </c>
      <c r="K24" s="430">
        <v>39.547658630687444</v>
      </c>
    </row>
    <row r="25" spans="1:11" ht="15.5" x14ac:dyDescent="0.35">
      <c r="A25" s="974"/>
      <c r="B25" s="435" t="s">
        <v>911</v>
      </c>
      <c r="C25" s="430">
        <v>38.4</v>
      </c>
      <c r="D25" s="430">
        <v>34.5</v>
      </c>
      <c r="E25" s="430">
        <v>36.5</v>
      </c>
      <c r="F25" s="430">
        <v>0</v>
      </c>
      <c r="G25" s="430">
        <v>0</v>
      </c>
      <c r="H25" s="430">
        <v>0</v>
      </c>
      <c r="I25" s="430">
        <v>42.2</v>
      </c>
      <c r="J25" s="430">
        <v>37.799999999999997</v>
      </c>
      <c r="K25" s="430">
        <v>39.9</v>
      </c>
    </row>
    <row r="26" spans="1:11" ht="15.5" x14ac:dyDescent="0.35">
      <c r="A26" s="974"/>
      <c r="B26" s="435" t="s">
        <v>910</v>
      </c>
      <c r="C26" s="430">
        <v>34.685553657057817</v>
      </c>
      <c r="D26" s="430">
        <v>32.753267216609508</v>
      </c>
      <c r="E26" s="430">
        <v>33.743440266174083</v>
      </c>
      <c r="F26" s="430" t="s">
        <v>983</v>
      </c>
      <c r="G26" s="430" t="s">
        <v>983</v>
      </c>
      <c r="H26" s="430" t="s">
        <v>983</v>
      </c>
      <c r="I26" s="430">
        <v>35.176257393920743</v>
      </c>
      <c r="J26" s="430">
        <v>33.971407412177605</v>
      </c>
      <c r="K26" s="430">
        <v>34.555750862297693</v>
      </c>
    </row>
    <row r="27" spans="1:11" ht="15.5" x14ac:dyDescent="0.35">
      <c r="A27" s="974"/>
      <c r="B27" s="435" t="s">
        <v>909</v>
      </c>
      <c r="C27" s="430">
        <v>31.903274402942088</v>
      </c>
      <c r="D27" s="430">
        <v>31.377399909404506</v>
      </c>
      <c r="E27" s="430">
        <v>31.646567218338404</v>
      </c>
      <c r="F27" s="430" t="s">
        <v>983</v>
      </c>
      <c r="G27" s="430" t="s">
        <v>983</v>
      </c>
      <c r="H27" s="430" t="s">
        <v>983</v>
      </c>
      <c r="I27" s="430">
        <v>32.773874353644501</v>
      </c>
      <c r="J27" s="430">
        <v>31.091026468689474</v>
      </c>
      <c r="K27" s="430">
        <v>31.906200331194711</v>
      </c>
    </row>
    <row r="28" spans="1:11" ht="15.5" x14ac:dyDescent="0.35">
      <c r="A28" s="974"/>
      <c r="B28" s="435" t="s">
        <v>908</v>
      </c>
      <c r="C28" s="430">
        <v>26.407533560408737</v>
      </c>
      <c r="D28" s="430">
        <v>27.298238259917795</v>
      </c>
      <c r="E28" s="430">
        <v>26.842857061558512</v>
      </c>
      <c r="F28" s="430" t="s">
        <v>983</v>
      </c>
      <c r="G28" s="430" t="s">
        <v>983</v>
      </c>
      <c r="H28" s="430" t="s">
        <v>983</v>
      </c>
      <c r="I28" s="430">
        <v>28.459466924457949</v>
      </c>
      <c r="J28" s="430">
        <v>30.025078877113504</v>
      </c>
      <c r="K28" s="430">
        <v>29.267620455513516</v>
      </c>
    </row>
    <row r="29" spans="1:11" ht="15.5" x14ac:dyDescent="0.35">
      <c r="A29" s="973">
        <v>4</v>
      </c>
      <c r="B29" s="433" t="s">
        <v>15</v>
      </c>
      <c r="C29" s="430"/>
      <c r="D29" s="430"/>
      <c r="E29" s="430"/>
      <c r="F29" s="430"/>
      <c r="G29" s="430"/>
      <c r="H29" s="430"/>
      <c r="I29" s="430"/>
      <c r="J29" s="430"/>
      <c r="K29" s="430"/>
    </row>
    <row r="30" spans="1:11" ht="15.5" x14ac:dyDescent="0.35">
      <c r="A30" s="974"/>
      <c r="B30" s="433" t="s">
        <v>912</v>
      </c>
      <c r="C30" s="430">
        <v>17.540925365677644</v>
      </c>
      <c r="D30" s="430">
        <v>19.933604128346616</v>
      </c>
      <c r="E30" s="430">
        <v>18.705135729224466</v>
      </c>
      <c r="F30" s="430">
        <v>19.301785311716472</v>
      </c>
      <c r="G30" s="430">
        <v>21.432957455618229</v>
      </c>
      <c r="H30" s="430">
        <v>20.303799505301562</v>
      </c>
      <c r="I30" s="430">
        <v>26.297208505277748</v>
      </c>
      <c r="J30" s="430">
        <v>28.435133149579535</v>
      </c>
      <c r="K30" s="430">
        <v>27.367442217633169</v>
      </c>
    </row>
    <row r="31" spans="1:11" ht="15.5" x14ac:dyDescent="0.35">
      <c r="A31" s="974"/>
      <c r="B31" s="435" t="s">
        <v>911</v>
      </c>
      <c r="C31" s="430">
        <v>16.2</v>
      </c>
      <c r="D31" s="430">
        <v>17.600000000000001</v>
      </c>
      <c r="E31" s="430">
        <v>16.899999999999999</v>
      </c>
      <c r="F31" s="430">
        <v>18.2</v>
      </c>
      <c r="G31" s="430">
        <v>19.5</v>
      </c>
      <c r="H31" s="430">
        <v>18.8</v>
      </c>
      <c r="I31" s="430">
        <v>25.4</v>
      </c>
      <c r="J31" s="430">
        <v>26.3</v>
      </c>
      <c r="K31" s="430">
        <v>25.8</v>
      </c>
    </row>
    <row r="32" spans="1:11" ht="15.5" x14ac:dyDescent="0.35">
      <c r="A32" s="974"/>
      <c r="B32" s="435" t="s">
        <v>910</v>
      </c>
      <c r="C32" s="430">
        <v>16.760684179572632</v>
      </c>
      <c r="D32" s="430">
        <v>18.351834625322997</v>
      </c>
      <c r="E32" s="430">
        <v>17.535166272576344</v>
      </c>
      <c r="F32" s="430">
        <v>17.041863148389684</v>
      </c>
      <c r="G32" s="430">
        <v>18.966225597143911</v>
      </c>
      <c r="H32" s="430">
        <v>17.945477042615185</v>
      </c>
      <c r="I32" s="430">
        <v>23.783384694401644</v>
      </c>
      <c r="J32" s="430">
        <v>25.567509219391422</v>
      </c>
      <c r="K32" s="430">
        <v>24.67542368970685</v>
      </c>
    </row>
    <row r="33" spans="1:11" ht="15.5" x14ac:dyDescent="0.35">
      <c r="A33" s="974"/>
      <c r="B33" s="435" t="s">
        <v>909</v>
      </c>
      <c r="C33" s="430">
        <v>15.705619982158787</v>
      </c>
      <c r="D33" s="430">
        <v>17.42522193211488</v>
      </c>
      <c r="E33" s="430">
        <v>16.542946501220506</v>
      </c>
      <c r="F33" s="430">
        <v>17.527551266280295</v>
      </c>
      <c r="G33" s="430">
        <v>18.981054017879508</v>
      </c>
      <c r="H33" s="430">
        <v>18.2103974877109</v>
      </c>
      <c r="I33" s="430">
        <v>20.389440711526603</v>
      </c>
      <c r="J33" s="430">
        <v>22.344989214525519</v>
      </c>
      <c r="K33" s="430">
        <v>21.367599369680153</v>
      </c>
    </row>
    <row r="34" spans="1:11" ht="15.5" x14ac:dyDescent="0.35">
      <c r="A34" s="974"/>
      <c r="B34" s="435" t="s">
        <v>908</v>
      </c>
      <c r="C34" s="430">
        <v>17.415998396150762</v>
      </c>
      <c r="D34" s="430">
        <v>18.611029023746703</v>
      </c>
      <c r="E34" s="430">
        <v>17.998123489794871</v>
      </c>
      <c r="F34" s="430">
        <v>19.26714933403446</v>
      </c>
      <c r="G34" s="430">
        <v>20.341545271746206</v>
      </c>
      <c r="H34" s="430">
        <v>19.772054399662807</v>
      </c>
      <c r="I34" s="430">
        <v>23.300847370688771</v>
      </c>
      <c r="J34" s="430">
        <v>23.571206136397159</v>
      </c>
      <c r="K34" s="430">
        <v>23.436125696313866</v>
      </c>
    </row>
    <row r="35" spans="1:11" ht="15.5" x14ac:dyDescent="0.35">
      <c r="A35" s="973">
        <v>5</v>
      </c>
      <c r="B35" s="433" t="s">
        <v>16</v>
      </c>
      <c r="C35" s="430"/>
      <c r="D35" s="430"/>
      <c r="E35" s="430"/>
      <c r="F35" s="430"/>
      <c r="G35" s="430"/>
      <c r="H35" s="430"/>
      <c r="I35" s="430"/>
      <c r="J35" s="430"/>
      <c r="K35" s="430"/>
    </row>
    <row r="36" spans="1:11" ht="15.5" x14ac:dyDescent="0.35">
      <c r="A36" s="974"/>
      <c r="B36" s="433" t="s">
        <v>912</v>
      </c>
      <c r="C36" s="430">
        <v>16.61686348102921</v>
      </c>
      <c r="D36" s="430">
        <v>17.324545830065912</v>
      </c>
      <c r="E36" s="430">
        <v>16.952169566929356</v>
      </c>
      <c r="F36" s="430">
        <v>17.190880084949612</v>
      </c>
      <c r="G36" s="430">
        <v>14.49421858229994</v>
      </c>
      <c r="H36" s="430">
        <v>15.862422971427655</v>
      </c>
      <c r="I36" s="430">
        <v>31.213781605972329</v>
      </c>
      <c r="J36" s="430">
        <v>29.619180195462587</v>
      </c>
      <c r="K36" s="430">
        <v>30.430318461233043</v>
      </c>
    </row>
    <row r="37" spans="1:11" ht="15.5" x14ac:dyDescent="0.35">
      <c r="A37" s="974"/>
      <c r="B37" s="435" t="s">
        <v>911</v>
      </c>
      <c r="C37" s="430">
        <v>17.8</v>
      </c>
      <c r="D37" s="430">
        <v>16.3</v>
      </c>
      <c r="E37" s="430">
        <v>17.100000000000001</v>
      </c>
      <c r="F37" s="430">
        <v>19</v>
      </c>
      <c r="G37" s="430">
        <v>13.6</v>
      </c>
      <c r="H37" s="430">
        <v>16.399999999999999</v>
      </c>
      <c r="I37" s="430">
        <v>38</v>
      </c>
      <c r="J37" s="430">
        <v>31</v>
      </c>
      <c r="K37" s="430">
        <v>34.6</v>
      </c>
    </row>
    <row r="38" spans="1:11" ht="15.5" x14ac:dyDescent="0.35">
      <c r="A38" s="974"/>
      <c r="B38" s="435" t="s">
        <v>910</v>
      </c>
      <c r="C38" s="430">
        <v>16.567159269193784</v>
      </c>
      <c r="D38" s="430">
        <v>15.107450721222918</v>
      </c>
      <c r="E38" s="430">
        <v>15.883618137782562</v>
      </c>
      <c r="F38" s="430">
        <v>13.330785056015451</v>
      </c>
      <c r="G38" s="430">
        <v>9.6545275012480545</v>
      </c>
      <c r="H38" s="430">
        <v>11.536745975730781</v>
      </c>
      <c r="I38" s="430">
        <v>21.977165194544426</v>
      </c>
      <c r="J38" s="430">
        <v>17.370490104418938</v>
      </c>
      <c r="K38" s="430">
        <v>19.735096433231362</v>
      </c>
    </row>
    <row r="39" spans="1:11" ht="15.5" x14ac:dyDescent="0.35">
      <c r="A39" s="974"/>
      <c r="B39" s="435" t="s">
        <v>909</v>
      </c>
      <c r="C39" s="430">
        <v>12.654967250332716</v>
      </c>
      <c r="D39" s="430">
        <v>11.489803851213971</v>
      </c>
      <c r="E39" s="430">
        <v>12.111976590259877</v>
      </c>
      <c r="F39" s="430">
        <v>11.153165131284011</v>
      </c>
      <c r="G39" s="430">
        <v>7.1208728245040227</v>
      </c>
      <c r="H39" s="430">
        <v>9.1944900320159277</v>
      </c>
      <c r="I39" s="430">
        <v>18.983842366702277</v>
      </c>
      <c r="J39" s="430">
        <v>15.573242061584988</v>
      </c>
      <c r="K39" s="430">
        <v>17.331607100269157</v>
      </c>
    </row>
    <row r="40" spans="1:11" ht="15.5" x14ac:dyDescent="0.35">
      <c r="A40" s="974"/>
      <c r="B40" s="435" t="s">
        <v>908</v>
      </c>
      <c r="C40" s="430">
        <v>12.397438314836764</v>
      </c>
      <c r="D40" s="430">
        <v>10.698170541669263</v>
      </c>
      <c r="E40" s="430">
        <v>11.609651784424216</v>
      </c>
      <c r="F40" s="430">
        <v>10.412216782526597</v>
      </c>
      <c r="G40" s="430">
        <v>6.5751990237434974</v>
      </c>
      <c r="H40" s="430">
        <v>8.5577095155899112</v>
      </c>
      <c r="I40" s="430">
        <v>17.981513694191481</v>
      </c>
      <c r="J40" s="430">
        <v>13.107063006267639</v>
      </c>
      <c r="K40" s="430">
        <v>15.63195646796933</v>
      </c>
    </row>
    <row r="41" spans="1:11" ht="15.5" x14ac:dyDescent="0.35">
      <c r="A41" s="973">
        <v>6</v>
      </c>
      <c r="B41" s="433" t="s">
        <v>17</v>
      </c>
      <c r="C41" s="430"/>
      <c r="D41" s="430"/>
      <c r="E41" s="430"/>
      <c r="F41" s="430"/>
      <c r="G41" s="430"/>
      <c r="H41" s="430"/>
      <c r="I41" s="430"/>
      <c r="J41" s="430"/>
      <c r="K41" s="430"/>
    </row>
    <row r="42" spans="1:11" ht="15.5" x14ac:dyDescent="0.35">
      <c r="A42" s="974"/>
      <c r="B42" s="433" t="s">
        <v>912</v>
      </c>
      <c r="C42" s="430">
        <v>54.000814585859345</v>
      </c>
      <c r="D42" s="430">
        <v>72.035386022459519</v>
      </c>
      <c r="E42" s="430">
        <v>61.723972981951562</v>
      </c>
      <c r="F42" s="430">
        <v>46.597538676608231</v>
      </c>
      <c r="G42" s="430">
        <v>48.295254962810517</v>
      </c>
      <c r="H42" s="430">
        <v>47.373279932133698</v>
      </c>
      <c r="I42" s="430"/>
      <c r="J42" s="430"/>
      <c r="K42" s="430"/>
    </row>
    <row r="43" spans="1:11" ht="15.5" x14ac:dyDescent="0.35">
      <c r="A43" s="974"/>
      <c r="B43" s="435" t="s">
        <v>911</v>
      </c>
      <c r="C43" s="430">
        <v>56.8</v>
      </c>
      <c r="D43" s="430">
        <v>75.400000000000006</v>
      </c>
      <c r="E43" s="430">
        <v>64.8</v>
      </c>
      <c r="F43" s="430">
        <v>53.7</v>
      </c>
      <c r="G43" s="430">
        <v>52.9</v>
      </c>
      <c r="H43" s="430">
        <v>53.4</v>
      </c>
      <c r="I43" s="430" t="s">
        <v>983</v>
      </c>
      <c r="J43" s="430" t="s">
        <v>983</v>
      </c>
      <c r="K43" s="430" t="s">
        <v>983</v>
      </c>
    </row>
    <row r="44" spans="1:11" ht="15.5" x14ac:dyDescent="0.35">
      <c r="A44" s="974"/>
      <c r="B44" s="435" t="s">
        <v>910</v>
      </c>
      <c r="C44" s="430">
        <v>57.815400843881861</v>
      </c>
      <c r="D44" s="430">
        <v>76.952644313861043</v>
      </c>
      <c r="E44" s="430">
        <v>66.097232610321612</v>
      </c>
      <c r="F44" s="430">
        <v>53.251962638244223</v>
      </c>
      <c r="G44" s="430">
        <v>50.427921904252472</v>
      </c>
      <c r="H44" s="430">
        <v>51.948653068781439</v>
      </c>
      <c r="I44" s="430" t="s">
        <v>983</v>
      </c>
      <c r="J44" s="430" t="s">
        <v>983</v>
      </c>
      <c r="K44" s="430" t="s">
        <v>983</v>
      </c>
    </row>
    <row r="45" spans="1:11" ht="15.5" x14ac:dyDescent="0.35">
      <c r="A45" s="974"/>
      <c r="B45" s="435" t="s">
        <v>909</v>
      </c>
      <c r="C45" s="430">
        <v>57.660608163796468</v>
      </c>
      <c r="D45" s="430">
        <v>75.551130506009116</v>
      </c>
      <c r="E45" s="430">
        <v>65.431447482226218</v>
      </c>
      <c r="F45" s="430">
        <v>40.217967599410898</v>
      </c>
      <c r="G45" s="430">
        <v>41.22789045960527</v>
      </c>
      <c r="H45" s="430">
        <v>40.686972198500811</v>
      </c>
      <c r="I45" s="430" t="s">
        <v>983</v>
      </c>
      <c r="J45" s="430" t="s">
        <v>983</v>
      </c>
      <c r="K45" s="430" t="s">
        <v>983</v>
      </c>
    </row>
    <row r="46" spans="1:11" ht="15.5" x14ac:dyDescent="0.35">
      <c r="A46" s="974"/>
      <c r="B46" s="435" t="s">
        <v>908</v>
      </c>
      <c r="C46" s="430">
        <v>54.188610193698118</v>
      </c>
      <c r="D46" s="430">
        <v>72.797725567165045</v>
      </c>
      <c r="E46" s="430">
        <v>62.302725968436157</v>
      </c>
      <c r="F46" s="430">
        <v>39.871499575706146</v>
      </c>
      <c r="G46" s="430">
        <v>40.568078721473931</v>
      </c>
      <c r="H46" s="430">
        <v>40.195283355500052</v>
      </c>
      <c r="I46" s="430" t="s">
        <v>983</v>
      </c>
      <c r="J46" s="430" t="s">
        <v>983</v>
      </c>
      <c r="K46" s="430" t="s">
        <v>983</v>
      </c>
    </row>
    <row r="47" spans="1:11" ht="15.5" x14ac:dyDescent="0.35">
      <c r="A47" s="973">
        <v>7</v>
      </c>
      <c r="B47" s="433" t="s">
        <v>18</v>
      </c>
      <c r="C47" s="430"/>
      <c r="D47" s="430"/>
      <c r="E47" s="430"/>
      <c r="F47" s="430"/>
      <c r="G47" s="430"/>
      <c r="H47" s="430"/>
      <c r="I47" s="430"/>
      <c r="J47" s="430"/>
      <c r="K47" s="430"/>
    </row>
    <row r="48" spans="1:11" ht="15.5" x14ac:dyDescent="0.35">
      <c r="A48" s="974"/>
      <c r="B48" s="433" t="s">
        <v>912</v>
      </c>
      <c r="C48" s="430">
        <v>25.190721406584021</v>
      </c>
      <c r="D48" s="430">
        <v>30.566596932622904</v>
      </c>
      <c r="E48" s="430">
        <v>27.846830334659007</v>
      </c>
      <c r="F48" s="430">
        <v>26.683418083549192</v>
      </c>
      <c r="G48" s="430">
        <v>30.467496939836984</v>
      </c>
      <c r="H48" s="430">
        <v>28.539574318058403</v>
      </c>
      <c r="I48" s="430">
        <v>17.008911705863351</v>
      </c>
      <c r="J48" s="430">
        <v>24.009715368565658</v>
      </c>
      <c r="K48" s="430">
        <v>20.57786326197165</v>
      </c>
    </row>
    <row r="49" spans="1:11" ht="15.5" x14ac:dyDescent="0.35">
      <c r="A49" s="974"/>
      <c r="B49" s="435" t="s">
        <v>911</v>
      </c>
      <c r="C49" s="430">
        <v>17.600000000000001</v>
      </c>
      <c r="D49" s="430">
        <v>21.6</v>
      </c>
      <c r="E49" s="430">
        <v>19.600000000000001</v>
      </c>
      <c r="F49" s="430">
        <v>19.100000000000001</v>
      </c>
      <c r="G49" s="430">
        <v>21.7</v>
      </c>
      <c r="H49" s="430">
        <v>20.3</v>
      </c>
      <c r="I49" s="430">
        <v>10.8</v>
      </c>
      <c r="J49" s="430">
        <v>15.3</v>
      </c>
      <c r="K49" s="430">
        <v>13.1</v>
      </c>
    </row>
    <row r="50" spans="1:11" ht="15.5" x14ac:dyDescent="0.35">
      <c r="A50" s="974"/>
      <c r="B50" s="435" t="s">
        <v>910</v>
      </c>
      <c r="C50" s="430">
        <v>18.004756242568369</v>
      </c>
      <c r="D50" s="430">
        <v>21.300583302952973</v>
      </c>
      <c r="E50" s="430">
        <v>19.634743674499671</v>
      </c>
      <c r="F50" s="430">
        <v>18.338804873948092</v>
      </c>
      <c r="G50" s="430">
        <v>20.415792204929438</v>
      </c>
      <c r="H50" s="430">
        <v>19.357957144563301</v>
      </c>
      <c r="I50" s="430">
        <v>11.958366096925051</v>
      </c>
      <c r="J50" s="430">
        <v>16.169724542611089</v>
      </c>
      <c r="K50" s="430">
        <v>14.106000087206146</v>
      </c>
    </row>
    <row r="51" spans="1:11" ht="15.5" x14ac:dyDescent="0.35">
      <c r="A51" s="974"/>
      <c r="B51" s="435" t="s">
        <v>909</v>
      </c>
      <c r="C51" s="430">
        <v>16.345895745955662</v>
      </c>
      <c r="D51" s="430">
        <v>19.184020555487578</v>
      </c>
      <c r="E51" s="430">
        <v>17.750181620050853</v>
      </c>
      <c r="F51" s="430">
        <v>16.754283879770458</v>
      </c>
      <c r="G51" s="430">
        <v>18.520744806284707</v>
      </c>
      <c r="H51" s="430">
        <v>17.62147536443744</v>
      </c>
      <c r="I51" s="430">
        <v>9.6103435691569796</v>
      </c>
      <c r="J51" s="430">
        <v>12.57350041142212</v>
      </c>
      <c r="K51" s="430">
        <v>11.122142652125461</v>
      </c>
    </row>
    <row r="52" spans="1:11" ht="15.5" x14ac:dyDescent="0.35">
      <c r="A52" s="974"/>
      <c r="B52" s="435" t="s">
        <v>908</v>
      </c>
      <c r="C52" s="430">
        <v>17.076388888888889</v>
      </c>
      <c r="D52" s="430">
        <v>18.734692620426266</v>
      </c>
      <c r="E52" s="430">
        <v>17.89729828627188</v>
      </c>
      <c r="F52" s="430">
        <v>17.028724991461594</v>
      </c>
      <c r="G52" s="430">
        <v>18.154942036407654</v>
      </c>
      <c r="H52" s="430">
        <v>17.58187480849001</v>
      </c>
      <c r="I52" s="430">
        <v>9.8035053353482322</v>
      </c>
      <c r="J52" s="430">
        <v>11.938378918849182</v>
      </c>
      <c r="K52" s="430">
        <v>10.89320000740852</v>
      </c>
    </row>
    <row r="53" spans="1:11" ht="15.5" x14ac:dyDescent="0.35">
      <c r="A53" s="973">
        <v>8</v>
      </c>
      <c r="B53" s="433" t="s">
        <v>19</v>
      </c>
      <c r="C53" s="430"/>
      <c r="D53" s="430"/>
      <c r="E53" s="430"/>
      <c r="F53" s="430"/>
      <c r="G53" s="430"/>
      <c r="H53" s="430"/>
      <c r="I53" s="430"/>
      <c r="J53" s="430"/>
      <c r="K53" s="430"/>
    </row>
    <row r="54" spans="1:11" ht="15.5" x14ac:dyDescent="0.35">
      <c r="A54" s="974"/>
      <c r="B54" s="433" t="s">
        <v>912</v>
      </c>
      <c r="C54" s="430">
        <v>55.137624058384695</v>
      </c>
      <c r="D54" s="430">
        <v>56.298002322310367</v>
      </c>
      <c r="E54" s="430">
        <v>55.735612895897965</v>
      </c>
      <c r="F54" s="430">
        <v>39.208708510330219</v>
      </c>
      <c r="G54" s="430">
        <v>38.224326118392426</v>
      </c>
      <c r="H54" s="430">
        <v>38.722259020789828</v>
      </c>
      <c r="I54" s="430"/>
      <c r="J54" s="430"/>
      <c r="K54" s="430"/>
    </row>
    <row r="55" spans="1:11" ht="15.5" x14ac:dyDescent="0.35">
      <c r="A55" s="974"/>
      <c r="B55" s="435" t="s">
        <v>911</v>
      </c>
      <c r="C55" s="430">
        <v>48.3</v>
      </c>
      <c r="D55" s="430">
        <v>49.7</v>
      </c>
      <c r="E55" s="430">
        <v>49</v>
      </c>
      <c r="F55" s="430">
        <v>36.6</v>
      </c>
      <c r="G55" s="430">
        <v>35.6</v>
      </c>
      <c r="H55" s="430">
        <v>36.1</v>
      </c>
      <c r="I55" s="430" t="s">
        <v>983</v>
      </c>
      <c r="J55" s="430" t="s">
        <v>983</v>
      </c>
      <c r="K55" s="430" t="s">
        <v>983</v>
      </c>
    </row>
    <row r="56" spans="1:11" ht="15.5" x14ac:dyDescent="0.35">
      <c r="A56" s="974"/>
      <c r="B56" s="435" t="s">
        <v>910</v>
      </c>
      <c r="C56" s="430">
        <v>46.674020823004462</v>
      </c>
      <c r="D56" s="430">
        <v>48.531911079239869</v>
      </c>
      <c r="E56" s="430">
        <v>47.565181872903942</v>
      </c>
      <c r="F56" s="430">
        <v>26.256958039749918</v>
      </c>
      <c r="G56" s="430">
        <v>23.842120254198903</v>
      </c>
      <c r="H56" s="430">
        <v>25.070379879270117</v>
      </c>
      <c r="I56" s="430" t="s">
        <v>983</v>
      </c>
      <c r="J56" s="430" t="s">
        <v>983</v>
      </c>
      <c r="K56" s="430" t="s">
        <v>983</v>
      </c>
    </row>
    <row r="57" spans="1:11" ht="15.5" x14ac:dyDescent="0.35">
      <c r="A57" s="974"/>
      <c r="B57" s="435" t="s">
        <v>909</v>
      </c>
      <c r="C57" s="430">
        <v>47.973060344827587</v>
      </c>
      <c r="D57" s="430">
        <v>50.181941677232388</v>
      </c>
      <c r="E57" s="430">
        <v>49.028650566952308</v>
      </c>
      <c r="F57" s="430">
        <v>36.648717136522016</v>
      </c>
      <c r="G57" s="430">
        <v>38.351873342957155</v>
      </c>
      <c r="H57" s="430">
        <v>37.48247548878085</v>
      </c>
      <c r="I57" s="430" t="s">
        <v>983</v>
      </c>
      <c r="J57" s="430" t="s">
        <v>983</v>
      </c>
      <c r="K57" s="430" t="s">
        <v>983</v>
      </c>
    </row>
    <row r="58" spans="1:11" ht="15.5" x14ac:dyDescent="0.35">
      <c r="A58" s="974"/>
      <c r="B58" s="435" t="s">
        <v>908</v>
      </c>
      <c r="C58" s="430">
        <v>45.716115083984697</v>
      </c>
      <c r="D58" s="430">
        <v>48.295571010248899</v>
      </c>
      <c r="E58" s="430">
        <v>46.944149167901017</v>
      </c>
      <c r="F58" s="430">
        <v>33.656840404187136</v>
      </c>
      <c r="G58" s="430">
        <v>35.075267177028017</v>
      </c>
      <c r="H58" s="430">
        <v>34.34872581845238</v>
      </c>
      <c r="I58" s="430" t="s">
        <v>983</v>
      </c>
      <c r="J58" s="430" t="s">
        <v>983</v>
      </c>
      <c r="K58" s="430" t="s">
        <v>983</v>
      </c>
    </row>
    <row r="59" spans="1:11" ht="15.5" x14ac:dyDescent="0.35">
      <c r="A59" s="973">
        <v>9</v>
      </c>
      <c r="B59" s="433" t="s">
        <v>20</v>
      </c>
      <c r="C59" s="430"/>
      <c r="D59" s="430"/>
      <c r="E59" s="430"/>
      <c r="F59" s="430"/>
      <c r="G59" s="430"/>
      <c r="H59" s="430"/>
      <c r="I59" s="430"/>
      <c r="J59" s="430"/>
      <c r="K59" s="430"/>
    </row>
    <row r="60" spans="1:11" ht="15.5" x14ac:dyDescent="0.35">
      <c r="A60" s="974"/>
      <c r="B60" s="433" t="s">
        <v>912</v>
      </c>
      <c r="C60" s="430">
        <v>34.283891392117759</v>
      </c>
      <c r="D60" s="430">
        <v>36.590686770366553</v>
      </c>
      <c r="E60" s="430">
        <v>35.343699094908665</v>
      </c>
      <c r="F60" s="430">
        <v>46.072369847272029</v>
      </c>
      <c r="G60" s="430">
        <v>34.561280653077411</v>
      </c>
      <c r="H60" s="430">
        <v>40.421101492118751</v>
      </c>
      <c r="I60" s="430">
        <v>22.598705796847046</v>
      </c>
      <c r="J60" s="430">
        <v>32.535748971732282</v>
      </c>
      <c r="K60" s="430">
        <v>27.520529660424693</v>
      </c>
    </row>
    <row r="61" spans="1:11" ht="15.5" x14ac:dyDescent="0.35">
      <c r="A61" s="974"/>
      <c r="B61" s="435" t="s">
        <v>911</v>
      </c>
      <c r="C61" s="430">
        <v>36</v>
      </c>
      <c r="D61" s="430">
        <v>35.5</v>
      </c>
      <c r="E61" s="430">
        <v>35.799999999999997</v>
      </c>
      <c r="F61" s="430">
        <v>45.4</v>
      </c>
      <c r="G61" s="430">
        <v>33.5</v>
      </c>
      <c r="H61" s="430">
        <v>39.5</v>
      </c>
      <c r="I61" s="430">
        <v>23.7</v>
      </c>
      <c r="J61" s="430">
        <v>31.6</v>
      </c>
      <c r="K61" s="430">
        <v>27.6</v>
      </c>
    </row>
    <row r="62" spans="1:11" ht="15.5" x14ac:dyDescent="0.35">
      <c r="A62" s="974"/>
      <c r="B62" s="435" t="s">
        <v>910</v>
      </c>
      <c r="C62" s="430">
        <v>30.756035312330027</v>
      </c>
      <c r="D62" s="430">
        <v>37.307157958320744</v>
      </c>
      <c r="E62" s="430">
        <v>33.79601858963219</v>
      </c>
      <c r="F62" s="430">
        <v>51.050539466212378</v>
      </c>
      <c r="G62" s="430">
        <v>38.959537572254341</v>
      </c>
      <c r="H62" s="430">
        <v>45.058722429103412</v>
      </c>
      <c r="I62" s="430">
        <v>24.183460736622656</v>
      </c>
      <c r="J62" s="430">
        <v>31.92771084337349</v>
      </c>
      <c r="K62" s="430">
        <v>28.055137263987028</v>
      </c>
    </row>
    <row r="63" spans="1:11" ht="15.5" x14ac:dyDescent="0.35">
      <c r="A63" s="974"/>
      <c r="B63" s="435" t="s">
        <v>909</v>
      </c>
      <c r="C63" s="430">
        <v>26.942598447211648</v>
      </c>
      <c r="D63" s="430">
        <v>34.216079471833162</v>
      </c>
      <c r="E63" s="430">
        <v>30.329427853978359</v>
      </c>
      <c r="F63" s="430">
        <v>32.399299474605954</v>
      </c>
      <c r="G63" s="430">
        <v>31.877213695395511</v>
      </c>
      <c r="H63" s="430">
        <v>32.139712356912241</v>
      </c>
      <c r="I63" s="430">
        <v>22.029054536794476</v>
      </c>
      <c r="J63" s="430">
        <v>31.380901668441602</v>
      </c>
      <c r="K63" s="430">
        <v>26.719686628286542</v>
      </c>
    </row>
    <row r="64" spans="1:11" ht="15.5" x14ac:dyDescent="0.35">
      <c r="A64" s="974"/>
      <c r="B64" s="435" t="s">
        <v>908</v>
      </c>
      <c r="C64" s="430">
        <v>29.836032926181627</v>
      </c>
      <c r="D64" s="430">
        <v>34.949680934244711</v>
      </c>
      <c r="E64" s="430">
        <v>32.225745235092354</v>
      </c>
      <c r="F64" s="430">
        <v>33.153153153153156</v>
      </c>
      <c r="G64" s="430">
        <v>31.019915509957759</v>
      </c>
      <c r="H64" s="430">
        <v>32.089102950030103</v>
      </c>
      <c r="I64" s="430">
        <v>24.40279309077545</v>
      </c>
      <c r="J64" s="430">
        <v>31.708791873261578</v>
      </c>
      <c r="K64" s="430">
        <v>28.079357351509248</v>
      </c>
    </row>
    <row r="65" spans="1:11" ht="15.5" x14ac:dyDescent="0.35">
      <c r="A65" s="973">
        <v>10</v>
      </c>
      <c r="B65" s="433" t="s">
        <v>21</v>
      </c>
      <c r="C65" s="430"/>
      <c r="D65" s="430"/>
      <c r="E65" s="430"/>
      <c r="F65" s="430"/>
      <c r="G65" s="430"/>
      <c r="H65" s="430"/>
      <c r="I65" s="430"/>
      <c r="J65" s="430"/>
      <c r="K65" s="430"/>
    </row>
    <row r="66" spans="1:11" ht="15.5" x14ac:dyDescent="0.35">
      <c r="A66" s="974"/>
      <c r="B66" s="433" t="s">
        <v>912</v>
      </c>
      <c r="C66" s="430">
        <v>26.28901414121081</v>
      </c>
      <c r="D66" s="430">
        <v>24.344647293315617</v>
      </c>
      <c r="E66" s="430">
        <v>25.378361299343876</v>
      </c>
      <c r="F66" s="430">
        <v>34.912981853977257</v>
      </c>
      <c r="G66" s="430">
        <v>33.716115284004658</v>
      </c>
      <c r="H66" s="430">
        <v>34.354082240595574</v>
      </c>
      <c r="I66" s="430">
        <v>21.542939623687126</v>
      </c>
      <c r="J66" s="430">
        <v>23.635541719923854</v>
      </c>
      <c r="K66" s="430">
        <v>22.56977813117182</v>
      </c>
    </row>
    <row r="67" spans="1:11" ht="15.5" x14ac:dyDescent="0.35">
      <c r="A67" s="974"/>
      <c r="B67" s="435" t="s">
        <v>911</v>
      </c>
      <c r="C67" s="430">
        <v>25.2</v>
      </c>
      <c r="D67" s="430">
        <v>22.7</v>
      </c>
      <c r="E67" s="430">
        <v>24</v>
      </c>
      <c r="F67" s="430">
        <v>33.6</v>
      </c>
      <c r="G67" s="430">
        <v>30.8</v>
      </c>
      <c r="H67" s="430">
        <v>32.299999999999997</v>
      </c>
      <c r="I67" s="430">
        <v>19.899999999999999</v>
      </c>
      <c r="J67" s="430">
        <v>21</v>
      </c>
      <c r="K67" s="430">
        <v>20.399999999999999</v>
      </c>
    </row>
    <row r="68" spans="1:11" ht="15.5" x14ac:dyDescent="0.35">
      <c r="A68" s="974"/>
      <c r="B68" s="435" t="s">
        <v>910</v>
      </c>
      <c r="C68" s="430">
        <v>23.55725190839695</v>
      </c>
      <c r="D68" s="430">
        <v>20.605971525736351</v>
      </c>
      <c r="E68" s="430">
        <v>22.183113711387243</v>
      </c>
      <c r="F68" s="430">
        <v>30.08968546229876</v>
      </c>
      <c r="G68" s="430">
        <v>26.707179323160634</v>
      </c>
      <c r="H68" s="430">
        <v>28.509950366343656</v>
      </c>
      <c r="I68" s="430">
        <v>17.700175991873664</v>
      </c>
      <c r="J68" s="430">
        <v>17.884121206178786</v>
      </c>
      <c r="K68" s="430">
        <v>17.790449152100603</v>
      </c>
    </row>
    <row r="69" spans="1:11" ht="15.5" x14ac:dyDescent="0.35">
      <c r="A69" s="974"/>
      <c r="B69" s="435" t="s">
        <v>909</v>
      </c>
      <c r="C69" s="430">
        <v>21.799662281364988</v>
      </c>
      <c r="D69" s="430">
        <v>19.640426392419691</v>
      </c>
      <c r="E69" s="430">
        <v>20.793603790346463</v>
      </c>
      <c r="F69" s="430">
        <v>27.864521205949274</v>
      </c>
      <c r="G69" s="430">
        <v>25.697902336283619</v>
      </c>
      <c r="H69" s="430">
        <v>26.851939657624918</v>
      </c>
      <c r="I69" s="430">
        <v>15.67766219139919</v>
      </c>
      <c r="J69" s="430">
        <v>16.689974589927292</v>
      </c>
      <c r="K69" s="430">
        <v>16.17479668256739</v>
      </c>
    </row>
    <row r="70" spans="1:11" ht="15.5" x14ac:dyDescent="0.35">
      <c r="A70" s="974"/>
      <c r="B70" s="435" t="s">
        <v>908</v>
      </c>
      <c r="C70" s="430">
        <v>21.070171000708289</v>
      </c>
      <c r="D70" s="430">
        <v>18.680315051832977</v>
      </c>
      <c r="E70" s="430">
        <v>19.955877190613776</v>
      </c>
      <c r="F70" s="430">
        <v>27.58758715829125</v>
      </c>
      <c r="G70" s="430">
        <v>24.817253989496933</v>
      </c>
      <c r="H70" s="430">
        <v>26.291948862339243</v>
      </c>
      <c r="I70" s="430">
        <v>14.351724233668417</v>
      </c>
      <c r="J70" s="430">
        <v>14.817787009063444</v>
      </c>
      <c r="K70" s="430">
        <v>14.580755129931367</v>
      </c>
    </row>
    <row r="71" spans="1:11" ht="15.5" x14ac:dyDescent="0.35">
      <c r="A71" s="973">
        <v>11</v>
      </c>
      <c r="B71" s="433" t="s">
        <v>22</v>
      </c>
      <c r="C71" s="430"/>
      <c r="D71" s="430"/>
      <c r="E71" s="430"/>
      <c r="F71" s="430"/>
      <c r="G71" s="430"/>
      <c r="H71" s="430"/>
      <c r="I71" s="430"/>
      <c r="J71" s="430"/>
      <c r="K71" s="430"/>
    </row>
    <row r="72" spans="1:11" ht="15.5" x14ac:dyDescent="0.35">
      <c r="A72" s="974"/>
      <c r="B72" s="433" t="s">
        <v>912</v>
      </c>
      <c r="C72" s="430">
        <v>31.242309859154933</v>
      </c>
      <c r="D72" s="430">
        <v>39.057031456515993</v>
      </c>
      <c r="E72" s="430">
        <v>34.827982488143014</v>
      </c>
      <c r="F72" s="430">
        <v>23.951112693000969</v>
      </c>
      <c r="G72" s="430">
        <v>32.0845352506526</v>
      </c>
      <c r="H72" s="430">
        <v>27.673738373006202</v>
      </c>
      <c r="I72" s="430"/>
      <c r="J72" s="430"/>
      <c r="K72" s="430"/>
    </row>
    <row r="73" spans="1:11" ht="15.5" x14ac:dyDescent="0.35">
      <c r="A73" s="974"/>
      <c r="B73" s="435" t="s">
        <v>911</v>
      </c>
      <c r="C73" s="430">
        <v>30.3</v>
      </c>
      <c r="D73" s="430">
        <v>37</v>
      </c>
      <c r="E73" s="430">
        <v>33.299999999999997</v>
      </c>
      <c r="F73" s="430">
        <v>24.2</v>
      </c>
      <c r="G73" s="430">
        <v>29.2</v>
      </c>
      <c r="H73" s="430">
        <v>26.5</v>
      </c>
      <c r="I73" s="430" t="s">
        <v>983</v>
      </c>
      <c r="J73" s="430" t="s">
        <v>983</v>
      </c>
      <c r="K73" s="430" t="s">
        <v>983</v>
      </c>
    </row>
    <row r="74" spans="1:11" ht="15.5" x14ac:dyDescent="0.35">
      <c r="A74" s="974"/>
      <c r="B74" s="435" t="s">
        <v>910</v>
      </c>
      <c r="C74" s="430">
        <v>28.908720410897722</v>
      </c>
      <c r="D74" s="430">
        <v>33.658899420747765</v>
      </c>
      <c r="E74" s="430">
        <v>31.088659980666989</v>
      </c>
      <c r="F74" s="430">
        <v>20.502186441700569</v>
      </c>
      <c r="G74" s="430">
        <v>23.783236642079906</v>
      </c>
      <c r="H74" s="430">
        <v>21.999731927951359</v>
      </c>
      <c r="I74" s="430" t="s">
        <v>983</v>
      </c>
      <c r="J74" s="430" t="s">
        <v>983</v>
      </c>
      <c r="K74" s="430" t="s">
        <v>983</v>
      </c>
    </row>
    <row r="75" spans="1:11" ht="15.5" x14ac:dyDescent="0.35">
      <c r="A75" s="974"/>
      <c r="B75" s="435" t="s">
        <v>909</v>
      </c>
      <c r="C75" s="430">
        <v>25.691084579334973</v>
      </c>
      <c r="D75" s="430">
        <v>31.175299855015158</v>
      </c>
      <c r="E75" s="430">
        <v>28.205359840473744</v>
      </c>
      <c r="F75" s="430">
        <v>16.781748403535815</v>
      </c>
      <c r="G75" s="430">
        <v>20.630506926568057</v>
      </c>
      <c r="H75" s="430">
        <v>18.536609715051767</v>
      </c>
      <c r="I75" s="430" t="s">
        <v>983</v>
      </c>
      <c r="J75" s="430" t="s">
        <v>983</v>
      </c>
      <c r="K75" s="430" t="s">
        <v>983</v>
      </c>
    </row>
    <row r="76" spans="1:11" ht="15.5" x14ac:dyDescent="0.35">
      <c r="A76" s="974"/>
      <c r="B76" s="435" t="s">
        <v>908</v>
      </c>
      <c r="C76" s="430">
        <v>25.495595450490633</v>
      </c>
      <c r="D76" s="430">
        <v>31.116653470572707</v>
      </c>
      <c r="E76" s="430">
        <v>28.070016922519038</v>
      </c>
      <c r="F76" s="430">
        <v>17.63499282203896</v>
      </c>
      <c r="G76" s="430">
        <v>21.122530783009534</v>
      </c>
      <c r="H76" s="430">
        <v>19.223571298155925</v>
      </c>
      <c r="I76" s="430" t="s">
        <v>983</v>
      </c>
      <c r="J76" s="430" t="s">
        <v>983</v>
      </c>
      <c r="K76" s="430" t="s">
        <v>983</v>
      </c>
    </row>
    <row r="77" spans="1:11" ht="15.5" x14ac:dyDescent="0.35">
      <c r="A77" s="973">
        <v>12</v>
      </c>
      <c r="B77" s="433" t="s">
        <v>23</v>
      </c>
      <c r="C77" s="430"/>
      <c r="D77" s="430"/>
      <c r="E77" s="430"/>
      <c r="F77" s="430"/>
      <c r="G77" s="430"/>
      <c r="H77" s="430"/>
      <c r="I77" s="430"/>
      <c r="J77" s="430"/>
      <c r="K77" s="430"/>
    </row>
    <row r="78" spans="1:11" ht="15.5" x14ac:dyDescent="0.35">
      <c r="A78" s="974"/>
      <c r="B78" s="433" t="s">
        <v>912</v>
      </c>
      <c r="C78" s="430">
        <v>38.369418937651048</v>
      </c>
      <c r="D78" s="430">
        <v>50.609215281323202</v>
      </c>
      <c r="E78" s="430">
        <v>44.146102282097722</v>
      </c>
      <c r="F78" s="430">
        <v>29.839943191942602</v>
      </c>
      <c r="G78" s="430">
        <v>40.422830768543058</v>
      </c>
      <c r="H78" s="430">
        <v>34.846876850732059</v>
      </c>
      <c r="I78" s="430">
        <v>36.528737221280316</v>
      </c>
      <c r="J78" s="430">
        <v>48.648603530636272</v>
      </c>
      <c r="K78" s="430">
        <v>42.383404160252795</v>
      </c>
    </row>
    <row r="79" spans="1:11" ht="15.5" x14ac:dyDescent="0.35">
      <c r="A79" s="974"/>
      <c r="B79" s="435" t="s">
        <v>911</v>
      </c>
      <c r="C79" s="430">
        <v>37.299999999999997</v>
      </c>
      <c r="D79" s="430">
        <v>49.7</v>
      </c>
      <c r="E79" s="430">
        <v>43.1</v>
      </c>
      <c r="F79" s="430">
        <v>29.4</v>
      </c>
      <c r="G79" s="430">
        <v>39.9</v>
      </c>
      <c r="H79" s="430">
        <v>34.4</v>
      </c>
      <c r="I79" s="430">
        <v>38.700000000000003</v>
      </c>
      <c r="J79" s="430">
        <v>50.6</v>
      </c>
      <c r="K79" s="430">
        <v>44.5</v>
      </c>
    </row>
    <row r="80" spans="1:11" ht="15.5" x14ac:dyDescent="0.35">
      <c r="A80" s="974"/>
      <c r="B80" s="435" t="s">
        <v>910</v>
      </c>
      <c r="C80" s="430">
        <v>33.5</v>
      </c>
      <c r="D80" s="430">
        <v>44.657053112507143</v>
      </c>
      <c r="E80" s="430">
        <v>38.724926450922709</v>
      </c>
      <c r="F80" s="430">
        <v>24.777430691136278</v>
      </c>
      <c r="G80" s="430">
        <v>33.519734351508333</v>
      </c>
      <c r="H80" s="430">
        <v>28.924589390075578</v>
      </c>
      <c r="I80" s="430">
        <v>35.385298689762379</v>
      </c>
      <c r="J80" s="430">
        <v>44.23058734512437</v>
      </c>
      <c r="K80" s="430">
        <v>39.669270057946449</v>
      </c>
    </row>
    <row r="81" spans="1:11" ht="15.5" x14ac:dyDescent="0.35">
      <c r="A81" s="974"/>
      <c r="B81" s="435" t="s">
        <v>909</v>
      </c>
      <c r="C81" s="430">
        <v>33.123997995991985</v>
      </c>
      <c r="D81" s="430">
        <v>44.498302207130727</v>
      </c>
      <c r="E81" s="430">
        <v>38.465054477810256</v>
      </c>
      <c r="F81" s="430">
        <v>23.744798351028663</v>
      </c>
      <c r="G81" s="430">
        <v>33.066443722734924</v>
      </c>
      <c r="H81" s="430">
        <v>28.178434871271985</v>
      </c>
      <c r="I81" s="430">
        <v>33.421809334218096</v>
      </c>
      <c r="J81" s="430">
        <v>43.015136604339475</v>
      </c>
      <c r="K81" s="430">
        <v>38.07941745363523</v>
      </c>
    </row>
    <row r="82" spans="1:11" ht="15.5" x14ac:dyDescent="0.35">
      <c r="A82" s="974"/>
      <c r="B82" s="435" t="s">
        <v>908</v>
      </c>
      <c r="C82" s="430">
        <v>32.297654690618756</v>
      </c>
      <c r="D82" s="430">
        <v>43.300897363993265</v>
      </c>
      <c r="E82" s="430">
        <v>37.478214945867435</v>
      </c>
      <c r="F82" s="430">
        <v>23.903549121193045</v>
      </c>
      <c r="G82" s="430">
        <v>32.160990843619217</v>
      </c>
      <c r="H82" s="430">
        <v>27.841464588388455</v>
      </c>
      <c r="I82" s="430">
        <v>33.265773704617551</v>
      </c>
      <c r="J82" s="430">
        <v>42.158547345934153</v>
      </c>
      <c r="K82" s="430">
        <v>37.595242940152389</v>
      </c>
    </row>
    <row r="83" spans="1:11" ht="15.5" x14ac:dyDescent="0.35">
      <c r="A83" s="973">
        <v>13</v>
      </c>
      <c r="B83" s="433" t="s">
        <v>24</v>
      </c>
      <c r="C83" s="430"/>
      <c r="D83" s="430"/>
      <c r="E83" s="430"/>
      <c r="F83" s="430"/>
      <c r="G83" s="430"/>
      <c r="H83" s="430"/>
      <c r="I83" s="430"/>
      <c r="J83" s="430"/>
      <c r="K83" s="430"/>
    </row>
    <row r="84" spans="1:11" ht="15.5" x14ac:dyDescent="0.35">
      <c r="A84" s="974"/>
      <c r="B84" s="433" t="s">
        <v>912</v>
      </c>
      <c r="C84" s="430">
        <v>22.089716805942437</v>
      </c>
      <c r="D84" s="430">
        <v>26.884103367267031</v>
      </c>
      <c r="E84" s="430">
        <v>24.334459044578168</v>
      </c>
      <c r="F84" s="430">
        <v>17.72317629539155</v>
      </c>
      <c r="G84" s="430">
        <v>23.048429789351658</v>
      </c>
      <c r="H84" s="430">
        <v>20.21861451116407</v>
      </c>
      <c r="I84" s="430">
        <v>19.198691108723427</v>
      </c>
      <c r="J84" s="430">
        <v>18.504419043781997</v>
      </c>
      <c r="K84" s="430">
        <v>18.873073908032548</v>
      </c>
    </row>
    <row r="85" spans="1:11" ht="15.5" x14ac:dyDescent="0.35">
      <c r="A85" s="974"/>
      <c r="B85" s="435" t="s">
        <v>911</v>
      </c>
      <c r="C85" s="430">
        <v>22.6</v>
      </c>
      <c r="D85" s="430">
        <v>27.2</v>
      </c>
      <c r="E85" s="430">
        <v>24.8</v>
      </c>
      <c r="F85" s="430">
        <v>18.600000000000001</v>
      </c>
      <c r="G85" s="430">
        <v>22.5</v>
      </c>
      <c r="H85" s="430">
        <v>20.399999999999999</v>
      </c>
      <c r="I85" s="430">
        <v>19.899999999999999</v>
      </c>
      <c r="J85" s="430">
        <v>17.8</v>
      </c>
      <c r="K85" s="430">
        <v>18.899999999999999</v>
      </c>
    </row>
    <row r="86" spans="1:11" ht="15.5" x14ac:dyDescent="0.35">
      <c r="A86" s="974"/>
      <c r="B86" s="435" t="s">
        <v>910</v>
      </c>
      <c r="C86" s="430">
        <v>23.03834246249107</v>
      </c>
      <c r="D86" s="430">
        <v>27.231238398302835</v>
      </c>
      <c r="E86" s="430">
        <v>25.022208281053953</v>
      </c>
      <c r="F86" s="430">
        <v>15.353826448927313</v>
      </c>
      <c r="G86" s="430">
        <v>19.435501005115466</v>
      </c>
      <c r="H86" s="430">
        <v>17.276527603489026</v>
      </c>
      <c r="I86" s="430">
        <v>17.132316835173693</v>
      </c>
      <c r="J86" s="430">
        <v>15.704707459947773</v>
      </c>
      <c r="K86" s="430">
        <v>16.459259456437831</v>
      </c>
    </row>
    <row r="87" spans="1:11" ht="15.5" x14ac:dyDescent="0.35">
      <c r="A87" s="974"/>
      <c r="B87" s="435" t="s">
        <v>909</v>
      </c>
      <c r="C87" s="430">
        <v>24.075519574673756</v>
      </c>
      <c r="D87" s="430">
        <v>26.281752411575564</v>
      </c>
      <c r="E87" s="430">
        <v>25.121728081321475</v>
      </c>
      <c r="F87" s="430">
        <v>13.738406096768477</v>
      </c>
      <c r="G87" s="430">
        <v>19.326551507745155</v>
      </c>
      <c r="H87" s="430">
        <v>16.376635324570021</v>
      </c>
      <c r="I87" s="430">
        <v>15.665205892498946</v>
      </c>
      <c r="J87" s="430">
        <v>14.378423094477407</v>
      </c>
      <c r="K87" s="430">
        <v>15.057183871250363</v>
      </c>
    </row>
    <row r="88" spans="1:11" ht="15.5" x14ac:dyDescent="0.35">
      <c r="A88" s="974"/>
      <c r="B88" s="435" t="s">
        <v>908</v>
      </c>
      <c r="C88" s="430">
        <v>23.947755702722588</v>
      </c>
      <c r="D88" s="430">
        <v>26.919712970484699</v>
      </c>
      <c r="E88" s="430">
        <v>25.360296010296011</v>
      </c>
      <c r="F88" s="430">
        <v>14.599010643081996</v>
      </c>
      <c r="G88" s="430">
        <v>19.480649521870465</v>
      </c>
      <c r="H88" s="430">
        <v>16.908971736778515</v>
      </c>
      <c r="I88" s="430">
        <v>16.898139142838616</v>
      </c>
      <c r="J88" s="430">
        <v>17.052710474351031</v>
      </c>
      <c r="K88" s="430">
        <v>16.971227686951774</v>
      </c>
    </row>
    <row r="89" spans="1:11" ht="15.5" x14ac:dyDescent="0.35">
      <c r="A89" s="973">
        <v>14</v>
      </c>
      <c r="B89" s="433" t="s">
        <v>25</v>
      </c>
      <c r="C89" s="430"/>
      <c r="D89" s="430"/>
      <c r="E89" s="430"/>
      <c r="F89" s="430"/>
      <c r="G89" s="430"/>
      <c r="H89" s="430"/>
      <c r="I89" s="430"/>
      <c r="J89" s="430"/>
      <c r="K89" s="430"/>
    </row>
    <row r="90" spans="1:11" ht="15.5" x14ac:dyDescent="0.35">
      <c r="A90" s="974"/>
      <c r="B90" s="433" t="s">
        <v>912</v>
      </c>
      <c r="C90" s="430">
        <v>18.606108130416839</v>
      </c>
      <c r="D90" s="430">
        <v>19.465045855684373</v>
      </c>
      <c r="E90" s="430">
        <v>19.025472056773541</v>
      </c>
      <c r="F90" s="430">
        <v>15.525281441536338</v>
      </c>
      <c r="G90" s="430">
        <v>14.605332489550454</v>
      </c>
      <c r="H90" s="430">
        <v>15.078757848952263</v>
      </c>
      <c r="I90" s="430">
        <v>13.468671664894769</v>
      </c>
      <c r="J90" s="430">
        <v>16.206494506109475</v>
      </c>
      <c r="K90" s="430">
        <v>14.883268413894147</v>
      </c>
    </row>
    <row r="91" spans="1:11" ht="15.5" x14ac:dyDescent="0.35">
      <c r="A91" s="974"/>
      <c r="B91" s="435" t="s">
        <v>911</v>
      </c>
      <c r="C91" s="430">
        <v>18.600000000000001</v>
      </c>
      <c r="D91" s="430">
        <v>18.7</v>
      </c>
      <c r="E91" s="430">
        <v>18.600000000000001</v>
      </c>
      <c r="F91" s="430">
        <v>15.8</v>
      </c>
      <c r="G91" s="430">
        <v>13.7</v>
      </c>
      <c r="H91" s="430">
        <v>14.8</v>
      </c>
      <c r="I91" s="430">
        <v>13.1</v>
      </c>
      <c r="J91" s="430">
        <v>14.7</v>
      </c>
      <c r="K91" s="430">
        <v>13.9</v>
      </c>
    </row>
    <row r="92" spans="1:11" ht="15.5" x14ac:dyDescent="0.35">
      <c r="A92" s="974"/>
      <c r="B92" s="435" t="s">
        <v>910</v>
      </c>
      <c r="C92" s="430">
        <v>16.543951884253026</v>
      </c>
      <c r="D92" s="430">
        <v>17.520623608017818</v>
      </c>
      <c r="E92" s="430">
        <v>17.018279755981482</v>
      </c>
      <c r="F92" s="430">
        <v>13.425943863084818</v>
      </c>
      <c r="G92" s="430">
        <v>12.556644317079888</v>
      </c>
      <c r="H92" s="430">
        <v>13.006244717129617</v>
      </c>
      <c r="I92" s="430">
        <v>11.59320903956764</v>
      </c>
      <c r="J92" s="430">
        <v>13.249771926255061</v>
      </c>
      <c r="K92" s="430">
        <v>12.444862849897888</v>
      </c>
    </row>
    <row r="93" spans="1:11" ht="15.5" x14ac:dyDescent="0.35">
      <c r="A93" s="974"/>
      <c r="B93" s="435" t="s">
        <v>909</v>
      </c>
      <c r="C93" s="430">
        <v>17.538563829787236</v>
      </c>
      <c r="D93" s="430">
        <v>18.662146118721463</v>
      </c>
      <c r="E93" s="430">
        <v>18.082809873484916</v>
      </c>
      <c r="F93" s="430">
        <v>14.031892460834921</v>
      </c>
      <c r="G93" s="430">
        <v>13.08937177513557</v>
      </c>
      <c r="H93" s="430">
        <v>13.578041798361367</v>
      </c>
      <c r="I93" s="430">
        <v>12.179864013032086</v>
      </c>
      <c r="J93" s="430">
        <v>14.253299289176852</v>
      </c>
      <c r="K93" s="430">
        <v>13.243208505961885</v>
      </c>
    </row>
    <row r="94" spans="1:11" ht="15.5" x14ac:dyDescent="0.35">
      <c r="A94" s="974"/>
      <c r="B94" s="435" t="s">
        <v>908</v>
      </c>
      <c r="C94" s="430">
        <v>16.532781862745097</v>
      </c>
      <c r="D94" s="430">
        <v>16.943466042154569</v>
      </c>
      <c r="E94" s="430">
        <v>16.731164306077197</v>
      </c>
      <c r="F94" s="430">
        <v>14.409600046915319</v>
      </c>
      <c r="G94" s="430">
        <v>13.379753615425816</v>
      </c>
      <c r="H94" s="430">
        <v>13.915069625836148</v>
      </c>
      <c r="I94" s="430">
        <v>11.340893447198741</v>
      </c>
      <c r="J94" s="430">
        <v>12.700335236399459</v>
      </c>
      <c r="K94" s="430">
        <v>12.03626482536102</v>
      </c>
    </row>
    <row r="95" spans="1:11" ht="15.5" x14ac:dyDescent="0.35">
      <c r="A95" s="973">
        <v>15</v>
      </c>
      <c r="B95" s="433" t="s">
        <v>26</v>
      </c>
      <c r="C95" s="430"/>
      <c r="D95" s="430"/>
      <c r="E95" s="430"/>
      <c r="F95" s="430"/>
      <c r="G95" s="430"/>
      <c r="H95" s="430"/>
      <c r="I95" s="430"/>
      <c r="J95" s="430"/>
      <c r="K95" s="430"/>
    </row>
    <row r="96" spans="1:11" ht="15.5" x14ac:dyDescent="0.35">
      <c r="A96" s="974"/>
      <c r="B96" s="433" t="s">
        <v>912</v>
      </c>
      <c r="C96" s="430">
        <v>39.377128937167384</v>
      </c>
      <c r="D96" s="430">
        <v>39.909033736384295</v>
      </c>
      <c r="E96" s="430">
        <v>39.641262113735401</v>
      </c>
      <c r="F96" s="430">
        <v>32.822693836505564</v>
      </c>
      <c r="G96" s="430">
        <v>29.519475860536293</v>
      </c>
      <c r="H96" s="430">
        <v>31.205085230467787</v>
      </c>
      <c r="I96" s="430">
        <v>31.448398858795169</v>
      </c>
      <c r="J96" s="430">
        <v>29.546660020651551</v>
      </c>
      <c r="K96" s="430">
        <v>30.524847068747977</v>
      </c>
    </row>
    <row r="97" spans="1:11" ht="15.5" x14ac:dyDescent="0.35">
      <c r="A97" s="974"/>
      <c r="B97" s="435" t="s">
        <v>911</v>
      </c>
      <c r="C97" s="430">
        <v>36.1</v>
      </c>
      <c r="D97" s="430">
        <v>36.299999999999997</v>
      </c>
      <c r="E97" s="430">
        <v>36.200000000000003</v>
      </c>
      <c r="F97" s="430">
        <v>28.8</v>
      </c>
      <c r="G97" s="430">
        <v>26.8</v>
      </c>
      <c r="H97" s="430">
        <v>27.8</v>
      </c>
      <c r="I97" s="430">
        <v>26.4</v>
      </c>
      <c r="J97" s="430">
        <v>25</v>
      </c>
      <c r="K97" s="430">
        <v>25.8</v>
      </c>
    </row>
    <row r="98" spans="1:11" ht="15.5" x14ac:dyDescent="0.35">
      <c r="A98" s="974"/>
      <c r="B98" s="435" t="s">
        <v>910</v>
      </c>
      <c r="C98" s="430">
        <v>34.834623925297507</v>
      </c>
      <c r="D98" s="430">
        <v>37.168916855030851</v>
      </c>
      <c r="E98" s="430">
        <v>35.96070081339149</v>
      </c>
      <c r="F98" s="430">
        <v>25.327307534176175</v>
      </c>
      <c r="G98" s="430">
        <v>25.873407523037411</v>
      </c>
      <c r="H98" s="430">
        <v>25.59433235994636</v>
      </c>
      <c r="I98" s="430">
        <v>23.155650319829423</v>
      </c>
      <c r="J98" s="430">
        <v>23.62630448642663</v>
      </c>
      <c r="K98" s="430">
        <v>23.383868789508366</v>
      </c>
    </row>
    <row r="99" spans="1:11" ht="15.5" x14ac:dyDescent="0.35">
      <c r="A99" s="974"/>
      <c r="B99" s="435" t="s">
        <v>909</v>
      </c>
      <c r="C99" s="430">
        <v>30.722955815134583</v>
      </c>
      <c r="D99" s="430">
        <v>33.307340283670747</v>
      </c>
      <c r="E99" s="430">
        <v>31.968964610304219</v>
      </c>
      <c r="F99" s="430">
        <v>23.430857117389859</v>
      </c>
      <c r="G99" s="430">
        <v>23.807509500954257</v>
      </c>
      <c r="H99" s="430">
        <v>23.614923786728173</v>
      </c>
      <c r="I99" s="430">
        <v>21.059016431934069</v>
      </c>
      <c r="J99" s="430">
        <v>21.618730934257783</v>
      </c>
      <c r="K99" s="430">
        <v>21.330265052659602</v>
      </c>
    </row>
    <row r="100" spans="1:11" ht="15.5" x14ac:dyDescent="0.35">
      <c r="A100" s="974"/>
      <c r="B100" s="435" t="s">
        <v>908</v>
      </c>
      <c r="C100" s="430">
        <v>27.781671234409082</v>
      </c>
      <c r="D100" s="430">
        <v>29.923527996631982</v>
      </c>
      <c r="E100" s="430">
        <v>28.813742537529706</v>
      </c>
      <c r="F100" s="430">
        <v>20.931468986004774</v>
      </c>
      <c r="G100" s="430">
        <v>21.251038979709534</v>
      </c>
      <c r="H100" s="430">
        <v>21.08757008568876</v>
      </c>
      <c r="I100" s="430">
        <v>18.761369498520271</v>
      </c>
      <c r="J100" s="430">
        <v>19.304939586894939</v>
      </c>
      <c r="K100" s="430">
        <v>19.024646837992492</v>
      </c>
    </row>
    <row r="101" spans="1:11" ht="15.5" x14ac:dyDescent="0.35">
      <c r="A101" s="973">
        <v>16</v>
      </c>
      <c r="B101" s="433" t="s">
        <v>27</v>
      </c>
      <c r="C101" s="430"/>
      <c r="D101" s="430"/>
      <c r="E101" s="430"/>
      <c r="F101" s="430"/>
      <c r="G101" s="430"/>
      <c r="H101" s="430"/>
      <c r="I101" s="430"/>
      <c r="J101" s="430"/>
      <c r="K101" s="430"/>
    </row>
    <row r="102" spans="1:11" ht="15.5" x14ac:dyDescent="0.35">
      <c r="A102" s="974"/>
      <c r="B102" s="433" t="s">
        <v>912</v>
      </c>
      <c r="C102" s="430">
        <v>31.830184337639643</v>
      </c>
      <c r="D102" s="430">
        <v>46.867922097238392</v>
      </c>
      <c r="E102" s="430">
        <v>39.130001216648296</v>
      </c>
      <c r="F102" s="430">
        <v>22.420081439485649</v>
      </c>
      <c r="G102" s="430">
        <v>40.035382068611057</v>
      </c>
      <c r="H102" s="430">
        <v>30.959045305741629</v>
      </c>
      <c r="I102" s="430">
        <v>22.417440378473859</v>
      </c>
      <c r="J102" s="430">
        <v>33.476887370314891</v>
      </c>
      <c r="K102" s="430">
        <v>27.948778790363459</v>
      </c>
    </row>
    <row r="103" spans="1:11" ht="15.5" x14ac:dyDescent="0.35">
      <c r="A103" s="974"/>
      <c r="B103" s="435" t="s">
        <v>911</v>
      </c>
      <c r="C103" s="430">
        <v>34.1</v>
      </c>
      <c r="D103" s="430">
        <v>49</v>
      </c>
      <c r="E103" s="430">
        <v>41.3</v>
      </c>
      <c r="F103" s="430">
        <v>20.399999999999999</v>
      </c>
      <c r="G103" s="430">
        <v>36.799999999999997</v>
      </c>
      <c r="H103" s="430">
        <v>28.3</v>
      </c>
      <c r="I103" s="430">
        <v>24</v>
      </c>
      <c r="J103" s="430">
        <v>33.799999999999997</v>
      </c>
      <c r="K103" s="430">
        <v>28.9</v>
      </c>
    </row>
    <row r="104" spans="1:11" ht="15.5" x14ac:dyDescent="0.35">
      <c r="A104" s="974"/>
      <c r="B104" s="435" t="s">
        <v>910</v>
      </c>
      <c r="C104" s="430">
        <v>34.455424208841272</v>
      </c>
      <c r="D104" s="430">
        <v>52.341721940434383</v>
      </c>
      <c r="E104" s="430">
        <v>43.154206198608478</v>
      </c>
      <c r="F104" s="430">
        <v>23.424573796101338</v>
      </c>
      <c r="G104" s="430">
        <v>44.64732438105645</v>
      </c>
      <c r="H104" s="430">
        <v>33.734956589764543</v>
      </c>
      <c r="I104" s="430">
        <v>23.103727714748786</v>
      </c>
      <c r="J104" s="430">
        <v>35.12903225806452</v>
      </c>
      <c r="K104" s="430">
        <v>29.130962004850446</v>
      </c>
    </row>
    <row r="105" spans="1:11" ht="15.5" x14ac:dyDescent="0.35">
      <c r="A105" s="974"/>
      <c r="B105" s="435" t="s">
        <v>909</v>
      </c>
      <c r="C105" s="430">
        <v>29.847882295001231</v>
      </c>
      <c r="D105" s="430">
        <v>42.276576459924897</v>
      </c>
      <c r="E105" s="430">
        <v>35.905743136636161</v>
      </c>
      <c r="F105" s="430">
        <v>17.272900141258283</v>
      </c>
      <c r="G105" s="430">
        <v>33.522040036357652</v>
      </c>
      <c r="H105" s="430">
        <v>25.184426300915426</v>
      </c>
      <c r="I105" s="430">
        <v>17.663979256978486</v>
      </c>
      <c r="J105" s="430">
        <v>27.607386591730226</v>
      </c>
      <c r="K105" s="430">
        <v>22.658439699151089</v>
      </c>
    </row>
    <row r="106" spans="1:11" ht="15.5" x14ac:dyDescent="0.35">
      <c r="A106" s="974"/>
      <c r="B106" s="435" t="s">
        <v>908</v>
      </c>
      <c r="C106" s="430">
        <v>28.203865566908775</v>
      </c>
      <c r="D106" s="430">
        <v>41.101070001289159</v>
      </c>
      <c r="E106" s="430">
        <v>34.503841309823677</v>
      </c>
      <c r="F106" s="430">
        <v>16.612116849782026</v>
      </c>
      <c r="G106" s="430">
        <v>32.027676039276606</v>
      </c>
      <c r="H106" s="430">
        <v>24.134226227729798</v>
      </c>
      <c r="I106" s="430">
        <v>17.305355262091872</v>
      </c>
      <c r="J106" s="430">
        <v>25.799360511590731</v>
      </c>
      <c r="K106" s="430">
        <v>21.581329846091943</v>
      </c>
    </row>
    <row r="107" spans="1:11" ht="15.5" x14ac:dyDescent="0.35">
      <c r="A107" s="980">
        <v>17</v>
      </c>
      <c r="B107" s="433" t="s">
        <v>28</v>
      </c>
      <c r="C107" s="430"/>
      <c r="D107" s="430"/>
      <c r="E107" s="430"/>
      <c r="F107" s="430"/>
      <c r="G107" s="430"/>
      <c r="H107" s="430"/>
      <c r="I107" s="430"/>
      <c r="J107" s="430"/>
      <c r="K107" s="430"/>
    </row>
    <row r="108" spans="1:11" ht="15.5" x14ac:dyDescent="0.35">
      <c r="A108" s="980"/>
      <c r="B108" s="433" t="s">
        <v>912</v>
      </c>
      <c r="C108" s="430">
        <v>7.6689947402425629</v>
      </c>
      <c r="D108" s="430">
        <v>17.041978924862413</v>
      </c>
      <c r="E108" s="430">
        <v>11.893231334917569</v>
      </c>
      <c r="F108" s="430">
        <v>0</v>
      </c>
      <c r="G108" s="430">
        <v>16.512837043646886</v>
      </c>
      <c r="H108" s="430">
        <v>1.0304133019162403</v>
      </c>
      <c r="I108" s="430">
        <v>10.244287247116324</v>
      </c>
      <c r="J108" s="430">
        <v>16.846193631759842</v>
      </c>
      <c r="K108" s="430">
        <v>13.62086131194955</v>
      </c>
    </row>
    <row r="109" spans="1:11" ht="15.5" x14ac:dyDescent="0.35">
      <c r="A109" s="980"/>
      <c r="B109" s="435" t="s">
        <v>911</v>
      </c>
      <c r="C109" s="430">
        <v>7.5</v>
      </c>
      <c r="D109" s="430">
        <v>16.399999999999999</v>
      </c>
      <c r="E109" s="430">
        <v>11.5</v>
      </c>
      <c r="F109" s="430">
        <v>22.6</v>
      </c>
      <c r="G109" s="430">
        <v>335.4</v>
      </c>
      <c r="H109" s="430">
        <v>42.3</v>
      </c>
      <c r="I109" s="430">
        <v>10.1</v>
      </c>
      <c r="J109" s="430">
        <v>17</v>
      </c>
      <c r="K109" s="430">
        <v>13.6</v>
      </c>
    </row>
    <row r="110" spans="1:11" ht="15.5" x14ac:dyDescent="0.35">
      <c r="A110" s="980"/>
      <c r="B110" s="435" t="s">
        <v>910</v>
      </c>
      <c r="C110" s="430">
        <v>5.4183578659103135</v>
      </c>
      <c r="D110" s="430">
        <v>11.928161928161927</v>
      </c>
      <c r="E110" s="430">
        <v>8.3823881948698826</v>
      </c>
      <c r="F110" s="430" t="s">
        <v>983</v>
      </c>
      <c r="G110" s="430">
        <v>266.66666666666663</v>
      </c>
      <c r="H110" s="430">
        <v>17.391304347826086</v>
      </c>
      <c r="I110" s="430">
        <v>6.1368893727037692</v>
      </c>
      <c r="J110" s="430">
        <v>12.354892205638475</v>
      </c>
      <c r="K110" s="430">
        <v>9.3461943639715557</v>
      </c>
    </row>
    <row r="111" spans="1:11" ht="15.5" x14ac:dyDescent="0.35">
      <c r="A111" s="980"/>
      <c r="B111" s="435" t="s">
        <v>909</v>
      </c>
      <c r="C111" s="430">
        <v>5.0312248186946009</v>
      </c>
      <c r="D111" s="430">
        <v>11.343533349270858</v>
      </c>
      <c r="E111" s="430">
        <v>7.9178965781130426</v>
      </c>
      <c r="F111" s="430" t="s">
        <v>983</v>
      </c>
      <c r="G111" s="430" t="s">
        <v>983</v>
      </c>
      <c r="H111" s="430" t="s">
        <v>983</v>
      </c>
      <c r="I111" s="430">
        <v>6.4667554123169619</v>
      </c>
      <c r="J111" s="430">
        <v>12.328142307942921</v>
      </c>
      <c r="K111" s="430">
        <v>9.5040345724028494</v>
      </c>
    </row>
    <row r="112" spans="1:11" ht="15.5" x14ac:dyDescent="0.35">
      <c r="A112" s="973">
        <v>18</v>
      </c>
      <c r="B112" s="433" t="s">
        <v>72</v>
      </c>
      <c r="C112" s="430"/>
      <c r="D112" s="430"/>
      <c r="E112" s="430"/>
      <c r="F112" s="430"/>
      <c r="G112" s="430"/>
      <c r="H112" s="430"/>
      <c r="I112" s="430"/>
      <c r="J112" s="430"/>
      <c r="K112" s="430"/>
    </row>
    <row r="113" spans="1:11" ht="15.5" x14ac:dyDescent="0.35">
      <c r="A113" s="974"/>
      <c r="B113" s="433" t="s">
        <v>912</v>
      </c>
      <c r="C113" s="430">
        <v>4.4737284012831511</v>
      </c>
      <c r="D113" s="430">
        <v>8.2701151256134313</v>
      </c>
      <c r="E113" s="430">
        <v>6.2766361881896628</v>
      </c>
      <c r="F113" s="430"/>
      <c r="G113" s="430"/>
      <c r="H113" s="430"/>
      <c r="I113" s="430">
        <v>4.9238713518766577</v>
      </c>
      <c r="J113" s="430">
        <v>8.4312384161475773</v>
      </c>
      <c r="K113" s="430">
        <v>6.6565968780458187</v>
      </c>
    </row>
    <row r="114" spans="1:11" ht="15.5" x14ac:dyDescent="0.35">
      <c r="A114" s="974"/>
      <c r="B114" s="435" t="s">
        <v>911</v>
      </c>
      <c r="C114" s="430">
        <v>0.3</v>
      </c>
      <c r="D114" s="430">
        <v>1.9</v>
      </c>
      <c r="E114" s="430">
        <v>1.1000000000000001</v>
      </c>
      <c r="F114" s="430" t="s">
        <v>983</v>
      </c>
      <c r="G114" s="430" t="s">
        <v>983</v>
      </c>
      <c r="H114" s="430" t="s">
        <v>983</v>
      </c>
      <c r="I114" s="430">
        <v>0.4</v>
      </c>
      <c r="J114" s="430">
        <v>2</v>
      </c>
      <c r="K114" s="430">
        <v>1.2</v>
      </c>
    </row>
    <row r="115" spans="1:11" ht="15.5" x14ac:dyDescent="0.35">
      <c r="A115" s="974"/>
      <c r="B115" s="435" t="s">
        <v>910</v>
      </c>
      <c r="C115" s="430">
        <v>3.2734432685207975</v>
      </c>
      <c r="D115" s="430">
        <v>11.40491452991453</v>
      </c>
      <c r="E115" s="430">
        <v>7.1730498270782634</v>
      </c>
      <c r="F115" s="430" t="s">
        <v>983</v>
      </c>
      <c r="G115" s="430" t="s">
        <v>983</v>
      </c>
      <c r="H115" s="430" t="s">
        <v>983</v>
      </c>
      <c r="I115" s="430">
        <v>1.8959913326110509</v>
      </c>
      <c r="J115" s="430">
        <v>6.9716775599128544</v>
      </c>
      <c r="K115" s="430">
        <v>4.4269418794133628</v>
      </c>
    </row>
    <row r="116" spans="1:11" ht="15.5" x14ac:dyDescent="0.35">
      <c r="A116" s="974"/>
      <c r="B116" s="435" t="s">
        <v>909</v>
      </c>
      <c r="C116" s="430">
        <v>3.3662363958491524</v>
      </c>
      <c r="D116" s="430">
        <v>11.65075034106412</v>
      </c>
      <c r="E116" s="430">
        <v>7.3529411764705888</v>
      </c>
      <c r="F116" s="430" t="s">
        <v>983</v>
      </c>
      <c r="G116" s="430" t="s">
        <v>983</v>
      </c>
      <c r="H116" s="430" t="s">
        <v>983</v>
      </c>
      <c r="I116" s="430">
        <v>1.9498607242339834</v>
      </c>
      <c r="J116" s="430">
        <v>7.1210013908205845</v>
      </c>
      <c r="K116" s="430">
        <v>4.5372303409881702</v>
      </c>
    </row>
    <row r="117" spans="1:11" ht="15.5" x14ac:dyDescent="0.35">
      <c r="A117" s="974"/>
      <c r="B117" s="435" t="s">
        <v>908</v>
      </c>
      <c r="C117" s="430">
        <v>3.3072916666666665</v>
      </c>
      <c r="D117" s="430">
        <v>11.656441717791409</v>
      </c>
      <c r="E117" s="430">
        <v>7.34006734006734</v>
      </c>
      <c r="F117" s="430" t="s">
        <v>983</v>
      </c>
      <c r="G117" s="430" t="s">
        <v>983</v>
      </c>
      <c r="H117" s="430" t="s">
        <v>983</v>
      </c>
      <c r="I117" s="430">
        <v>1.8343364860991689</v>
      </c>
      <c r="J117" s="430">
        <v>6.9945976684674438</v>
      </c>
      <c r="K117" s="430">
        <v>4.4247787610619467</v>
      </c>
    </row>
    <row r="118" spans="1:11" ht="15.5" x14ac:dyDescent="0.35">
      <c r="A118" s="973">
        <v>19</v>
      </c>
      <c r="B118" s="433" t="s">
        <v>29</v>
      </c>
      <c r="C118" s="430"/>
      <c r="D118" s="430"/>
      <c r="E118" s="430"/>
      <c r="F118" s="430"/>
      <c r="G118" s="430"/>
      <c r="H118" s="430"/>
      <c r="I118" s="430"/>
      <c r="J118" s="430"/>
      <c r="K118" s="430"/>
    </row>
    <row r="119" spans="1:11" ht="15.5" x14ac:dyDescent="0.35">
      <c r="A119" s="974"/>
      <c r="B119" s="433" t="s">
        <v>912</v>
      </c>
      <c r="C119" s="430">
        <v>28.603724453992889</v>
      </c>
      <c r="D119" s="430">
        <v>28.211758068784814</v>
      </c>
      <c r="E119" s="430">
        <v>28.414627406361788</v>
      </c>
      <c r="F119" s="430">
        <v>26.518998280768169</v>
      </c>
      <c r="G119" s="430">
        <v>27.010170355818691</v>
      </c>
      <c r="H119" s="430">
        <v>26.748359862265779</v>
      </c>
      <c r="I119" s="430">
        <v>16.546062604670418</v>
      </c>
      <c r="J119" s="430">
        <v>17.153447335494153</v>
      </c>
      <c r="K119" s="430">
        <v>16.856250588362265</v>
      </c>
    </row>
    <row r="120" spans="1:11" ht="15.5" x14ac:dyDescent="0.35">
      <c r="A120" s="974"/>
      <c r="B120" s="435" t="s">
        <v>911</v>
      </c>
      <c r="C120" s="430">
        <v>29.7</v>
      </c>
      <c r="D120" s="430">
        <v>28</v>
      </c>
      <c r="E120" s="430">
        <v>28.9</v>
      </c>
      <c r="F120" s="430">
        <v>27.3</v>
      </c>
      <c r="G120" s="430">
        <v>26.7</v>
      </c>
      <c r="H120" s="430">
        <v>27</v>
      </c>
      <c r="I120" s="430">
        <v>17.8</v>
      </c>
      <c r="J120" s="430">
        <v>17.2</v>
      </c>
      <c r="K120" s="430">
        <v>17.5</v>
      </c>
    </row>
    <row r="121" spans="1:11" ht="15.5" x14ac:dyDescent="0.35">
      <c r="A121" s="974"/>
      <c r="B121" s="435" t="s">
        <v>910</v>
      </c>
      <c r="C121" s="430">
        <v>27.333121145812612</v>
      </c>
      <c r="D121" s="430">
        <v>26.796030460851679</v>
      </c>
      <c r="E121" s="430">
        <v>27.077369539846615</v>
      </c>
      <c r="F121" s="430">
        <v>25.503974643823135</v>
      </c>
      <c r="G121" s="430">
        <v>25.781039693930353</v>
      </c>
      <c r="H121" s="430">
        <v>25.632876072313859</v>
      </c>
      <c r="I121" s="430">
        <v>15.292030858387479</v>
      </c>
      <c r="J121" s="430">
        <v>16.117247229833389</v>
      </c>
      <c r="K121" s="430">
        <v>15.712031219228944</v>
      </c>
    </row>
    <row r="122" spans="1:11" ht="15.5" x14ac:dyDescent="0.35">
      <c r="A122" s="974"/>
      <c r="B122" s="435" t="s">
        <v>909</v>
      </c>
      <c r="C122" s="430">
        <v>22.946591820368887</v>
      </c>
      <c r="D122" s="430">
        <v>22.972545720232031</v>
      </c>
      <c r="E122" s="430">
        <v>22.958925152031647</v>
      </c>
      <c r="F122" s="430">
        <v>21.588199181612953</v>
      </c>
      <c r="G122" s="430">
        <v>21.830079563768145</v>
      </c>
      <c r="H122" s="430">
        <v>21.700495308978457</v>
      </c>
      <c r="I122" s="430">
        <v>11.820105681011594</v>
      </c>
      <c r="J122" s="430">
        <v>11.404172338391644</v>
      </c>
      <c r="K122" s="430">
        <v>11.60882080456939</v>
      </c>
    </row>
    <row r="123" spans="1:11" ht="15.5" x14ac:dyDescent="0.35">
      <c r="A123" s="974"/>
      <c r="B123" s="435" t="s">
        <v>908</v>
      </c>
      <c r="C123" s="430">
        <v>20.766579106890283</v>
      </c>
      <c r="D123" s="430">
        <v>20.199982076443966</v>
      </c>
      <c r="E123" s="430">
        <v>20.497896391993539</v>
      </c>
      <c r="F123" s="430">
        <v>19.08464314591674</v>
      </c>
      <c r="G123" s="430">
        <v>18.453104315925213</v>
      </c>
      <c r="H123" s="430">
        <v>18.792058640627687</v>
      </c>
      <c r="I123" s="430">
        <v>11.16198092731492</v>
      </c>
      <c r="J123" s="430">
        <v>10.512873092065075</v>
      </c>
      <c r="K123" s="430">
        <v>10.832897443280318</v>
      </c>
    </row>
    <row r="124" spans="1:11" ht="15.5" x14ac:dyDescent="0.35">
      <c r="A124" s="973">
        <v>20</v>
      </c>
      <c r="B124" s="433" t="s">
        <v>30</v>
      </c>
      <c r="C124" s="430"/>
      <c r="D124" s="430"/>
      <c r="E124" s="430"/>
      <c r="F124" s="430"/>
      <c r="G124" s="430"/>
      <c r="H124" s="430"/>
      <c r="I124" s="430"/>
      <c r="J124" s="430"/>
      <c r="K124" s="430"/>
    </row>
    <row r="125" spans="1:11" ht="15.5" x14ac:dyDescent="0.35">
      <c r="A125" s="974"/>
      <c r="B125" s="433" t="s">
        <v>912</v>
      </c>
      <c r="C125" s="430">
        <v>39.04721903305488</v>
      </c>
      <c r="D125" s="430">
        <v>36.338914712357173</v>
      </c>
      <c r="E125" s="430">
        <v>37.763690036949178</v>
      </c>
      <c r="F125" s="430">
        <v>39.597135089595483</v>
      </c>
      <c r="G125" s="430">
        <v>38.538169185375189</v>
      </c>
      <c r="H125" s="430">
        <v>39.088444277551609</v>
      </c>
      <c r="I125" s="430">
        <v>21.562665598364738</v>
      </c>
      <c r="J125" s="430">
        <v>17.60682602283385</v>
      </c>
      <c r="K125" s="430">
        <v>19.580835350793929</v>
      </c>
    </row>
    <row r="126" spans="1:11" ht="15.5" x14ac:dyDescent="0.35">
      <c r="A126" s="974"/>
      <c r="B126" s="435" t="s">
        <v>911</v>
      </c>
      <c r="C126" s="430">
        <v>37.1</v>
      </c>
      <c r="D126" s="430">
        <v>33.299999999999997</v>
      </c>
      <c r="E126" s="430">
        <v>35.299999999999997</v>
      </c>
      <c r="F126" s="430">
        <v>37.6</v>
      </c>
      <c r="G126" s="430">
        <v>34.9</v>
      </c>
      <c r="H126" s="430">
        <v>36.299999999999997</v>
      </c>
      <c r="I126" s="430">
        <v>19.399999999999999</v>
      </c>
      <c r="J126" s="430">
        <v>15.2</v>
      </c>
      <c r="K126" s="430">
        <v>17.3</v>
      </c>
    </row>
    <row r="127" spans="1:11" ht="15.5" x14ac:dyDescent="0.35">
      <c r="A127" s="974"/>
      <c r="B127" s="435" t="s">
        <v>910</v>
      </c>
      <c r="C127" s="430">
        <v>36.226804873084639</v>
      </c>
      <c r="D127" s="430">
        <v>33.469955683003128</v>
      </c>
      <c r="E127" s="430">
        <v>34.926852691261658</v>
      </c>
      <c r="F127" s="430">
        <v>34.637798751894231</v>
      </c>
      <c r="G127" s="430">
        <v>33.080887167952625</v>
      </c>
      <c r="H127" s="430">
        <v>33.890932072491772</v>
      </c>
      <c r="I127" s="430">
        <v>18.591942474356429</v>
      </c>
      <c r="J127" s="430">
        <v>14.429389370184959</v>
      </c>
      <c r="K127" s="430">
        <v>16.509280283303823</v>
      </c>
    </row>
    <row r="128" spans="1:11" ht="15.5" x14ac:dyDescent="0.35">
      <c r="A128" s="974"/>
      <c r="B128" s="435" t="s">
        <v>909</v>
      </c>
      <c r="C128" s="430">
        <v>33.475044124880647</v>
      </c>
      <c r="D128" s="430">
        <v>31.69638796855714</v>
      </c>
      <c r="E128" s="430">
        <v>32.637091220714034</v>
      </c>
      <c r="F128" s="430">
        <v>30.915749088953088</v>
      </c>
      <c r="G128" s="430">
        <v>31.380438456398174</v>
      </c>
      <c r="H128" s="430">
        <v>31.138470213690777</v>
      </c>
      <c r="I128" s="430">
        <v>17.563264093675169</v>
      </c>
      <c r="J128" s="430">
        <v>13.763261999505294</v>
      </c>
      <c r="K128" s="430">
        <v>15.6636004820029</v>
      </c>
    </row>
    <row r="129" spans="1:11" ht="15.5" x14ac:dyDescent="0.35">
      <c r="A129" s="974"/>
      <c r="B129" s="435" t="s">
        <v>908</v>
      </c>
      <c r="C129" s="430">
        <v>33.465173198191714</v>
      </c>
      <c r="D129" s="430">
        <v>30.85581530889781</v>
      </c>
      <c r="E129" s="430">
        <v>32.236949994665693</v>
      </c>
      <c r="F129" s="430">
        <v>31.898347665071014</v>
      </c>
      <c r="G129" s="430">
        <v>30.936729240447402</v>
      </c>
      <c r="H129" s="430">
        <v>31.437854201523617</v>
      </c>
      <c r="I129" s="430">
        <v>17.3645218505686</v>
      </c>
      <c r="J129" s="430">
        <v>13.210391578975239</v>
      </c>
      <c r="K129" s="430">
        <v>15.289572481150056</v>
      </c>
    </row>
    <row r="130" spans="1:11" ht="15.5" x14ac:dyDescent="0.35">
      <c r="A130" s="973">
        <v>21</v>
      </c>
      <c r="B130" s="433" t="s">
        <v>31</v>
      </c>
      <c r="C130" s="430"/>
      <c r="D130" s="430"/>
      <c r="E130" s="430"/>
      <c r="F130" s="430"/>
      <c r="G130" s="430"/>
      <c r="H130" s="430"/>
      <c r="I130" s="430"/>
      <c r="J130" s="430"/>
      <c r="K130" s="430"/>
    </row>
    <row r="131" spans="1:11" ht="15.5" x14ac:dyDescent="0.35">
      <c r="A131" s="974"/>
      <c r="B131" s="433" t="s">
        <v>912</v>
      </c>
      <c r="C131" s="430">
        <v>33.049683782895237</v>
      </c>
      <c r="D131" s="430">
        <v>33.998210896336893</v>
      </c>
      <c r="E131" s="430">
        <v>33.515143886594835</v>
      </c>
      <c r="F131" s="430">
        <v>56.107102417871168</v>
      </c>
      <c r="G131" s="430">
        <v>59.412867957285997</v>
      </c>
      <c r="H131" s="430">
        <v>57.715633464754212</v>
      </c>
      <c r="I131" s="430">
        <v>21.696636918860605</v>
      </c>
      <c r="J131" s="430">
        <v>23.667679094764445</v>
      </c>
      <c r="K131" s="430">
        <v>22.646678675907577</v>
      </c>
    </row>
    <row r="132" spans="1:11" ht="15.5" x14ac:dyDescent="0.35">
      <c r="A132" s="974"/>
      <c r="B132" s="435" t="s">
        <v>911</v>
      </c>
      <c r="C132" s="430">
        <v>35.299999999999997</v>
      </c>
      <c r="D132" s="430">
        <v>35.5</v>
      </c>
      <c r="E132" s="430">
        <v>35.4</v>
      </c>
      <c r="F132" s="430">
        <v>60.3</v>
      </c>
      <c r="G132" s="430">
        <v>61</v>
      </c>
      <c r="H132" s="430">
        <v>60.6</v>
      </c>
      <c r="I132" s="430">
        <v>22</v>
      </c>
      <c r="J132" s="430">
        <v>24.2</v>
      </c>
      <c r="K132" s="430">
        <v>23</v>
      </c>
    </row>
    <row r="133" spans="1:11" ht="15.5" x14ac:dyDescent="0.35">
      <c r="A133" s="974"/>
      <c r="B133" s="435" t="s">
        <v>910</v>
      </c>
      <c r="C133" s="430">
        <v>36.931684208269921</v>
      </c>
      <c r="D133" s="430">
        <v>38.604034441436241</v>
      </c>
      <c r="E133" s="430">
        <v>37.753371932005273</v>
      </c>
      <c r="F133" s="430">
        <v>79.151177199504346</v>
      </c>
      <c r="G133" s="430">
        <v>68.943593087707853</v>
      </c>
      <c r="H133" s="430">
        <v>74.177918983320097</v>
      </c>
      <c r="I133" s="430">
        <v>18.543556138913836</v>
      </c>
      <c r="J133" s="430">
        <v>19.952391028353787</v>
      </c>
      <c r="K133" s="430">
        <v>19.223483397923911</v>
      </c>
    </row>
    <row r="134" spans="1:11" ht="15.5" x14ac:dyDescent="0.35">
      <c r="A134" s="974"/>
      <c r="B134" s="435" t="s">
        <v>909</v>
      </c>
      <c r="C134" s="430">
        <v>32.814772519149763</v>
      </c>
      <c r="D134" s="430">
        <v>35.395374455466481</v>
      </c>
      <c r="E134" s="430">
        <v>34.084234898722713</v>
      </c>
      <c r="F134" s="430">
        <v>52.203020395453834</v>
      </c>
      <c r="G134" s="430">
        <v>53.277750531306204</v>
      </c>
      <c r="H134" s="430">
        <v>52.72727272727272</v>
      </c>
      <c r="I134" s="430">
        <v>17.518798484217211</v>
      </c>
      <c r="J134" s="430">
        <v>19.386975619071869</v>
      </c>
      <c r="K134" s="430">
        <v>18.421511329847228</v>
      </c>
    </row>
    <row r="135" spans="1:11" ht="15.5" x14ac:dyDescent="0.35">
      <c r="A135" s="974"/>
      <c r="B135" s="435" t="s">
        <v>908</v>
      </c>
      <c r="C135" s="430">
        <v>29.607589384824479</v>
      </c>
      <c r="D135" s="430">
        <v>31.075577178437126</v>
      </c>
      <c r="E135" s="430">
        <v>30.330517649774396</v>
      </c>
      <c r="F135" s="430">
        <v>52.034428794992174</v>
      </c>
      <c r="G135" s="430">
        <v>49.565502541400228</v>
      </c>
      <c r="H135" s="430">
        <v>50.828729281767963</v>
      </c>
      <c r="I135" s="430">
        <v>18.2711100474652</v>
      </c>
      <c r="J135" s="430">
        <v>18.569391837255818</v>
      </c>
      <c r="K135" s="430">
        <v>18.41541755888651</v>
      </c>
    </row>
    <row r="136" spans="1:11" ht="15.5" x14ac:dyDescent="0.35">
      <c r="A136" s="973">
        <v>22</v>
      </c>
      <c r="B136" s="433" t="s">
        <v>32</v>
      </c>
      <c r="C136" s="430"/>
      <c r="D136" s="430"/>
      <c r="E136" s="430"/>
      <c r="F136" s="430"/>
      <c r="G136" s="430"/>
      <c r="H136" s="430"/>
      <c r="I136" s="430"/>
      <c r="J136" s="430"/>
      <c r="K136" s="430"/>
    </row>
    <row r="137" spans="1:11" ht="15.5" x14ac:dyDescent="0.35">
      <c r="A137" s="974"/>
      <c r="B137" s="433" t="s">
        <v>912</v>
      </c>
      <c r="C137" s="430">
        <v>23.549121414108459</v>
      </c>
      <c r="D137" s="430">
        <v>30.309959894737847</v>
      </c>
      <c r="E137" s="430">
        <v>26.899317089429857</v>
      </c>
      <c r="F137" s="430">
        <v>64.181600130187448</v>
      </c>
      <c r="G137" s="430">
        <v>71.598028101336382</v>
      </c>
      <c r="H137" s="430">
        <v>67.588201006903986</v>
      </c>
      <c r="I137" s="430">
        <v>21.013531335684675</v>
      </c>
      <c r="J137" s="430">
        <v>28.823012740425106</v>
      </c>
      <c r="K137" s="430">
        <v>24.938669581752702</v>
      </c>
    </row>
    <row r="138" spans="1:11" ht="15.5" x14ac:dyDescent="0.35">
      <c r="A138" s="974"/>
      <c r="B138" s="435" t="s">
        <v>911</v>
      </c>
      <c r="C138" s="430">
        <v>22.7</v>
      </c>
      <c r="D138" s="430">
        <v>28.1</v>
      </c>
      <c r="E138" s="430">
        <v>25.4</v>
      </c>
      <c r="F138" s="430">
        <v>101.9</v>
      </c>
      <c r="G138" s="430">
        <v>119.4</v>
      </c>
      <c r="H138" s="430">
        <v>110</v>
      </c>
      <c r="I138" s="430">
        <v>20.2</v>
      </c>
      <c r="J138" s="430">
        <v>26.4</v>
      </c>
      <c r="K138" s="430">
        <v>23.3</v>
      </c>
    </row>
    <row r="139" spans="1:11" ht="15.5" x14ac:dyDescent="0.35">
      <c r="A139" s="974"/>
      <c r="B139" s="435" t="s">
        <v>910</v>
      </c>
      <c r="C139" s="430">
        <v>22.583619750188618</v>
      </c>
      <c r="D139" s="430">
        <v>28.988591861059081</v>
      </c>
      <c r="E139" s="430">
        <v>25.761351636747627</v>
      </c>
      <c r="F139" s="430">
        <v>164.51361867704279</v>
      </c>
      <c r="G139" s="430">
        <v>154.97716894977168</v>
      </c>
      <c r="H139" s="430">
        <v>160.12605042016807</v>
      </c>
      <c r="I139" s="430">
        <v>18.728376647088314</v>
      </c>
      <c r="J139" s="430">
        <v>25.459777840235603</v>
      </c>
      <c r="K139" s="430">
        <v>22.115736427673188</v>
      </c>
    </row>
    <row r="140" spans="1:11" ht="15.5" x14ac:dyDescent="0.35">
      <c r="A140" s="974"/>
      <c r="B140" s="435" t="s">
        <v>909</v>
      </c>
      <c r="C140" s="430">
        <v>20.980685384501967</v>
      </c>
      <c r="D140" s="430">
        <v>25.448986778499854</v>
      </c>
      <c r="E140" s="430">
        <v>23.200055124015783</v>
      </c>
      <c r="F140" s="430">
        <v>87.881157154026582</v>
      </c>
      <c r="G140" s="430">
        <v>75.45787545787546</v>
      </c>
      <c r="H140" s="430">
        <v>82.194092827004212</v>
      </c>
      <c r="I140" s="430">
        <v>18.168246622378145</v>
      </c>
      <c r="J140" s="430">
        <v>24.147311281162121</v>
      </c>
      <c r="K140" s="430">
        <v>21.180432306633374</v>
      </c>
    </row>
    <row r="141" spans="1:11" ht="15.5" x14ac:dyDescent="0.35">
      <c r="A141" s="974"/>
      <c r="B141" s="435" t="s">
        <v>908</v>
      </c>
      <c r="C141" s="430">
        <v>20.884029361798966</v>
      </c>
      <c r="D141" s="430">
        <v>25.397521775418923</v>
      </c>
      <c r="E141" s="430">
        <v>23.128496970954686</v>
      </c>
      <c r="F141" s="430">
        <v>71.462264150943398</v>
      </c>
      <c r="G141" s="430">
        <v>193.93939393939394</v>
      </c>
      <c r="H141" s="430">
        <v>127.95425667090217</v>
      </c>
      <c r="I141" s="430">
        <v>18.530720948260772</v>
      </c>
      <c r="J141" s="430">
        <v>23.580981870234872</v>
      </c>
      <c r="K141" s="430">
        <v>21.077876967219972</v>
      </c>
    </row>
    <row r="142" spans="1:11" ht="15.5" x14ac:dyDescent="0.35">
      <c r="A142" s="973">
        <v>23</v>
      </c>
      <c r="B142" s="433" t="s">
        <v>33</v>
      </c>
      <c r="C142" s="430"/>
      <c r="D142" s="430"/>
      <c r="E142" s="430"/>
      <c r="F142" s="430"/>
      <c r="G142" s="430"/>
      <c r="H142" s="430"/>
      <c r="I142" s="430"/>
      <c r="J142" s="430"/>
      <c r="K142" s="430"/>
    </row>
    <row r="143" spans="1:11" ht="15.5" x14ac:dyDescent="0.35">
      <c r="A143" s="974"/>
      <c r="B143" s="433" t="s">
        <v>912</v>
      </c>
      <c r="C143" s="430">
        <v>32.885592789295565</v>
      </c>
      <c r="D143" s="430">
        <v>34.4733577247979</v>
      </c>
      <c r="E143" s="430">
        <v>33.664826831582374</v>
      </c>
      <c r="F143" s="430">
        <v>222.77753699250141</v>
      </c>
      <c r="G143" s="430">
        <v>241.14081138631022</v>
      </c>
      <c r="H143" s="430">
        <v>229.2278207111016</v>
      </c>
      <c r="I143" s="430">
        <v>32.922450737751909</v>
      </c>
      <c r="J143" s="430">
        <v>34.55595305123903</v>
      </c>
      <c r="K143" s="430">
        <v>33.735537973654139</v>
      </c>
    </row>
    <row r="144" spans="1:11" ht="15.5" x14ac:dyDescent="0.35">
      <c r="A144" s="974"/>
      <c r="B144" s="435" t="s">
        <v>911</v>
      </c>
      <c r="C144" s="430">
        <v>31.4</v>
      </c>
      <c r="D144" s="430">
        <v>33.200000000000003</v>
      </c>
      <c r="E144" s="430">
        <v>32.299999999999997</v>
      </c>
      <c r="F144" s="430">
        <v>206.5</v>
      </c>
      <c r="G144" s="430">
        <v>304.8</v>
      </c>
      <c r="H144" s="430">
        <v>241.1</v>
      </c>
      <c r="I144" s="430">
        <v>31.8</v>
      </c>
      <c r="J144" s="430">
        <v>33.299999999999997</v>
      </c>
      <c r="K144" s="430">
        <v>32.5</v>
      </c>
    </row>
    <row r="145" spans="1:11" ht="15.5" x14ac:dyDescent="0.35">
      <c r="A145" s="974"/>
      <c r="B145" s="435" t="s">
        <v>910</v>
      </c>
      <c r="C145" s="430">
        <v>26.15833140334864</v>
      </c>
      <c r="D145" s="430">
        <v>27.50884812250596</v>
      </c>
      <c r="E145" s="430">
        <v>26.821967544795665</v>
      </c>
      <c r="F145" s="430">
        <v>163.9344262295082</v>
      </c>
      <c r="G145" s="430">
        <v>168.18181818181819</v>
      </c>
      <c r="H145" s="430">
        <v>165.42553191489361</v>
      </c>
      <c r="I145" s="430">
        <v>26.313245246535612</v>
      </c>
      <c r="J145" s="430">
        <v>27.531552252889835</v>
      </c>
      <c r="K145" s="430">
        <v>26.920420310088911</v>
      </c>
    </row>
    <row r="146" spans="1:11" ht="15.5" x14ac:dyDescent="0.35">
      <c r="A146" s="974"/>
      <c r="B146" s="435" t="s">
        <v>909</v>
      </c>
      <c r="C146" s="430">
        <v>23.497507259080699</v>
      </c>
      <c r="D146" s="430">
        <v>22.741093778726896</v>
      </c>
      <c r="E146" s="430">
        <v>23.12536094238142</v>
      </c>
      <c r="F146" s="430">
        <v>131.96721311475409</v>
      </c>
      <c r="G146" s="430">
        <v>92.424242424242422</v>
      </c>
      <c r="H146" s="430">
        <v>118.08510638297874</v>
      </c>
      <c r="I146" s="430">
        <v>23.389590880975526</v>
      </c>
      <c r="J146" s="430">
        <v>23.200343073465042</v>
      </c>
      <c r="K146" s="430">
        <v>23.295161076103479</v>
      </c>
    </row>
    <row r="147" spans="1:11" ht="15.5" x14ac:dyDescent="0.35">
      <c r="A147" s="974"/>
      <c r="B147" s="435" t="s">
        <v>908</v>
      </c>
      <c r="C147" s="430">
        <v>23.20540890376062</v>
      </c>
      <c r="D147" s="430">
        <v>22.675177304964539</v>
      </c>
      <c r="E147" s="430">
        <v>22.944382336500837</v>
      </c>
      <c r="F147" s="430">
        <v>118.18181818181819</v>
      </c>
      <c r="G147" s="430">
        <v>116.66666666666667</v>
      </c>
      <c r="H147" s="430">
        <v>117.64705882352942</v>
      </c>
      <c r="I147" s="430">
        <v>23.447540643785722</v>
      </c>
      <c r="J147" s="430">
        <v>22.82718319886094</v>
      </c>
      <c r="K147" s="430">
        <v>23.137623923771137</v>
      </c>
    </row>
    <row r="148" spans="1:11" ht="15.5" x14ac:dyDescent="0.35">
      <c r="A148" s="973">
        <v>24</v>
      </c>
      <c r="B148" s="433" t="s">
        <v>34</v>
      </c>
      <c r="C148" s="430"/>
      <c r="D148" s="430"/>
      <c r="E148" s="430"/>
      <c r="F148" s="430"/>
      <c r="G148" s="430"/>
      <c r="H148" s="430"/>
      <c r="I148" s="430"/>
      <c r="J148" s="430"/>
      <c r="K148" s="430"/>
    </row>
    <row r="149" spans="1:11" ht="15.5" x14ac:dyDescent="0.35">
      <c r="A149" s="974"/>
      <c r="B149" s="433" t="s">
        <v>912</v>
      </c>
      <c r="C149" s="430">
        <v>16.166605328615731</v>
      </c>
      <c r="D149" s="430">
        <v>21.782937295518597</v>
      </c>
      <c r="E149" s="430">
        <v>18.854387068152732</v>
      </c>
      <c r="F149" s="430"/>
      <c r="G149" s="430"/>
      <c r="H149" s="430"/>
      <c r="I149" s="430">
        <v>16.935860379591521</v>
      </c>
      <c r="J149" s="430">
        <v>22.505086012978516</v>
      </c>
      <c r="K149" s="430">
        <v>19.659459692308619</v>
      </c>
    </row>
    <row r="150" spans="1:11" ht="15.5" x14ac:dyDescent="0.35">
      <c r="A150" s="974"/>
      <c r="B150" s="435" t="s">
        <v>911</v>
      </c>
      <c r="C150" s="430">
        <v>16.5</v>
      </c>
      <c r="D150" s="430">
        <v>21.2</v>
      </c>
      <c r="E150" s="430">
        <v>18.8</v>
      </c>
      <c r="F150" s="430" t="s">
        <v>983</v>
      </c>
      <c r="G150" s="430" t="s">
        <v>983</v>
      </c>
      <c r="H150" s="430" t="s">
        <v>983</v>
      </c>
      <c r="I150" s="430">
        <v>17.2</v>
      </c>
      <c r="J150" s="430">
        <v>21.5</v>
      </c>
      <c r="K150" s="430">
        <v>19.3</v>
      </c>
    </row>
    <row r="151" spans="1:11" ht="15.5" x14ac:dyDescent="0.35">
      <c r="A151" s="974"/>
      <c r="B151" s="435" t="s">
        <v>910</v>
      </c>
      <c r="C151" s="430">
        <v>15.352254840371844</v>
      </c>
      <c r="D151" s="430">
        <v>19.336524887988706</v>
      </c>
      <c r="E151" s="430">
        <v>17.261421161177427</v>
      </c>
      <c r="F151" s="430" t="s">
        <v>983</v>
      </c>
      <c r="G151" s="430" t="s">
        <v>983</v>
      </c>
      <c r="H151" s="430" t="s">
        <v>983</v>
      </c>
      <c r="I151" s="430">
        <v>15.169561621174523</v>
      </c>
      <c r="J151" s="430">
        <v>18.852748730592506</v>
      </c>
      <c r="K151" s="430">
        <v>16.973056028096362</v>
      </c>
    </row>
    <row r="152" spans="1:11" ht="15.5" x14ac:dyDescent="0.35">
      <c r="A152" s="974"/>
      <c r="B152" s="435" t="s">
        <v>909</v>
      </c>
      <c r="C152" s="430">
        <v>14.368916886580971</v>
      </c>
      <c r="D152" s="430">
        <v>18.697642217008347</v>
      </c>
      <c r="E152" s="430">
        <v>16.445661520746683</v>
      </c>
      <c r="F152" s="430" t="s">
        <v>983</v>
      </c>
      <c r="G152" s="430" t="s">
        <v>983</v>
      </c>
      <c r="H152" s="430" t="s">
        <v>983</v>
      </c>
      <c r="I152" s="430">
        <v>15.345608711916539</v>
      </c>
      <c r="J152" s="430">
        <v>19.444540488209665</v>
      </c>
      <c r="K152" s="430">
        <v>17.355063712216559</v>
      </c>
    </row>
    <row r="153" spans="1:11" ht="15.5" x14ac:dyDescent="0.35">
      <c r="A153" s="974"/>
      <c r="B153" s="435" t="s">
        <v>908</v>
      </c>
      <c r="C153" s="430">
        <v>15.676558244328149</v>
      </c>
      <c r="D153" s="430">
        <v>18.107138724979752</v>
      </c>
      <c r="E153" s="430">
        <v>16.844078710925199</v>
      </c>
      <c r="F153" s="430" t="s">
        <v>983</v>
      </c>
      <c r="G153" s="430" t="s">
        <v>983</v>
      </c>
      <c r="H153" s="430" t="s">
        <v>983</v>
      </c>
      <c r="I153" s="430">
        <v>15.552807693271728</v>
      </c>
      <c r="J153" s="430">
        <v>18.619828908707976</v>
      </c>
      <c r="K153" s="430">
        <v>17.058187913181829</v>
      </c>
    </row>
    <row r="154" spans="1:11" ht="15.5" x14ac:dyDescent="0.35">
      <c r="A154" s="973">
        <v>25</v>
      </c>
      <c r="B154" s="433" t="s">
        <v>35</v>
      </c>
      <c r="C154" s="430"/>
      <c r="D154" s="430"/>
      <c r="E154" s="430"/>
      <c r="F154" s="430"/>
      <c r="G154" s="430"/>
      <c r="H154" s="430"/>
      <c r="I154" s="430"/>
      <c r="J154" s="430"/>
      <c r="K154" s="430"/>
    </row>
    <row r="155" spans="1:11" ht="15.5" x14ac:dyDescent="0.35">
      <c r="A155" s="974"/>
      <c r="B155" s="433" t="s">
        <v>912</v>
      </c>
      <c r="C155" s="430">
        <v>23.761043194784019</v>
      </c>
      <c r="D155" s="430">
        <v>21.933671742808798</v>
      </c>
      <c r="E155" s="430">
        <v>22.860629202291026</v>
      </c>
      <c r="F155" s="430">
        <v>25.403974351702463</v>
      </c>
      <c r="G155" s="430">
        <v>21.659531647027613</v>
      </c>
      <c r="H155" s="430">
        <v>23.564911124587653</v>
      </c>
      <c r="I155" s="430">
        <v>16.950465930076977</v>
      </c>
      <c r="J155" s="430">
        <v>15.410460422829269</v>
      </c>
      <c r="K155" s="430">
        <v>16.161539738202986</v>
      </c>
    </row>
    <row r="156" spans="1:11" ht="15.5" x14ac:dyDescent="0.35">
      <c r="A156" s="974"/>
      <c r="B156" s="435" t="s">
        <v>911</v>
      </c>
      <c r="C156" s="430">
        <v>23.5</v>
      </c>
      <c r="D156" s="430">
        <v>20.6</v>
      </c>
      <c r="E156" s="430">
        <v>22.1</v>
      </c>
      <c r="F156" s="430">
        <v>25.2</v>
      </c>
      <c r="G156" s="430">
        <v>19.899999999999999</v>
      </c>
      <c r="H156" s="430">
        <v>22.6</v>
      </c>
      <c r="I156" s="430">
        <v>16.7</v>
      </c>
      <c r="J156" s="430">
        <v>14.3</v>
      </c>
      <c r="K156" s="430">
        <v>15.5</v>
      </c>
    </row>
    <row r="157" spans="1:11" ht="15.5" x14ac:dyDescent="0.35">
      <c r="A157" s="974"/>
      <c r="B157" s="435" t="s">
        <v>910</v>
      </c>
      <c r="C157" s="430">
        <v>21.332265130618204</v>
      </c>
      <c r="D157" s="430">
        <v>20.129654422224082</v>
      </c>
      <c r="E157" s="430">
        <v>20.740247971330888</v>
      </c>
      <c r="F157" s="430">
        <v>21.443933969723446</v>
      </c>
      <c r="G157" s="430">
        <v>18.415357600493572</v>
      </c>
      <c r="H157" s="430">
        <v>19.951568074217075</v>
      </c>
      <c r="I157" s="430">
        <v>14.203099021371953</v>
      </c>
      <c r="J157" s="430">
        <v>12.754841809580132</v>
      </c>
      <c r="K157" s="430">
        <v>13.458833629799452</v>
      </c>
    </row>
    <row r="158" spans="1:11" ht="15.5" x14ac:dyDescent="0.35">
      <c r="A158" s="974"/>
      <c r="B158" s="435" t="s">
        <v>909</v>
      </c>
      <c r="C158" s="430">
        <v>21.553555428850697</v>
      </c>
      <c r="D158" s="430">
        <v>19.490374152506906</v>
      </c>
      <c r="E158" s="430">
        <v>20.536017998678997</v>
      </c>
      <c r="F158" s="430">
        <v>20.544070950480933</v>
      </c>
      <c r="G158" s="430">
        <v>16.939367972293894</v>
      </c>
      <c r="H158" s="430">
        <v>18.764523557019061</v>
      </c>
      <c r="I158" s="430">
        <v>13.736820941340316</v>
      </c>
      <c r="J158" s="430">
        <v>11.985085194448912</v>
      </c>
      <c r="K158" s="430">
        <v>12.835012938463544</v>
      </c>
    </row>
    <row r="159" spans="1:11" ht="15.5" x14ac:dyDescent="0.35">
      <c r="A159" s="974"/>
      <c r="B159" s="435" t="s">
        <v>908</v>
      </c>
      <c r="C159" s="430">
        <v>22.831370624795554</v>
      </c>
      <c r="D159" s="430">
        <v>19.292807502302605</v>
      </c>
      <c r="E159" s="430">
        <v>21.082950643332921</v>
      </c>
      <c r="F159" s="430">
        <v>21.425019518905454</v>
      </c>
      <c r="G159" s="430">
        <v>16.7177979664623</v>
      </c>
      <c r="H159" s="430">
        <v>19.096877238722708</v>
      </c>
      <c r="I159" s="430">
        <v>13.582330582744156</v>
      </c>
      <c r="J159" s="430">
        <v>10.881947192644398</v>
      </c>
      <c r="K159" s="430">
        <v>12.189660171211452</v>
      </c>
    </row>
    <row r="160" spans="1:11" ht="15.5" x14ac:dyDescent="0.35">
      <c r="A160" s="973">
        <v>26</v>
      </c>
      <c r="B160" s="433" t="s">
        <v>36</v>
      </c>
      <c r="C160" s="430"/>
      <c r="D160" s="430"/>
      <c r="E160" s="430"/>
      <c r="F160" s="430"/>
      <c r="G160" s="430"/>
      <c r="H160" s="430"/>
      <c r="I160" s="430"/>
      <c r="J160" s="430"/>
      <c r="K160" s="430"/>
    </row>
    <row r="161" spans="1:11" ht="15.5" x14ac:dyDescent="0.35">
      <c r="A161" s="974"/>
      <c r="B161" s="433" t="s">
        <v>912</v>
      </c>
      <c r="C161" s="430">
        <v>63.560438611910882</v>
      </c>
      <c r="D161" s="430">
        <v>64.488587118240943</v>
      </c>
      <c r="E161" s="430">
        <v>64.041938372036668</v>
      </c>
      <c r="F161" s="430">
        <v>46.325984417482005</v>
      </c>
      <c r="G161" s="430">
        <v>45.095719861827959</v>
      </c>
      <c r="H161" s="430">
        <v>45.684396367845842</v>
      </c>
      <c r="I161" s="430"/>
      <c r="J161" s="430"/>
      <c r="K161" s="430"/>
    </row>
    <row r="162" spans="1:11" ht="15.5" x14ac:dyDescent="0.35">
      <c r="A162" s="974"/>
      <c r="B162" s="435" t="s">
        <v>911</v>
      </c>
      <c r="C162" s="430">
        <v>61</v>
      </c>
      <c r="D162" s="430">
        <v>62.1</v>
      </c>
      <c r="E162" s="430">
        <v>61.5</v>
      </c>
      <c r="F162" s="430">
        <v>43</v>
      </c>
      <c r="G162" s="430">
        <v>43.4</v>
      </c>
      <c r="H162" s="430">
        <v>43.2</v>
      </c>
      <c r="I162" s="430" t="s">
        <v>983</v>
      </c>
      <c r="J162" s="430" t="s">
        <v>983</v>
      </c>
      <c r="K162" s="430" t="s">
        <v>983</v>
      </c>
    </row>
    <row r="163" spans="1:11" ht="15.5" x14ac:dyDescent="0.35">
      <c r="A163" s="974"/>
      <c r="B163" s="435" t="s">
        <v>910</v>
      </c>
      <c r="C163" s="430">
        <v>60.321251484042179</v>
      </c>
      <c r="D163" s="430">
        <v>61.144892507314587</v>
      </c>
      <c r="E163" s="430">
        <v>60.752305182916679</v>
      </c>
      <c r="F163" s="430">
        <v>45.548521516147126</v>
      </c>
      <c r="G163" s="430">
        <v>45.617961305226686</v>
      </c>
      <c r="H163" s="430">
        <v>45.585051840036463</v>
      </c>
      <c r="I163" s="430" t="s">
        <v>983</v>
      </c>
      <c r="J163" s="430" t="s">
        <v>983</v>
      </c>
      <c r="K163" s="430" t="s">
        <v>983</v>
      </c>
    </row>
    <row r="164" spans="1:11" ht="15.5" x14ac:dyDescent="0.35">
      <c r="A164" s="974"/>
      <c r="B164" s="435" t="s">
        <v>909</v>
      </c>
      <c r="C164" s="430">
        <v>54.768329792731244</v>
      </c>
      <c r="D164" s="430">
        <v>54.532224532224525</v>
      </c>
      <c r="E164" s="430">
        <v>54.644778928846662</v>
      </c>
      <c r="F164" s="430">
        <v>40.286584863707489</v>
      </c>
      <c r="G164" s="430">
        <v>38.087161713737927</v>
      </c>
      <c r="H164" s="430">
        <v>39.126206037970746</v>
      </c>
      <c r="I164" s="430" t="s">
        <v>983</v>
      </c>
      <c r="J164" s="430" t="s">
        <v>983</v>
      </c>
      <c r="K164" s="430" t="s">
        <v>983</v>
      </c>
    </row>
    <row r="165" spans="1:11" ht="15.5" x14ac:dyDescent="0.35">
      <c r="A165" s="974"/>
      <c r="B165" s="435" t="s">
        <v>908</v>
      </c>
      <c r="C165" s="430">
        <v>54.463323541134613</v>
      </c>
      <c r="D165" s="430">
        <v>53.709384004567852</v>
      </c>
      <c r="E165" s="430">
        <v>54.066410346032853</v>
      </c>
      <c r="F165" s="430">
        <v>42.500211738799017</v>
      </c>
      <c r="G165" s="430">
        <v>39.477055233215282</v>
      </c>
      <c r="H165" s="430">
        <v>40.90039078076402</v>
      </c>
      <c r="I165" s="430" t="s">
        <v>983</v>
      </c>
      <c r="J165" s="430" t="s">
        <v>983</v>
      </c>
      <c r="K165" s="430" t="s">
        <v>983</v>
      </c>
    </row>
    <row r="166" spans="1:11" ht="15.5" x14ac:dyDescent="0.35">
      <c r="A166" s="973">
        <v>27</v>
      </c>
      <c r="B166" s="433" t="s">
        <v>37</v>
      </c>
      <c r="C166" s="430"/>
      <c r="D166" s="430"/>
      <c r="E166" s="430"/>
      <c r="F166" s="430"/>
      <c r="G166" s="430"/>
      <c r="H166" s="430"/>
      <c r="I166" s="430"/>
      <c r="J166" s="430"/>
      <c r="K166" s="430"/>
    </row>
    <row r="167" spans="1:11" ht="15.5" x14ac:dyDescent="0.35">
      <c r="A167" s="974"/>
      <c r="B167" s="433" t="s">
        <v>912</v>
      </c>
      <c r="C167" s="430">
        <v>27.55535124953165</v>
      </c>
      <c r="D167" s="430">
        <v>32.346804162021563</v>
      </c>
      <c r="E167" s="430">
        <v>29.713416916079687</v>
      </c>
      <c r="F167" s="430">
        <v>18.716472759515355</v>
      </c>
      <c r="G167" s="430">
        <v>26.590034336635853</v>
      </c>
      <c r="H167" s="430">
        <v>22.30256354013904</v>
      </c>
      <c r="I167" s="430"/>
      <c r="J167" s="430"/>
      <c r="K167" s="430"/>
    </row>
    <row r="168" spans="1:11" ht="15.5" x14ac:dyDescent="0.35">
      <c r="A168" s="974"/>
      <c r="B168" s="435" t="s">
        <v>911</v>
      </c>
      <c r="C168" s="430">
        <v>25.2</v>
      </c>
      <c r="D168" s="430">
        <v>30.1</v>
      </c>
      <c r="E168" s="430">
        <v>27.4</v>
      </c>
      <c r="F168" s="430">
        <v>16.2</v>
      </c>
      <c r="G168" s="430">
        <v>22.8</v>
      </c>
      <c r="H168" s="430">
        <v>19.2</v>
      </c>
      <c r="I168" s="430" t="s">
        <v>983</v>
      </c>
      <c r="J168" s="430" t="s">
        <v>983</v>
      </c>
      <c r="K168" s="430" t="s">
        <v>983</v>
      </c>
    </row>
    <row r="169" spans="1:11" ht="15.5" x14ac:dyDescent="0.35">
      <c r="A169" s="974"/>
      <c r="B169" s="435" t="s">
        <v>910</v>
      </c>
      <c r="C169" s="430">
        <v>23.943439432104419</v>
      </c>
      <c r="D169" s="430">
        <v>29.116933221099888</v>
      </c>
      <c r="E169" s="430">
        <v>26.2682826881856</v>
      </c>
      <c r="F169" s="430">
        <v>14.334025889900733</v>
      </c>
      <c r="G169" s="430">
        <v>21.258368683285799</v>
      </c>
      <c r="H169" s="430">
        <v>17.480687659369693</v>
      </c>
      <c r="I169" s="430" t="s">
        <v>983</v>
      </c>
      <c r="J169" s="430" t="s">
        <v>983</v>
      </c>
      <c r="K169" s="430" t="s">
        <v>983</v>
      </c>
    </row>
    <row r="170" spans="1:11" ht="15.5" x14ac:dyDescent="0.35">
      <c r="A170" s="974"/>
      <c r="B170" s="435" t="s">
        <v>909</v>
      </c>
      <c r="C170" s="430">
        <v>24.076248160307937</v>
      </c>
      <c r="D170" s="430">
        <v>30.774113082039911</v>
      </c>
      <c r="E170" s="430">
        <v>27.087762477412923</v>
      </c>
      <c r="F170" s="430">
        <v>15.491527791263582</v>
      </c>
      <c r="G170" s="430">
        <v>22.050266820302859</v>
      </c>
      <c r="H170" s="430">
        <v>18.473671743280338</v>
      </c>
      <c r="I170" s="430" t="s">
        <v>983</v>
      </c>
      <c r="J170" s="430" t="s">
        <v>983</v>
      </c>
      <c r="K170" s="430" t="s">
        <v>983</v>
      </c>
    </row>
    <row r="171" spans="1:11" ht="15.5" x14ac:dyDescent="0.35">
      <c r="A171" s="974"/>
      <c r="B171" s="435" t="s">
        <v>908</v>
      </c>
      <c r="C171" s="430">
        <v>24.447492163009404</v>
      </c>
      <c r="D171" s="430">
        <v>33.053532311062433</v>
      </c>
      <c r="E171" s="430">
        <v>28.319044099531904</v>
      </c>
      <c r="F171" s="430">
        <v>17.038427133993807</v>
      </c>
      <c r="G171" s="430">
        <v>24.256363573976106</v>
      </c>
      <c r="H171" s="430">
        <v>20.322059624279078</v>
      </c>
      <c r="I171" s="430" t="s">
        <v>983</v>
      </c>
      <c r="J171" s="430" t="s">
        <v>983</v>
      </c>
      <c r="K171" s="430" t="s">
        <v>983</v>
      </c>
    </row>
    <row r="172" spans="1:11" ht="15.5" x14ac:dyDescent="0.35">
      <c r="A172" s="973">
        <v>28</v>
      </c>
      <c r="B172" s="433" t="s">
        <v>38</v>
      </c>
      <c r="C172" s="430"/>
      <c r="D172" s="430"/>
      <c r="E172" s="430"/>
      <c r="F172" s="430"/>
      <c r="G172" s="430"/>
      <c r="H172" s="430"/>
      <c r="I172" s="430"/>
      <c r="J172" s="430"/>
      <c r="K172" s="430"/>
    </row>
    <row r="173" spans="1:11" ht="15.5" x14ac:dyDescent="0.35">
      <c r="A173" s="974"/>
      <c r="B173" s="433" t="s">
        <v>912</v>
      </c>
      <c r="C173" s="430">
        <v>27.767962671158941</v>
      </c>
      <c r="D173" s="430">
        <v>28.670089636647827</v>
      </c>
      <c r="E173" s="430">
        <v>28.198949607708435</v>
      </c>
      <c r="F173" s="430">
        <v>26.518723629592149</v>
      </c>
      <c r="G173" s="430">
        <v>27.160220262083399</v>
      </c>
      <c r="H173" s="430">
        <v>26.819086433887485</v>
      </c>
      <c r="I173" s="430">
        <v>27.695556042112969</v>
      </c>
      <c r="J173" s="430">
        <v>28.208947639346384</v>
      </c>
      <c r="K173" s="430">
        <v>27.948501179529867</v>
      </c>
    </row>
    <row r="174" spans="1:11" ht="15.5" x14ac:dyDescent="0.35">
      <c r="A174" s="974"/>
      <c r="B174" s="435" t="s">
        <v>911</v>
      </c>
      <c r="C174" s="430">
        <v>29</v>
      </c>
      <c r="D174" s="430">
        <v>28.1</v>
      </c>
      <c r="E174" s="430">
        <v>28.6</v>
      </c>
      <c r="F174" s="430">
        <v>27.2</v>
      </c>
      <c r="G174" s="430">
        <v>26.1</v>
      </c>
      <c r="H174" s="430">
        <v>26.7</v>
      </c>
      <c r="I174" s="430">
        <v>28.9</v>
      </c>
      <c r="J174" s="430">
        <v>27.6</v>
      </c>
      <c r="K174" s="430">
        <v>28.2</v>
      </c>
    </row>
    <row r="175" spans="1:11" ht="15.5" x14ac:dyDescent="0.35">
      <c r="A175" s="974"/>
      <c r="B175" s="435" t="s">
        <v>910</v>
      </c>
      <c r="C175" s="430">
        <v>26.088901587819912</v>
      </c>
      <c r="D175" s="430">
        <v>26.038296720645949</v>
      </c>
      <c r="E175" s="430">
        <v>26.064862432501929</v>
      </c>
      <c r="F175" s="430">
        <v>22.931161518679129</v>
      </c>
      <c r="G175" s="430">
        <v>22.604347956550441</v>
      </c>
      <c r="H175" s="430">
        <v>22.778587492696513</v>
      </c>
      <c r="I175" s="430">
        <v>22.821287588720253</v>
      </c>
      <c r="J175" s="430">
        <v>23.75791256646044</v>
      </c>
      <c r="K175" s="430">
        <v>23.281470648625771</v>
      </c>
    </row>
    <row r="176" spans="1:11" ht="15.5" x14ac:dyDescent="0.35">
      <c r="A176" s="974"/>
      <c r="B176" s="435" t="s">
        <v>909</v>
      </c>
      <c r="C176" s="430">
        <v>23.674289474766585</v>
      </c>
      <c r="D176" s="430">
        <v>24.04162110442865</v>
      </c>
      <c r="E176" s="430">
        <v>23.848565746525153</v>
      </c>
      <c r="F176" s="430">
        <v>20.558212396507312</v>
      </c>
      <c r="G176" s="430">
        <v>20.848366675043664</v>
      </c>
      <c r="H176" s="430">
        <v>20.693510921118875</v>
      </c>
      <c r="I176" s="430">
        <v>21.256200652106063</v>
      </c>
      <c r="J176" s="430">
        <v>21.70739103317333</v>
      </c>
      <c r="K176" s="430">
        <v>21.477609189338175</v>
      </c>
    </row>
    <row r="177" spans="1:11" ht="15.5" x14ac:dyDescent="0.35">
      <c r="A177" s="974"/>
      <c r="B177" s="435" t="s">
        <v>908</v>
      </c>
      <c r="C177" s="430">
        <v>22.432668794296845</v>
      </c>
      <c r="D177" s="430">
        <v>23.057647167119253</v>
      </c>
      <c r="E177" s="430">
        <v>22.728802285514895</v>
      </c>
      <c r="F177" s="430">
        <v>20.037686347314711</v>
      </c>
      <c r="G177" s="430">
        <v>19.253530847314053</v>
      </c>
      <c r="H177" s="430">
        <v>19.672545023277198</v>
      </c>
      <c r="I177" s="430">
        <v>21.518767105870701</v>
      </c>
      <c r="J177" s="430">
        <v>20.404760495821165</v>
      </c>
      <c r="K177" s="430">
        <v>20.972780237309244</v>
      </c>
    </row>
    <row r="178" spans="1:11" ht="15.5" x14ac:dyDescent="0.35">
      <c r="A178" s="973">
        <v>29</v>
      </c>
      <c r="B178" s="433" t="s">
        <v>39</v>
      </c>
      <c r="C178" s="430"/>
      <c r="D178" s="430"/>
      <c r="E178" s="430"/>
      <c r="F178" s="430"/>
      <c r="G178" s="430"/>
      <c r="H178" s="430"/>
      <c r="I178" s="430"/>
      <c r="J178" s="430"/>
      <c r="K178" s="430"/>
    </row>
    <row r="179" spans="1:11" ht="15.5" x14ac:dyDescent="0.35">
      <c r="A179" s="974"/>
      <c r="B179" s="433" t="s">
        <v>912</v>
      </c>
      <c r="C179" s="430">
        <v>34.99344313914056</v>
      </c>
      <c r="D179" s="430">
        <v>43.153482515802288</v>
      </c>
      <c r="E179" s="430">
        <v>38.834088646682844</v>
      </c>
      <c r="F179" s="430">
        <v>46.512283293051766</v>
      </c>
      <c r="G179" s="430">
        <v>42.732889710173623</v>
      </c>
      <c r="H179" s="430">
        <v>44.611180102186374</v>
      </c>
      <c r="I179" s="430">
        <v>32.392278895310511</v>
      </c>
      <c r="J179" s="430">
        <v>44.85557950278082</v>
      </c>
      <c r="K179" s="430">
        <v>38.517098800528132</v>
      </c>
    </row>
    <row r="180" spans="1:11" ht="15.5" x14ac:dyDescent="0.35">
      <c r="A180" s="974"/>
      <c r="B180" s="435" t="s">
        <v>911</v>
      </c>
      <c r="C180" s="430">
        <v>35.1</v>
      </c>
      <c r="D180" s="430">
        <v>42.5</v>
      </c>
      <c r="E180" s="430">
        <v>38.6</v>
      </c>
      <c r="F180" s="430">
        <v>46.6</v>
      </c>
      <c r="G180" s="430">
        <v>39.1</v>
      </c>
      <c r="H180" s="430">
        <v>42.8</v>
      </c>
      <c r="I180" s="430">
        <v>29.6</v>
      </c>
      <c r="J180" s="430">
        <v>42.1</v>
      </c>
      <c r="K180" s="430">
        <v>35.799999999999997</v>
      </c>
    </row>
    <row r="181" spans="1:11" ht="15.5" x14ac:dyDescent="0.35">
      <c r="A181" s="974"/>
      <c r="B181" s="435" t="s">
        <v>910</v>
      </c>
      <c r="C181" s="430">
        <v>36.273828650831561</v>
      </c>
      <c r="D181" s="430">
        <v>44.00253294040283</v>
      </c>
      <c r="E181" s="430">
        <v>39.916434220645797</v>
      </c>
      <c r="F181" s="430">
        <v>41.151079136690647</v>
      </c>
      <c r="G181" s="430">
        <v>36.578449905482039</v>
      </c>
      <c r="H181" s="430">
        <v>38.847893358724114</v>
      </c>
      <c r="I181" s="430">
        <v>28.763753160664251</v>
      </c>
      <c r="J181" s="430">
        <v>41.609649432178877</v>
      </c>
      <c r="K181" s="430">
        <v>35.085039916695592</v>
      </c>
    </row>
    <row r="182" spans="1:11" ht="15.5" x14ac:dyDescent="0.35">
      <c r="A182" s="974"/>
      <c r="B182" s="435" t="s">
        <v>909</v>
      </c>
      <c r="C182" s="430">
        <v>72.14206195018663</v>
      </c>
      <c r="D182" s="430">
        <v>61.117217459270655</v>
      </c>
      <c r="E182" s="430">
        <v>66.939090741423826</v>
      </c>
      <c r="F182" s="430">
        <v>32.835101253616202</v>
      </c>
      <c r="G182" s="430">
        <v>29.431279620853079</v>
      </c>
      <c r="H182" s="430">
        <v>31.118546845124285</v>
      </c>
      <c r="I182" s="430">
        <v>24.637581587083478</v>
      </c>
      <c r="J182" s="430">
        <v>38.363044708545559</v>
      </c>
      <c r="K182" s="430">
        <v>31.400090620752152</v>
      </c>
    </row>
    <row r="183" spans="1:11" ht="15.5" x14ac:dyDescent="0.35">
      <c r="A183" s="974"/>
      <c r="B183" s="435" t="s">
        <v>908</v>
      </c>
      <c r="C183" s="430">
        <v>47.163268441498587</v>
      </c>
      <c r="D183" s="430">
        <v>49.194101508916319</v>
      </c>
      <c r="E183" s="430">
        <v>48.122981467118898</v>
      </c>
      <c r="F183" s="430">
        <v>35.530780416868637</v>
      </c>
      <c r="G183" s="430">
        <v>29.800380228136881</v>
      </c>
      <c r="H183" s="430">
        <v>32.637389008879289</v>
      </c>
      <c r="I183" s="430">
        <v>23.860182370820667</v>
      </c>
      <c r="J183" s="430">
        <v>37.708407236608728</v>
      </c>
      <c r="K183" s="430">
        <v>30.690886182276355</v>
      </c>
    </row>
    <row r="184" spans="1:11" ht="15.5" x14ac:dyDescent="0.35">
      <c r="A184" s="973">
        <v>30</v>
      </c>
      <c r="B184" s="433" t="s">
        <v>40</v>
      </c>
      <c r="C184" s="430"/>
      <c r="D184" s="430"/>
      <c r="E184" s="430"/>
      <c r="F184" s="430"/>
      <c r="G184" s="430"/>
      <c r="H184" s="430"/>
      <c r="I184" s="430"/>
      <c r="J184" s="430"/>
      <c r="K184" s="430"/>
    </row>
    <row r="185" spans="1:11" ht="15.5" x14ac:dyDescent="0.35">
      <c r="A185" s="974"/>
      <c r="B185" s="433" t="s">
        <v>912</v>
      </c>
      <c r="C185" s="430">
        <v>48.838529258275571</v>
      </c>
      <c r="D185" s="430">
        <v>49.348871150429574</v>
      </c>
      <c r="E185" s="430">
        <v>49.080212061840953</v>
      </c>
      <c r="F185" s="430">
        <v>40.691918573687502</v>
      </c>
      <c r="G185" s="430">
        <v>42.083129064148409</v>
      </c>
      <c r="H185" s="430">
        <v>41.374682497949763</v>
      </c>
      <c r="I185" s="430">
        <v>48.24799598203505</v>
      </c>
      <c r="J185" s="430">
        <v>39.405277445741113</v>
      </c>
      <c r="K185" s="430">
        <v>43.8478153656609</v>
      </c>
    </row>
    <row r="186" spans="1:11" ht="15.5" x14ac:dyDescent="0.35">
      <c r="A186" s="974"/>
      <c r="B186" s="435" t="s">
        <v>911</v>
      </c>
      <c r="C186" s="430">
        <v>46.8</v>
      </c>
      <c r="D186" s="430">
        <v>47.3</v>
      </c>
      <c r="E186" s="430">
        <v>47</v>
      </c>
      <c r="F186" s="430">
        <v>38.4</v>
      </c>
      <c r="G186" s="430">
        <v>40.4</v>
      </c>
      <c r="H186" s="430">
        <v>39.4</v>
      </c>
      <c r="I186" s="430">
        <v>50.2</v>
      </c>
      <c r="J186" s="430">
        <v>37.6</v>
      </c>
      <c r="K186" s="430">
        <v>43.9</v>
      </c>
    </row>
    <row r="187" spans="1:11" ht="15.5" x14ac:dyDescent="0.35">
      <c r="A187" s="974"/>
      <c r="B187" s="435" t="s">
        <v>910</v>
      </c>
      <c r="C187" s="430">
        <v>45.404092001748253</v>
      </c>
      <c r="D187" s="430">
        <v>48.572265738323175</v>
      </c>
      <c r="E187" s="430">
        <v>46.94053012183798</v>
      </c>
      <c r="F187" s="430">
        <v>34.674994012881761</v>
      </c>
      <c r="G187" s="430">
        <v>38.924449135494122</v>
      </c>
      <c r="H187" s="430">
        <v>36.761768279305713</v>
      </c>
      <c r="I187" s="430">
        <v>42.877520905066405</v>
      </c>
      <c r="J187" s="430">
        <v>38.238138935046258</v>
      </c>
      <c r="K187" s="430">
        <v>40.567540534199381</v>
      </c>
    </row>
    <row r="188" spans="1:11" ht="15.5" x14ac:dyDescent="0.35">
      <c r="A188" s="974"/>
      <c r="B188" s="435" t="s">
        <v>909</v>
      </c>
      <c r="C188" s="430">
        <v>48.12932387809235</v>
      </c>
      <c r="D188" s="430">
        <v>49.946244266055047</v>
      </c>
      <c r="E188" s="430">
        <v>49.0116531618077</v>
      </c>
      <c r="F188" s="430">
        <v>37.25238698880348</v>
      </c>
      <c r="G188" s="430">
        <v>40.742858839521887</v>
      </c>
      <c r="H188" s="430">
        <v>38.968745477120898</v>
      </c>
      <c r="I188" s="430">
        <v>42.011891997270688</v>
      </c>
      <c r="J188" s="430">
        <v>38.052988897330948</v>
      </c>
      <c r="K188" s="430">
        <v>40.038613812991834</v>
      </c>
    </row>
    <row r="189" spans="1:11" ht="15.5" x14ac:dyDescent="0.35">
      <c r="A189" s="974"/>
      <c r="B189" s="435" t="s">
        <v>908</v>
      </c>
      <c r="C189" s="430">
        <v>46.584862139255442</v>
      </c>
      <c r="D189" s="430">
        <v>47.529781807877583</v>
      </c>
      <c r="E189" s="430">
        <v>47.04434094854907</v>
      </c>
      <c r="F189" s="430">
        <v>38.794213014529348</v>
      </c>
      <c r="G189" s="430">
        <v>41.008939257452148</v>
      </c>
      <c r="H189" s="430">
        <v>39.884655615971049</v>
      </c>
      <c r="I189" s="430">
        <v>40.532708700586802</v>
      </c>
      <c r="J189" s="430">
        <v>32.032461240310077</v>
      </c>
      <c r="K189" s="430">
        <v>36.289318063634497</v>
      </c>
    </row>
    <row r="190" spans="1:11" ht="15.5" x14ac:dyDescent="0.35">
      <c r="A190" s="973">
        <v>31</v>
      </c>
      <c r="B190" s="433" t="s">
        <v>41</v>
      </c>
      <c r="C190" s="430"/>
      <c r="D190" s="430"/>
      <c r="E190" s="430"/>
      <c r="F190" s="430"/>
      <c r="G190" s="430"/>
      <c r="H190" s="430"/>
      <c r="I190" s="430"/>
      <c r="J190" s="430"/>
      <c r="K190" s="430"/>
    </row>
    <row r="191" spans="1:11" ht="15.5" x14ac:dyDescent="0.35">
      <c r="A191" s="974"/>
      <c r="B191" s="433" t="s">
        <v>912</v>
      </c>
      <c r="C191" s="430">
        <v>40.56032501392653</v>
      </c>
      <c r="D191" s="430">
        <v>45.021309768266143</v>
      </c>
      <c r="E191" s="430">
        <v>42.698534134582502</v>
      </c>
      <c r="F191" s="430">
        <v>37.624907401887697</v>
      </c>
      <c r="G191" s="430">
        <v>46.455203799874859</v>
      </c>
      <c r="H191" s="430">
        <v>41.897200025679751</v>
      </c>
      <c r="I191" s="430">
        <v>41.743508873739188</v>
      </c>
      <c r="J191" s="430">
        <v>41.002261170609103</v>
      </c>
      <c r="K191" s="430">
        <v>41.380451155433768</v>
      </c>
    </row>
    <row r="192" spans="1:11" ht="15.5" x14ac:dyDescent="0.35">
      <c r="A192" s="974"/>
      <c r="B192" s="435" t="s">
        <v>911</v>
      </c>
      <c r="C192" s="430">
        <v>38.5</v>
      </c>
      <c r="D192" s="430">
        <v>41.6</v>
      </c>
      <c r="E192" s="430">
        <v>40</v>
      </c>
      <c r="F192" s="430">
        <v>35.6</v>
      </c>
      <c r="G192" s="430">
        <v>42.9</v>
      </c>
      <c r="H192" s="430">
        <v>39.200000000000003</v>
      </c>
      <c r="I192" s="430">
        <v>39.1</v>
      </c>
      <c r="J192" s="430">
        <v>36.9</v>
      </c>
      <c r="K192" s="430">
        <v>38</v>
      </c>
    </row>
    <row r="193" spans="1:11" ht="15.5" x14ac:dyDescent="0.35">
      <c r="A193" s="974"/>
      <c r="B193" s="435" t="s">
        <v>910</v>
      </c>
      <c r="C193" s="430">
        <v>37.40755572710605</v>
      </c>
      <c r="D193" s="430">
        <v>40.947538461538464</v>
      </c>
      <c r="E193" s="430">
        <v>39.123601650673692</v>
      </c>
      <c r="F193" s="430">
        <v>31.75869375545307</v>
      </c>
      <c r="G193" s="430">
        <v>39.279159176994256</v>
      </c>
      <c r="H193" s="430">
        <v>35.401438073917433</v>
      </c>
      <c r="I193" s="430">
        <v>34.153443710035091</v>
      </c>
      <c r="J193" s="430">
        <v>33.260792946612888</v>
      </c>
      <c r="K193" s="430">
        <v>33.715734118983157</v>
      </c>
    </row>
    <row r="194" spans="1:11" ht="15.5" x14ac:dyDescent="0.35">
      <c r="A194" s="974"/>
      <c r="B194" s="435" t="s">
        <v>909</v>
      </c>
      <c r="C194" s="430">
        <v>32.233039478727484</v>
      </c>
      <c r="D194" s="430">
        <v>36.424796747967477</v>
      </c>
      <c r="E194" s="430">
        <v>34.267311106727163</v>
      </c>
      <c r="F194" s="430">
        <v>27.643153306870122</v>
      </c>
      <c r="G194" s="430">
        <v>36.220415752389115</v>
      </c>
      <c r="H194" s="430">
        <v>31.802437128875184</v>
      </c>
      <c r="I194" s="430">
        <v>29.660550409680543</v>
      </c>
      <c r="J194" s="430">
        <v>29.458262426483223</v>
      </c>
      <c r="K194" s="430">
        <v>29.561249312921429</v>
      </c>
    </row>
    <row r="195" spans="1:11" ht="15.5" x14ac:dyDescent="0.35">
      <c r="A195" s="974"/>
      <c r="B195" s="435" t="s">
        <v>908</v>
      </c>
      <c r="C195" s="430">
        <v>33.363260062803313</v>
      </c>
      <c r="D195" s="430">
        <v>36.517220543806644</v>
      </c>
      <c r="E195" s="430">
        <v>34.89556729781301</v>
      </c>
      <c r="F195" s="430">
        <v>28.774146725468448</v>
      </c>
      <c r="G195" s="430">
        <v>36.381091224913924</v>
      </c>
      <c r="H195" s="430">
        <v>32.466951662618598</v>
      </c>
      <c r="I195" s="430">
        <v>30.4254133382872</v>
      </c>
      <c r="J195" s="430">
        <v>28.742495234851773</v>
      </c>
      <c r="K195" s="430">
        <v>29.59830695600299</v>
      </c>
    </row>
    <row r="196" spans="1:11" ht="15.5" x14ac:dyDescent="0.35">
      <c r="A196" s="973">
        <v>32</v>
      </c>
      <c r="B196" s="433" t="s">
        <v>984</v>
      </c>
      <c r="C196" s="430"/>
      <c r="D196" s="430"/>
      <c r="E196" s="430"/>
      <c r="F196" s="430"/>
      <c r="G196" s="430"/>
      <c r="H196" s="430"/>
      <c r="I196" s="430"/>
      <c r="J196" s="430"/>
      <c r="K196" s="430"/>
    </row>
    <row r="197" spans="1:11" ht="15.5" x14ac:dyDescent="0.35">
      <c r="A197" s="974"/>
      <c r="B197" s="433" t="s">
        <v>912</v>
      </c>
      <c r="C197" s="430">
        <v>8.3081640293867309</v>
      </c>
      <c r="D197" s="430">
        <v>17.078945142269525</v>
      </c>
      <c r="E197" s="430">
        <v>11.11795400100095</v>
      </c>
      <c r="F197" s="430">
        <v>24.451072514073509</v>
      </c>
      <c r="G197" s="430">
        <v>34.587922780672351</v>
      </c>
      <c r="H197" s="430">
        <v>28.933132818533419</v>
      </c>
      <c r="I197" s="430">
        <v>6.9098416883179858</v>
      </c>
      <c r="J197" s="430">
        <v>8.0816928209175032</v>
      </c>
      <c r="K197" s="430">
        <v>7.5128880312117712</v>
      </c>
    </row>
    <row r="198" spans="1:11" ht="15.5" x14ac:dyDescent="0.35">
      <c r="A198" s="974"/>
      <c r="B198" s="435" t="s">
        <v>911</v>
      </c>
      <c r="C198" s="430">
        <v>8.6</v>
      </c>
      <c r="D198" s="430">
        <v>16.600000000000001</v>
      </c>
      <c r="E198" s="430">
        <v>11.2</v>
      </c>
      <c r="F198" s="430">
        <v>24.8</v>
      </c>
      <c r="G198" s="430">
        <v>31.7</v>
      </c>
      <c r="H198" s="430">
        <v>27.8</v>
      </c>
      <c r="I198" s="430">
        <v>6.9</v>
      </c>
      <c r="J198" s="430">
        <v>8.1</v>
      </c>
      <c r="K198" s="430">
        <v>7.5</v>
      </c>
    </row>
    <row r="199" spans="1:11" ht="15.5" x14ac:dyDescent="0.35">
      <c r="A199" s="974"/>
      <c r="B199" s="435" t="s">
        <v>910</v>
      </c>
      <c r="C199" s="430">
        <v>7.901588819809767</v>
      </c>
      <c r="D199" s="430">
        <v>15.55229743561371</v>
      </c>
      <c r="E199" s="430">
        <v>10.383666143145613</v>
      </c>
      <c r="F199" s="430">
        <v>22.602739726027394</v>
      </c>
      <c r="G199" s="430">
        <v>30.424242424242426</v>
      </c>
      <c r="H199" s="430">
        <v>26.096372495939363</v>
      </c>
      <c r="I199" s="430">
        <v>6.2701705855232825</v>
      </c>
      <c r="J199" s="430">
        <v>7.5122714661734369</v>
      </c>
      <c r="K199" s="430">
        <v>6.9151490524915964</v>
      </c>
    </row>
    <row r="200" spans="1:11" ht="15.5" x14ac:dyDescent="0.35">
      <c r="A200" s="974"/>
      <c r="B200" s="435" t="s">
        <v>909</v>
      </c>
      <c r="C200" s="430">
        <v>7.2661713286713283</v>
      </c>
      <c r="D200" s="430">
        <v>14.140814827371869</v>
      </c>
      <c r="E200" s="430">
        <v>9.5064911149986191</v>
      </c>
      <c r="F200" s="430">
        <v>20.22132796780684</v>
      </c>
      <c r="G200" s="430">
        <v>28.836633663366335</v>
      </c>
      <c r="H200" s="430">
        <v>24.084350721420645</v>
      </c>
      <c r="I200" s="430">
        <v>5.6969026548672561</v>
      </c>
      <c r="J200" s="430">
        <v>7.2513260190365472</v>
      </c>
      <c r="K200" s="430">
        <v>6.5066807979105956</v>
      </c>
    </row>
    <row r="201" spans="1:11" ht="15.5" x14ac:dyDescent="0.35">
      <c r="A201" s="974"/>
      <c r="B201" s="435" t="s">
        <v>908</v>
      </c>
      <c r="C201" s="430">
        <v>7.0184807813927348</v>
      </c>
      <c r="D201" s="430">
        <v>13.022893270590952</v>
      </c>
      <c r="E201" s="430">
        <v>8.9844414617086024</v>
      </c>
      <c r="F201" s="430">
        <v>19.23474663908997</v>
      </c>
      <c r="G201" s="430">
        <v>27.054361567635905</v>
      </c>
      <c r="H201" s="430">
        <v>22.766078542970973</v>
      </c>
      <c r="I201" s="430">
        <v>6.3831517319889413</v>
      </c>
      <c r="J201" s="430">
        <v>6.8077208611729763</v>
      </c>
      <c r="K201" s="430">
        <v>6.6053479256413237</v>
      </c>
    </row>
    <row r="202" spans="1:11" ht="15.5" x14ac:dyDescent="0.35">
      <c r="A202" s="973">
        <v>33</v>
      </c>
      <c r="B202" s="433" t="s">
        <v>42</v>
      </c>
      <c r="C202" s="430"/>
      <c r="D202" s="430"/>
      <c r="E202" s="430"/>
      <c r="F202" s="430"/>
      <c r="G202" s="430"/>
      <c r="H202" s="430"/>
      <c r="I202" s="430"/>
      <c r="J202" s="430"/>
      <c r="K202" s="430"/>
    </row>
    <row r="203" spans="1:11" ht="15.5" x14ac:dyDescent="0.35">
      <c r="A203" s="974"/>
      <c r="B203" s="433" t="s">
        <v>912</v>
      </c>
      <c r="C203" s="430">
        <v>21.457165627206674</v>
      </c>
      <c r="D203" s="430">
        <v>20.865215020791585</v>
      </c>
      <c r="E203" s="430">
        <v>21.162870838857035</v>
      </c>
      <c r="F203" s="430">
        <v>19.86280990037902</v>
      </c>
      <c r="G203" s="430">
        <v>19.795573022274045</v>
      </c>
      <c r="H203" s="430">
        <v>19.83017384291395</v>
      </c>
      <c r="I203" s="430">
        <v>18.376894742118633</v>
      </c>
      <c r="J203" s="430">
        <v>17.266969275077905</v>
      </c>
      <c r="K203" s="430">
        <v>17.802632398426063</v>
      </c>
    </row>
    <row r="204" spans="1:11" ht="15.5" x14ac:dyDescent="0.35">
      <c r="A204" s="974"/>
      <c r="B204" s="435" t="s">
        <v>911</v>
      </c>
      <c r="C204" s="430">
        <v>21.9</v>
      </c>
      <c r="D204" s="430">
        <v>19.5</v>
      </c>
      <c r="E204" s="430">
        <v>20.7</v>
      </c>
      <c r="F204" s="430">
        <v>21.2</v>
      </c>
      <c r="G204" s="430">
        <v>18.8</v>
      </c>
      <c r="H204" s="430">
        <v>20</v>
      </c>
      <c r="I204" s="430">
        <v>17.3</v>
      </c>
      <c r="J204" s="430">
        <v>14.6</v>
      </c>
      <c r="K204" s="430">
        <v>15.9</v>
      </c>
    </row>
    <row r="205" spans="1:11" ht="15.5" x14ac:dyDescent="0.35">
      <c r="A205" s="974"/>
      <c r="B205" s="435" t="s">
        <v>910</v>
      </c>
      <c r="C205" s="430">
        <v>19.953852492789451</v>
      </c>
      <c r="D205" s="430">
        <v>18.385415367733245</v>
      </c>
      <c r="E205" s="430">
        <v>19.173070795105136</v>
      </c>
      <c r="F205" s="430">
        <v>16.862387654739699</v>
      </c>
      <c r="G205" s="430">
        <v>15.795844260641518</v>
      </c>
      <c r="H205" s="430">
        <v>16.344006362418153</v>
      </c>
      <c r="I205" s="430">
        <v>13.995515103548344</v>
      </c>
      <c r="J205" s="430">
        <v>12.413479946983456</v>
      </c>
      <c r="K205" s="430">
        <v>13.175963482396021</v>
      </c>
    </row>
    <row r="206" spans="1:11" ht="15.5" x14ac:dyDescent="0.35">
      <c r="A206" s="974"/>
      <c r="B206" s="435" t="s">
        <v>909</v>
      </c>
      <c r="C206" s="430">
        <v>19.482278669781778</v>
      </c>
      <c r="D206" s="430">
        <v>16.347151878947038</v>
      </c>
      <c r="E206" s="430">
        <v>17.919667233190246</v>
      </c>
      <c r="F206" s="430">
        <v>17.20654675645725</v>
      </c>
      <c r="G206" s="430">
        <v>13.582106327975721</v>
      </c>
      <c r="H206" s="430">
        <v>15.442511760201292</v>
      </c>
      <c r="I206" s="430">
        <v>13.646309926397453</v>
      </c>
      <c r="J206" s="430">
        <v>9.8411096478812556</v>
      </c>
      <c r="K206" s="430">
        <v>11.672709631294046</v>
      </c>
    </row>
    <row r="207" spans="1:11" ht="15.5" x14ac:dyDescent="0.35">
      <c r="A207" s="974"/>
      <c r="B207" s="435" t="s">
        <v>908</v>
      </c>
      <c r="C207" s="430">
        <v>18.515001582621153</v>
      </c>
      <c r="D207" s="430">
        <v>15.989080587106564</v>
      </c>
      <c r="E207" s="430">
        <v>17.254415154960725</v>
      </c>
      <c r="F207" s="430">
        <v>16.834143937608467</v>
      </c>
      <c r="G207" s="430">
        <v>14.258983723341901</v>
      </c>
      <c r="H207" s="430">
        <v>15.57947929254092</v>
      </c>
      <c r="I207" s="430">
        <v>13.958666666666666</v>
      </c>
      <c r="J207" s="430">
        <v>11.302426621244662</v>
      </c>
      <c r="K207" s="430">
        <v>12.579317771026419</v>
      </c>
    </row>
    <row r="208" spans="1:11" ht="15.5" x14ac:dyDescent="0.35">
      <c r="A208" s="973">
        <v>34</v>
      </c>
      <c r="B208" s="433" t="s">
        <v>43</v>
      </c>
      <c r="C208" s="430"/>
      <c r="D208" s="430"/>
      <c r="E208" s="430"/>
      <c r="F208" s="430"/>
      <c r="G208" s="430"/>
      <c r="H208" s="430"/>
      <c r="I208" s="430"/>
      <c r="J208" s="430"/>
      <c r="K208" s="430"/>
    </row>
    <row r="209" spans="1:11" ht="15.5" x14ac:dyDescent="0.35">
      <c r="A209" s="974"/>
      <c r="B209" s="433" t="s">
        <v>912</v>
      </c>
      <c r="C209" s="430">
        <v>24.716959229285827</v>
      </c>
      <c r="D209" s="430">
        <v>26.318898122004885</v>
      </c>
      <c r="E209" s="430">
        <v>25.467890283940438</v>
      </c>
      <c r="F209" s="430">
        <v>22.357002487429941</v>
      </c>
      <c r="G209" s="430">
        <v>25.402936560727863</v>
      </c>
      <c r="H209" s="430">
        <v>23.763154349088563</v>
      </c>
      <c r="I209" s="430">
        <v>47.472772804593539</v>
      </c>
      <c r="J209" s="430">
        <v>44.718340762649838</v>
      </c>
      <c r="K209" s="430">
        <v>46.100625583406377</v>
      </c>
    </row>
    <row r="210" spans="1:11" ht="15.5" x14ac:dyDescent="0.35">
      <c r="A210" s="974"/>
      <c r="B210" s="435" t="s">
        <v>911</v>
      </c>
      <c r="C210" s="430">
        <v>23.9</v>
      </c>
      <c r="D210" s="430">
        <v>24.4</v>
      </c>
      <c r="E210" s="430">
        <v>24.1</v>
      </c>
      <c r="F210" s="430">
        <v>21</v>
      </c>
      <c r="G210" s="430">
        <v>22.6</v>
      </c>
      <c r="H210" s="430">
        <v>21.8</v>
      </c>
      <c r="I210" s="430">
        <v>41.4</v>
      </c>
      <c r="J210" s="430">
        <v>37.4</v>
      </c>
      <c r="K210" s="430">
        <v>39.4</v>
      </c>
    </row>
    <row r="211" spans="1:11" ht="15.5" x14ac:dyDescent="0.35">
      <c r="A211" s="974"/>
      <c r="B211" s="435" t="s">
        <v>910</v>
      </c>
      <c r="C211" s="430">
        <v>22.32467600746563</v>
      </c>
      <c r="D211" s="430">
        <v>24.274572553934295</v>
      </c>
      <c r="E211" s="430">
        <v>23.237928697207703</v>
      </c>
      <c r="F211" s="430">
        <v>18.548713506601651</v>
      </c>
      <c r="G211" s="430">
        <v>21.942870137734367</v>
      </c>
      <c r="H211" s="430">
        <v>20.111224321394776</v>
      </c>
      <c r="I211" s="430">
        <v>39.763522696384889</v>
      </c>
      <c r="J211" s="430">
        <v>44.175612441508392</v>
      </c>
      <c r="K211" s="430">
        <v>41.955689277899346</v>
      </c>
    </row>
    <row r="212" spans="1:11" ht="15.5" x14ac:dyDescent="0.35">
      <c r="A212" s="974"/>
      <c r="B212" s="435" t="s">
        <v>909</v>
      </c>
      <c r="C212" s="430">
        <v>20.792069363242256</v>
      </c>
      <c r="D212" s="430">
        <v>24.5245580160502</v>
      </c>
      <c r="E212" s="430">
        <v>22.537993663606663</v>
      </c>
      <c r="F212" s="430">
        <v>18.66359177384911</v>
      </c>
      <c r="G212" s="430">
        <v>23.092397548246741</v>
      </c>
      <c r="H212" s="430">
        <v>20.699775828141696</v>
      </c>
      <c r="I212" s="430">
        <v>33.142786642539889</v>
      </c>
      <c r="J212" s="430">
        <v>35.285604953732694</v>
      </c>
      <c r="K212" s="430">
        <v>34.20618314654071</v>
      </c>
    </row>
    <row r="213" spans="1:11" ht="15.5" x14ac:dyDescent="0.35">
      <c r="A213" s="974"/>
      <c r="B213" s="435" t="s">
        <v>908</v>
      </c>
      <c r="C213" s="430">
        <v>21.327163795870334</v>
      </c>
      <c r="D213" s="430">
        <v>25.01484944629183</v>
      </c>
      <c r="E213" s="430">
        <v>23.049891686975361</v>
      </c>
      <c r="F213" s="430">
        <v>19.302986069033174</v>
      </c>
      <c r="G213" s="430">
        <v>23.974372194858759</v>
      </c>
      <c r="H213" s="430">
        <v>21.447869036187416</v>
      </c>
      <c r="I213" s="430">
        <v>38.165299998617201</v>
      </c>
      <c r="J213" s="430">
        <v>38.12210668505255</v>
      </c>
      <c r="K213" s="430">
        <v>38.144157338633747</v>
      </c>
    </row>
    <row r="214" spans="1:11" ht="15.5" x14ac:dyDescent="0.35">
      <c r="A214" s="973">
        <v>35</v>
      </c>
      <c r="B214" s="433" t="s">
        <v>44</v>
      </c>
      <c r="C214" s="430"/>
      <c r="D214" s="430"/>
      <c r="E214" s="430"/>
      <c r="F214" s="430"/>
      <c r="G214" s="430"/>
      <c r="H214" s="430"/>
      <c r="I214" s="430"/>
      <c r="J214" s="430"/>
      <c r="K214" s="430"/>
    </row>
    <row r="215" spans="1:11" ht="15.5" x14ac:dyDescent="0.35">
      <c r="A215" s="974"/>
      <c r="B215" s="433" t="s">
        <v>912</v>
      </c>
      <c r="C215" s="430">
        <v>41.167878202339949</v>
      </c>
      <c r="D215" s="430">
        <v>45.448264337082882</v>
      </c>
      <c r="E215" s="430">
        <v>43.259290050326648</v>
      </c>
      <c r="F215" s="430">
        <v>29.405412152596931</v>
      </c>
      <c r="G215" s="430">
        <v>37.177169206497453</v>
      </c>
      <c r="H215" s="430">
        <v>33.080304529979905</v>
      </c>
      <c r="I215" s="430">
        <v>38.518927841106176</v>
      </c>
      <c r="J215" s="430">
        <v>39.808632228244342</v>
      </c>
      <c r="K215" s="430">
        <v>39.14890609025764</v>
      </c>
    </row>
    <row r="216" spans="1:11" ht="15.5" x14ac:dyDescent="0.35">
      <c r="A216" s="974"/>
      <c r="B216" s="435" t="s">
        <v>911</v>
      </c>
      <c r="C216" s="430">
        <v>40.1</v>
      </c>
      <c r="D216" s="430">
        <v>43.7</v>
      </c>
      <c r="E216" s="430">
        <v>41.8</v>
      </c>
      <c r="F216" s="430">
        <v>29.1</v>
      </c>
      <c r="G216" s="430">
        <v>35.6</v>
      </c>
      <c r="H216" s="430">
        <v>32.200000000000003</v>
      </c>
      <c r="I216" s="430">
        <v>42.1</v>
      </c>
      <c r="J216" s="430">
        <v>42</v>
      </c>
      <c r="K216" s="430">
        <v>42.1</v>
      </c>
    </row>
    <row r="217" spans="1:11" ht="15.5" x14ac:dyDescent="0.35">
      <c r="A217" s="974"/>
      <c r="B217" s="435" t="s">
        <v>910</v>
      </c>
      <c r="C217" s="430">
        <v>42.76795735129069</v>
      </c>
      <c r="D217" s="430">
        <v>48.88387596899225</v>
      </c>
      <c r="E217" s="430">
        <v>45.673221387538668</v>
      </c>
      <c r="F217" s="430">
        <v>31.663715634052199</v>
      </c>
      <c r="G217" s="430">
        <v>39.621371338499934</v>
      </c>
      <c r="H217" s="430">
        <v>35.438433889302111</v>
      </c>
      <c r="I217" s="430">
        <v>46.606768220377631</v>
      </c>
      <c r="J217" s="430">
        <v>51.95594379035321</v>
      </c>
      <c r="K217" s="430">
        <v>49.227727378460109</v>
      </c>
    </row>
    <row r="218" spans="1:11" ht="15.5" x14ac:dyDescent="0.35">
      <c r="A218" s="974"/>
      <c r="B218" s="435" t="s">
        <v>909</v>
      </c>
      <c r="C218" s="430">
        <v>35.02575288488601</v>
      </c>
      <c r="D218" s="430">
        <v>37.830650154798761</v>
      </c>
      <c r="E218" s="430">
        <v>36.361418251511132</v>
      </c>
      <c r="F218" s="430">
        <v>25.879686396908557</v>
      </c>
      <c r="G218" s="430">
        <v>29.464658967023777</v>
      </c>
      <c r="H218" s="430">
        <v>27.584365572454221</v>
      </c>
      <c r="I218" s="430">
        <v>39.701711044011347</v>
      </c>
      <c r="J218" s="430">
        <v>41.514979142965494</v>
      </c>
      <c r="K218" s="430">
        <v>40.591316494005355</v>
      </c>
    </row>
    <row r="219" spans="1:11" ht="15.5" x14ac:dyDescent="0.35">
      <c r="A219" s="974"/>
      <c r="B219" s="435" t="s">
        <v>908</v>
      </c>
      <c r="C219" s="430">
        <v>34.032044042913604</v>
      </c>
      <c r="D219" s="430">
        <v>35.11159196290572</v>
      </c>
      <c r="E219" s="430">
        <v>34.547366091190788</v>
      </c>
      <c r="F219" s="430">
        <v>25.453230760056055</v>
      </c>
      <c r="G219" s="430">
        <v>27.580082824546182</v>
      </c>
      <c r="H219" s="430">
        <v>26.467031295107162</v>
      </c>
      <c r="I219" s="430">
        <v>41.104125556422375</v>
      </c>
      <c r="J219" s="430">
        <v>43.390600596336789</v>
      </c>
      <c r="K219" s="430">
        <v>42.229729729729733</v>
      </c>
    </row>
    <row r="220" spans="1:11" ht="15.5" x14ac:dyDescent="0.35">
      <c r="A220" s="973">
        <v>36</v>
      </c>
      <c r="B220" s="433" t="s">
        <v>45</v>
      </c>
      <c r="C220" s="430"/>
      <c r="D220" s="430"/>
      <c r="E220" s="430"/>
      <c r="F220" s="430"/>
      <c r="G220" s="430"/>
      <c r="H220" s="430"/>
      <c r="I220" s="430"/>
      <c r="J220" s="430"/>
      <c r="K220" s="430"/>
    </row>
    <row r="221" spans="1:11" ht="15.5" x14ac:dyDescent="0.35">
      <c r="A221" s="974"/>
      <c r="B221" s="433" t="s">
        <v>912</v>
      </c>
      <c r="C221" s="430">
        <v>26.115004733758095</v>
      </c>
      <c r="D221" s="430">
        <v>26.889818590442349</v>
      </c>
      <c r="E221" s="430">
        <v>26.4920952699512</v>
      </c>
      <c r="F221" s="430">
        <v>23.863214135584126</v>
      </c>
      <c r="G221" s="430">
        <v>23.398647347781072</v>
      </c>
      <c r="H221" s="430">
        <v>23.633965435636963</v>
      </c>
      <c r="I221" s="430">
        <v>14.892612265268948</v>
      </c>
      <c r="J221" s="430">
        <v>16.058582410236006</v>
      </c>
      <c r="K221" s="430">
        <v>15.479177680389784</v>
      </c>
    </row>
    <row r="222" spans="1:11" ht="15.5" x14ac:dyDescent="0.35">
      <c r="A222" s="974"/>
      <c r="B222" s="435" t="s">
        <v>911</v>
      </c>
      <c r="C222" s="430">
        <v>25.9</v>
      </c>
      <c r="D222" s="430">
        <v>26.8</v>
      </c>
      <c r="E222" s="430">
        <v>26.3</v>
      </c>
      <c r="F222" s="430">
        <v>23.4</v>
      </c>
      <c r="G222" s="430">
        <v>22.4</v>
      </c>
      <c r="H222" s="430">
        <v>22.9</v>
      </c>
      <c r="I222" s="430">
        <v>15</v>
      </c>
      <c r="J222" s="430">
        <v>15.7</v>
      </c>
      <c r="K222" s="430">
        <v>15.3</v>
      </c>
    </row>
    <row r="223" spans="1:11" ht="15.5" x14ac:dyDescent="0.35">
      <c r="A223" s="974"/>
      <c r="B223" s="435" t="s">
        <v>910</v>
      </c>
      <c r="C223" s="430">
        <v>20.307040831588395</v>
      </c>
      <c r="D223" s="430">
        <v>22.279601499309528</v>
      </c>
      <c r="E223" s="430">
        <v>21.266831768703565</v>
      </c>
      <c r="F223" s="430">
        <v>16.675465884053921</v>
      </c>
      <c r="G223" s="430">
        <v>17.451658636421779</v>
      </c>
      <c r="H223" s="430">
        <v>17.057880782760844</v>
      </c>
      <c r="I223" s="430">
        <v>11.452265204304096</v>
      </c>
      <c r="J223" s="430">
        <v>11.788763177788249</v>
      </c>
      <c r="K223" s="430">
        <v>11.621282409761058</v>
      </c>
    </row>
    <row r="224" spans="1:11" ht="15.5" x14ac:dyDescent="0.35">
      <c r="A224" s="974"/>
      <c r="B224" s="435" t="s">
        <v>909</v>
      </c>
      <c r="C224" s="430">
        <v>19.835125913288582</v>
      </c>
      <c r="D224" s="430">
        <v>21.372189580885234</v>
      </c>
      <c r="E224" s="430">
        <v>20.582677690358715</v>
      </c>
      <c r="F224" s="430">
        <v>16.985400697877786</v>
      </c>
      <c r="G224" s="430">
        <v>17.49389970201797</v>
      </c>
      <c r="H224" s="430">
        <v>17.235815997849432</v>
      </c>
      <c r="I224" s="430">
        <v>11.297839467085433</v>
      </c>
      <c r="J224" s="430">
        <v>11.476614384626254</v>
      </c>
      <c r="K224" s="430">
        <v>11.387595713787988</v>
      </c>
    </row>
    <row r="225" spans="1:11" ht="15.5" x14ac:dyDescent="0.35">
      <c r="A225" s="974"/>
      <c r="B225" s="435" t="s">
        <v>908</v>
      </c>
      <c r="C225" s="430">
        <v>19.434018835994408</v>
      </c>
      <c r="D225" s="430">
        <v>20.239140579428351</v>
      </c>
      <c r="E225" s="430">
        <v>19.825415429986577</v>
      </c>
      <c r="F225" s="430">
        <v>16.283349134554257</v>
      </c>
      <c r="G225" s="430">
        <v>16.022721502252711</v>
      </c>
      <c r="H225" s="430">
        <v>16.1550571743917</v>
      </c>
      <c r="I225" s="430">
        <v>10.678550566243947</v>
      </c>
      <c r="J225" s="430">
        <v>10.340054618233511</v>
      </c>
      <c r="K225" s="430">
        <v>10.508678225117571</v>
      </c>
    </row>
  </sheetData>
  <mergeCells count="43">
    <mergeCell ref="A220:A225"/>
    <mergeCell ref="A184:A189"/>
    <mergeCell ref="A190:A195"/>
    <mergeCell ref="A196:A201"/>
    <mergeCell ref="A202:A207"/>
    <mergeCell ref="A208:A213"/>
    <mergeCell ref="A214:A219"/>
    <mergeCell ref="A178:A183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07:A111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35:A40"/>
    <mergeCell ref="C1:K1"/>
    <mergeCell ref="A2:A3"/>
    <mergeCell ref="B2:B3"/>
    <mergeCell ref="C2:E2"/>
    <mergeCell ref="F2:H2"/>
    <mergeCell ref="I2:K2"/>
    <mergeCell ref="A5:A10"/>
    <mergeCell ref="A11:A16"/>
    <mergeCell ref="A17:A22"/>
    <mergeCell ref="A23:A28"/>
    <mergeCell ref="A29:A34"/>
  </mergeCells>
  <pageMargins left="0.47244094488188981" right="0.19685039370078741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2022-23&amp;RT-47</oddFooter>
  </headerFooter>
  <rowBreaks count="3" manualBreakCount="3">
    <brk id="66" max="10" man="1"/>
    <brk id="128" max="10" man="1"/>
    <brk id="190" max="10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4C42-280E-4C14-A29B-72F5A81F95D8}">
  <sheetPr codeName="Sheet12">
    <tabColor rgb="FF92D050"/>
  </sheetPr>
  <dimension ref="A1:Q41"/>
  <sheetViews>
    <sheetView showZeros="0" view="pageBreakPreview" zoomScale="98" zoomScaleSheetLayoutView="98" workbookViewId="0">
      <pane xSplit="2" ySplit="2" topLeftCell="C42" activePane="bottomRight" state="frozen"/>
      <selection activeCell="S20" sqref="S20"/>
      <selection pane="topRight" activeCell="S20" sqref="S20"/>
      <selection pane="bottomLeft" activeCell="S20" sqref="S20"/>
      <selection pane="bottomRight" activeCell="A46" sqref="A46:XFD63"/>
    </sheetView>
  </sheetViews>
  <sheetFormatPr defaultColWidth="9.1796875" defaultRowHeight="14" x14ac:dyDescent="0.35"/>
  <cols>
    <col min="1" max="1" width="5" style="392" bestFit="1" customWidth="1"/>
    <col min="2" max="2" width="26.54296875" style="518" customWidth="1"/>
    <col min="3" max="17" width="12.7265625" style="518" customWidth="1"/>
    <col min="18" max="16384" width="9.1796875" style="518"/>
  </cols>
  <sheetData>
    <row r="1" spans="1:17" ht="33" customHeight="1" x14ac:dyDescent="0.35">
      <c r="B1" s="615" t="s">
        <v>985</v>
      </c>
      <c r="C1" s="970" t="s">
        <v>1049</v>
      </c>
      <c r="D1" s="970"/>
      <c r="E1" s="970"/>
      <c r="F1" s="970"/>
      <c r="G1" s="970"/>
      <c r="H1" s="970" t="str">
        <f>C1</f>
        <v>Gender Parity Index (GPI) Trends Over the Last 5 Years</v>
      </c>
      <c r="I1" s="970"/>
      <c r="J1" s="970"/>
      <c r="K1" s="970"/>
      <c r="L1" s="970"/>
      <c r="M1" s="970" t="str">
        <f>C1</f>
        <v>Gender Parity Index (GPI) Trends Over the Last 5 Years</v>
      </c>
      <c r="N1" s="970"/>
      <c r="O1" s="970"/>
      <c r="P1" s="970"/>
      <c r="Q1" s="970"/>
    </row>
    <row r="2" spans="1:17" s="519" customFormat="1" ht="14.5" x14ac:dyDescent="0.35">
      <c r="A2" s="619" t="s">
        <v>49</v>
      </c>
      <c r="B2" s="619" t="s">
        <v>50</v>
      </c>
      <c r="C2" s="981" t="s">
        <v>574</v>
      </c>
      <c r="D2" s="982"/>
      <c r="E2" s="982"/>
      <c r="F2" s="982"/>
      <c r="G2" s="982"/>
      <c r="H2" s="981" t="s">
        <v>747</v>
      </c>
      <c r="I2" s="982"/>
      <c r="J2" s="982"/>
      <c r="K2" s="982"/>
      <c r="L2" s="982"/>
      <c r="M2" s="981" t="s">
        <v>748</v>
      </c>
      <c r="N2" s="982"/>
      <c r="O2" s="982"/>
      <c r="P2" s="982"/>
      <c r="Q2" s="982"/>
    </row>
    <row r="3" spans="1:17" ht="14.5" x14ac:dyDescent="0.35">
      <c r="A3" s="620"/>
      <c r="B3" s="620"/>
      <c r="C3" s="401" t="s">
        <v>908</v>
      </c>
      <c r="D3" s="401" t="s">
        <v>909</v>
      </c>
      <c r="E3" s="401" t="s">
        <v>910</v>
      </c>
      <c r="F3" s="401" t="s">
        <v>911</v>
      </c>
      <c r="G3" s="401" t="s">
        <v>912</v>
      </c>
      <c r="H3" s="401" t="s">
        <v>908</v>
      </c>
      <c r="I3" s="401" t="s">
        <v>909</v>
      </c>
      <c r="J3" s="401" t="s">
        <v>910</v>
      </c>
      <c r="K3" s="401" t="s">
        <v>911</v>
      </c>
      <c r="L3" s="401" t="s">
        <v>912</v>
      </c>
      <c r="M3" s="401" t="s">
        <v>908</v>
      </c>
      <c r="N3" s="401" t="s">
        <v>909</v>
      </c>
      <c r="O3" s="401" t="s">
        <v>910</v>
      </c>
      <c r="P3" s="401" t="s">
        <v>911</v>
      </c>
      <c r="Q3" s="401" t="s">
        <v>912</v>
      </c>
    </row>
    <row r="4" spans="1:17" ht="19.5" customHeight="1" x14ac:dyDescent="0.35">
      <c r="A4" s="393">
        <v>1</v>
      </c>
      <c r="B4" s="393">
        <v>2</v>
      </c>
      <c r="C4" s="393">
        <v>3</v>
      </c>
      <c r="D4" s="393">
        <v>4</v>
      </c>
      <c r="E4" s="393">
        <v>5</v>
      </c>
      <c r="F4" s="393">
        <v>6</v>
      </c>
      <c r="G4" s="393">
        <v>7</v>
      </c>
      <c r="H4" s="393">
        <v>8</v>
      </c>
      <c r="I4" s="393">
        <v>9</v>
      </c>
      <c r="J4" s="393">
        <v>10</v>
      </c>
      <c r="K4" s="393">
        <v>11</v>
      </c>
      <c r="L4" s="393">
        <v>12</v>
      </c>
      <c r="M4" s="393">
        <v>13</v>
      </c>
      <c r="N4" s="393">
        <v>14</v>
      </c>
      <c r="O4" s="393">
        <v>15</v>
      </c>
      <c r="P4" s="393">
        <v>16</v>
      </c>
      <c r="Q4" s="393">
        <v>17</v>
      </c>
    </row>
    <row r="5" spans="1:17" ht="19.5" customHeight="1" x14ac:dyDescent="0.35">
      <c r="A5" s="621"/>
      <c r="B5" s="622" t="s">
        <v>913</v>
      </c>
      <c r="C5" s="402">
        <v>1.0468491240587439</v>
      </c>
      <c r="D5" s="402">
        <v>1.0618043944194628</v>
      </c>
      <c r="E5" s="402">
        <v>1.0456354689229865</v>
      </c>
      <c r="F5" s="402">
        <v>1.0070671378091873</v>
      </c>
      <c r="G5" s="402">
        <v>1.044124353108381</v>
      </c>
      <c r="H5" s="402">
        <v>1.0639902364986673</v>
      </c>
      <c r="I5" s="402">
        <v>1.0832744059550961</v>
      </c>
      <c r="J5" s="402">
        <v>1.0673720432135505</v>
      </c>
      <c r="K5" s="402">
        <v>1.0077519379844961</v>
      </c>
      <c r="L5" s="402">
        <v>1.0546179448626434</v>
      </c>
      <c r="M5" s="402">
        <v>0.96407185628742531</v>
      </c>
      <c r="N5" s="402">
        <v>1</v>
      </c>
      <c r="O5" s="402">
        <v>1.0159574468085106</v>
      </c>
      <c r="P5" s="402">
        <v>0.97663551401869164</v>
      </c>
      <c r="Q5" s="402">
        <v>1.0346320346320346</v>
      </c>
    </row>
    <row r="6" spans="1:17" ht="39.75" customHeight="1" x14ac:dyDescent="0.35">
      <c r="A6" s="395">
        <v>1</v>
      </c>
      <c r="B6" s="622" t="s">
        <v>116</v>
      </c>
      <c r="C6" s="403">
        <v>1.3377921704429552</v>
      </c>
      <c r="D6" s="403">
        <v>1.3257814768360041</v>
      </c>
      <c r="E6" s="403">
        <v>1.2557306299841944</v>
      </c>
      <c r="F6" s="404">
        <v>1.2979797979797978</v>
      </c>
      <c r="G6" s="404">
        <v>1.0251485828551912</v>
      </c>
      <c r="H6" s="403"/>
      <c r="I6" s="403"/>
      <c r="J6" s="403"/>
      <c r="K6" s="404"/>
      <c r="L6" s="404"/>
      <c r="M6" s="403">
        <v>1.6603718875700217</v>
      </c>
      <c r="N6" s="403">
        <v>1.9590422822210902</v>
      </c>
      <c r="O6" s="403">
        <v>1.5457705677867903</v>
      </c>
      <c r="P6" s="404">
        <v>1.5480769230769231</v>
      </c>
      <c r="Q6" s="404">
        <v>1.1461769929699068</v>
      </c>
    </row>
    <row r="7" spans="1:17" ht="19.5" customHeight="1" x14ac:dyDescent="0.35">
      <c r="A7" s="395">
        <v>2</v>
      </c>
      <c r="B7" s="622" t="s">
        <v>13</v>
      </c>
      <c r="C7" s="403">
        <v>0.87886682951415673</v>
      </c>
      <c r="D7" s="403">
        <v>0.91453663678664321</v>
      </c>
      <c r="E7" s="403">
        <v>0.94105939295686558</v>
      </c>
      <c r="F7" s="404">
        <v>0.93368700265251992</v>
      </c>
      <c r="G7" s="404">
        <v>0.97472484790824798</v>
      </c>
      <c r="H7" s="403">
        <v>0.90846156764191655</v>
      </c>
      <c r="I7" s="403">
        <v>0.93289679902823142</v>
      </c>
      <c r="J7" s="403">
        <v>0.97663848434154366</v>
      </c>
      <c r="K7" s="404">
        <v>0.96857142857142853</v>
      </c>
      <c r="L7" s="404">
        <v>1.0067967874166739</v>
      </c>
      <c r="M7" s="403">
        <v>0.81949025581372159</v>
      </c>
      <c r="N7" s="403">
        <v>0.81938575768503141</v>
      </c>
      <c r="O7" s="403">
        <v>0.86703306740589481</v>
      </c>
      <c r="P7" s="404">
        <v>0.88235294117647056</v>
      </c>
      <c r="Q7" s="404">
        <v>0.92640158208290624</v>
      </c>
    </row>
    <row r="8" spans="1:17" ht="19.5" customHeight="1" x14ac:dyDescent="0.35">
      <c r="A8" s="395">
        <v>3</v>
      </c>
      <c r="B8" s="622" t="s">
        <v>14</v>
      </c>
      <c r="C8" s="403">
        <v>1.0337291893418035</v>
      </c>
      <c r="D8" s="403">
        <v>0.98351659811166325</v>
      </c>
      <c r="E8" s="403">
        <v>0.94429131910209174</v>
      </c>
      <c r="F8" s="404">
        <v>0.8984375</v>
      </c>
      <c r="G8" s="404">
        <v>0.93150200280916762</v>
      </c>
      <c r="H8" s="403"/>
      <c r="I8" s="403"/>
      <c r="J8" s="403"/>
      <c r="K8" s="404"/>
      <c r="L8" s="404"/>
      <c r="M8" s="403">
        <v>1.0550119915039615</v>
      </c>
      <c r="N8" s="403">
        <v>0.94865276327124592</v>
      </c>
      <c r="O8" s="403">
        <v>0.9657482043001151</v>
      </c>
      <c r="P8" s="404">
        <v>0.89573459715639803</v>
      </c>
      <c r="Q8" s="404">
        <v>0.9380024472417704</v>
      </c>
    </row>
    <row r="9" spans="1:17" ht="19.5" customHeight="1" x14ac:dyDescent="0.35">
      <c r="A9" s="395">
        <v>4</v>
      </c>
      <c r="B9" s="622" t="s">
        <v>15</v>
      </c>
      <c r="C9" s="403">
        <v>1.0686168315139524</v>
      </c>
      <c r="D9" s="403">
        <v>1.1094895936556164</v>
      </c>
      <c r="E9" s="403">
        <v>1.0949335020398276</v>
      </c>
      <c r="F9" s="404">
        <v>1.0864197530864199</v>
      </c>
      <c r="G9" s="404">
        <v>1.1364055038596041</v>
      </c>
      <c r="H9" s="403">
        <v>1.0557630980631825</v>
      </c>
      <c r="I9" s="403">
        <v>1.0829267437029539</v>
      </c>
      <c r="J9" s="403">
        <v>1.1129197219809892</v>
      </c>
      <c r="K9" s="404">
        <v>1.0714285714285714</v>
      </c>
      <c r="L9" s="404">
        <v>1.1104132135698404</v>
      </c>
      <c r="M9" s="403">
        <v>1.0116029585279582</v>
      </c>
      <c r="N9" s="403">
        <v>1.0959098648494758</v>
      </c>
      <c r="O9" s="403">
        <v>1.075015585372495</v>
      </c>
      <c r="P9" s="404">
        <v>1.0354330708661419</v>
      </c>
      <c r="Q9" s="404">
        <v>1.0812985394960348</v>
      </c>
    </row>
    <row r="10" spans="1:17" ht="19.5" customHeight="1" x14ac:dyDescent="0.35">
      <c r="A10" s="395">
        <v>5</v>
      </c>
      <c r="B10" s="622" t="s">
        <v>16</v>
      </c>
      <c r="C10" s="403">
        <v>0.86293396022516333</v>
      </c>
      <c r="D10" s="403">
        <v>0.90792837499535128</v>
      </c>
      <c r="E10" s="403">
        <v>0.91189143991117672</v>
      </c>
      <c r="F10" s="404">
        <v>0.9157303370786517</v>
      </c>
      <c r="G10" s="404">
        <v>1.0425882026319007</v>
      </c>
      <c r="H10" s="403">
        <v>0.63148887130142706</v>
      </c>
      <c r="I10" s="403">
        <v>0.6384620635204592</v>
      </c>
      <c r="J10" s="403">
        <v>0.72422797762323055</v>
      </c>
      <c r="K10" s="404">
        <v>0.71578947368421053</v>
      </c>
      <c r="L10" s="404">
        <v>0.84313417990678885</v>
      </c>
      <c r="M10" s="403">
        <v>0.72891877898475133</v>
      </c>
      <c r="N10" s="403">
        <v>0.820341939253589</v>
      </c>
      <c r="O10" s="403">
        <v>0.79038811196318248</v>
      </c>
      <c r="P10" s="404">
        <v>0.81578947368421051</v>
      </c>
      <c r="Q10" s="404">
        <v>0.94891354624571866</v>
      </c>
    </row>
    <row r="11" spans="1:17" ht="19.5" customHeight="1" x14ac:dyDescent="0.35">
      <c r="A11" s="395">
        <v>6</v>
      </c>
      <c r="B11" s="622" t="s">
        <v>17</v>
      </c>
      <c r="C11" s="403">
        <v>1.3434137784111517</v>
      </c>
      <c r="D11" s="403">
        <v>1.3102728693285899</v>
      </c>
      <c r="E11" s="403">
        <v>1.3310059809436454</v>
      </c>
      <c r="F11" s="404">
        <v>1.3274647887323945</v>
      </c>
      <c r="G11" s="404">
        <v>1.3339685072329022</v>
      </c>
      <c r="H11" s="403">
        <v>1.0174706031421055</v>
      </c>
      <c r="I11" s="403">
        <v>1.0251112356112486</v>
      </c>
      <c r="J11" s="403">
        <v>0.94696832578404166</v>
      </c>
      <c r="K11" s="404">
        <v>0.98510242085661071</v>
      </c>
      <c r="L11" s="404">
        <v>1.0364336043151252</v>
      </c>
      <c r="M11" s="403"/>
      <c r="N11" s="403"/>
      <c r="O11" s="403"/>
      <c r="P11" s="404"/>
      <c r="Q11" s="404"/>
    </row>
    <row r="12" spans="1:17" ht="19.5" customHeight="1" x14ac:dyDescent="0.35">
      <c r="A12" s="395">
        <v>7</v>
      </c>
      <c r="B12" s="622" t="s">
        <v>18</v>
      </c>
      <c r="C12" s="403">
        <v>1.0971109139249215</v>
      </c>
      <c r="D12" s="403">
        <v>1.1736292004819699</v>
      </c>
      <c r="E12" s="403">
        <v>1.1830531341819741</v>
      </c>
      <c r="F12" s="404">
        <v>1.2272727272727273</v>
      </c>
      <c r="G12" s="404">
        <v>1.2134069699422663</v>
      </c>
      <c r="H12" s="403">
        <v>1.0661363105875958</v>
      </c>
      <c r="I12" s="403">
        <v>1.1054333888091223</v>
      </c>
      <c r="J12" s="403">
        <v>1.1132564169397916</v>
      </c>
      <c r="K12" s="404">
        <v>1.1361256544502616</v>
      </c>
      <c r="L12" s="404">
        <v>1.1418138727369693</v>
      </c>
      <c r="M12" s="403">
        <v>1.2177663509605379</v>
      </c>
      <c r="N12" s="403">
        <v>1.3083299593757467</v>
      </c>
      <c r="O12" s="403">
        <v>1.3521683824990889</v>
      </c>
      <c r="P12" s="404">
        <v>1.4166666666666667</v>
      </c>
      <c r="Q12" s="404">
        <v>1.4115962140181475</v>
      </c>
    </row>
    <row r="13" spans="1:17" ht="19.5" customHeight="1" x14ac:dyDescent="0.35">
      <c r="A13" s="395">
        <v>8</v>
      </c>
      <c r="B13" s="622" t="s">
        <v>19</v>
      </c>
      <c r="C13" s="403">
        <v>1.0564233404681369</v>
      </c>
      <c r="D13" s="403">
        <v>1.0460442030699624</v>
      </c>
      <c r="E13" s="403">
        <v>1.0398056611252935</v>
      </c>
      <c r="F13" s="404">
        <v>1.0289855072463769</v>
      </c>
      <c r="G13" s="404">
        <v>1.0210451263314675</v>
      </c>
      <c r="H13" s="403">
        <v>1.0421437887753842</v>
      </c>
      <c r="I13" s="403">
        <v>1.0464724645092112</v>
      </c>
      <c r="J13" s="403">
        <v>0.90803055777081121</v>
      </c>
      <c r="K13" s="404">
        <v>0.97267759562841527</v>
      </c>
      <c r="L13" s="404">
        <v>0.9748937817811969</v>
      </c>
      <c r="M13" s="403"/>
      <c r="N13" s="403"/>
      <c r="O13" s="403"/>
      <c r="P13" s="404"/>
      <c r="Q13" s="404"/>
    </row>
    <row r="14" spans="1:17" ht="19.5" customHeight="1" x14ac:dyDescent="0.35">
      <c r="A14" s="395">
        <v>9</v>
      </c>
      <c r="B14" s="622" t="s">
        <v>20</v>
      </c>
      <c r="C14" s="403">
        <v>1.1713916867136773</v>
      </c>
      <c r="D14" s="403">
        <v>1.269962121095052</v>
      </c>
      <c r="E14" s="403">
        <v>1.2130028327599294</v>
      </c>
      <c r="F14" s="404">
        <v>0.98611111111111116</v>
      </c>
      <c r="G14" s="404">
        <v>1.0672851092621052</v>
      </c>
      <c r="H14" s="403">
        <v>0.93565506021883449</v>
      </c>
      <c r="I14" s="403">
        <v>0.98388589297680207</v>
      </c>
      <c r="J14" s="403">
        <v>0.76315623653770737</v>
      </c>
      <c r="K14" s="404">
        <v>0.73788546255506615</v>
      </c>
      <c r="L14" s="404">
        <v>0.75015200580405572</v>
      </c>
      <c r="M14" s="403">
        <v>1.2993919079389271</v>
      </c>
      <c r="N14" s="403">
        <v>1.4245233092517435</v>
      </c>
      <c r="O14" s="403">
        <v>1.3202291926325991</v>
      </c>
      <c r="P14" s="404">
        <v>1.3333333333333335</v>
      </c>
      <c r="Q14" s="404">
        <v>1.4397173565696688</v>
      </c>
    </row>
    <row r="15" spans="1:17" ht="19.5" customHeight="1" x14ac:dyDescent="0.35">
      <c r="A15" s="395">
        <v>10</v>
      </c>
      <c r="B15" s="622" t="s">
        <v>21</v>
      </c>
      <c r="C15" s="403">
        <v>0.88657633823688597</v>
      </c>
      <c r="D15" s="403">
        <v>0.90095094772220041</v>
      </c>
      <c r="E15" s="403">
        <v>0.87471881719749245</v>
      </c>
      <c r="F15" s="404">
        <v>0.90079365079365081</v>
      </c>
      <c r="G15" s="404">
        <v>0.92603880702977015</v>
      </c>
      <c r="H15" s="403">
        <v>0.89958044707212781</v>
      </c>
      <c r="I15" s="403">
        <v>0.92224453262082007</v>
      </c>
      <c r="J15" s="403">
        <v>0.88758585916837585</v>
      </c>
      <c r="K15" s="404">
        <v>0.91666666666666663</v>
      </c>
      <c r="L15" s="404">
        <v>0.96571858069933803</v>
      </c>
      <c r="M15" s="403">
        <v>1.0324743402121446</v>
      </c>
      <c r="N15" s="403">
        <v>1.0645703668167732</v>
      </c>
      <c r="O15" s="403">
        <v>1.0103922816580793</v>
      </c>
      <c r="P15" s="404">
        <v>1.0552763819095479</v>
      </c>
      <c r="Q15" s="404">
        <v>1.097136330175472</v>
      </c>
    </row>
    <row r="16" spans="1:17" ht="19.5" customHeight="1" x14ac:dyDescent="0.35">
      <c r="A16" s="395">
        <v>11</v>
      </c>
      <c r="B16" s="622" t="s">
        <v>22</v>
      </c>
      <c r="C16" s="403">
        <v>1.2204717293619398</v>
      </c>
      <c r="D16" s="403">
        <v>1.2134676431718847</v>
      </c>
      <c r="E16" s="403">
        <v>1.1643164741411165</v>
      </c>
      <c r="F16" s="404">
        <v>1.221122112211221</v>
      </c>
      <c r="G16" s="404">
        <v>1.2501326448841654</v>
      </c>
      <c r="H16" s="403">
        <v>1.1977623691806722</v>
      </c>
      <c r="I16" s="403">
        <v>1.2293419273418096</v>
      </c>
      <c r="J16" s="403">
        <v>1.1600341607325266</v>
      </c>
      <c r="K16" s="404">
        <v>1.2066115702479339</v>
      </c>
      <c r="L16" s="404">
        <v>1.3395843300436054</v>
      </c>
      <c r="M16" s="403"/>
      <c r="N16" s="403"/>
      <c r="O16" s="403"/>
      <c r="P16" s="404"/>
      <c r="Q16" s="404"/>
    </row>
    <row r="17" spans="1:17" ht="19.5" customHeight="1" x14ac:dyDescent="0.35">
      <c r="A17" s="395">
        <v>12</v>
      </c>
      <c r="B17" s="622" t="s">
        <v>23</v>
      </c>
      <c r="C17" s="403">
        <v>1.3406824049230588</v>
      </c>
      <c r="D17" s="403">
        <v>1.3433856086005993</v>
      </c>
      <c r="E17" s="403">
        <v>1.3330463615673773</v>
      </c>
      <c r="F17" s="404">
        <v>1.3324396782841825</v>
      </c>
      <c r="G17" s="404">
        <v>1.3189987412517608</v>
      </c>
      <c r="H17" s="403">
        <v>1.3454483549936553</v>
      </c>
      <c r="I17" s="403">
        <v>1.3925763122474542</v>
      </c>
      <c r="J17" s="403">
        <v>1.3528333413318545</v>
      </c>
      <c r="K17" s="404">
        <v>1.3571428571428572</v>
      </c>
      <c r="L17" s="404">
        <v>1.3546550845799885</v>
      </c>
      <c r="M17" s="403">
        <v>1.267325020613671</v>
      </c>
      <c r="N17" s="403">
        <v>1.2870379390352003</v>
      </c>
      <c r="O17" s="403">
        <v>1.2499707218218592</v>
      </c>
      <c r="P17" s="404">
        <v>1.3074935400516796</v>
      </c>
      <c r="Q17" s="404">
        <v>1.3317899065587016</v>
      </c>
    </row>
    <row r="18" spans="1:17" ht="19.5" customHeight="1" x14ac:dyDescent="0.35">
      <c r="A18" s="395">
        <v>13</v>
      </c>
      <c r="B18" s="622" t="s">
        <v>24</v>
      </c>
      <c r="C18" s="403">
        <v>1.1241017030846123</v>
      </c>
      <c r="D18" s="403">
        <v>1.091638015539347</v>
      </c>
      <c r="E18" s="403">
        <v>1.1819964236853522</v>
      </c>
      <c r="F18" s="404">
        <v>1.2035398230088494</v>
      </c>
      <c r="G18" s="404">
        <v>1.2170415584519778</v>
      </c>
      <c r="H18" s="403">
        <v>1.3343814863989925</v>
      </c>
      <c r="I18" s="403">
        <v>1.4067535470720371</v>
      </c>
      <c r="J18" s="403">
        <v>1.2658408683832243</v>
      </c>
      <c r="K18" s="404">
        <v>1.2096774193548385</v>
      </c>
      <c r="L18" s="404">
        <v>1.3004683475018415</v>
      </c>
      <c r="M18" s="403">
        <v>1.0091472398354537</v>
      </c>
      <c r="N18" s="403">
        <v>0.91785726872331141</v>
      </c>
      <c r="O18" s="403">
        <v>0.91667155184201643</v>
      </c>
      <c r="P18" s="404">
        <v>0.89447236180904532</v>
      </c>
      <c r="Q18" s="404">
        <v>0.96383753137077299</v>
      </c>
    </row>
    <row r="19" spans="1:17" ht="19.5" customHeight="1" x14ac:dyDescent="0.35">
      <c r="A19" s="395">
        <v>14</v>
      </c>
      <c r="B19" s="622" t="s">
        <v>25</v>
      </c>
      <c r="C19" s="403">
        <v>1.0248405974759098</v>
      </c>
      <c r="D19" s="403">
        <v>1.0640635287950972</v>
      </c>
      <c r="E19" s="403">
        <v>1.0590349712449547</v>
      </c>
      <c r="F19" s="404">
        <v>1.0053763440860215</v>
      </c>
      <c r="G19" s="404">
        <v>1.0461642875149888</v>
      </c>
      <c r="H19" s="403">
        <v>0.92853053324613521</v>
      </c>
      <c r="I19" s="403">
        <v>0.93283010910110198</v>
      </c>
      <c r="J19" s="403">
        <v>0.93525225824941038</v>
      </c>
      <c r="K19" s="404">
        <v>0.86708860759493667</v>
      </c>
      <c r="L19" s="404">
        <v>0.94074510304691472</v>
      </c>
      <c r="M19" s="403">
        <v>1.1198707840374347</v>
      </c>
      <c r="N19" s="403">
        <v>1.1702346819247123</v>
      </c>
      <c r="O19" s="403">
        <v>1.1428907976241582</v>
      </c>
      <c r="P19" s="404">
        <v>1.1221374045801527</v>
      </c>
      <c r="Q19" s="404">
        <v>1.2032734117612107</v>
      </c>
    </row>
    <row r="20" spans="1:17" ht="19.5" customHeight="1" x14ac:dyDescent="0.35">
      <c r="A20" s="395">
        <v>15</v>
      </c>
      <c r="B20" s="622" t="s">
        <v>26</v>
      </c>
      <c r="C20" s="403">
        <v>1.0770960373172258</v>
      </c>
      <c r="D20" s="403">
        <v>1.0841190048277536</v>
      </c>
      <c r="E20" s="403">
        <v>1.0670107113755329</v>
      </c>
      <c r="F20" s="404">
        <v>1.0055401662049861</v>
      </c>
      <c r="G20" s="404">
        <v>1.0135079629615875</v>
      </c>
      <c r="H20" s="403">
        <v>1.0152674422382124</v>
      </c>
      <c r="I20" s="403">
        <v>1.016075057846896</v>
      </c>
      <c r="J20" s="403">
        <v>1.0215617071859826</v>
      </c>
      <c r="K20" s="404">
        <v>0.93055555555555558</v>
      </c>
      <c r="L20" s="404">
        <v>0.8993617649903124</v>
      </c>
      <c r="M20" s="403">
        <v>1.0289728363602422</v>
      </c>
      <c r="N20" s="403">
        <v>1.0265783781561117</v>
      </c>
      <c r="O20" s="403">
        <v>1.0203256725721999</v>
      </c>
      <c r="P20" s="404">
        <v>0.94696969696969702</v>
      </c>
      <c r="Q20" s="404">
        <v>0.93952827784070925</v>
      </c>
    </row>
    <row r="21" spans="1:17" ht="19.5" customHeight="1" x14ac:dyDescent="0.35">
      <c r="A21" s="395">
        <v>16</v>
      </c>
      <c r="B21" s="622" t="s">
        <v>27</v>
      </c>
      <c r="C21" s="403">
        <v>1.4572849917960362</v>
      </c>
      <c r="D21" s="403">
        <v>1.4164012053546982</v>
      </c>
      <c r="E21" s="403">
        <v>1.5191141349234494</v>
      </c>
      <c r="F21" s="404">
        <v>1.4369501466275658</v>
      </c>
      <c r="G21" s="404">
        <v>1.4724364018783394</v>
      </c>
      <c r="H21" s="403">
        <v>1.9279707895683897</v>
      </c>
      <c r="I21" s="403">
        <v>1.9407302631413037</v>
      </c>
      <c r="J21" s="403">
        <v>1.9060037023378975</v>
      </c>
      <c r="K21" s="404">
        <v>1.803921568627451</v>
      </c>
      <c r="L21" s="404">
        <v>1.7856929813868476</v>
      </c>
      <c r="M21" s="403">
        <v>1.4908310243191218</v>
      </c>
      <c r="N21" s="403">
        <v>1.5629200074396266</v>
      </c>
      <c r="O21" s="403">
        <v>1.5204919609418315</v>
      </c>
      <c r="P21" s="404">
        <v>1.4083333333333332</v>
      </c>
      <c r="Q21" s="404">
        <v>1.493341202435438</v>
      </c>
    </row>
    <row r="22" spans="1:17" ht="19.5" customHeight="1" x14ac:dyDescent="0.35">
      <c r="A22" s="395">
        <v>17</v>
      </c>
      <c r="B22" s="622" t="s">
        <v>28</v>
      </c>
      <c r="C22" s="403"/>
      <c r="D22" s="403">
        <v>2.2546266084396613</v>
      </c>
      <c r="E22" s="403">
        <v>2.2014348670485853</v>
      </c>
      <c r="F22" s="404">
        <v>2.1866666666666665</v>
      </c>
      <c r="G22" s="404">
        <v>2.2221920215221576</v>
      </c>
      <c r="H22" s="403"/>
      <c r="I22" s="403"/>
      <c r="J22" s="403"/>
      <c r="K22" s="404">
        <v>14.840707964601767</v>
      </c>
      <c r="L22" s="404"/>
      <c r="M22" s="403"/>
      <c r="N22" s="403">
        <v>1.9063875965467965</v>
      </c>
      <c r="O22" s="403">
        <v>2.0132173574110235</v>
      </c>
      <c r="P22" s="404">
        <v>1.6831683168316833</v>
      </c>
      <c r="Q22" s="404">
        <v>1.6444476053228492</v>
      </c>
    </row>
    <row r="23" spans="1:17" ht="19.5" customHeight="1" x14ac:dyDescent="0.35">
      <c r="A23" s="395">
        <v>18</v>
      </c>
      <c r="B23" s="622" t="s">
        <v>72</v>
      </c>
      <c r="C23" s="403">
        <v>3.524467417032993</v>
      </c>
      <c r="D23" s="403">
        <v>3.4610612479356639</v>
      </c>
      <c r="E23" s="403">
        <v>3.4840727620332883</v>
      </c>
      <c r="F23" s="404">
        <v>6.333333333333333</v>
      </c>
      <c r="G23" s="404">
        <v>1.8485957089485816</v>
      </c>
      <c r="H23" s="403"/>
      <c r="I23" s="403"/>
      <c r="J23" s="403"/>
      <c r="K23" s="404"/>
      <c r="L23" s="404"/>
      <c r="M23" s="403">
        <v>3.8131486352004549</v>
      </c>
      <c r="N23" s="403">
        <v>3.6520564275779854</v>
      </c>
      <c r="O23" s="403">
        <v>3.6770619358854657</v>
      </c>
      <c r="P23" s="404">
        <v>5</v>
      </c>
      <c r="Q23" s="404">
        <v>1.7123189891901096</v>
      </c>
    </row>
    <row r="24" spans="1:17" ht="19.5" customHeight="1" x14ac:dyDescent="0.35">
      <c r="A24" s="395">
        <v>19</v>
      </c>
      <c r="B24" s="622" t="s">
        <v>29</v>
      </c>
      <c r="C24" s="403">
        <v>0.97271591880733388</v>
      </c>
      <c r="D24" s="403">
        <v>1.0011310568500245</v>
      </c>
      <c r="E24" s="403">
        <v>0.98035018825344744</v>
      </c>
      <c r="F24" s="404">
        <v>0.9427609427609428</v>
      </c>
      <c r="G24" s="404">
        <v>0.98629666616183054</v>
      </c>
      <c r="H24" s="403">
        <v>0.96690853346520922</v>
      </c>
      <c r="I24" s="403">
        <v>1.0112042871255886</v>
      </c>
      <c r="J24" s="403">
        <v>1.0108636027904114</v>
      </c>
      <c r="K24" s="404">
        <v>0.97802197802197799</v>
      </c>
      <c r="L24" s="404">
        <v>1.018521516908379</v>
      </c>
      <c r="M24" s="403">
        <v>0.94184653786126904</v>
      </c>
      <c r="N24" s="403">
        <v>0.96481136854062777</v>
      </c>
      <c r="O24" s="403">
        <v>1.0539638180885105</v>
      </c>
      <c r="P24" s="404">
        <v>0.96629213483146059</v>
      </c>
      <c r="Q24" s="404">
        <v>1.0367087170728031</v>
      </c>
    </row>
    <row r="25" spans="1:17" ht="19.5" customHeight="1" x14ac:dyDescent="0.35">
      <c r="A25" s="395">
        <v>20</v>
      </c>
      <c r="B25" s="622" t="s">
        <v>30</v>
      </c>
      <c r="C25" s="403">
        <v>0.92202765920736662</v>
      </c>
      <c r="D25" s="403">
        <v>0.94686620427778601</v>
      </c>
      <c r="E25" s="403">
        <v>0.92390029427823595</v>
      </c>
      <c r="F25" s="404">
        <v>0.89757412398921821</v>
      </c>
      <c r="G25" s="404">
        <v>0.93064027636884894</v>
      </c>
      <c r="H25" s="403">
        <v>0.96985366029863063</v>
      </c>
      <c r="I25" s="403">
        <v>1.0150308299536281</v>
      </c>
      <c r="J25" s="403">
        <v>0.95505165916883028</v>
      </c>
      <c r="K25" s="404">
        <v>0.92819148936170204</v>
      </c>
      <c r="L25" s="404">
        <v>0.97325650197105928</v>
      </c>
      <c r="M25" s="403">
        <v>0.76076909532309789</v>
      </c>
      <c r="N25" s="403">
        <v>0.78363918723181303</v>
      </c>
      <c r="O25" s="403">
        <v>0.77610983306812542</v>
      </c>
      <c r="P25" s="404">
        <v>0.78350515463917525</v>
      </c>
      <c r="Q25" s="404">
        <v>0.81654218225083963</v>
      </c>
    </row>
    <row r="26" spans="1:17" ht="19.5" customHeight="1" x14ac:dyDescent="0.35">
      <c r="A26" s="395">
        <v>21</v>
      </c>
      <c r="B26" s="622" t="s">
        <v>31</v>
      </c>
      <c r="C26" s="403">
        <v>1.0495814696202546</v>
      </c>
      <c r="D26" s="403">
        <v>1.0786414696250219</v>
      </c>
      <c r="E26" s="403">
        <v>1.0452822628866689</v>
      </c>
      <c r="F26" s="404">
        <v>1.0056657223796035</v>
      </c>
      <c r="G26" s="404">
        <v>1.0287000359722827</v>
      </c>
      <c r="H26" s="403">
        <v>0.95255206387833824</v>
      </c>
      <c r="I26" s="403">
        <v>1.0205875086864891</v>
      </c>
      <c r="J26" s="403">
        <v>0.8710368629632913</v>
      </c>
      <c r="K26" s="404">
        <v>1.0116086235489221</v>
      </c>
      <c r="L26" s="404">
        <v>1.0589188426590692</v>
      </c>
      <c r="M26" s="403">
        <v>1.0163253239138581</v>
      </c>
      <c r="N26" s="403">
        <v>1.1066384282311204</v>
      </c>
      <c r="O26" s="403">
        <v>1.0759743642959345</v>
      </c>
      <c r="P26" s="404">
        <v>1.0999999999999999</v>
      </c>
      <c r="Q26" s="404">
        <v>1.0908455159790427</v>
      </c>
    </row>
    <row r="27" spans="1:17" ht="19.5" customHeight="1" x14ac:dyDescent="0.35">
      <c r="A27" s="395">
        <v>22</v>
      </c>
      <c r="B27" s="622" t="s">
        <v>32</v>
      </c>
      <c r="C27" s="403">
        <v>1.2161217232281827</v>
      </c>
      <c r="D27" s="403">
        <v>1.2129721366156387</v>
      </c>
      <c r="E27" s="403">
        <v>1.2836114042708751</v>
      </c>
      <c r="F27" s="404">
        <v>1.2378854625550662</v>
      </c>
      <c r="G27" s="404">
        <v>1.2870951472770835</v>
      </c>
      <c r="H27" s="403">
        <v>2.7138713871387137</v>
      </c>
      <c r="I27" s="403">
        <v>0.85863543336852954</v>
      </c>
      <c r="J27" s="403">
        <v>0.94203246026706067</v>
      </c>
      <c r="K27" s="404">
        <v>1.1717369970559373</v>
      </c>
      <c r="L27" s="404">
        <v>1.1155538028984207</v>
      </c>
      <c r="M27" s="403">
        <v>1.2725345082943522</v>
      </c>
      <c r="N27" s="403">
        <v>1.3290942039183604</v>
      </c>
      <c r="O27" s="403">
        <v>1.3594225660873718</v>
      </c>
      <c r="P27" s="404">
        <v>1.306930693069307</v>
      </c>
      <c r="Q27" s="404">
        <v>1.3716406005247941</v>
      </c>
    </row>
    <row r="28" spans="1:17" ht="19.5" customHeight="1" x14ac:dyDescent="0.35">
      <c r="A28" s="395">
        <v>23</v>
      </c>
      <c r="B28" s="622" t="s">
        <v>33</v>
      </c>
      <c r="C28" s="403">
        <v>0.97715051689047572</v>
      </c>
      <c r="D28" s="403">
        <v>0.96780877767102358</v>
      </c>
      <c r="E28" s="403">
        <v>1.0516285499381828</v>
      </c>
      <c r="F28" s="404">
        <v>1.0573248407643314</v>
      </c>
      <c r="G28" s="404">
        <v>1.048281475285407</v>
      </c>
      <c r="H28" s="403">
        <v>0.98717948717948723</v>
      </c>
      <c r="I28" s="403">
        <v>0.70035761340109171</v>
      </c>
      <c r="J28" s="403">
        <v>1.0259090909090909</v>
      </c>
      <c r="K28" s="404">
        <v>1.4760290556900726</v>
      </c>
      <c r="L28" s="404">
        <v>1.0824287522059592</v>
      </c>
      <c r="M28" s="403">
        <v>0.97354274999031953</v>
      </c>
      <c r="N28" s="403">
        <v>0.99190888765547358</v>
      </c>
      <c r="O28" s="403">
        <v>1.0463001425684892</v>
      </c>
      <c r="P28" s="404">
        <v>1.0471698113207546</v>
      </c>
      <c r="Q28" s="404">
        <v>1.0496166681666257</v>
      </c>
    </row>
    <row r="29" spans="1:17" ht="19.5" customHeight="1" x14ac:dyDescent="0.35">
      <c r="A29" s="395">
        <v>24</v>
      </c>
      <c r="B29" s="622" t="s">
        <v>34</v>
      </c>
      <c r="C29" s="403">
        <v>1.1550455426994632</v>
      </c>
      <c r="D29" s="403">
        <v>1.3012562021616216</v>
      </c>
      <c r="E29" s="403">
        <v>1.2595234438878269</v>
      </c>
      <c r="F29" s="404">
        <v>1.2848484848484849</v>
      </c>
      <c r="G29" s="404">
        <v>1.3474032954192101</v>
      </c>
      <c r="H29" s="403"/>
      <c r="I29" s="403"/>
      <c r="J29" s="403"/>
      <c r="K29" s="404"/>
      <c r="L29" s="404"/>
      <c r="M29" s="403">
        <v>1.1972004846921027</v>
      </c>
      <c r="N29" s="403">
        <v>1.2671077995824385</v>
      </c>
      <c r="O29" s="403">
        <v>1.2428011567767907</v>
      </c>
      <c r="P29" s="404">
        <v>1.25</v>
      </c>
      <c r="Q29" s="404">
        <v>1.3288422027910767</v>
      </c>
    </row>
    <row r="30" spans="1:17" ht="19.5" customHeight="1" x14ac:dyDescent="0.35">
      <c r="A30" s="395">
        <v>25</v>
      </c>
      <c r="B30" s="622" t="s">
        <v>35</v>
      </c>
      <c r="C30" s="403">
        <v>0.84501311022256531</v>
      </c>
      <c r="D30" s="403">
        <v>0.90427652258327174</v>
      </c>
      <c r="E30" s="403">
        <v>0.94362480022489437</v>
      </c>
      <c r="F30" s="404">
        <v>0.87659574468085111</v>
      </c>
      <c r="G30" s="404">
        <v>0.92309380371075789</v>
      </c>
      <c r="H30" s="403">
        <v>0.78029324322017546</v>
      </c>
      <c r="I30" s="403">
        <v>0.8245380388884096</v>
      </c>
      <c r="J30" s="403">
        <v>0.85876768817205362</v>
      </c>
      <c r="K30" s="404">
        <v>0.78968253968253965</v>
      </c>
      <c r="L30" s="404">
        <v>0.85260405900134628</v>
      </c>
      <c r="M30" s="403">
        <v>0.80118409181333772</v>
      </c>
      <c r="N30" s="403">
        <v>0.87247881046337017</v>
      </c>
      <c r="O30" s="403">
        <v>0.89803230903251663</v>
      </c>
      <c r="P30" s="404">
        <v>0.85628742514970069</v>
      </c>
      <c r="Q30" s="404">
        <v>0.90914671528201974</v>
      </c>
    </row>
    <row r="31" spans="1:17" ht="19.5" customHeight="1" x14ac:dyDescent="0.35">
      <c r="A31" s="395">
        <v>26</v>
      </c>
      <c r="B31" s="622" t="s">
        <v>36</v>
      </c>
      <c r="C31" s="403">
        <v>0.98615693116859948</v>
      </c>
      <c r="D31" s="403">
        <v>0.99568901842725077</v>
      </c>
      <c r="E31" s="403">
        <v>1.0136542429576465</v>
      </c>
      <c r="F31" s="404">
        <v>1.0180327868852459</v>
      </c>
      <c r="G31" s="404">
        <v>1.0146026133016037</v>
      </c>
      <c r="H31" s="403">
        <v>0.92886726014063936</v>
      </c>
      <c r="I31" s="403">
        <v>0.94540556968503597</v>
      </c>
      <c r="J31" s="403">
        <v>1.0015245234481418</v>
      </c>
      <c r="K31" s="404">
        <v>1.0093023255813953</v>
      </c>
      <c r="L31" s="404">
        <v>0.97344331542818152</v>
      </c>
      <c r="M31" s="403"/>
      <c r="N31" s="403"/>
      <c r="O31" s="403"/>
      <c r="P31" s="404"/>
      <c r="Q31" s="404"/>
    </row>
    <row r="32" spans="1:17" ht="19.5" customHeight="1" x14ac:dyDescent="0.35">
      <c r="A32" s="395">
        <v>27</v>
      </c>
      <c r="B32" s="622" t="s">
        <v>37</v>
      </c>
      <c r="C32" s="403">
        <v>1.3520213889698882</v>
      </c>
      <c r="D32" s="403">
        <v>1.2781938812532287</v>
      </c>
      <c r="E32" s="403">
        <v>1.2160714547158424</v>
      </c>
      <c r="F32" s="404">
        <v>1.1944444444444446</v>
      </c>
      <c r="G32" s="404">
        <v>1.1738846610627527</v>
      </c>
      <c r="H32" s="403">
        <v>1.4236269218525228</v>
      </c>
      <c r="I32" s="403">
        <v>1.423375868243161</v>
      </c>
      <c r="J32" s="403">
        <v>1.4830703423149054</v>
      </c>
      <c r="K32" s="404">
        <v>1.4074074074074074</v>
      </c>
      <c r="L32" s="404">
        <v>1.420675502178562</v>
      </c>
      <c r="M32" s="403"/>
      <c r="N32" s="403"/>
      <c r="O32" s="403"/>
      <c r="P32" s="404"/>
      <c r="Q32" s="404"/>
    </row>
    <row r="33" spans="1:17" ht="19.5" customHeight="1" x14ac:dyDescent="0.35">
      <c r="A33" s="395">
        <v>28</v>
      </c>
      <c r="B33" s="622" t="s">
        <v>38</v>
      </c>
      <c r="C33" s="403">
        <v>1.0278601881280081</v>
      </c>
      <c r="D33" s="403">
        <v>1.0155160572000941</v>
      </c>
      <c r="E33" s="403">
        <v>0.99806029138468644</v>
      </c>
      <c r="F33" s="404">
        <v>0.96896551724137936</v>
      </c>
      <c r="G33" s="404">
        <v>1.0324880502099592</v>
      </c>
      <c r="H33" s="403">
        <v>0.96086596593993778</v>
      </c>
      <c r="I33" s="403">
        <v>1.0141137893188441</v>
      </c>
      <c r="J33" s="403">
        <v>0.98574805895189943</v>
      </c>
      <c r="K33" s="404">
        <v>0.9595588235294118</v>
      </c>
      <c r="L33" s="404">
        <v>1.0241903283676672</v>
      </c>
      <c r="M33" s="403">
        <v>0.94823092770284156</v>
      </c>
      <c r="N33" s="403">
        <v>1.0212262947857789</v>
      </c>
      <c r="O33" s="403">
        <v>1.0410417236143648</v>
      </c>
      <c r="P33" s="404">
        <v>0.95501730103806237</v>
      </c>
      <c r="Q33" s="404">
        <v>1.0185369665968349</v>
      </c>
    </row>
    <row r="34" spans="1:17" ht="15.5" x14ac:dyDescent="0.35">
      <c r="A34" s="395">
        <v>29</v>
      </c>
      <c r="B34" s="622" t="s">
        <v>39</v>
      </c>
      <c r="C34" s="403">
        <v>1.0430596337897315</v>
      </c>
      <c r="D34" s="403">
        <v>0.84717868892452064</v>
      </c>
      <c r="E34" s="403">
        <v>1.2130655786012292</v>
      </c>
      <c r="F34" s="404">
        <v>1.2108262108262107</v>
      </c>
      <c r="G34" s="404">
        <v>1.2331876673071542</v>
      </c>
      <c r="H34" s="403">
        <v>0.83872011474278829</v>
      </c>
      <c r="I34" s="403">
        <v>0.89633588742509962</v>
      </c>
      <c r="J34" s="403">
        <v>0.88888191203881173</v>
      </c>
      <c r="K34" s="404">
        <v>0.83905579399141628</v>
      </c>
      <c r="L34" s="404">
        <v>0.91874418292763693</v>
      </c>
      <c r="M34" s="403">
        <v>1.5803905708081876</v>
      </c>
      <c r="N34" s="403">
        <v>1.5570945781731194</v>
      </c>
      <c r="O34" s="403">
        <v>1.446600142886846</v>
      </c>
      <c r="P34" s="404">
        <v>1.4222972972972974</v>
      </c>
      <c r="Q34" s="404">
        <v>1.3847614626853142</v>
      </c>
    </row>
    <row r="35" spans="1:17" ht="19.5" customHeight="1" x14ac:dyDescent="0.35">
      <c r="A35" s="395">
        <v>30</v>
      </c>
      <c r="B35" s="622" t="s">
        <v>40</v>
      </c>
      <c r="C35" s="403">
        <v>1.0202838352466839</v>
      </c>
      <c r="D35" s="403">
        <v>1.0377507980906777</v>
      </c>
      <c r="E35" s="403">
        <v>1.0697772733006736</v>
      </c>
      <c r="F35" s="404">
        <v>1.0106837606837606</v>
      </c>
      <c r="G35" s="404">
        <v>1.0104495753640559</v>
      </c>
      <c r="H35" s="403">
        <v>1.0570890880578847</v>
      </c>
      <c r="I35" s="403">
        <v>1.0936979381151468</v>
      </c>
      <c r="J35" s="403">
        <v>1.1225509980198898</v>
      </c>
      <c r="K35" s="404">
        <v>1.0520833333333333</v>
      </c>
      <c r="L35" s="404">
        <v>1.0341888645024593</v>
      </c>
      <c r="M35" s="403">
        <v>0.79028671577151066</v>
      </c>
      <c r="N35" s="403">
        <v>0.90576708375340653</v>
      </c>
      <c r="O35" s="403">
        <v>0.89179920219053621</v>
      </c>
      <c r="P35" s="404">
        <v>0.74900398406374502</v>
      </c>
      <c r="Q35" s="404">
        <v>0.81672360983476933</v>
      </c>
    </row>
    <row r="36" spans="1:17" ht="19.5" customHeight="1" x14ac:dyDescent="0.35">
      <c r="A36" s="395">
        <v>31</v>
      </c>
      <c r="B36" s="622" t="s">
        <v>41</v>
      </c>
      <c r="C36" s="403">
        <v>1.0945339416791491</v>
      </c>
      <c r="D36" s="403">
        <v>1.1300453614374897</v>
      </c>
      <c r="E36" s="403">
        <v>1.0946328265941014</v>
      </c>
      <c r="F36" s="404">
        <v>1.0805194805194807</v>
      </c>
      <c r="G36" s="404">
        <v>1.1099839499019772</v>
      </c>
      <c r="H36" s="403">
        <v>1.2643673354425642</v>
      </c>
      <c r="I36" s="403">
        <v>1.3102852395420206</v>
      </c>
      <c r="J36" s="403">
        <v>1.2368002122332218</v>
      </c>
      <c r="K36" s="404">
        <v>1.2050561797752808</v>
      </c>
      <c r="L36" s="404">
        <v>1.2346928406671409</v>
      </c>
      <c r="M36" s="403">
        <v>0.94468709152037555</v>
      </c>
      <c r="N36" s="403">
        <v>0.99317989786422523</v>
      </c>
      <c r="O36" s="403">
        <v>0.97386352102584839</v>
      </c>
      <c r="P36" s="404">
        <v>0.94373401534526846</v>
      </c>
      <c r="Q36" s="404">
        <v>0.98224280317756407</v>
      </c>
    </row>
    <row r="37" spans="1:17" ht="51" customHeight="1" x14ac:dyDescent="0.35">
      <c r="A37" s="395">
        <v>32</v>
      </c>
      <c r="B37" s="622" t="s">
        <v>984</v>
      </c>
      <c r="C37" s="403">
        <v>1.8555145588083684</v>
      </c>
      <c r="D37" s="403">
        <v>1.9461163503775543</v>
      </c>
      <c r="E37" s="403">
        <v>1.9682493977189939</v>
      </c>
      <c r="F37" s="404">
        <v>1.9302325581395352</v>
      </c>
      <c r="G37" s="404">
        <v>2.0556822279699514</v>
      </c>
      <c r="H37" s="403">
        <v>1.4065358944034365</v>
      </c>
      <c r="I37" s="403">
        <v>1.4260504408649821</v>
      </c>
      <c r="J37" s="403">
        <v>1.3460422405876953</v>
      </c>
      <c r="K37" s="404">
        <v>1.2782258064516128</v>
      </c>
      <c r="L37" s="404">
        <v>1.4145769172605533</v>
      </c>
      <c r="M37" s="403">
        <v>1.0665140273975193</v>
      </c>
      <c r="N37" s="403">
        <v>1.2728541206231143</v>
      </c>
      <c r="O37" s="403">
        <v>1.1980968242742782</v>
      </c>
      <c r="P37" s="404">
        <v>1.1739130434782608</v>
      </c>
      <c r="Q37" s="404">
        <v>1.1695916036080376</v>
      </c>
    </row>
    <row r="38" spans="1:17" ht="19.5" customHeight="1" x14ac:dyDescent="0.35">
      <c r="A38" s="395">
        <v>33</v>
      </c>
      <c r="B38" s="622" t="s">
        <v>42</v>
      </c>
      <c r="C38" s="403">
        <v>0.86357435702919361</v>
      </c>
      <c r="D38" s="403">
        <v>0.83907802347075988</v>
      </c>
      <c r="E38" s="403">
        <v>0.92139677660627295</v>
      </c>
      <c r="F38" s="404">
        <v>0.8904109589041096</v>
      </c>
      <c r="G38" s="404">
        <v>0.97241245108046681</v>
      </c>
      <c r="H38" s="403">
        <v>0.8470275516348944</v>
      </c>
      <c r="I38" s="403">
        <v>0.78935689538510367</v>
      </c>
      <c r="J38" s="403">
        <v>0.93675015567570608</v>
      </c>
      <c r="K38" s="404">
        <v>0.8867924528301887</v>
      </c>
      <c r="L38" s="404">
        <v>0.99661493623298025</v>
      </c>
      <c r="M38" s="403">
        <v>0.80970675001752757</v>
      </c>
      <c r="N38" s="403">
        <v>0.72115536734546759</v>
      </c>
      <c r="O38" s="403">
        <v>0.88696127689049553</v>
      </c>
      <c r="P38" s="404">
        <v>0.8439306358381502</v>
      </c>
      <c r="Q38" s="404">
        <v>0.93960212089059569</v>
      </c>
    </row>
    <row r="39" spans="1:17" ht="15.5" x14ac:dyDescent="0.35">
      <c r="A39" s="395">
        <v>34</v>
      </c>
      <c r="B39" s="622" t="s">
        <v>43</v>
      </c>
      <c r="C39" s="403">
        <v>1.1729102700067207</v>
      </c>
      <c r="D39" s="403">
        <v>1.1795150154417295</v>
      </c>
      <c r="E39" s="403">
        <v>1.0873426582234205</v>
      </c>
      <c r="F39" s="404">
        <v>1.0209205020920502</v>
      </c>
      <c r="G39" s="404">
        <v>1.0648113256108382</v>
      </c>
      <c r="H39" s="403">
        <v>1.2420032894972481</v>
      </c>
      <c r="I39" s="403">
        <v>1.2372965412050614</v>
      </c>
      <c r="J39" s="403">
        <v>1.1829860938832608</v>
      </c>
      <c r="K39" s="404">
        <v>1.0761904761904764</v>
      </c>
      <c r="L39" s="404">
        <v>1.1362407180931555</v>
      </c>
      <c r="M39" s="403">
        <v>0.99886825693584969</v>
      </c>
      <c r="N39" s="403">
        <v>1.064654138298752</v>
      </c>
      <c r="O39" s="403">
        <v>1.1109582211518858</v>
      </c>
      <c r="P39" s="404">
        <v>0.90338164251207731</v>
      </c>
      <c r="Q39" s="404">
        <v>0.94197869896326814</v>
      </c>
    </row>
    <row r="40" spans="1:17" ht="15.5" x14ac:dyDescent="0.35">
      <c r="A40" s="395">
        <v>35</v>
      </c>
      <c r="B40" s="622" t="s">
        <v>44</v>
      </c>
      <c r="C40" s="403">
        <v>1.0317215127786867</v>
      </c>
      <c r="D40" s="403">
        <v>1.0800809986620756</v>
      </c>
      <c r="E40" s="403">
        <v>1.1430023549515391</v>
      </c>
      <c r="F40" s="404">
        <v>1.0897755610972568</v>
      </c>
      <c r="G40" s="404">
        <v>1.1039739311728638</v>
      </c>
      <c r="H40" s="403">
        <v>1.0835592182595466</v>
      </c>
      <c r="I40" s="403">
        <v>1.1385245754192548</v>
      </c>
      <c r="J40" s="403">
        <v>1.2513178111001544</v>
      </c>
      <c r="K40" s="404">
        <v>1.2233676975945018</v>
      </c>
      <c r="L40" s="404">
        <v>1.2642968244610766</v>
      </c>
      <c r="M40" s="403">
        <v>1.0556264124090375</v>
      </c>
      <c r="N40" s="403">
        <v>1.0456722909736573</v>
      </c>
      <c r="O40" s="403">
        <v>1.1147725056730449</v>
      </c>
      <c r="P40" s="404">
        <v>0.99762470308788598</v>
      </c>
      <c r="Q40" s="404">
        <v>1.0334823542456402</v>
      </c>
    </row>
    <row r="41" spans="1:17" ht="15.5" x14ac:dyDescent="0.35">
      <c r="A41" s="395">
        <v>36</v>
      </c>
      <c r="B41" s="622" t="s">
        <v>45</v>
      </c>
      <c r="C41" s="403">
        <v>1.0414284739676567</v>
      </c>
      <c r="D41" s="403">
        <v>1.0774920045537444</v>
      </c>
      <c r="E41" s="403">
        <v>1.097136785417437</v>
      </c>
      <c r="F41" s="404">
        <v>1.0347490347490349</v>
      </c>
      <c r="G41" s="404">
        <v>1.0296692979604432</v>
      </c>
      <c r="H41" s="403">
        <v>0.98399422439770223</v>
      </c>
      <c r="I41" s="403">
        <v>1.0299374158540586</v>
      </c>
      <c r="J41" s="403">
        <v>1.0465469905167748</v>
      </c>
      <c r="K41" s="404">
        <v>0.95726495726495731</v>
      </c>
      <c r="L41" s="404">
        <v>0.9805320949154831</v>
      </c>
      <c r="M41" s="403">
        <v>0.96830132086647991</v>
      </c>
      <c r="N41" s="403">
        <v>1.0158238146383347</v>
      </c>
      <c r="O41" s="403">
        <v>1.0293826563986388</v>
      </c>
      <c r="P41" s="404">
        <v>1.0466666666666666</v>
      </c>
      <c r="Q41" s="404">
        <v>1.0782918486158548</v>
      </c>
    </row>
  </sheetData>
  <mergeCells count="6">
    <mergeCell ref="M2:Q2"/>
    <mergeCell ref="C2:G2"/>
    <mergeCell ref="H2:L2"/>
    <mergeCell ref="H1:L1"/>
    <mergeCell ref="M1:Q1"/>
    <mergeCell ref="C1:G1"/>
  </mergeCells>
  <pageMargins left="0.59055118110236227" right="0.35433070866141736" top="0.39370078740157483" bottom="0.39370078740157483" header="0.31496062992125984" footer="0.19685039370078741"/>
  <pageSetup paperSize="9" scale="48" firstPageNumber="2" orientation="portrait" r:id="rId1"/>
  <headerFooter>
    <oddFooter>&amp;L&amp;"Arial,Italic"&amp;9AISHE 2022-23&amp;RT-48</oddFooter>
  </headerFooter>
  <colBreaks count="1" manualBreakCount="1">
    <brk id="12" max="40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6498-F2B4-4D93-865E-2E43C5876185}">
  <sheetPr codeName="Sheet13">
    <tabColor rgb="FF92D050"/>
  </sheetPr>
  <dimension ref="A1:H226"/>
  <sheetViews>
    <sheetView view="pageBreakPreview" topLeftCell="A2" zoomScale="104" zoomScaleNormal="100" zoomScaleSheetLayoutView="104" workbookViewId="0">
      <selection activeCell="E16" sqref="E16"/>
    </sheetView>
  </sheetViews>
  <sheetFormatPr defaultColWidth="9.1796875" defaultRowHeight="14" x14ac:dyDescent="0.35"/>
  <cols>
    <col min="1" max="1" width="4.453125" style="392" bestFit="1" customWidth="1"/>
    <col min="2" max="2" width="32" style="522" customWidth="1"/>
    <col min="3" max="3" width="14.1796875" style="522" customWidth="1"/>
    <col min="4" max="4" width="13.81640625" style="522" bestFit="1" customWidth="1"/>
    <col min="5" max="5" width="14.453125" style="522" bestFit="1" customWidth="1"/>
    <col min="6" max="6" width="13.81640625" style="522" bestFit="1" customWidth="1"/>
    <col min="7" max="7" width="14.453125" style="522" bestFit="1" customWidth="1"/>
    <col min="8" max="8" width="13.81640625" style="522" bestFit="1" customWidth="1"/>
    <col min="9" max="16384" width="9.1796875" style="522"/>
  </cols>
  <sheetData>
    <row r="1" spans="1:8" s="521" customFormat="1" ht="23.15" customHeight="1" x14ac:dyDescent="0.35">
      <c r="A1" s="392"/>
      <c r="B1" s="520" t="s">
        <v>986</v>
      </c>
      <c r="C1" s="616" t="s">
        <v>1048</v>
      </c>
      <c r="D1" s="405"/>
      <c r="E1" s="405"/>
      <c r="F1" s="405"/>
      <c r="G1" s="406"/>
      <c r="H1" s="406"/>
    </row>
    <row r="2" spans="1:8" ht="28.5" customHeight="1" x14ac:dyDescent="0.35">
      <c r="A2" s="985" t="s">
        <v>974</v>
      </c>
      <c r="B2" s="984" t="s">
        <v>50</v>
      </c>
      <c r="C2" s="983" t="s">
        <v>774</v>
      </c>
      <c r="D2" s="984"/>
      <c r="E2" s="983" t="s">
        <v>775</v>
      </c>
      <c r="F2" s="984"/>
      <c r="G2" s="983" t="s">
        <v>776</v>
      </c>
      <c r="H2" s="984"/>
    </row>
    <row r="3" spans="1:8" s="523" customFormat="1" ht="27" customHeight="1" x14ac:dyDescent="0.35">
      <c r="A3" s="985"/>
      <c r="B3" s="984"/>
      <c r="C3" s="407" t="s">
        <v>777</v>
      </c>
      <c r="D3" s="407" t="s">
        <v>778</v>
      </c>
      <c r="E3" s="407" t="s">
        <v>777</v>
      </c>
      <c r="F3" s="407" t="s">
        <v>778</v>
      </c>
      <c r="G3" s="407" t="s">
        <v>777</v>
      </c>
      <c r="H3" s="407" t="s">
        <v>778</v>
      </c>
    </row>
    <row r="4" spans="1:8" s="523" customFormat="1" ht="12.5" x14ac:dyDescent="0.35">
      <c r="A4" s="408">
        <v>1</v>
      </c>
      <c r="B4" s="409">
        <v>2</v>
      </c>
      <c r="C4" s="408">
        <v>3</v>
      </c>
      <c r="D4" s="409">
        <v>4</v>
      </c>
      <c r="E4" s="408">
        <v>5</v>
      </c>
      <c r="F4" s="409">
        <v>6</v>
      </c>
      <c r="G4" s="408">
        <v>7</v>
      </c>
      <c r="H4" s="408">
        <v>8</v>
      </c>
    </row>
    <row r="5" spans="1:8" ht="15" customHeight="1" x14ac:dyDescent="0.35">
      <c r="A5" s="972"/>
      <c r="B5" s="524" t="s">
        <v>913</v>
      </c>
      <c r="C5" s="525"/>
      <c r="D5" s="525"/>
      <c r="E5" s="525"/>
      <c r="F5" s="525"/>
      <c r="G5" s="525"/>
      <c r="H5" s="525"/>
    </row>
    <row r="6" spans="1:8" ht="15" customHeight="1" x14ac:dyDescent="0.35">
      <c r="A6" s="972"/>
      <c r="B6" s="395" t="s">
        <v>912</v>
      </c>
      <c r="C6" s="410">
        <v>26</v>
      </c>
      <c r="D6" s="410">
        <v>23</v>
      </c>
      <c r="E6" s="410">
        <v>27</v>
      </c>
      <c r="F6" s="410">
        <v>24</v>
      </c>
      <c r="G6" s="410">
        <v>35</v>
      </c>
      <c r="H6" s="395">
        <v>19</v>
      </c>
    </row>
    <row r="7" spans="1:8" ht="15" customHeight="1" x14ac:dyDescent="0.35">
      <c r="A7" s="972"/>
      <c r="B7" s="395" t="s">
        <v>911</v>
      </c>
      <c r="C7" s="410">
        <v>26.254938212399924</v>
      </c>
      <c r="D7" s="410">
        <v>23.369252844551685</v>
      </c>
      <c r="E7" s="410">
        <v>27.753300474029704</v>
      </c>
      <c r="F7" s="410">
        <v>24.543545145417902</v>
      </c>
      <c r="G7" s="410">
        <v>36.839968711116875</v>
      </c>
      <c r="H7" s="410">
        <v>18.354042629076776</v>
      </c>
    </row>
    <row r="8" spans="1:8" ht="15" customHeight="1" x14ac:dyDescent="0.35">
      <c r="A8" s="972"/>
      <c r="B8" s="395" t="s">
        <v>910</v>
      </c>
      <c r="C8" s="410">
        <v>26.678817203607831</v>
      </c>
      <c r="D8" s="410">
        <v>23.731255842740818</v>
      </c>
      <c r="E8" s="410">
        <v>26.898640291319836</v>
      </c>
      <c r="F8" s="410">
        <v>24</v>
      </c>
      <c r="G8" s="410">
        <v>38.250026479572597</v>
      </c>
      <c r="H8" s="410">
        <v>18.881608771729137</v>
      </c>
    </row>
    <row r="9" spans="1:8" ht="15" customHeight="1" x14ac:dyDescent="0.35">
      <c r="A9" s="972"/>
      <c r="B9" s="395" t="s">
        <v>909</v>
      </c>
      <c r="C9" s="410">
        <v>25.6369658239065</v>
      </c>
      <c r="D9" s="410">
        <v>22.785018321451666</v>
      </c>
      <c r="E9" s="410">
        <v>32</v>
      </c>
      <c r="F9" s="410">
        <v>28</v>
      </c>
      <c r="G9" s="410">
        <v>38</v>
      </c>
      <c r="H9" s="410">
        <v>18</v>
      </c>
    </row>
    <row r="10" spans="1:8" ht="15" customHeight="1" x14ac:dyDescent="0.35">
      <c r="A10" s="972"/>
      <c r="B10" s="395" t="s">
        <v>908</v>
      </c>
      <c r="C10" s="410">
        <v>26.406421242971998</v>
      </c>
      <c r="D10" s="410">
        <v>23.599454634932314</v>
      </c>
      <c r="E10" s="410">
        <v>33</v>
      </c>
      <c r="F10" s="410">
        <v>29</v>
      </c>
      <c r="G10" s="410">
        <v>39</v>
      </c>
      <c r="H10" s="410">
        <v>18</v>
      </c>
    </row>
    <row r="11" spans="1:8" ht="15" customHeight="1" x14ac:dyDescent="0.35">
      <c r="A11" s="972">
        <v>1</v>
      </c>
      <c r="B11" s="524" t="s">
        <v>116</v>
      </c>
      <c r="C11" s="417"/>
      <c r="D11" s="410"/>
      <c r="E11" s="410"/>
      <c r="F11" s="410"/>
      <c r="G11" s="410"/>
      <c r="H11" s="410"/>
    </row>
    <row r="12" spans="1:8" ht="15" customHeight="1" x14ac:dyDescent="0.35">
      <c r="A12" s="972"/>
      <c r="B12" s="503" t="s">
        <v>912</v>
      </c>
      <c r="C12" s="410">
        <v>50</v>
      </c>
      <c r="D12" s="410">
        <v>16</v>
      </c>
      <c r="E12" s="410">
        <v>56</v>
      </c>
      <c r="F12" s="410">
        <v>17</v>
      </c>
      <c r="G12" s="410"/>
      <c r="H12" s="410"/>
    </row>
    <row r="13" spans="1:8" ht="15" customHeight="1" x14ac:dyDescent="0.35">
      <c r="A13" s="972"/>
      <c r="B13" s="503" t="s">
        <v>911</v>
      </c>
      <c r="C13" s="410">
        <v>27.337320574162678</v>
      </c>
      <c r="D13" s="410">
        <v>17.696172248803826</v>
      </c>
      <c r="E13" s="410">
        <v>28.044665012406949</v>
      </c>
      <c r="F13" s="410">
        <v>18.044665012406949</v>
      </c>
      <c r="G13" s="410"/>
      <c r="H13" s="410"/>
    </row>
    <row r="14" spans="1:8" ht="15" customHeight="1" x14ac:dyDescent="0.35">
      <c r="A14" s="972"/>
      <c r="B14" s="503" t="s">
        <v>910</v>
      </c>
      <c r="C14" s="410">
        <v>26.41280353200883</v>
      </c>
      <c r="D14" s="410">
        <v>17.079470198675498</v>
      </c>
      <c r="E14" s="410">
        <v>26.9</v>
      </c>
      <c r="F14" s="410">
        <v>17</v>
      </c>
      <c r="G14" s="410"/>
      <c r="H14" s="410"/>
    </row>
    <row r="15" spans="1:8" ht="15" customHeight="1" x14ac:dyDescent="0.35">
      <c r="A15" s="972"/>
      <c r="B15" s="503" t="s">
        <v>909</v>
      </c>
      <c r="C15" s="410">
        <v>21.881209503239742</v>
      </c>
      <c r="D15" s="410">
        <v>13.025917926565874</v>
      </c>
      <c r="E15" s="410">
        <v>22</v>
      </c>
      <c r="F15" s="410">
        <v>13</v>
      </c>
      <c r="G15" s="410" t="s">
        <v>983</v>
      </c>
      <c r="H15" s="410" t="s">
        <v>983</v>
      </c>
    </row>
    <row r="16" spans="1:8" ht="15" customHeight="1" x14ac:dyDescent="0.35">
      <c r="A16" s="972"/>
      <c r="B16" s="503" t="s">
        <v>908</v>
      </c>
      <c r="C16" s="410">
        <v>25.188183807439824</v>
      </c>
      <c r="D16" s="410">
        <v>16.312910284463896</v>
      </c>
      <c r="E16" s="410">
        <v>26</v>
      </c>
      <c r="F16" s="410">
        <v>17</v>
      </c>
      <c r="G16" s="410">
        <v>467</v>
      </c>
      <c r="H16" s="410">
        <v>16</v>
      </c>
    </row>
    <row r="17" spans="1:8" ht="15" customHeight="1" x14ac:dyDescent="0.35">
      <c r="A17" s="972">
        <v>2</v>
      </c>
      <c r="B17" s="503" t="s">
        <v>13</v>
      </c>
      <c r="C17" s="410"/>
      <c r="D17" s="410"/>
      <c r="E17" s="410"/>
      <c r="F17" s="410"/>
      <c r="G17" s="410"/>
      <c r="H17" s="410"/>
    </row>
    <row r="18" spans="1:8" ht="15" customHeight="1" x14ac:dyDescent="0.35">
      <c r="A18" s="972"/>
      <c r="B18" s="503" t="s">
        <v>912</v>
      </c>
      <c r="C18" s="410">
        <v>17</v>
      </c>
      <c r="D18" s="410">
        <v>15</v>
      </c>
      <c r="E18" s="410">
        <v>18</v>
      </c>
      <c r="F18" s="410">
        <v>15</v>
      </c>
      <c r="G18" s="410">
        <v>41</v>
      </c>
      <c r="H18" s="410">
        <v>17</v>
      </c>
    </row>
    <row r="19" spans="1:8" ht="15" customHeight="1" x14ac:dyDescent="0.35">
      <c r="A19" s="972"/>
      <c r="B19" s="503" t="s">
        <v>911</v>
      </c>
      <c r="C19" s="410">
        <v>17.934452265273325</v>
      </c>
      <c r="D19" s="410">
        <v>16.038022384903815</v>
      </c>
      <c r="E19" s="410">
        <v>18.492012779552716</v>
      </c>
      <c r="F19" s="410">
        <v>16.412315778625167</v>
      </c>
      <c r="G19" s="410">
        <v>40.422145713016434</v>
      </c>
      <c r="H19" s="410">
        <v>18.010661928031986</v>
      </c>
    </row>
    <row r="20" spans="1:8" ht="15" customHeight="1" x14ac:dyDescent="0.35">
      <c r="A20" s="972"/>
      <c r="B20" s="503" t="s">
        <v>910</v>
      </c>
      <c r="C20" s="410">
        <v>19.370229602775503</v>
      </c>
      <c r="D20" s="410">
        <v>17.879468288309358</v>
      </c>
      <c r="E20" s="410">
        <v>19.09401296063449</v>
      </c>
      <c r="F20" s="410">
        <v>18</v>
      </c>
      <c r="G20" s="410">
        <v>42.904062029857656</v>
      </c>
      <c r="H20" s="410">
        <v>25.201249855340816</v>
      </c>
    </row>
    <row r="21" spans="1:8" ht="15" customHeight="1" x14ac:dyDescent="0.35">
      <c r="A21" s="972"/>
      <c r="B21" s="503" t="s">
        <v>909</v>
      </c>
      <c r="C21" s="410">
        <v>19.021516588628092</v>
      </c>
      <c r="D21" s="410">
        <v>16.368138203475141</v>
      </c>
      <c r="E21" s="410">
        <v>22</v>
      </c>
      <c r="F21" s="410">
        <v>19</v>
      </c>
      <c r="G21" s="410">
        <v>46</v>
      </c>
      <c r="H21" s="410">
        <v>16</v>
      </c>
    </row>
    <row r="22" spans="1:8" ht="15" customHeight="1" x14ac:dyDescent="0.35">
      <c r="A22" s="972"/>
      <c r="B22" s="503" t="s">
        <v>908</v>
      </c>
      <c r="C22" s="410">
        <v>17.714943962655184</v>
      </c>
      <c r="D22" s="410">
        <v>15.857270770035614</v>
      </c>
      <c r="E22" s="410">
        <v>20</v>
      </c>
      <c r="F22" s="410">
        <v>18</v>
      </c>
      <c r="G22" s="410">
        <v>39</v>
      </c>
      <c r="H22" s="410">
        <v>16</v>
      </c>
    </row>
    <row r="23" spans="1:8" ht="15" customHeight="1" x14ac:dyDescent="0.35">
      <c r="A23" s="972">
        <v>3</v>
      </c>
      <c r="B23" s="503" t="s">
        <v>14</v>
      </c>
      <c r="C23" s="410"/>
      <c r="D23" s="410"/>
      <c r="E23" s="410"/>
      <c r="F23" s="410"/>
      <c r="G23" s="410"/>
      <c r="H23" s="410"/>
    </row>
    <row r="24" spans="1:8" ht="15" customHeight="1" x14ac:dyDescent="0.35">
      <c r="A24" s="972"/>
      <c r="B24" s="503" t="s">
        <v>912</v>
      </c>
      <c r="C24" s="410">
        <v>27</v>
      </c>
      <c r="D24" s="410">
        <v>23</v>
      </c>
      <c r="E24" s="410">
        <v>28</v>
      </c>
      <c r="F24" s="410">
        <v>23</v>
      </c>
      <c r="G24" s="410">
        <v>29</v>
      </c>
      <c r="H24" s="410">
        <v>20</v>
      </c>
    </row>
    <row r="25" spans="1:8" ht="15" customHeight="1" x14ac:dyDescent="0.35">
      <c r="A25" s="972"/>
      <c r="B25" s="503" t="s">
        <v>911</v>
      </c>
      <c r="C25" s="410">
        <v>28.373414954088325</v>
      </c>
      <c r="D25" s="410">
        <v>23.390905115872322</v>
      </c>
      <c r="E25" s="410">
        <v>29.61778398510242</v>
      </c>
      <c r="F25" s="410">
        <v>24.312849162011172</v>
      </c>
      <c r="G25" s="410">
        <v>30.863315696649028</v>
      </c>
      <c r="H25" s="410">
        <v>20.814814814814813</v>
      </c>
    </row>
    <row r="26" spans="1:8" ht="15" customHeight="1" x14ac:dyDescent="0.35">
      <c r="A26" s="972"/>
      <c r="B26" s="503" t="s">
        <v>910</v>
      </c>
      <c r="C26" s="410">
        <v>27.66790180639185</v>
      </c>
      <c r="D26" s="410">
        <v>22.604446503010653</v>
      </c>
      <c r="E26" s="410">
        <v>28.904244817374135</v>
      </c>
      <c r="F26" s="410">
        <v>24</v>
      </c>
      <c r="G26" s="410">
        <v>32.673094582185492</v>
      </c>
      <c r="H26" s="410">
        <v>22.634527089072545</v>
      </c>
    </row>
    <row r="27" spans="1:8" ht="15" customHeight="1" x14ac:dyDescent="0.35">
      <c r="A27" s="972"/>
      <c r="B27" s="503" t="s">
        <v>909</v>
      </c>
      <c r="C27" s="410">
        <v>27.852295409181636</v>
      </c>
      <c r="D27" s="410">
        <v>19.83882235528942</v>
      </c>
      <c r="E27" s="410">
        <v>63</v>
      </c>
      <c r="F27" s="410">
        <v>45</v>
      </c>
      <c r="G27" s="410">
        <v>33</v>
      </c>
      <c r="H27" s="410">
        <v>18</v>
      </c>
    </row>
    <row r="28" spans="1:8" ht="15" customHeight="1" x14ac:dyDescent="0.35">
      <c r="A28" s="972"/>
      <c r="B28" s="503" t="s">
        <v>908</v>
      </c>
      <c r="C28" s="410">
        <v>31.361702127659573</v>
      </c>
      <c r="D28" s="410">
        <v>22.472074468085108</v>
      </c>
      <c r="E28" s="410">
        <v>63</v>
      </c>
      <c r="F28" s="410">
        <v>45</v>
      </c>
      <c r="G28" s="410">
        <v>36</v>
      </c>
      <c r="H28" s="410">
        <v>17</v>
      </c>
    </row>
    <row r="29" spans="1:8" ht="15" customHeight="1" x14ac:dyDescent="0.35">
      <c r="A29" s="972">
        <v>4</v>
      </c>
      <c r="B29" s="503" t="s">
        <v>15</v>
      </c>
      <c r="C29" s="410"/>
      <c r="D29" s="410"/>
      <c r="E29" s="410"/>
      <c r="F29" s="410"/>
      <c r="G29" s="410"/>
      <c r="H29" s="410"/>
    </row>
    <row r="30" spans="1:8" ht="15" customHeight="1" x14ac:dyDescent="0.35">
      <c r="A30" s="972"/>
      <c r="B30" s="503" t="s">
        <v>912</v>
      </c>
      <c r="C30" s="410">
        <v>28</v>
      </c>
      <c r="D30" s="410">
        <v>25</v>
      </c>
      <c r="E30" s="410">
        <v>29</v>
      </c>
      <c r="F30" s="410">
        <v>25</v>
      </c>
      <c r="G30" s="410">
        <v>41</v>
      </c>
      <c r="H30" s="410">
        <v>18</v>
      </c>
    </row>
    <row r="31" spans="1:8" ht="15" customHeight="1" x14ac:dyDescent="0.35">
      <c r="A31" s="972"/>
      <c r="B31" s="503" t="s">
        <v>911</v>
      </c>
      <c r="C31" s="410">
        <v>27.572017167381976</v>
      </c>
      <c r="D31" s="410">
        <v>25.290300429184548</v>
      </c>
      <c r="E31" s="410">
        <v>28.484927377363661</v>
      </c>
      <c r="F31" s="410">
        <v>26.058372156755276</v>
      </c>
      <c r="G31" s="410">
        <v>31.947697111631538</v>
      </c>
      <c r="H31" s="410">
        <v>18.123341139734581</v>
      </c>
    </row>
    <row r="32" spans="1:8" ht="15" customHeight="1" x14ac:dyDescent="0.35">
      <c r="A32" s="972"/>
      <c r="B32" s="503" t="s">
        <v>910</v>
      </c>
      <c r="C32" s="410">
        <v>29.433310445455326</v>
      </c>
      <c r="D32" s="410">
        <v>27.291648785511974</v>
      </c>
      <c r="E32" s="410">
        <v>27.060708417016613</v>
      </c>
      <c r="F32" s="410">
        <v>28</v>
      </c>
      <c r="G32" s="410">
        <v>30.736760925449872</v>
      </c>
      <c r="H32" s="410">
        <v>17.907712082262211</v>
      </c>
    </row>
    <row r="33" spans="1:8" ht="15" customHeight="1" x14ac:dyDescent="0.35">
      <c r="A33" s="972"/>
      <c r="B33" s="503" t="s">
        <v>909</v>
      </c>
      <c r="C33" s="410">
        <v>28.188951473136914</v>
      </c>
      <c r="D33" s="410">
        <v>24.427772963604852</v>
      </c>
      <c r="E33" s="410">
        <v>35</v>
      </c>
      <c r="F33" s="410">
        <v>30</v>
      </c>
      <c r="G33" s="410">
        <v>38</v>
      </c>
      <c r="H33" s="410">
        <v>15</v>
      </c>
    </row>
    <row r="34" spans="1:8" ht="15" customHeight="1" x14ac:dyDescent="0.35">
      <c r="A34" s="972"/>
      <c r="B34" s="503" t="s">
        <v>908</v>
      </c>
      <c r="C34" s="410">
        <v>30.643047835791499</v>
      </c>
      <c r="D34" s="410">
        <v>26.254103024202372</v>
      </c>
      <c r="E34" s="410">
        <v>37</v>
      </c>
      <c r="F34" s="410">
        <v>31</v>
      </c>
      <c r="G34" s="410">
        <v>41</v>
      </c>
      <c r="H34" s="410">
        <v>11</v>
      </c>
    </row>
    <row r="35" spans="1:8" ht="15" customHeight="1" x14ac:dyDescent="0.35">
      <c r="A35" s="972">
        <v>5</v>
      </c>
      <c r="B35" s="503" t="s">
        <v>16</v>
      </c>
      <c r="C35" s="410"/>
      <c r="D35" s="410"/>
      <c r="E35" s="410"/>
      <c r="F35" s="410"/>
      <c r="G35" s="410"/>
      <c r="H35" s="410"/>
    </row>
    <row r="36" spans="1:8" ht="15" customHeight="1" x14ac:dyDescent="0.35">
      <c r="A36" s="972"/>
      <c r="B36" s="503" t="s">
        <v>912</v>
      </c>
      <c r="C36" s="410">
        <v>64</v>
      </c>
      <c r="D36" s="410">
        <v>60</v>
      </c>
      <c r="E36" s="410">
        <v>68</v>
      </c>
      <c r="F36" s="410">
        <v>64</v>
      </c>
      <c r="G36" s="410">
        <v>61</v>
      </c>
      <c r="H36" s="410">
        <v>26</v>
      </c>
    </row>
    <row r="37" spans="1:8" ht="15" customHeight="1" x14ac:dyDescent="0.35">
      <c r="A37" s="972"/>
      <c r="B37" s="503" t="s">
        <v>911</v>
      </c>
      <c r="C37" s="410">
        <v>69.238714956971648</v>
      </c>
      <c r="D37" s="410">
        <v>64.653107016524999</v>
      </c>
      <c r="E37" s="410">
        <v>74.239333177896953</v>
      </c>
      <c r="F37" s="410">
        <v>69.176614595476806</v>
      </c>
      <c r="G37" s="410">
        <v>72.198550046772681</v>
      </c>
      <c r="H37" s="410">
        <v>31.573666978484564</v>
      </c>
    </row>
    <row r="38" spans="1:8" ht="15" customHeight="1" x14ac:dyDescent="0.35">
      <c r="A38" s="972"/>
      <c r="B38" s="503" t="s">
        <v>910</v>
      </c>
      <c r="C38" s="410">
        <v>65.828551512616755</v>
      </c>
      <c r="D38" s="410">
        <v>59.445643384915655</v>
      </c>
      <c r="E38" s="410">
        <v>70.044245885531808</v>
      </c>
      <c r="F38" s="410">
        <v>63</v>
      </c>
      <c r="G38" s="410">
        <v>90.301861343404369</v>
      </c>
      <c r="H38" s="410">
        <v>31.093336930132182</v>
      </c>
    </row>
    <row r="39" spans="1:8" ht="15" customHeight="1" x14ac:dyDescent="0.35">
      <c r="A39" s="972"/>
      <c r="B39" s="503" t="s">
        <v>909</v>
      </c>
      <c r="C39" s="410">
        <v>58.736763861202149</v>
      </c>
      <c r="D39" s="410">
        <v>54.179376288137313</v>
      </c>
      <c r="E39" s="410">
        <v>70</v>
      </c>
      <c r="F39" s="410">
        <v>65</v>
      </c>
      <c r="G39" s="410">
        <v>71</v>
      </c>
      <c r="H39" s="410">
        <v>27</v>
      </c>
    </row>
    <row r="40" spans="1:8" ht="15" customHeight="1" x14ac:dyDescent="0.35">
      <c r="A40" s="972"/>
      <c r="B40" s="503" t="s">
        <v>908</v>
      </c>
      <c r="C40" s="410">
        <v>60.756446124763706</v>
      </c>
      <c r="D40" s="410">
        <v>56.471909262759922</v>
      </c>
      <c r="E40" s="410">
        <v>71</v>
      </c>
      <c r="F40" s="410">
        <v>66</v>
      </c>
      <c r="G40" s="410">
        <v>96</v>
      </c>
      <c r="H40" s="410">
        <v>43</v>
      </c>
    </row>
    <row r="41" spans="1:8" ht="15" customHeight="1" x14ac:dyDescent="0.35">
      <c r="A41" s="972">
        <v>6</v>
      </c>
      <c r="B41" s="503" t="s">
        <v>17</v>
      </c>
      <c r="C41" s="410"/>
      <c r="D41" s="410"/>
      <c r="E41" s="410"/>
      <c r="F41" s="410"/>
      <c r="G41" s="410"/>
      <c r="H41" s="410"/>
    </row>
    <row r="42" spans="1:8" ht="15" customHeight="1" x14ac:dyDescent="0.35">
      <c r="A42" s="972"/>
      <c r="B42" s="503" t="s">
        <v>912</v>
      </c>
      <c r="C42" s="410">
        <v>29</v>
      </c>
      <c r="D42" s="410">
        <v>20</v>
      </c>
      <c r="E42" s="410">
        <v>29</v>
      </c>
      <c r="F42" s="410">
        <v>20</v>
      </c>
      <c r="G42" s="410">
        <v>34</v>
      </c>
      <c r="H42" s="410">
        <v>13</v>
      </c>
    </row>
    <row r="43" spans="1:8" ht="15" customHeight="1" x14ac:dyDescent="0.35">
      <c r="A43" s="972"/>
      <c r="B43" s="503" t="s">
        <v>911</v>
      </c>
      <c r="C43" s="410">
        <v>29.879676985195154</v>
      </c>
      <c r="D43" s="410">
        <v>20.16742934051144</v>
      </c>
      <c r="E43" s="410">
        <v>30.581548129105968</v>
      </c>
      <c r="F43" s="410">
        <v>20.275635532704943</v>
      </c>
      <c r="G43" s="410">
        <v>36.13084112149533</v>
      </c>
      <c r="H43" s="410">
        <v>13.650467289719627</v>
      </c>
    </row>
    <row r="44" spans="1:8" ht="15" customHeight="1" x14ac:dyDescent="0.35">
      <c r="A44" s="972"/>
      <c r="B44" s="503" t="s">
        <v>910</v>
      </c>
      <c r="C44" s="410">
        <v>30.156975156975157</v>
      </c>
      <c r="D44" s="410">
        <v>20.26945126945127</v>
      </c>
      <c r="E44" s="410">
        <v>30.919756662804172</v>
      </c>
      <c r="F44" s="410">
        <v>20</v>
      </c>
      <c r="G44" s="410">
        <v>35.90336658354115</v>
      </c>
      <c r="H44" s="410">
        <v>13.32356608478803</v>
      </c>
    </row>
    <row r="45" spans="1:8" ht="15" customHeight="1" x14ac:dyDescent="0.35">
      <c r="A45" s="972"/>
      <c r="B45" s="503" t="s">
        <v>909</v>
      </c>
      <c r="C45" s="410">
        <v>28.338735387885229</v>
      </c>
      <c r="D45" s="410">
        <v>20.299681190223168</v>
      </c>
      <c r="E45" s="410">
        <v>54</v>
      </c>
      <c r="F45" s="410">
        <v>38</v>
      </c>
      <c r="G45" s="410">
        <v>32</v>
      </c>
      <c r="H45" s="410">
        <v>13</v>
      </c>
    </row>
    <row r="46" spans="1:8" ht="15" customHeight="1" x14ac:dyDescent="0.35">
      <c r="A46" s="972"/>
      <c r="B46" s="503" t="s">
        <v>908</v>
      </c>
      <c r="C46" s="410">
        <v>28.031993204983014</v>
      </c>
      <c r="D46" s="410">
        <v>21.093714609286522</v>
      </c>
      <c r="E46" s="410">
        <v>50</v>
      </c>
      <c r="F46" s="410">
        <v>38</v>
      </c>
      <c r="G46" s="410">
        <v>31</v>
      </c>
      <c r="H46" s="410">
        <v>15</v>
      </c>
    </row>
    <row r="47" spans="1:8" ht="15" customHeight="1" x14ac:dyDescent="0.35">
      <c r="A47" s="972">
        <v>7</v>
      </c>
      <c r="B47" s="503" t="s">
        <v>749</v>
      </c>
      <c r="C47" s="410"/>
      <c r="D47" s="410"/>
      <c r="E47" s="410"/>
      <c r="F47" s="410"/>
      <c r="G47" s="410"/>
      <c r="H47" s="410"/>
    </row>
    <row r="48" spans="1:8" ht="15" customHeight="1" x14ac:dyDescent="0.35">
      <c r="A48" s="972"/>
      <c r="B48" s="503" t="s">
        <v>912</v>
      </c>
      <c r="C48" s="410">
        <v>27</v>
      </c>
      <c r="D48" s="410">
        <v>26</v>
      </c>
      <c r="E48" s="410">
        <v>27</v>
      </c>
      <c r="F48" s="410">
        <v>26</v>
      </c>
      <c r="G48" s="410">
        <v>32</v>
      </c>
      <c r="H48" s="410">
        <v>21</v>
      </c>
    </row>
    <row r="49" spans="1:8" ht="15" customHeight="1" x14ac:dyDescent="0.35">
      <c r="A49" s="972"/>
      <c r="B49" s="503" t="s">
        <v>911</v>
      </c>
      <c r="C49" s="410">
        <v>27.626091400826269</v>
      </c>
      <c r="D49" s="410">
        <v>25.752842966054772</v>
      </c>
      <c r="E49" s="410">
        <v>28.116584852734924</v>
      </c>
      <c r="F49" s="410">
        <v>26.200999298737727</v>
      </c>
      <c r="G49" s="410">
        <v>33.798093292475315</v>
      </c>
      <c r="H49" s="410">
        <v>18.916922029281579</v>
      </c>
    </row>
    <row r="50" spans="1:8" ht="15" customHeight="1" x14ac:dyDescent="0.35">
      <c r="A50" s="972"/>
      <c r="B50" s="503" t="s">
        <v>910</v>
      </c>
      <c r="C50" s="410">
        <v>29.481793980959257</v>
      </c>
      <c r="D50" s="410">
        <v>25.791860307720075</v>
      </c>
      <c r="E50" s="410">
        <v>28.181210235452561</v>
      </c>
      <c r="F50" s="410">
        <v>26</v>
      </c>
      <c r="G50" s="410">
        <v>48.452878621195453</v>
      </c>
      <c r="H50" s="410">
        <v>18.463879721305464</v>
      </c>
    </row>
    <row r="51" spans="1:8" ht="15" customHeight="1" x14ac:dyDescent="0.35">
      <c r="A51" s="972"/>
      <c r="B51" s="503" t="s">
        <v>909</v>
      </c>
      <c r="C51" s="410">
        <v>26.372610748819429</v>
      </c>
      <c r="D51" s="410">
        <v>22.668540589161232</v>
      </c>
      <c r="E51" s="410">
        <v>30</v>
      </c>
      <c r="F51" s="410">
        <v>26</v>
      </c>
      <c r="G51" s="410">
        <v>49</v>
      </c>
      <c r="H51" s="410">
        <v>18</v>
      </c>
    </row>
    <row r="52" spans="1:8" ht="15" customHeight="1" x14ac:dyDescent="0.35">
      <c r="A52" s="972"/>
      <c r="B52" s="503" t="s">
        <v>908</v>
      </c>
      <c r="C52" s="410">
        <v>28.450024236548714</v>
      </c>
      <c r="D52" s="410">
        <v>23.38788172564227</v>
      </c>
      <c r="E52" s="410">
        <v>33</v>
      </c>
      <c r="F52" s="410">
        <v>27</v>
      </c>
      <c r="G52" s="410">
        <v>67</v>
      </c>
      <c r="H52" s="410">
        <v>21</v>
      </c>
    </row>
    <row r="53" spans="1:8" ht="15" customHeight="1" x14ac:dyDescent="0.35">
      <c r="A53" s="972">
        <v>8</v>
      </c>
      <c r="B53" s="503" t="s">
        <v>19</v>
      </c>
      <c r="C53" s="410"/>
      <c r="D53" s="410"/>
      <c r="E53" s="410"/>
      <c r="F53" s="410"/>
      <c r="G53" s="410"/>
      <c r="H53" s="410"/>
    </row>
    <row r="54" spans="1:8" ht="15" customHeight="1" x14ac:dyDescent="0.35">
      <c r="A54" s="972"/>
      <c r="B54" s="503" t="s">
        <v>912</v>
      </c>
      <c r="C54" s="410">
        <v>54</v>
      </c>
      <c r="D54" s="410">
        <v>26</v>
      </c>
      <c r="E54" s="410">
        <v>57</v>
      </c>
      <c r="F54" s="410">
        <v>27</v>
      </c>
      <c r="G54" s="410">
        <v>114</v>
      </c>
      <c r="H54" s="410">
        <v>24</v>
      </c>
    </row>
    <row r="55" spans="1:8" ht="15" customHeight="1" x14ac:dyDescent="0.35">
      <c r="A55" s="972"/>
      <c r="B55" s="503" t="s">
        <v>911</v>
      </c>
      <c r="C55" s="410">
        <v>49.85186486842683</v>
      </c>
      <c r="D55" s="410">
        <v>20.773008830119053</v>
      </c>
      <c r="E55" s="410">
        <v>52.69109127172571</v>
      </c>
      <c r="F55" s="410">
        <v>21.258714027922881</v>
      </c>
      <c r="G55" s="410">
        <v>120.585380378145</v>
      </c>
      <c r="H55" s="410">
        <v>22.043918415959507</v>
      </c>
    </row>
    <row r="56" spans="1:8" ht="15" customHeight="1" x14ac:dyDescent="0.35">
      <c r="A56" s="972"/>
      <c r="B56" s="503" t="s">
        <v>910</v>
      </c>
      <c r="C56" s="410">
        <v>50.123283947261115</v>
      </c>
      <c r="D56" s="410">
        <v>20.459245163336504</v>
      </c>
      <c r="E56" s="410">
        <v>52.852258792367685</v>
      </c>
      <c r="F56" s="410">
        <v>21</v>
      </c>
      <c r="G56" s="410">
        <v>122.76481481481481</v>
      </c>
      <c r="H56" s="410">
        <v>22.338888888888889</v>
      </c>
    </row>
    <row r="57" spans="1:8" ht="15" customHeight="1" x14ac:dyDescent="0.35">
      <c r="A57" s="972"/>
      <c r="B57" s="503" t="s">
        <v>909</v>
      </c>
      <c r="C57" s="410">
        <v>52.05661244370922</v>
      </c>
      <c r="D57" s="410">
        <v>20.74892013601691</v>
      </c>
      <c r="E57" s="410">
        <v>80</v>
      </c>
      <c r="F57" s="410">
        <v>30</v>
      </c>
      <c r="G57" s="410">
        <v>125</v>
      </c>
      <c r="H57" s="410">
        <v>21</v>
      </c>
    </row>
    <row r="58" spans="1:8" ht="15" customHeight="1" x14ac:dyDescent="0.35">
      <c r="A58" s="972"/>
      <c r="B58" s="503" t="s">
        <v>908</v>
      </c>
      <c r="C58" s="410">
        <v>52.189470625272435</v>
      </c>
      <c r="D58" s="410">
        <v>21.06703153000436</v>
      </c>
      <c r="E58" s="410">
        <v>76</v>
      </c>
      <c r="F58" s="410">
        <v>29</v>
      </c>
      <c r="G58" s="410">
        <v>139</v>
      </c>
      <c r="H58" s="410">
        <v>22</v>
      </c>
    </row>
    <row r="59" spans="1:8" ht="15" customHeight="1" x14ac:dyDescent="0.35">
      <c r="A59" s="972">
        <v>9</v>
      </c>
      <c r="B59" s="503" t="s">
        <v>20</v>
      </c>
      <c r="C59" s="410"/>
      <c r="D59" s="410"/>
      <c r="E59" s="410"/>
      <c r="F59" s="410"/>
      <c r="G59" s="410"/>
      <c r="H59" s="410"/>
    </row>
    <row r="60" spans="1:8" ht="15" customHeight="1" x14ac:dyDescent="0.35">
      <c r="A60" s="972"/>
      <c r="B60" s="503" t="s">
        <v>912</v>
      </c>
      <c r="C60" s="410">
        <v>16</v>
      </c>
      <c r="D60" s="410">
        <v>15</v>
      </c>
      <c r="E60" s="410">
        <v>16</v>
      </c>
      <c r="F60" s="410">
        <v>15</v>
      </c>
      <c r="G60" s="410">
        <v>28</v>
      </c>
      <c r="H60" s="410">
        <v>17</v>
      </c>
    </row>
    <row r="61" spans="1:8" ht="15" customHeight="1" x14ac:dyDescent="0.35">
      <c r="A61" s="972"/>
      <c r="B61" s="503" t="s">
        <v>911</v>
      </c>
      <c r="C61" s="410">
        <v>17.119863909971212</v>
      </c>
      <c r="D61" s="410">
        <v>15.660821774404607</v>
      </c>
      <c r="E61" s="410">
        <v>16.758208955223882</v>
      </c>
      <c r="F61" s="410">
        <v>15.094029850746269</v>
      </c>
      <c r="G61" s="410">
        <v>28.581632653061224</v>
      </c>
      <c r="H61" s="410">
        <v>17.204081632653061</v>
      </c>
    </row>
    <row r="62" spans="1:8" ht="15" customHeight="1" x14ac:dyDescent="0.35">
      <c r="A62" s="972"/>
      <c r="B62" s="503" t="s">
        <v>910</v>
      </c>
      <c r="C62" s="410">
        <v>16.948271014900197</v>
      </c>
      <c r="D62" s="410">
        <v>14.996907506325556</v>
      </c>
      <c r="E62" s="410">
        <v>17.062479661568499</v>
      </c>
      <c r="F62" s="410">
        <v>15</v>
      </c>
      <c r="G62" s="410">
        <v>35.812709030100336</v>
      </c>
      <c r="H62" s="410">
        <v>12.59866220735786</v>
      </c>
    </row>
    <row r="63" spans="1:8" ht="15" customHeight="1" x14ac:dyDescent="0.35">
      <c r="A63" s="972"/>
      <c r="B63" s="503" t="s">
        <v>909</v>
      </c>
      <c r="C63" s="410">
        <v>14.504534212695795</v>
      </c>
      <c r="D63" s="410">
        <v>13.153888430887607</v>
      </c>
      <c r="E63" s="410">
        <v>17</v>
      </c>
      <c r="F63" s="410">
        <v>15</v>
      </c>
      <c r="G63" s="410">
        <v>31</v>
      </c>
      <c r="H63" s="410">
        <v>12</v>
      </c>
    </row>
    <row r="64" spans="1:8" ht="15" customHeight="1" x14ac:dyDescent="0.35">
      <c r="A64" s="972"/>
      <c r="B64" s="503" t="s">
        <v>908</v>
      </c>
      <c r="C64" s="410">
        <v>15.997659449970744</v>
      </c>
      <c r="D64" s="410">
        <v>14.521650087770626</v>
      </c>
      <c r="E64" s="410">
        <v>19</v>
      </c>
      <c r="F64" s="410">
        <v>17</v>
      </c>
      <c r="G64" s="410">
        <v>33</v>
      </c>
      <c r="H64" s="410">
        <v>12</v>
      </c>
    </row>
    <row r="65" spans="1:8" ht="15" customHeight="1" x14ac:dyDescent="0.35">
      <c r="A65" s="972">
        <v>10</v>
      </c>
      <c r="B65" s="503" t="s">
        <v>21</v>
      </c>
      <c r="C65" s="410"/>
      <c r="D65" s="410"/>
      <c r="E65" s="410"/>
      <c r="F65" s="410"/>
      <c r="G65" s="410"/>
      <c r="H65" s="410"/>
    </row>
    <row r="66" spans="1:8" ht="15" customHeight="1" x14ac:dyDescent="0.35">
      <c r="A66" s="972"/>
      <c r="B66" s="503" t="s">
        <v>912</v>
      </c>
      <c r="C66" s="410">
        <v>28</v>
      </c>
      <c r="D66" s="410">
        <v>26</v>
      </c>
      <c r="E66" s="410">
        <v>28</v>
      </c>
      <c r="F66" s="410">
        <v>27</v>
      </c>
      <c r="G66" s="410">
        <v>27</v>
      </c>
      <c r="H66" s="410">
        <v>22</v>
      </c>
    </row>
    <row r="67" spans="1:8" ht="15" customHeight="1" x14ac:dyDescent="0.35">
      <c r="A67" s="972"/>
      <c r="B67" s="503" t="s">
        <v>911</v>
      </c>
      <c r="C67" s="410">
        <v>29.489726315082073</v>
      </c>
      <c r="D67" s="410">
        <v>27.992725256632113</v>
      </c>
      <c r="E67" s="410">
        <v>30.336762555710184</v>
      </c>
      <c r="F67" s="410">
        <v>28.778480455194039</v>
      </c>
      <c r="G67" s="410">
        <v>28.668801639659257</v>
      </c>
      <c r="H67" s="410">
        <v>23.003074361109331</v>
      </c>
    </row>
    <row r="68" spans="1:8" ht="15" customHeight="1" x14ac:dyDescent="0.35">
      <c r="A68" s="972"/>
      <c r="B68" s="503" t="s">
        <v>910</v>
      </c>
      <c r="C68" s="410">
        <v>27.277122349641118</v>
      </c>
      <c r="D68" s="410">
        <v>25.837422654896461</v>
      </c>
      <c r="E68" s="410">
        <v>27.649229074889867</v>
      </c>
      <c r="F68" s="410">
        <v>26</v>
      </c>
      <c r="G68" s="410">
        <v>26.530417520491802</v>
      </c>
      <c r="H68" s="410">
        <v>20.943007172131146</v>
      </c>
    </row>
    <row r="69" spans="1:8" ht="15" customHeight="1" x14ac:dyDescent="0.35">
      <c r="A69" s="972"/>
      <c r="B69" s="503" t="s">
        <v>909</v>
      </c>
      <c r="C69" s="410">
        <v>25.581903689474728</v>
      </c>
      <c r="D69" s="410">
        <v>24.536811949393918</v>
      </c>
      <c r="E69" s="410">
        <v>34</v>
      </c>
      <c r="F69" s="410">
        <v>32</v>
      </c>
      <c r="G69" s="410">
        <v>25</v>
      </c>
      <c r="H69" s="410">
        <v>20</v>
      </c>
    </row>
    <row r="70" spans="1:8" ht="15" customHeight="1" x14ac:dyDescent="0.35">
      <c r="A70" s="972"/>
      <c r="B70" s="503" t="s">
        <v>908</v>
      </c>
      <c r="C70" s="410">
        <v>25.692294321124997</v>
      </c>
      <c r="D70" s="410">
        <v>24.443150411097012</v>
      </c>
      <c r="E70" s="410">
        <v>33</v>
      </c>
      <c r="F70" s="410">
        <v>32</v>
      </c>
      <c r="G70" s="410">
        <v>27</v>
      </c>
      <c r="H70" s="410">
        <v>21</v>
      </c>
    </row>
    <row r="71" spans="1:8" ht="15" customHeight="1" x14ac:dyDescent="0.35">
      <c r="A71" s="972">
        <v>11</v>
      </c>
      <c r="B71" s="503" t="s">
        <v>22</v>
      </c>
      <c r="C71" s="410"/>
      <c r="D71" s="410"/>
      <c r="E71" s="410"/>
      <c r="F71" s="410"/>
      <c r="G71" s="410"/>
      <c r="H71" s="410"/>
    </row>
    <row r="72" spans="1:8" ht="15" customHeight="1" x14ac:dyDescent="0.35">
      <c r="A72" s="972"/>
      <c r="B72" s="503" t="s">
        <v>912</v>
      </c>
      <c r="C72" s="410">
        <v>26</v>
      </c>
      <c r="D72" s="410">
        <v>22</v>
      </c>
      <c r="E72" s="410">
        <v>27</v>
      </c>
      <c r="F72" s="410">
        <v>23</v>
      </c>
      <c r="G72" s="410">
        <v>33</v>
      </c>
      <c r="H72" s="410">
        <v>19</v>
      </c>
    </row>
    <row r="73" spans="1:8" ht="15" customHeight="1" x14ac:dyDescent="0.35">
      <c r="A73" s="972"/>
      <c r="B73" s="503" t="s">
        <v>911</v>
      </c>
      <c r="C73" s="410">
        <v>26.355249230769232</v>
      </c>
      <c r="D73" s="410">
        <v>22.375212307692308</v>
      </c>
      <c r="E73" s="410">
        <v>27.216790417863532</v>
      </c>
      <c r="F73" s="410">
        <v>22.835212183621483</v>
      </c>
      <c r="G73" s="410">
        <v>35.82497331910352</v>
      </c>
      <c r="H73" s="410">
        <v>18.568943436499467</v>
      </c>
    </row>
    <row r="74" spans="1:8" ht="15" customHeight="1" x14ac:dyDescent="0.35">
      <c r="A74" s="972"/>
      <c r="B74" s="503" t="s">
        <v>910</v>
      </c>
      <c r="C74" s="410">
        <v>26.216603831261462</v>
      </c>
      <c r="D74" s="410">
        <v>21.839514978601997</v>
      </c>
      <c r="E74" s="410">
        <v>27.178012840455921</v>
      </c>
      <c r="F74" s="410">
        <v>22</v>
      </c>
      <c r="G74" s="410">
        <v>38.538109219025252</v>
      </c>
      <c r="H74" s="410">
        <v>18.358778625954198</v>
      </c>
    </row>
    <row r="75" spans="1:8" ht="15" customHeight="1" x14ac:dyDescent="0.35">
      <c r="A75" s="972"/>
      <c r="B75" s="503" t="s">
        <v>909</v>
      </c>
      <c r="C75" s="410">
        <v>23.796003160765721</v>
      </c>
      <c r="D75" s="410">
        <v>20.184445973847211</v>
      </c>
      <c r="E75" s="410">
        <v>32</v>
      </c>
      <c r="F75" s="410">
        <v>27</v>
      </c>
      <c r="G75" s="410">
        <v>33</v>
      </c>
      <c r="H75" s="410">
        <v>16</v>
      </c>
    </row>
    <row r="76" spans="1:8" ht="15" customHeight="1" x14ac:dyDescent="0.35">
      <c r="A76" s="972"/>
      <c r="B76" s="503" t="s">
        <v>908</v>
      </c>
      <c r="C76" s="410">
        <v>26.036185777952181</v>
      </c>
      <c r="D76" s="410">
        <v>22.676598368696919</v>
      </c>
      <c r="E76" s="410">
        <v>35</v>
      </c>
      <c r="F76" s="410">
        <v>30</v>
      </c>
      <c r="G76" s="410">
        <v>33</v>
      </c>
      <c r="H76" s="410">
        <v>17</v>
      </c>
    </row>
    <row r="77" spans="1:8" ht="15" customHeight="1" x14ac:dyDescent="0.35">
      <c r="A77" s="972">
        <v>12</v>
      </c>
      <c r="B77" s="503" t="s">
        <v>23</v>
      </c>
      <c r="C77" s="410"/>
      <c r="D77" s="410"/>
      <c r="E77" s="410"/>
      <c r="F77" s="410"/>
      <c r="G77" s="410"/>
      <c r="H77" s="410"/>
    </row>
    <row r="78" spans="1:8" ht="15" customHeight="1" x14ac:dyDescent="0.35">
      <c r="A78" s="972"/>
      <c r="B78" s="503" t="s">
        <v>912</v>
      </c>
      <c r="C78" s="410">
        <v>29</v>
      </c>
      <c r="D78" s="410">
        <v>24</v>
      </c>
      <c r="E78" s="410">
        <v>32</v>
      </c>
      <c r="F78" s="410">
        <v>25</v>
      </c>
      <c r="G78" s="410">
        <v>35</v>
      </c>
      <c r="H78" s="410">
        <v>16</v>
      </c>
    </row>
    <row r="79" spans="1:8" ht="15" customHeight="1" x14ac:dyDescent="0.35">
      <c r="A79" s="972"/>
      <c r="B79" s="503" t="s">
        <v>911</v>
      </c>
      <c r="C79" s="410">
        <v>29.474504379898569</v>
      </c>
      <c r="D79" s="410">
        <v>24.126602120792992</v>
      </c>
      <c r="E79" s="410">
        <v>31.880253849354972</v>
      </c>
      <c r="F79" s="410">
        <v>25.846337910944651</v>
      </c>
      <c r="G79" s="410">
        <v>34.176413570274633</v>
      </c>
      <c r="H79" s="410">
        <v>15.437156704361874</v>
      </c>
    </row>
    <row r="80" spans="1:8" ht="15" customHeight="1" x14ac:dyDescent="0.35">
      <c r="A80" s="972"/>
      <c r="B80" s="503" t="s">
        <v>910</v>
      </c>
      <c r="C80" s="410">
        <v>26.933128720238095</v>
      </c>
      <c r="D80" s="410">
        <v>22.221354166666668</v>
      </c>
      <c r="E80" s="410">
        <v>28.659572237366323</v>
      </c>
      <c r="F80" s="410">
        <v>23</v>
      </c>
      <c r="G80" s="410">
        <v>33.081146408839778</v>
      </c>
      <c r="H80" s="410">
        <v>15.587707182320441</v>
      </c>
    </row>
    <row r="81" spans="1:8" ht="15" customHeight="1" x14ac:dyDescent="0.35">
      <c r="A81" s="972"/>
      <c r="B81" s="503" t="s">
        <v>909</v>
      </c>
      <c r="C81" s="410">
        <v>26.851683517298952</v>
      </c>
      <c r="D81" s="410">
        <v>22.57156107967721</v>
      </c>
      <c r="E81" s="410">
        <v>42</v>
      </c>
      <c r="F81" s="410">
        <v>35</v>
      </c>
      <c r="G81" s="410">
        <v>31</v>
      </c>
      <c r="H81" s="410">
        <v>15</v>
      </c>
    </row>
    <row r="82" spans="1:8" ht="15" customHeight="1" x14ac:dyDescent="0.35">
      <c r="A82" s="972"/>
      <c r="B82" s="503" t="s">
        <v>908</v>
      </c>
      <c r="C82" s="410">
        <v>27.265392373451157</v>
      </c>
      <c r="D82" s="410">
        <v>23.479396791854768</v>
      </c>
      <c r="E82" s="410">
        <v>42</v>
      </c>
      <c r="F82" s="410">
        <v>36</v>
      </c>
      <c r="G82" s="410">
        <v>30</v>
      </c>
      <c r="H82" s="410">
        <v>16</v>
      </c>
    </row>
    <row r="83" spans="1:8" ht="15" customHeight="1" x14ac:dyDescent="0.35">
      <c r="A83" s="972">
        <v>13</v>
      </c>
      <c r="B83" s="503" t="s">
        <v>24</v>
      </c>
      <c r="C83" s="410"/>
      <c r="D83" s="410"/>
      <c r="E83" s="410"/>
      <c r="F83" s="410"/>
      <c r="G83" s="410"/>
      <c r="H83" s="410"/>
    </row>
    <row r="84" spans="1:8" ht="15" customHeight="1" x14ac:dyDescent="0.35">
      <c r="A84" s="972"/>
      <c r="B84" s="503" t="s">
        <v>912</v>
      </c>
      <c r="C84" s="410">
        <v>34</v>
      </c>
      <c r="D84" s="410">
        <v>24</v>
      </c>
      <c r="E84" s="410">
        <v>36</v>
      </c>
      <c r="F84" s="410">
        <v>25</v>
      </c>
      <c r="G84" s="410">
        <v>57</v>
      </c>
      <c r="H84" s="410">
        <v>15</v>
      </c>
    </row>
    <row r="85" spans="1:8" ht="15" customHeight="1" x14ac:dyDescent="0.35">
      <c r="A85" s="972"/>
      <c r="B85" s="503" t="s">
        <v>911</v>
      </c>
      <c r="C85" s="410">
        <v>35.231061946902656</v>
      </c>
      <c r="D85" s="410">
        <v>24.149026548672566</v>
      </c>
      <c r="E85" s="410">
        <v>38.30996758508914</v>
      </c>
      <c r="F85" s="410">
        <v>25.629355753646678</v>
      </c>
      <c r="G85" s="410">
        <v>63.163476263399694</v>
      </c>
      <c r="H85" s="410">
        <v>15.237366003062787</v>
      </c>
    </row>
    <row r="86" spans="1:8" ht="15" customHeight="1" x14ac:dyDescent="0.35">
      <c r="A86" s="972"/>
      <c r="B86" s="503" t="s">
        <v>910</v>
      </c>
      <c r="C86" s="410">
        <v>34.491573033707866</v>
      </c>
      <c r="D86" s="410">
        <v>25.111218398876403</v>
      </c>
      <c r="E86" s="410">
        <v>37.578840284842322</v>
      </c>
      <c r="F86" s="410">
        <v>27</v>
      </c>
      <c r="G86" s="410">
        <v>65.453960595094486</v>
      </c>
      <c r="H86" s="410">
        <v>22.486127864897465</v>
      </c>
    </row>
    <row r="87" spans="1:8" ht="15" customHeight="1" x14ac:dyDescent="0.35">
      <c r="A87" s="972"/>
      <c r="B87" s="503" t="s">
        <v>909</v>
      </c>
      <c r="C87" s="410">
        <v>34.927656567441041</v>
      </c>
      <c r="D87" s="410">
        <v>24.528133557106262</v>
      </c>
      <c r="E87" s="410">
        <v>51</v>
      </c>
      <c r="F87" s="410">
        <v>35</v>
      </c>
      <c r="G87" s="410">
        <v>61</v>
      </c>
      <c r="H87" s="410">
        <v>14</v>
      </c>
    </row>
    <row r="88" spans="1:8" ht="15" customHeight="1" x14ac:dyDescent="0.35">
      <c r="A88" s="972"/>
      <c r="B88" s="503" t="s">
        <v>908</v>
      </c>
      <c r="C88" s="410">
        <v>35.181128369933937</v>
      </c>
      <c r="D88" s="410">
        <v>24.703535083020888</v>
      </c>
      <c r="E88" s="410">
        <v>51</v>
      </c>
      <c r="F88" s="410">
        <v>35</v>
      </c>
      <c r="G88" s="410">
        <v>63</v>
      </c>
      <c r="H88" s="410">
        <v>14</v>
      </c>
    </row>
    <row r="89" spans="1:8" ht="15" customHeight="1" x14ac:dyDescent="0.35">
      <c r="A89" s="972">
        <v>14</v>
      </c>
      <c r="B89" s="503" t="s">
        <v>25</v>
      </c>
      <c r="C89" s="410"/>
      <c r="D89" s="410"/>
      <c r="E89" s="410"/>
      <c r="F89" s="410"/>
      <c r="G89" s="410"/>
      <c r="H89" s="410"/>
    </row>
    <row r="90" spans="1:8" ht="15" customHeight="1" x14ac:dyDescent="0.35">
      <c r="A90" s="972"/>
      <c r="B90" s="503" t="s">
        <v>912</v>
      </c>
      <c r="C90" s="410">
        <v>53</v>
      </c>
      <c r="D90" s="410">
        <v>50</v>
      </c>
      <c r="E90" s="410">
        <v>58</v>
      </c>
      <c r="F90" s="410">
        <v>55</v>
      </c>
      <c r="G90" s="410">
        <v>44</v>
      </c>
      <c r="H90" s="410">
        <v>31</v>
      </c>
    </row>
    <row r="91" spans="1:8" ht="15" customHeight="1" x14ac:dyDescent="0.35">
      <c r="A91" s="972"/>
      <c r="B91" s="503" t="s">
        <v>911</v>
      </c>
      <c r="C91" s="410">
        <v>58.691722803975189</v>
      </c>
      <c r="D91" s="410">
        <v>54.809444407390117</v>
      </c>
      <c r="E91" s="410">
        <v>64.970018309429349</v>
      </c>
      <c r="F91" s="410">
        <v>60.529447665547757</v>
      </c>
      <c r="G91" s="410">
        <v>48.712283594394066</v>
      </c>
      <c r="H91" s="410">
        <v>32.716955207474584</v>
      </c>
    </row>
    <row r="92" spans="1:8" ht="15" customHeight="1" x14ac:dyDescent="0.35">
      <c r="A92" s="972"/>
      <c r="B92" s="503" t="s">
        <v>910</v>
      </c>
      <c r="C92" s="410">
        <v>54.443208675100792</v>
      </c>
      <c r="D92" s="410">
        <v>49.911372167384961</v>
      </c>
      <c r="E92" s="410">
        <v>60.68863728265265</v>
      </c>
      <c r="F92" s="410">
        <v>55</v>
      </c>
      <c r="G92" s="410">
        <v>47.32776617954071</v>
      </c>
      <c r="H92" s="410">
        <v>26.849985087980912</v>
      </c>
    </row>
    <row r="93" spans="1:8" ht="15" customHeight="1" x14ac:dyDescent="0.35">
      <c r="A93" s="972"/>
      <c r="B93" s="503" t="s">
        <v>909</v>
      </c>
      <c r="C93" s="410">
        <v>59.728229105786092</v>
      </c>
      <c r="D93" s="410">
        <v>54.290838690824081</v>
      </c>
      <c r="E93" s="410">
        <v>85</v>
      </c>
      <c r="F93" s="410">
        <v>77</v>
      </c>
      <c r="G93" s="410">
        <v>64</v>
      </c>
      <c r="H93" s="410">
        <v>37</v>
      </c>
    </row>
    <row r="94" spans="1:8" ht="15" customHeight="1" x14ac:dyDescent="0.35">
      <c r="A94" s="972"/>
      <c r="B94" s="503" t="s">
        <v>908</v>
      </c>
      <c r="C94" s="410">
        <v>59.799773572699337</v>
      </c>
      <c r="D94" s="410">
        <v>54.077551350477115</v>
      </c>
      <c r="E94" s="410">
        <v>81</v>
      </c>
      <c r="F94" s="410">
        <v>73</v>
      </c>
      <c r="G94" s="410">
        <v>62</v>
      </c>
      <c r="H94" s="410">
        <v>29</v>
      </c>
    </row>
    <row r="95" spans="1:8" ht="15" customHeight="1" x14ac:dyDescent="0.35">
      <c r="A95" s="972">
        <v>15</v>
      </c>
      <c r="B95" s="503" t="s">
        <v>26</v>
      </c>
      <c r="C95" s="410"/>
      <c r="D95" s="410"/>
      <c r="E95" s="410"/>
      <c r="F95" s="410"/>
      <c r="G95" s="410"/>
      <c r="H95" s="410"/>
    </row>
    <row r="96" spans="1:8" ht="15" customHeight="1" x14ac:dyDescent="0.35">
      <c r="A96" s="972"/>
      <c r="B96" s="503" t="s">
        <v>912</v>
      </c>
      <c r="C96" s="410">
        <v>17</v>
      </c>
      <c r="D96" s="410">
        <v>16</v>
      </c>
      <c r="E96" s="410">
        <v>17</v>
      </c>
      <c r="F96" s="410">
        <v>16</v>
      </c>
      <c r="G96" s="410">
        <v>21</v>
      </c>
      <c r="H96" s="410">
        <v>17</v>
      </c>
    </row>
    <row r="97" spans="1:8" ht="15" customHeight="1" x14ac:dyDescent="0.35">
      <c r="A97" s="972"/>
      <c r="B97" s="503" t="s">
        <v>911</v>
      </c>
      <c r="C97" s="410">
        <v>15.949251593209446</v>
      </c>
      <c r="D97" s="410">
        <v>15.381553580035344</v>
      </c>
      <c r="E97" s="410">
        <v>16.587803699983901</v>
      </c>
      <c r="F97" s="410">
        <v>15.946278932478744</v>
      </c>
      <c r="G97" s="410">
        <v>18.048126629763484</v>
      </c>
      <c r="H97" s="410">
        <v>14.220138158195709</v>
      </c>
    </row>
    <row r="98" spans="1:8" ht="15" customHeight="1" x14ac:dyDescent="0.35">
      <c r="A98" s="972"/>
      <c r="B98" s="503" t="s">
        <v>910</v>
      </c>
      <c r="C98" s="410">
        <v>16.077401461200452</v>
      </c>
      <c r="D98" s="410">
        <v>15.283504509430607</v>
      </c>
      <c r="E98" s="410">
        <v>15.792246954429238</v>
      </c>
      <c r="F98" s="410">
        <v>15</v>
      </c>
      <c r="G98" s="410">
        <v>18.821394870035171</v>
      </c>
      <c r="H98" s="410">
        <v>13.654027622887535</v>
      </c>
    </row>
    <row r="99" spans="1:8" ht="15" customHeight="1" x14ac:dyDescent="0.35">
      <c r="A99" s="972"/>
      <c r="B99" s="503" t="s">
        <v>909</v>
      </c>
      <c r="C99" s="410">
        <v>14.746387361156044</v>
      </c>
      <c r="D99" s="410">
        <v>14.167488946403537</v>
      </c>
      <c r="E99" s="410">
        <v>18</v>
      </c>
      <c r="F99" s="410">
        <v>18</v>
      </c>
      <c r="G99" s="410">
        <v>17</v>
      </c>
      <c r="H99" s="410">
        <v>13</v>
      </c>
    </row>
    <row r="100" spans="1:8" ht="15" customHeight="1" x14ac:dyDescent="0.35">
      <c r="A100" s="972"/>
      <c r="B100" s="503" t="s">
        <v>908</v>
      </c>
      <c r="C100" s="410">
        <v>14.913294884390679</v>
      </c>
      <c r="D100" s="410">
        <v>14.473514478351845</v>
      </c>
      <c r="E100" s="410">
        <v>18</v>
      </c>
      <c r="F100" s="410">
        <v>17</v>
      </c>
      <c r="G100" s="410">
        <v>17</v>
      </c>
      <c r="H100" s="410">
        <v>14</v>
      </c>
    </row>
    <row r="101" spans="1:8" ht="15" customHeight="1" x14ac:dyDescent="0.35">
      <c r="A101" s="972">
        <v>16</v>
      </c>
      <c r="B101" s="503" t="s">
        <v>27</v>
      </c>
      <c r="C101" s="410"/>
      <c r="D101" s="410"/>
      <c r="E101" s="410"/>
      <c r="F101" s="410"/>
      <c r="G101" s="410"/>
      <c r="H101" s="410"/>
    </row>
    <row r="102" spans="1:8" ht="15" customHeight="1" x14ac:dyDescent="0.35">
      <c r="A102" s="972"/>
      <c r="B102" s="503" t="s">
        <v>912</v>
      </c>
      <c r="C102" s="410">
        <v>17</v>
      </c>
      <c r="D102" s="410">
        <v>14</v>
      </c>
      <c r="E102" s="410">
        <v>18</v>
      </c>
      <c r="F102" s="410">
        <v>14</v>
      </c>
      <c r="G102" s="410">
        <v>50</v>
      </c>
      <c r="H102" s="410">
        <v>13</v>
      </c>
    </row>
    <row r="103" spans="1:8" ht="15" customHeight="1" x14ac:dyDescent="0.35">
      <c r="A103" s="972"/>
      <c r="B103" s="503" t="s">
        <v>911</v>
      </c>
      <c r="C103" s="410">
        <v>19.201481835564053</v>
      </c>
      <c r="D103" s="410">
        <v>14.910197578075207</v>
      </c>
      <c r="E103" s="410">
        <v>19.512257370047571</v>
      </c>
      <c r="F103" s="410">
        <v>14.838501336851975</v>
      </c>
      <c r="G103" s="410">
        <v>68.92987174182872</v>
      </c>
      <c r="H103" s="410">
        <v>13.241208109226314</v>
      </c>
    </row>
    <row r="104" spans="1:8" ht="15" customHeight="1" x14ac:dyDescent="0.35">
      <c r="A104" s="972"/>
      <c r="B104" s="503" t="s">
        <v>910</v>
      </c>
      <c r="C104" s="410">
        <v>22.34014407334643</v>
      </c>
      <c r="D104" s="410">
        <v>16.465897184020957</v>
      </c>
      <c r="E104" s="410">
        <v>21.676242581932886</v>
      </c>
      <c r="F104" s="410">
        <v>16</v>
      </c>
      <c r="G104" s="410">
        <v>93.597114781517874</v>
      </c>
      <c r="H104" s="410">
        <v>18.581643320091992</v>
      </c>
    </row>
    <row r="105" spans="1:8" ht="15" customHeight="1" x14ac:dyDescent="0.35">
      <c r="A105" s="972"/>
      <c r="B105" s="503" t="s">
        <v>909</v>
      </c>
      <c r="C105" s="410">
        <v>18.484242503005294</v>
      </c>
      <c r="D105" s="410">
        <v>14.319454823093668</v>
      </c>
      <c r="E105" s="410">
        <v>20</v>
      </c>
      <c r="F105" s="410">
        <v>16</v>
      </c>
      <c r="G105" s="410">
        <v>67</v>
      </c>
      <c r="H105" s="410">
        <v>12</v>
      </c>
    </row>
    <row r="106" spans="1:8" ht="15" customHeight="1" x14ac:dyDescent="0.35">
      <c r="A106" s="972"/>
      <c r="B106" s="503" t="s">
        <v>908</v>
      </c>
      <c r="C106" s="410">
        <v>18.499594840975082</v>
      </c>
      <c r="D106" s="410">
        <v>14.319721115537849</v>
      </c>
      <c r="E106" s="410">
        <v>21</v>
      </c>
      <c r="F106" s="410">
        <v>16</v>
      </c>
      <c r="G106" s="410">
        <v>67</v>
      </c>
      <c r="H106" s="410">
        <v>12</v>
      </c>
    </row>
    <row r="107" spans="1:8" ht="15" customHeight="1" x14ac:dyDescent="0.35">
      <c r="A107" s="972">
        <v>17</v>
      </c>
      <c r="B107" s="503" t="s">
        <v>28</v>
      </c>
      <c r="C107" s="410"/>
      <c r="D107" s="410"/>
      <c r="E107" s="410"/>
      <c r="F107" s="410"/>
      <c r="G107" s="410"/>
      <c r="H107" s="410"/>
    </row>
    <row r="108" spans="1:8" ht="15" customHeight="1" x14ac:dyDescent="0.35">
      <c r="A108" s="972"/>
      <c r="B108" s="503" t="s">
        <v>912</v>
      </c>
      <c r="C108" s="410">
        <v>15</v>
      </c>
      <c r="D108" s="410">
        <v>14</v>
      </c>
      <c r="E108" s="410">
        <v>17</v>
      </c>
      <c r="F108" s="410">
        <v>17</v>
      </c>
      <c r="G108" s="410">
        <v>9</v>
      </c>
      <c r="H108" s="410">
        <v>9</v>
      </c>
    </row>
    <row r="109" spans="1:8" ht="15" customHeight="1" x14ac:dyDescent="0.35">
      <c r="A109" s="972"/>
      <c r="B109" s="503" t="s">
        <v>911</v>
      </c>
      <c r="C109" s="410">
        <v>16.167883211678831</v>
      </c>
      <c r="D109" s="410">
        <v>15.558394160583942</v>
      </c>
      <c r="E109" s="410">
        <v>17.539534883720929</v>
      </c>
      <c r="F109" s="410">
        <v>17.539534883720929</v>
      </c>
      <c r="G109" s="410">
        <v>6.9696969696969697</v>
      </c>
      <c r="H109" s="410">
        <v>6.9696969696969697</v>
      </c>
    </row>
    <row r="110" spans="1:8" ht="15" customHeight="1" x14ac:dyDescent="0.35">
      <c r="A110" s="972"/>
      <c r="B110" s="503" t="s">
        <v>910</v>
      </c>
      <c r="C110" s="410">
        <v>17.448484848484849</v>
      </c>
      <c r="D110" s="410">
        <v>17.448484848484849</v>
      </c>
      <c r="E110" s="410">
        <v>21.658536585365855</v>
      </c>
      <c r="F110" s="410">
        <v>22</v>
      </c>
      <c r="G110" s="410">
        <v>7.7209302325581399</v>
      </c>
      <c r="H110" s="410">
        <v>7.7209302325581399</v>
      </c>
    </row>
    <row r="111" spans="1:8" ht="15" customHeight="1" x14ac:dyDescent="0.35">
      <c r="A111" s="972"/>
      <c r="B111" s="503" t="s">
        <v>909</v>
      </c>
      <c r="C111" s="410">
        <v>14.557788944723619</v>
      </c>
      <c r="D111" s="410">
        <v>14.557788944723619</v>
      </c>
      <c r="E111" s="410">
        <v>28</v>
      </c>
      <c r="F111" s="410">
        <v>28</v>
      </c>
      <c r="G111" s="410">
        <v>7</v>
      </c>
      <c r="H111" s="410">
        <v>7</v>
      </c>
    </row>
    <row r="112" spans="1:8" ht="15" customHeight="1" x14ac:dyDescent="0.35">
      <c r="A112" s="972">
        <v>18</v>
      </c>
      <c r="B112" s="503" t="s">
        <v>754</v>
      </c>
      <c r="C112" s="410"/>
      <c r="D112" s="410"/>
      <c r="E112" s="410"/>
      <c r="F112" s="410"/>
      <c r="G112" s="410"/>
      <c r="H112" s="410"/>
    </row>
    <row r="113" spans="1:8" ht="15" customHeight="1" x14ac:dyDescent="0.35">
      <c r="A113" s="972"/>
      <c r="B113" s="503" t="s">
        <v>912</v>
      </c>
      <c r="C113" s="410">
        <v>9</v>
      </c>
      <c r="D113" s="410">
        <v>9</v>
      </c>
      <c r="E113" s="410">
        <v>9</v>
      </c>
      <c r="F113" s="410">
        <v>9</v>
      </c>
      <c r="G113" s="410"/>
      <c r="H113" s="410"/>
    </row>
    <row r="114" spans="1:8" ht="15" customHeight="1" x14ac:dyDescent="0.35">
      <c r="A114" s="972"/>
      <c r="B114" s="503" t="s">
        <v>911</v>
      </c>
      <c r="C114" s="410">
        <v>8.8000000000000007</v>
      </c>
      <c r="D114" s="410">
        <v>8.8000000000000007</v>
      </c>
      <c r="E114" s="410">
        <v>8.8000000000000007</v>
      </c>
      <c r="F114" s="410">
        <v>8.8000000000000007</v>
      </c>
      <c r="G114" s="410">
        <v>8.8000000000000007</v>
      </c>
      <c r="H114" s="410">
        <v>8.8000000000000007</v>
      </c>
    </row>
    <row r="115" spans="1:8" ht="15" customHeight="1" x14ac:dyDescent="0.35">
      <c r="A115" s="972"/>
      <c r="B115" s="503" t="s">
        <v>910</v>
      </c>
      <c r="C115" s="410">
        <v>12.88</v>
      </c>
      <c r="D115" s="410">
        <v>12.88</v>
      </c>
      <c r="E115" s="410">
        <v>12.88</v>
      </c>
      <c r="F115" s="410">
        <v>13</v>
      </c>
      <c r="G115" s="410">
        <v>12.88</v>
      </c>
      <c r="H115" s="410">
        <v>12.88</v>
      </c>
    </row>
    <row r="116" spans="1:8" ht="15" customHeight="1" x14ac:dyDescent="0.35">
      <c r="A116" s="972"/>
      <c r="B116" s="503" t="s">
        <v>909</v>
      </c>
      <c r="C116" s="410">
        <v>12.444444444444445</v>
      </c>
      <c r="D116" s="410">
        <v>12.444444444444445</v>
      </c>
      <c r="E116" s="410">
        <v>0</v>
      </c>
      <c r="F116" s="410">
        <v>0</v>
      </c>
      <c r="G116" s="410">
        <v>12</v>
      </c>
      <c r="H116" s="410">
        <v>12</v>
      </c>
    </row>
    <row r="117" spans="1:8" ht="15" customHeight="1" x14ac:dyDescent="0.35">
      <c r="A117" s="972"/>
      <c r="B117" s="503" t="s">
        <v>908</v>
      </c>
      <c r="C117" s="410">
        <v>12.111111111111111</v>
      </c>
      <c r="D117" s="410">
        <v>12.111111111111111</v>
      </c>
      <c r="E117" s="410">
        <v>0</v>
      </c>
      <c r="F117" s="410">
        <v>0</v>
      </c>
      <c r="G117" s="410">
        <v>12</v>
      </c>
      <c r="H117" s="410">
        <v>12</v>
      </c>
    </row>
    <row r="118" spans="1:8" ht="15" customHeight="1" x14ac:dyDescent="0.35">
      <c r="A118" s="972">
        <v>19</v>
      </c>
      <c r="B118" s="503" t="s">
        <v>29</v>
      </c>
      <c r="C118" s="410"/>
      <c r="D118" s="410"/>
      <c r="E118" s="410"/>
      <c r="F118" s="410"/>
      <c r="G118" s="410"/>
      <c r="H118" s="410"/>
    </row>
    <row r="119" spans="1:8" ht="15" customHeight="1" x14ac:dyDescent="0.35">
      <c r="A119" s="972"/>
      <c r="B119" s="503" t="s">
        <v>912</v>
      </c>
      <c r="C119" s="410">
        <v>30</v>
      </c>
      <c r="D119" s="410">
        <v>28</v>
      </c>
      <c r="E119" s="410">
        <v>31</v>
      </c>
      <c r="F119" s="410">
        <v>29</v>
      </c>
      <c r="G119" s="410">
        <v>28</v>
      </c>
      <c r="H119" s="410">
        <v>22</v>
      </c>
    </row>
    <row r="120" spans="1:8" ht="15" customHeight="1" x14ac:dyDescent="0.35">
      <c r="A120" s="972"/>
      <c r="B120" s="503" t="s">
        <v>911</v>
      </c>
      <c r="C120" s="410">
        <v>31.159455137985329</v>
      </c>
      <c r="D120" s="410">
        <v>29.830816926851298</v>
      </c>
      <c r="E120" s="410">
        <v>32.144253237112871</v>
      </c>
      <c r="F120" s="410">
        <v>30.744606963504214</v>
      </c>
      <c r="G120" s="410">
        <v>25.879726509893299</v>
      </c>
      <c r="H120" s="410">
        <v>20.263959390862944</v>
      </c>
    </row>
    <row r="121" spans="1:8" ht="15" customHeight="1" x14ac:dyDescent="0.35">
      <c r="A121" s="972"/>
      <c r="B121" s="503" t="s">
        <v>910</v>
      </c>
      <c r="C121" s="410">
        <v>32.8244080807033</v>
      </c>
      <c r="D121" s="410">
        <v>31.070239361012423</v>
      </c>
      <c r="E121" s="410">
        <v>32.426073653152663</v>
      </c>
      <c r="F121" s="410">
        <v>32</v>
      </c>
      <c r="G121" s="410">
        <v>35.417158445607392</v>
      </c>
      <c r="H121" s="410">
        <v>27.885424785658614</v>
      </c>
    </row>
    <row r="122" spans="1:8" ht="15" customHeight="1" x14ac:dyDescent="0.35">
      <c r="A122" s="972"/>
      <c r="B122" s="503" t="s">
        <v>909</v>
      </c>
      <c r="C122" s="410">
        <v>34.039777867906281</v>
      </c>
      <c r="D122" s="410">
        <v>31.601862540167847</v>
      </c>
      <c r="E122" s="410">
        <v>44</v>
      </c>
      <c r="F122" s="410">
        <v>41</v>
      </c>
      <c r="G122" s="410">
        <v>40</v>
      </c>
      <c r="H122" s="410">
        <v>28</v>
      </c>
    </row>
    <row r="123" spans="1:8" ht="15" customHeight="1" x14ac:dyDescent="0.35">
      <c r="A123" s="972"/>
      <c r="B123" s="503" t="s">
        <v>908</v>
      </c>
      <c r="C123" s="410">
        <v>32.599080832657478</v>
      </c>
      <c r="D123" s="410">
        <v>29.487074209245741</v>
      </c>
      <c r="E123" s="410">
        <v>41</v>
      </c>
      <c r="F123" s="410">
        <v>37</v>
      </c>
      <c r="G123" s="410">
        <v>47</v>
      </c>
      <c r="H123" s="410">
        <v>30</v>
      </c>
    </row>
    <row r="124" spans="1:8" ht="15" customHeight="1" x14ac:dyDescent="0.35">
      <c r="A124" s="972">
        <v>20</v>
      </c>
      <c r="B124" s="503" t="s">
        <v>30</v>
      </c>
      <c r="C124" s="410"/>
      <c r="D124" s="410"/>
      <c r="E124" s="410"/>
      <c r="F124" s="410"/>
      <c r="G124" s="410"/>
      <c r="H124" s="410"/>
    </row>
    <row r="125" spans="1:8" ht="15" customHeight="1" x14ac:dyDescent="0.35">
      <c r="A125" s="972"/>
      <c r="B125" s="503" t="s">
        <v>912</v>
      </c>
      <c r="C125" s="410">
        <v>26</v>
      </c>
      <c r="D125" s="410">
        <v>22</v>
      </c>
      <c r="E125" s="410">
        <v>28</v>
      </c>
      <c r="F125" s="410">
        <v>24</v>
      </c>
      <c r="G125" s="410">
        <v>43</v>
      </c>
      <c r="H125" s="410">
        <v>15</v>
      </c>
    </row>
    <row r="126" spans="1:8" ht="15" customHeight="1" x14ac:dyDescent="0.35">
      <c r="A126" s="972"/>
      <c r="B126" s="503" t="s">
        <v>911</v>
      </c>
      <c r="C126" s="410">
        <v>27.864394798103525</v>
      </c>
      <c r="D126" s="410">
        <v>23.631784221239045</v>
      </c>
      <c r="E126" s="410">
        <v>30.437117891336946</v>
      </c>
      <c r="F126" s="410">
        <v>25.441631099319412</v>
      </c>
      <c r="G126" s="410">
        <v>52.069317598768599</v>
      </c>
      <c r="H126" s="410">
        <v>16.51806054386865</v>
      </c>
    </row>
    <row r="127" spans="1:8" ht="15" customHeight="1" x14ac:dyDescent="0.35">
      <c r="A127" s="972"/>
      <c r="B127" s="503" t="s">
        <v>910</v>
      </c>
      <c r="C127" s="410">
        <v>27.397386167341846</v>
      </c>
      <c r="D127" s="410">
        <v>22.420500021515554</v>
      </c>
      <c r="E127" s="410">
        <v>30.07264944821361</v>
      </c>
      <c r="F127" s="410">
        <v>24</v>
      </c>
      <c r="G127" s="410">
        <v>57.198706488589757</v>
      </c>
      <c r="H127" s="410">
        <v>14.628246923966769</v>
      </c>
    </row>
    <row r="128" spans="1:8" ht="15" customHeight="1" x14ac:dyDescent="0.35">
      <c r="A128" s="972"/>
      <c r="B128" s="503" t="s">
        <v>909</v>
      </c>
      <c r="C128" s="410">
        <v>26.147365323786872</v>
      </c>
      <c r="D128" s="410">
        <v>22.066001765441484</v>
      </c>
      <c r="E128" s="410">
        <v>33</v>
      </c>
      <c r="F128" s="410">
        <v>27</v>
      </c>
      <c r="G128" s="410">
        <v>62</v>
      </c>
      <c r="H128" s="410">
        <v>19</v>
      </c>
    </row>
    <row r="129" spans="1:8" ht="15" customHeight="1" x14ac:dyDescent="0.35">
      <c r="A129" s="972"/>
      <c r="B129" s="503" t="s">
        <v>908</v>
      </c>
      <c r="C129" s="410">
        <v>26.616035082641769</v>
      </c>
      <c r="D129" s="410">
        <v>22.582676372696444</v>
      </c>
      <c r="E129" s="410">
        <v>33</v>
      </c>
      <c r="F129" s="410">
        <v>28</v>
      </c>
      <c r="G129" s="410">
        <v>58</v>
      </c>
      <c r="H129" s="410">
        <v>19</v>
      </c>
    </row>
    <row r="130" spans="1:8" ht="15" customHeight="1" x14ac:dyDescent="0.35">
      <c r="A130" s="972">
        <v>21</v>
      </c>
      <c r="B130" s="503" t="s">
        <v>31</v>
      </c>
      <c r="C130" s="410"/>
      <c r="D130" s="410"/>
      <c r="E130" s="410"/>
      <c r="F130" s="410"/>
      <c r="G130" s="410"/>
      <c r="H130" s="410"/>
    </row>
    <row r="131" spans="1:8" ht="15" customHeight="1" x14ac:dyDescent="0.35">
      <c r="A131" s="972"/>
      <c r="B131" s="503" t="s">
        <v>912</v>
      </c>
      <c r="C131" s="410">
        <v>18</v>
      </c>
      <c r="D131" s="410">
        <v>17</v>
      </c>
      <c r="E131" s="410">
        <v>18</v>
      </c>
      <c r="F131" s="410">
        <v>17</v>
      </c>
      <c r="G131" s="410">
        <v>19</v>
      </c>
      <c r="H131" s="410">
        <v>14</v>
      </c>
    </row>
    <row r="132" spans="1:8" ht="15" customHeight="1" x14ac:dyDescent="0.35">
      <c r="A132" s="972"/>
      <c r="B132" s="503" t="s">
        <v>911</v>
      </c>
      <c r="C132" s="410">
        <v>20.337840012876228</v>
      </c>
      <c r="D132" s="410">
        <v>19.478190890069211</v>
      </c>
      <c r="E132" s="410">
        <v>20.766127659574469</v>
      </c>
      <c r="F132" s="410">
        <v>19.868936170212766</v>
      </c>
      <c r="G132" s="410">
        <v>19.658888888888889</v>
      </c>
      <c r="H132" s="410">
        <v>13.802222222222222</v>
      </c>
    </row>
    <row r="133" spans="1:8" ht="15" customHeight="1" x14ac:dyDescent="0.35">
      <c r="A133" s="972"/>
      <c r="B133" s="503" t="s">
        <v>910</v>
      </c>
      <c r="C133" s="410">
        <v>22.996734834163945</v>
      </c>
      <c r="D133" s="410">
        <v>22.105172710087643</v>
      </c>
      <c r="E133" s="410">
        <v>23.673913043478262</v>
      </c>
      <c r="F133" s="410">
        <v>23</v>
      </c>
      <c r="G133" s="410">
        <v>18.243273542600896</v>
      </c>
      <c r="H133" s="410">
        <v>12.42713004484305</v>
      </c>
    </row>
    <row r="134" spans="1:8" ht="15" customHeight="1" x14ac:dyDescent="0.35">
      <c r="A134" s="972"/>
      <c r="B134" s="503" t="s">
        <v>909</v>
      </c>
      <c r="C134" s="410">
        <v>22.668001456133965</v>
      </c>
      <c r="D134" s="410">
        <v>21.585729887149618</v>
      </c>
      <c r="E134" s="410">
        <v>28</v>
      </c>
      <c r="F134" s="410">
        <v>26</v>
      </c>
      <c r="G134" s="410">
        <v>19</v>
      </c>
      <c r="H134" s="410">
        <v>12</v>
      </c>
    </row>
    <row r="135" spans="1:8" ht="15" customHeight="1" x14ac:dyDescent="0.35">
      <c r="A135" s="972"/>
      <c r="B135" s="503" t="s">
        <v>908</v>
      </c>
      <c r="C135" s="410">
        <v>21.921946375372393</v>
      </c>
      <c r="D135" s="410">
        <v>20.725719960278052</v>
      </c>
      <c r="E135" s="410">
        <v>26</v>
      </c>
      <c r="F135" s="410">
        <v>25</v>
      </c>
      <c r="G135" s="410">
        <v>20</v>
      </c>
      <c r="H135" s="410">
        <v>12</v>
      </c>
    </row>
    <row r="136" spans="1:8" ht="15" customHeight="1" x14ac:dyDescent="0.35">
      <c r="A136" s="972">
        <v>22</v>
      </c>
      <c r="B136" s="503" t="s">
        <v>32</v>
      </c>
      <c r="C136" s="410"/>
      <c r="D136" s="410"/>
      <c r="E136" s="410"/>
      <c r="F136" s="410"/>
      <c r="G136" s="410"/>
      <c r="H136" s="410"/>
    </row>
    <row r="137" spans="1:8" ht="15" customHeight="1" x14ac:dyDescent="0.35">
      <c r="A137" s="972"/>
      <c r="B137" s="503" t="s">
        <v>912</v>
      </c>
      <c r="C137" s="410">
        <v>25</v>
      </c>
      <c r="D137" s="410">
        <v>23</v>
      </c>
      <c r="E137" s="410">
        <v>26</v>
      </c>
      <c r="F137" s="410">
        <v>24</v>
      </c>
      <c r="G137" s="410">
        <v>30</v>
      </c>
      <c r="H137" s="410">
        <v>21</v>
      </c>
    </row>
    <row r="138" spans="1:8" ht="15" customHeight="1" x14ac:dyDescent="0.35">
      <c r="A138" s="972"/>
      <c r="B138" s="503" t="s">
        <v>911</v>
      </c>
      <c r="C138" s="410">
        <v>24.125065963060685</v>
      </c>
      <c r="D138" s="410">
        <v>22.278891820580476</v>
      </c>
      <c r="E138" s="410">
        <v>25.464420563462095</v>
      </c>
      <c r="F138" s="410">
        <v>23.432181237293058</v>
      </c>
      <c r="G138" s="410">
        <v>27.038961038961038</v>
      </c>
      <c r="H138" s="410">
        <v>19.466450216450216</v>
      </c>
    </row>
    <row r="139" spans="1:8" ht="15" customHeight="1" x14ac:dyDescent="0.35">
      <c r="A139" s="972"/>
      <c r="B139" s="503" t="s">
        <v>910</v>
      </c>
      <c r="C139" s="410">
        <v>27.016611295681063</v>
      </c>
      <c r="D139" s="410">
        <v>25.463178294573645</v>
      </c>
      <c r="E139" s="410">
        <v>25.033333333333335</v>
      </c>
      <c r="F139" s="410">
        <v>27</v>
      </c>
      <c r="G139" s="410">
        <v>24.502380952380953</v>
      </c>
      <c r="H139" s="410">
        <v>17.822619047619046</v>
      </c>
    </row>
    <row r="140" spans="1:8" ht="15" customHeight="1" x14ac:dyDescent="0.35">
      <c r="A140" s="972"/>
      <c r="B140" s="503" t="s">
        <v>909</v>
      </c>
      <c r="C140" s="410">
        <v>24.155905077262695</v>
      </c>
      <c r="D140" s="410">
        <v>22.227649006622517</v>
      </c>
      <c r="E140" s="410">
        <v>37</v>
      </c>
      <c r="F140" s="410">
        <v>34</v>
      </c>
      <c r="G140" s="410">
        <v>20</v>
      </c>
      <c r="H140" s="410">
        <v>14</v>
      </c>
    </row>
    <row r="141" spans="1:8" ht="15" customHeight="1" x14ac:dyDescent="0.35">
      <c r="A141" s="972"/>
      <c r="B141" s="503" t="s">
        <v>908</v>
      </c>
      <c r="C141" s="410">
        <v>26.247282608695652</v>
      </c>
      <c r="D141" s="410">
        <v>23.905797101449274</v>
      </c>
      <c r="E141" s="410">
        <v>41</v>
      </c>
      <c r="F141" s="410">
        <v>37</v>
      </c>
      <c r="G141" s="410">
        <v>21</v>
      </c>
      <c r="H141" s="410">
        <v>13</v>
      </c>
    </row>
    <row r="142" spans="1:8" ht="15" customHeight="1" x14ac:dyDescent="0.35">
      <c r="A142" s="972">
        <v>23</v>
      </c>
      <c r="B142" s="503" t="s">
        <v>33</v>
      </c>
      <c r="C142" s="410"/>
      <c r="D142" s="410"/>
      <c r="E142" s="410"/>
      <c r="F142" s="410"/>
      <c r="G142" s="410"/>
      <c r="H142" s="410"/>
    </row>
    <row r="143" spans="1:8" ht="15" customHeight="1" x14ac:dyDescent="0.35">
      <c r="A143" s="972"/>
      <c r="B143" s="503" t="s">
        <v>912</v>
      </c>
      <c r="C143" s="410">
        <v>21</v>
      </c>
      <c r="D143" s="410">
        <v>18</v>
      </c>
      <c r="E143" s="410">
        <v>21</v>
      </c>
      <c r="F143" s="410">
        <v>17</v>
      </c>
      <c r="G143" s="410">
        <v>37</v>
      </c>
      <c r="H143" s="410">
        <v>15</v>
      </c>
    </row>
    <row r="144" spans="1:8" ht="15" customHeight="1" x14ac:dyDescent="0.35">
      <c r="A144" s="972"/>
      <c r="B144" s="503" t="s">
        <v>911</v>
      </c>
      <c r="C144" s="410">
        <v>21.278889899909007</v>
      </c>
      <c r="D144" s="410">
        <v>17.505914467697906</v>
      </c>
      <c r="E144" s="410">
        <v>21.761177753544168</v>
      </c>
      <c r="F144" s="410">
        <v>17.239367502726282</v>
      </c>
      <c r="G144" s="410">
        <v>41.784126984126985</v>
      </c>
      <c r="H144" s="410">
        <v>15.457142857142857</v>
      </c>
    </row>
    <row r="145" spans="1:8" ht="15" customHeight="1" x14ac:dyDescent="0.35">
      <c r="A145" s="972"/>
      <c r="B145" s="503" t="s">
        <v>910</v>
      </c>
      <c r="C145" s="410">
        <v>19.040826364977864</v>
      </c>
      <c r="D145" s="410">
        <v>15.88047220855878</v>
      </c>
      <c r="E145" s="410">
        <v>20.312255176273084</v>
      </c>
      <c r="F145" s="410">
        <v>17</v>
      </c>
      <c r="G145" s="410">
        <v>36.072607260726073</v>
      </c>
      <c r="H145" s="410">
        <v>14.867986798679867</v>
      </c>
    </row>
    <row r="146" spans="1:8" ht="15" customHeight="1" x14ac:dyDescent="0.35">
      <c r="A146" s="972"/>
      <c r="B146" s="503" t="s">
        <v>909</v>
      </c>
      <c r="C146" s="410">
        <v>17.247535028541776</v>
      </c>
      <c r="D146" s="410">
        <v>13.503892060197197</v>
      </c>
      <c r="E146" s="410">
        <v>22</v>
      </c>
      <c r="F146" s="410">
        <v>17</v>
      </c>
      <c r="G146" s="410">
        <v>38</v>
      </c>
      <c r="H146" s="410">
        <v>14</v>
      </c>
    </row>
    <row r="147" spans="1:8" ht="15" customHeight="1" x14ac:dyDescent="0.35">
      <c r="A147" s="972"/>
      <c r="B147" s="503" t="s">
        <v>908</v>
      </c>
      <c r="C147" s="410">
        <v>17.579229122055676</v>
      </c>
      <c r="D147" s="410">
        <v>13.702355460385439</v>
      </c>
      <c r="E147" s="410">
        <v>23</v>
      </c>
      <c r="F147" s="410">
        <v>18</v>
      </c>
      <c r="G147" s="410">
        <v>39</v>
      </c>
      <c r="H147" s="410">
        <v>15</v>
      </c>
    </row>
    <row r="148" spans="1:8" ht="15" customHeight="1" x14ac:dyDescent="0.35">
      <c r="A148" s="972">
        <v>24</v>
      </c>
      <c r="B148" s="503" t="s">
        <v>34</v>
      </c>
      <c r="C148" s="410"/>
      <c r="D148" s="410"/>
      <c r="E148" s="410"/>
      <c r="F148" s="410"/>
      <c r="G148" s="410"/>
      <c r="H148" s="410"/>
    </row>
    <row r="149" spans="1:8" ht="15" customHeight="1" x14ac:dyDescent="0.35">
      <c r="A149" s="972"/>
      <c r="B149" s="503" t="s">
        <v>912</v>
      </c>
      <c r="C149" s="410">
        <v>19</v>
      </c>
      <c r="D149" s="410">
        <v>17</v>
      </c>
      <c r="E149" s="410">
        <v>21</v>
      </c>
      <c r="F149" s="410">
        <v>19</v>
      </c>
      <c r="G149" s="410">
        <v>25</v>
      </c>
      <c r="H149" s="410">
        <v>16</v>
      </c>
    </row>
    <row r="150" spans="1:8" ht="15" customHeight="1" x14ac:dyDescent="0.35">
      <c r="A150" s="972"/>
      <c r="B150" s="503" t="s">
        <v>911</v>
      </c>
      <c r="C150" s="410">
        <v>20.310467882632832</v>
      </c>
      <c r="D150" s="410">
        <v>18.533703409992071</v>
      </c>
      <c r="E150" s="410">
        <v>22.100806451612904</v>
      </c>
      <c r="F150" s="410">
        <v>20.093189964157705</v>
      </c>
      <c r="G150" s="410">
        <v>28.004282655246254</v>
      </c>
      <c r="H150" s="410">
        <v>18.408993576017131</v>
      </c>
    </row>
    <row r="151" spans="1:8" ht="15" customHeight="1" x14ac:dyDescent="0.35">
      <c r="A151" s="972"/>
      <c r="B151" s="503" t="s">
        <v>910</v>
      </c>
      <c r="C151" s="410">
        <v>19.298808055898068</v>
      </c>
      <c r="D151" s="410">
        <v>17.941224825318535</v>
      </c>
      <c r="E151" s="410">
        <v>20.903988868274581</v>
      </c>
      <c r="F151" s="410">
        <v>19</v>
      </c>
      <c r="G151" s="410">
        <v>28.997536945812808</v>
      </c>
      <c r="H151" s="410">
        <v>20.862068965517242</v>
      </c>
    </row>
    <row r="152" spans="1:8" ht="15" customHeight="1" x14ac:dyDescent="0.35">
      <c r="A152" s="972"/>
      <c r="B152" s="503" t="s">
        <v>909</v>
      </c>
      <c r="C152" s="410">
        <v>18.406030565881867</v>
      </c>
      <c r="D152" s="410">
        <v>17.06030565881867</v>
      </c>
      <c r="E152" s="410">
        <v>24</v>
      </c>
      <c r="F152" s="410">
        <v>22</v>
      </c>
      <c r="G152" s="410">
        <v>22</v>
      </c>
      <c r="H152" s="410">
        <v>15</v>
      </c>
    </row>
    <row r="153" spans="1:8" ht="15" customHeight="1" x14ac:dyDescent="0.35">
      <c r="A153" s="972"/>
      <c r="B153" s="503" t="s">
        <v>908</v>
      </c>
      <c r="C153" s="410">
        <v>19.109709962168978</v>
      </c>
      <c r="D153" s="410">
        <v>16.721731820092476</v>
      </c>
      <c r="E153" s="410">
        <v>25</v>
      </c>
      <c r="F153" s="410">
        <v>22</v>
      </c>
      <c r="G153" s="410">
        <v>25</v>
      </c>
      <c r="H153" s="410">
        <v>12</v>
      </c>
    </row>
    <row r="154" spans="1:8" ht="15" customHeight="1" x14ac:dyDescent="0.35">
      <c r="A154" s="972">
        <v>25</v>
      </c>
      <c r="B154" s="503" t="s">
        <v>35</v>
      </c>
      <c r="C154" s="410"/>
      <c r="D154" s="410"/>
      <c r="E154" s="410"/>
      <c r="F154" s="410"/>
      <c r="G154" s="410"/>
      <c r="H154" s="410"/>
    </row>
    <row r="155" spans="1:8" ht="15" customHeight="1" x14ac:dyDescent="0.35">
      <c r="A155" s="972"/>
      <c r="B155" s="503" t="s">
        <v>912</v>
      </c>
      <c r="C155" s="410">
        <v>23</v>
      </c>
      <c r="D155" s="410">
        <v>26</v>
      </c>
      <c r="E155" s="410">
        <v>24</v>
      </c>
      <c r="F155" s="410">
        <v>25</v>
      </c>
      <c r="G155" s="410">
        <v>19</v>
      </c>
      <c r="H155" s="410"/>
    </row>
    <row r="156" spans="1:8" ht="15" customHeight="1" x14ac:dyDescent="0.35">
      <c r="A156" s="972"/>
      <c r="B156" s="503" t="s">
        <v>911</v>
      </c>
      <c r="C156" s="410">
        <v>24.696525078766413</v>
      </c>
      <c r="D156" s="410">
        <v>23.032449463008533</v>
      </c>
      <c r="E156" s="410">
        <v>26.839581893572909</v>
      </c>
      <c r="F156" s="410">
        <v>24.75598940336328</v>
      </c>
      <c r="G156" s="410">
        <v>29.104518905625575</v>
      </c>
      <c r="H156" s="410">
        <v>17.982631417153396</v>
      </c>
    </row>
    <row r="157" spans="1:8" ht="15" customHeight="1" x14ac:dyDescent="0.35">
      <c r="A157" s="972"/>
      <c r="B157" s="503" t="s">
        <v>910</v>
      </c>
      <c r="C157" s="410">
        <v>23.992137802873277</v>
      </c>
      <c r="D157" s="410">
        <v>22.381840707121246</v>
      </c>
      <c r="E157" s="410">
        <v>26.046785895560266</v>
      </c>
      <c r="F157" s="410">
        <v>24</v>
      </c>
      <c r="G157" s="410">
        <v>28.894938527862045</v>
      </c>
      <c r="H157" s="410">
        <v>18.103145457448505</v>
      </c>
    </row>
    <row r="158" spans="1:8" ht="15" customHeight="1" x14ac:dyDescent="0.35">
      <c r="A158" s="972"/>
      <c r="B158" s="503" t="s">
        <v>909</v>
      </c>
      <c r="C158" s="410">
        <v>24.838451168364291</v>
      </c>
      <c r="D158" s="410">
        <v>23.329763331336128</v>
      </c>
      <c r="E158" s="410">
        <v>33</v>
      </c>
      <c r="F158" s="410">
        <v>30</v>
      </c>
      <c r="G158" s="410">
        <v>28</v>
      </c>
      <c r="H158" s="410">
        <v>18</v>
      </c>
    </row>
    <row r="159" spans="1:8" ht="15" customHeight="1" x14ac:dyDescent="0.35">
      <c r="A159" s="972"/>
      <c r="B159" s="503" t="s">
        <v>908</v>
      </c>
      <c r="C159" s="410">
        <v>26.752552694437881</v>
      </c>
      <c r="D159" s="410">
        <v>25.278788356038532</v>
      </c>
      <c r="E159" s="410">
        <v>34</v>
      </c>
      <c r="F159" s="410">
        <v>32</v>
      </c>
      <c r="G159" s="410">
        <v>29</v>
      </c>
      <c r="H159" s="410">
        <v>18</v>
      </c>
    </row>
    <row r="160" spans="1:8" ht="15" customHeight="1" x14ac:dyDescent="0.35">
      <c r="A160" s="972">
        <v>26</v>
      </c>
      <c r="B160" s="503" t="s">
        <v>36</v>
      </c>
      <c r="C160" s="410"/>
      <c r="D160" s="410"/>
      <c r="E160" s="410"/>
      <c r="F160" s="410"/>
      <c r="G160" s="410"/>
      <c r="H160" s="410"/>
    </row>
    <row r="161" spans="1:8" ht="15" customHeight="1" x14ac:dyDescent="0.35">
      <c r="A161" s="972"/>
      <c r="B161" s="503" t="s">
        <v>912</v>
      </c>
      <c r="C161" s="410">
        <v>13</v>
      </c>
      <c r="D161" s="410">
        <v>10</v>
      </c>
      <c r="E161" s="410">
        <v>13</v>
      </c>
      <c r="F161" s="410">
        <v>10</v>
      </c>
      <c r="G161" s="410">
        <v>15</v>
      </c>
      <c r="H161" s="410">
        <v>8</v>
      </c>
    </row>
    <row r="162" spans="1:8" ht="15" customHeight="1" x14ac:dyDescent="0.35">
      <c r="A162" s="972"/>
      <c r="B162" s="503" t="s">
        <v>911</v>
      </c>
      <c r="C162" s="410">
        <v>13.233884422872745</v>
      </c>
      <c r="D162" s="410">
        <v>11.090247231912635</v>
      </c>
      <c r="E162" s="410">
        <v>13.355848696757787</v>
      </c>
      <c r="F162" s="410">
        <v>11.109663064208519</v>
      </c>
      <c r="G162" s="410">
        <v>14.727148703956344</v>
      </c>
      <c r="H162" s="410">
        <v>8.3001364256480219</v>
      </c>
    </row>
    <row r="163" spans="1:8" ht="15" customHeight="1" x14ac:dyDescent="0.35">
      <c r="A163" s="972"/>
      <c r="B163" s="503" t="s">
        <v>910</v>
      </c>
      <c r="C163" s="410">
        <v>13.707826348204897</v>
      </c>
      <c r="D163" s="410">
        <v>11.550247859396125</v>
      </c>
      <c r="E163" s="410">
        <v>12.855784469096672</v>
      </c>
      <c r="F163" s="410">
        <v>12</v>
      </c>
      <c r="G163" s="410">
        <v>14.635691169671752</v>
      </c>
      <c r="H163" s="410">
        <v>7.9953767914932961</v>
      </c>
    </row>
    <row r="164" spans="1:8" ht="15" customHeight="1" x14ac:dyDescent="0.35">
      <c r="A164" s="972"/>
      <c r="B164" s="503" t="s">
        <v>909</v>
      </c>
      <c r="C164" s="410">
        <v>12.576361638675246</v>
      </c>
      <c r="D164" s="410">
        <v>10.433526918851044</v>
      </c>
      <c r="E164" s="410">
        <v>19</v>
      </c>
      <c r="F164" s="410">
        <v>16</v>
      </c>
      <c r="G164" s="410">
        <v>15</v>
      </c>
      <c r="H164" s="410">
        <v>8</v>
      </c>
    </row>
    <row r="165" spans="1:8" ht="15" customHeight="1" x14ac:dyDescent="0.35">
      <c r="A165" s="972"/>
      <c r="B165" s="503" t="s">
        <v>908</v>
      </c>
      <c r="C165" s="410">
        <v>13.155638714067019</v>
      </c>
      <c r="D165" s="410">
        <v>11.29817996257867</v>
      </c>
      <c r="E165" s="410">
        <v>18</v>
      </c>
      <c r="F165" s="410">
        <v>15</v>
      </c>
      <c r="G165" s="410">
        <v>17</v>
      </c>
      <c r="H165" s="410">
        <v>9</v>
      </c>
    </row>
    <row r="166" spans="1:8" ht="15.75" customHeight="1" x14ac:dyDescent="0.35">
      <c r="A166" s="972">
        <v>27</v>
      </c>
      <c r="B166" s="503" t="s">
        <v>37</v>
      </c>
      <c r="C166" s="410"/>
      <c r="D166" s="410"/>
      <c r="E166" s="410"/>
      <c r="F166" s="410"/>
      <c r="G166" s="410"/>
      <c r="H166" s="410"/>
    </row>
    <row r="167" spans="1:8" ht="15.75" customHeight="1" x14ac:dyDescent="0.35">
      <c r="A167" s="972"/>
      <c r="B167" s="503" t="s">
        <v>912</v>
      </c>
      <c r="C167" s="410">
        <v>18</v>
      </c>
      <c r="D167" s="410">
        <v>16</v>
      </c>
      <c r="E167" s="410">
        <v>19</v>
      </c>
      <c r="F167" s="410">
        <v>16</v>
      </c>
      <c r="G167" s="410">
        <v>22</v>
      </c>
      <c r="H167" s="410">
        <v>15</v>
      </c>
    </row>
    <row r="168" spans="1:8" ht="15.75" customHeight="1" x14ac:dyDescent="0.35">
      <c r="A168" s="972"/>
      <c r="B168" s="503" t="s">
        <v>911</v>
      </c>
      <c r="C168" s="410">
        <v>16.74190545973028</v>
      </c>
      <c r="D168" s="410">
        <v>15.113214646414638</v>
      </c>
      <c r="E168" s="410">
        <v>17.978982679537207</v>
      </c>
      <c r="F168" s="410">
        <v>16.110563428493187</v>
      </c>
      <c r="G168" s="410">
        <v>21.159910776094147</v>
      </c>
      <c r="H168" s="410">
        <v>14.862241366048766</v>
      </c>
    </row>
    <row r="169" spans="1:8" ht="15" customHeight="1" x14ac:dyDescent="0.35">
      <c r="A169" s="972"/>
      <c r="B169" s="503" t="s">
        <v>910</v>
      </c>
      <c r="C169" s="410">
        <v>16.363821862989816</v>
      </c>
      <c r="D169" s="410">
        <v>14.85064780696541</v>
      </c>
      <c r="E169" s="410">
        <v>17.541939022717923</v>
      </c>
      <c r="F169" s="410">
        <v>16</v>
      </c>
      <c r="G169" s="410">
        <v>21.880579710144929</v>
      </c>
      <c r="H169" s="410">
        <v>14.948571428571428</v>
      </c>
    </row>
    <row r="170" spans="1:8" ht="15.75" customHeight="1" x14ac:dyDescent="0.35">
      <c r="A170" s="972"/>
      <c r="B170" s="503" t="s">
        <v>909</v>
      </c>
      <c r="C170" s="410">
        <v>16.697322937471192</v>
      </c>
      <c r="D170" s="410">
        <v>15.467660162851436</v>
      </c>
      <c r="E170" s="410">
        <v>24</v>
      </c>
      <c r="F170" s="410">
        <v>22</v>
      </c>
      <c r="G170" s="410">
        <v>23</v>
      </c>
      <c r="H170" s="410">
        <v>17</v>
      </c>
    </row>
    <row r="171" spans="1:8" ht="15" customHeight="1" x14ac:dyDescent="0.35">
      <c r="A171" s="972"/>
      <c r="B171" s="503" t="s">
        <v>908</v>
      </c>
      <c r="C171" s="410">
        <v>17.829878817256422</v>
      </c>
      <c r="D171" s="410">
        <v>17.045254483761511</v>
      </c>
      <c r="E171" s="410">
        <v>25</v>
      </c>
      <c r="F171" s="410">
        <v>24</v>
      </c>
      <c r="G171" s="410">
        <v>22</v>
      </c>
      <c r="H171" s="410">
        <v>17</v>
      </c>
    </row>
    <row r="172" spans="1:8" ht="15" customHeight="1" x14ac:dyDescent="0.35">
      <c r="A172" s="972">
        <v>28</v>
      </c>
      <c r="B172" s="503" t="s">
        <v>38</v>
      </c>
      <c r="C172" s="410"/>
      <c r="D172" s="410"/>
      <c r="E172" s="410"/>
      <c r="F172" s="410"/>
      <c r="G172" s="410"/>
      <c r="H172" s="410"/>
    </row>
    <row r="173" spans="1:8" ht="15" customHeight="1" x14ac:dyDescent="0.35">
      <c r="A173" s="972"/>
      <c r="B173" s="503" t="s">
        <v>912</v>
      </c>
      <c r="C173" s="410">
        <v>28</v>
      </c>
      <c r="D173" s="410">
        <v>26</v>
      </c>
      <c r="E173" s="410">
        <v>29</v>
      </c>
      <c r="F173" s="410">
        <v>27</v>
      </c>
      <c r="G173" s="410">
        <v>29</v>
      </c>
      <c r="H173" s="410">
        <v>19</v>
      </c>
    </row>
    <row r="174" spans="1:8" ht="15" customHeight="1" x14ac:dyDescent="0.35">
      <c r="A174" s="972"/>
      <c r="B174" s="503" t="s">
        <v>911</v>
      </c>
      <c r="C174" s="410">
        <v>28.624411899534344</v>
      </c>
      <c r="D174" s="410">
        <v>26.282408859507324</v>
      </c>
      <c r="E174" s="410">
        <v>30.168169268413958</v>
      </c>
      <c r="F174" s="410">
        <v>27.629666461667298</v>
      </c>
      <c r="G174" s="410">
        <v>32.314868804664727</v>
      </c>
      <c r="H174" s="410">
        <v>19.746031746031747</v>
      </c>
    </row>
    <row r="175" spans="1:8" ht="15" customHeight="1" x14ac:dyDescent="0.35">
      <c r="A175" s="972"/>
      <c r="B175" s="503" t="s">
        <v>910</v>
      </c>
      <c r="C175" s="410">
        <v>29.266314349664263</v>
      </c>
      <c r="D175" s="410">
        <v>26.392626212384979</v>
      </c>
      <c r="E175" s="410">
        <v>30.23584229390681</v>
      </c>
      <c r="F175" s="410">
        <v>28</v>
      </c>
      <c r="G175" s="410">
        <v>34.944155844155844</v>
      </c>
      <c r="H175" s="410">
        <v>19.147710184552288</v>
      </c>
    </row>
    <row r="176" spans="1:8" ht="15" customHeight="1" x14ac:dyDescent="0.35">
      <c r="A176" s="972"/>
      <c r="B176" s="503" t="s">
        <v>909</v>
      </c>
      <c r="C176" s="410">
        <v>28.516445455367876</v>
      </c>
      <c r="D176" s="410">
        <v>26.234798454321052</v>
      </c>
      <c r="E176" s="410">
        <v>37</v>
      </c>
      <c r="F176" s="410">
        <v>34</v>
      </c>
      <c r="G176" s="410">
        <v>32</v>
      </c>
      <c r="H176" s="410">
        <v>19</v>
      </c>
    </row>
    <row r="177" spans="1:8" ht="15" customHeight="1" x14ac:dyDescent="0.35">
      <c r="A177" s="972"/>
      <c r="B177" s="503" t="s">
        <v>908</v>
      </c>
      <c r="C177" s="410">
        <v>29.321587328381725</v>
      </c>
      <c r="D177" s="410">
        <v>27.346092167454422</v>
      </c>
      <c r="E177" s="410">
        <v>38</v>
      </c>
      <c r="F177" s="410">
        <v>36</v>
      </c>
      <c r="G177" s="410">
        <v>29</v>
      </c>
      <c r="H177" s="410">
        <v>18</v>
      </c>
    </row>
    <row r="178" spans="1:8" ht="15" customHeight="1" x14ac:dyDescent="0.35">
      <c r="A178" s="972">
        <v>29</v>
      </c>
      <c r="B178" s="503" t="s">
        <v>39</v>
      </c>
      <c r="C178" s="410"/>
      <c r="D178" s="410"/>
      <c r="E178" s="410"/>
      <c r="F178" s="410"/>
      <c r="G178" s="410"/>
      <c r="H178" s="410"/>
    </row>
    <row r="179" spans="1:8" ht="15" customHeight="1" x14ac:dyDescent="0.35">
      <c r="A179" s="972"/>
      <c r="B179" s="503" t="s">
        <v>912</v>
      </c>
      <c r="C179" s="410">
        <v>20</v>
      </c>
      <c r="D179" s="410">
        <v>17</v>
      </c>
      <c r="E179" s="410">
        <v>21</v>
      </c>
      <c r="F179" s="410">
        <v>17</v>
      </c>
      <c r="G179" s="410">
        <v>20</v>
      </c>
      <c r="H179" s="410">
        <v>13</v>
      </c>
    </row>
    <row r="180" spans="1:8" ht="15" customHeight="1" x14ac:dyDescent="0.35">
      <c r="A180" s="972"/>
      <c r="B180" s="503" t="s">
        <v>911</v>
      </c>
      <c r="C180" s="410">
        <v>21.563660477453581</v>
      </c>
      <c r="D180" s="410">
        <v>17.00663129973475</v>
      </c>
      <c r="E180" s="410">
        <v>22.450909090909089</v>
      </c>
      <c r="F180" s="410">
        <v>17.453090909090911</v>
      </c>
      <c r="G180" s="410">
        <v>22.463513513513515</v>
      </c>
      <c r="H180" s="410">
        <v>13.177027027027027</v>
      </c>
    </row>
    <row r="181" spans="1:8" ht="15" customHeight="1" x14ac:dyDescent="0.35">
      <c r="A181" s="972"/>
      <c r="B181" s="503" t="s">
        <v>910</v>
      </c>
      <c r="C181" s="410">
        <v>20.170533642691414</v>
      </c>
      <c r="D181" s="410">
        <v>16.009280742459396</v>
      </c>
      <c r="E181" s="410">
        <v>20.356608478802993</v>
      </c>
      <c r="F181" s="410">
        <v>16</v>
      </c>
      <c r="G181" s="410">
        <v>19.675813008130081</v>
      </c>
      <c r="H181" s="410">
        <v>12.385162601626016</v>
      </c>
    </row>
    <row r="182" spans="1:8" ht="15" customHeight="1" x14ac:dyDescent="0.35">
      <c r="A182" s="972"/>
      <c r="B182" s="503" t="s">
        <v>909</v>
      </c>
      <c r="C182" s="410">
        <v>33.939801285797778</v>
      </c>
      <c r="D182" s="410">
        <v>13.866160140268848</v>
      </c>
      <c r="E182" s="410">
        <v>97</v>
      </c>
      <c r="F182" s="410">
        <v>38</v>
      </c>
      <c r="G182" s="410">
        <v>44</v>
      </c>
      <c r="H182" s="410">
        <v>10</v>
      </c>
    </row>
    <row r="183" spans="1:8" ht="15" customHeight="1" x14ac:dyDescent="0.35">
      <c r="A183" s="972"/>
      <c r="B183" s="503" t="s">
        <v>908</v>
      </c>
      <c r="C183" s="410">
        <v>26.580562659846546</v>
      </c>
      <c r="D183" s="410">
        <v>14.51918158567775</v>
      </c>
      <c r="E183" s="410">
        <v>82</v>
      </c>
      <c r="F183" s="410">
        <v>44</v>
      </c>
      <c r="G183" s="410">
        <v>30</v>
      </c>
      <c r="H183" s="410">
        <v>10</v>
      </c>
    </row>
    <row r="184" spans="1:8" ht="15" customHeight="1" x14ac:dyDescent="0.35">
      <c r="A184" s="972">
        <v>30</v>
      </c>
      <c r="B184" s="503" t="s">
        <v>40</v>
      </c>
      <c r="C184" s="410"/>
      <c r="D184" s="410"/>
      <c r="E184" s="410"/>
      <c r="F184" s="410"/>
      <c r="G184" s="410"/>
      <c r="H184" s="410"/>
    </row>
    <row r="185" spans="1:8" ht="15" customHeight="1" x14ac:dyDescent="0.35">
      <c r="A185" s="972"/>
      <c r="B185" s="503" t="s">
        <v>912</v>
      </c>
      <c r="C185" s="410">
        <v>16</v>
      </c>
      <c r="D185" s="410">
        <v>14</v>
      </c>
      <c r="E185" s="410">
        <v>16</v>
      </c>
      <c r="F185" s="410">
        <v>15</v>
      </c>
      <c r="G185" s="410">
        <v>25</v>
      </c>
      <c r="H185" s="410">
        <v>15</v>
      </c>
    </row>
    <row r="186" spans="1:8" ht="15" customHeight="1" x14ac:dyDescent="0.35">
      <c r="A186" s="972"/>
      <c r="B186" s="503" t="s">
        <v>911</v>
      </c>
      <c r="C186" s="410">
        <v>15.800910496643263</v>
      </c>
      <c r="D186" s="410">
        <v>14.109101124674652</v>
      </c>
      <c r="E186" s="410">
        <v>16.534350855725865</v>
      </c>
      <c r="F186" s="410">
        <v>14.626924097305317</v>
      </c>
      <c r="G186" s="410">
        <v>27.8643551017514</v>
      </c>
      <c r="H186" s="410">
        <v>15.374246614195561</v>
      </c>
    </row>
    <row r="187" spans="1:8" ht="15" customHeight="1" x14ac:dyDescent="0.35">
      <c r="A187" s="972"/>
      <c r="B187" s="503" t="s">
        <v>910</v>
      </c>
      <c r="C187" s="410">
        <v>16.402128653245828</v>
      </c>
      <c r="D187" s="410">
        <v>14.36472728166556</v>
      </c>
      <c r="E187" s="410">
        <v>16.923581418136468</v>
      </c>
      <c r="F187" s="410">
        <v>15</v>
      </c>
      <c r="G187" s="410">
        <v>29.358151757363409</v>
      </c>
      <c r="H187" s="410">
        <v>14.232125260045986</v>
      </c>
    </row>
    <row r="188" spans="1:8" ht="15" customHeight="1" x14ac:dyDescent="0.35">
      <c r="A188" s="972"/>
      <c r="B188" s="503" t="s">
        <v>909</v>
      </c>
      <c r="C188" s="410">
        <v>17.419952000395874</v>
      </c>
      <c r="D188" s="410">
        <v>14.758586733305293</v>
      </c>
      <c r="E188" s="410">
        <v>21</v>
      </c>
      <c r="F188" s="410">
        <v>18</v>
      </c>
      <c r="G188" s="410">
        <v>34</v>
      </c>
      <c r="H188" s="410">
        <v>14</v>
      </c>
    </row>
    <row r="189" spans="1:8" ht="15" customHeight="1" x14ac:dyDescent="0.35">
      <c r="A189" s="972"/>
      <c r="B189" s="503" t="s">
        <v>908</v>
      </c>
      <c r="C189" s="410">
        <v>17.419989489420541</v>
      </c>
      <c r="D189" s="410">
        <v>15.345262330797528</v>
      </c>
      <c r="E189" s="410">
        <v>21</v>
      </c>
      <c r="F189" s="410">
        <v>18</v>
      </c>
      <c r="G189" s="410">
        <v>31</v>
      </c>
      <c r="H189" s="410">
        <v>15</v>
      </c>
    </row>
    <row r="190" spans="1:8" ht="15" customHeight="1" x14ac:dyDescent="0.35">
      <c r="A190" s="972">
        <v>31</v>
      </c>
      <c r="B190" s="503" t="s">
        <v>41</v>
      </c>
      <c r="C190" s="410"/>
      <c r="D190" s="410"/>
      <c r="E190" s="410"/>
      <c r="F190" s="410"/>
      <c r="G190" s="410"/>
      <c r="H190" s="410"/>
    </row>
    <row r="191" spans="1:8" ht="15" customHeight="1" x14ac:dyDescent="0.35">
      <c r="A191" s="972"/>
      <c r="B191" s="503" t="s">
        <v>912</v>
      </c>
      <c r="C191" s="410">
        <v>18</v>
      </c>
      <c r="D191" s="410">
        <v>17</v>
      </c>
      <c r="E191" s="410">
        <v>19</v>
      </c>
      <c r="F191" s="410">
        <v>17</v>
      </c>
      <c r="G191" s="410">
        <v>40</v>
      </c>
      <c r="H191" s="410">
        <v>20</v>
      </c>
    </row>
    <row r="192" spans="1:8" ht="15" customHeight="1" x14ac:dyDescent="0.35">
      <c r="A192" s="972"/>
      <c r="B192" s="503" t="s">
        <v>911</v>
      </c>
      <c r="C192" s="410">
        <v>18.088767123287671</v>
      </c>
      <c r="D192" s="410">
        <v>16.450899344848125</v>
      </c>
      <c r="E192" s="410">
        <v>18.554063485498631</v>
      </c>
      <c r="F192" s="410">
        <v>16.776947733030038</v>
      </c>
      <c r="G192" s="410">
        <v>40.246652685917084</v>
      </c>
      <c r="H192" s="410">
        <v>18.065817067268913</v>
      </c>
    </row>
    <row r="193" spans="1:8" ht="15" customHeight="1" x14ac:dyDescent="0.35">
      <c r="A193" s="972"/>
      <c r="B193" s="503" t="s">
        <v>910</v>
      </c>
      <c r="C193" s="410">
        <v>18.393652092306951</v>
      </c>
      <c r="D193" s="410">
        <v>17.191652429193638</v>
      </c>
      <c r="E193" s="410">
        <v>18.189460178044683</v>
      </c>
      <c r="F193" s="410">
        <v>17</v>
      </c>
      <c r="G193" s="410">
        <v>41.477223427331886</v>
      </c>
      <c r="H193" s="410">
        <v>15.280730296456978</v>
      </c>
    </row>
    <row r="194" spans="1:8" ht="15" customHeight="1" x14ac:dyDescent="0.35">
      <c r="A194" s="972"/>
      <c r="B194" s="503" t="s">
        <v>909</v>
      </c>
      <c r="C194" s="410">
        <v>16.802389272456864</v>
      </c>
      <c r="D194" s="410">
        <v>16.128084833681971</v>
      </c>
      <c r="E194" s="410">
        <v>18</v>
      </c>
      <c r="F194" s="410">
        <v>17</v>
      </c>
      <c r="G194" s="410">
        <v>28</v>
      </c>
      <c r="H194" s="410">
        <v>15</v>
      </c>
    </row>
    <row r="195" spans="1:8" ht="15" customHeight="1" x14ac:dyDescent="0.35">
      <c r="A195" s="972"/>
      <c r="B195" s="503" t="s">
        <v>908</v>
      </c>
      <c r="C195" s="410">
        <v>17.760165840782889</v>
      </c>
      <c r="D195" s="410">
        <v>17.107696904803408</v>
      </c>
      <c r="E195" s="410">
        <v>19</v>
      </c>
      <c r="F195" s="410">
        <v>18</v>
      </c>
      <c r="G195" s="410">
        <v>30</v>
      </c>
      <c r="H195" s="410">
        <v>18</v>
      </c>
    </row>
    <row r="196" spans="1:8" ht="15" customHeight="1" x14ac:dyDescent="0.35">
      <c r="A196" s="963">
        <v>32</v>
      </c>
      <c r="B196" s="606" t="s">
        <v>984</v>
      </c>
      <c r="C196" s="410"/>
      <c r="D196" s="410"/>
      <c r="E196" s="410"/>
      <c r="F196" s="410"/>
      <c r="G196" s="410"/>
      <c r="H196" s="410"/>
    </row>
    <row r="197" spans="1:8" ht="15" customHeight="1" x14ac:dyDescent="0.35">
      <c r="A197" s="964"/>
      <c r="B197" s="503" t="s">
        <v>912</v>
      </c>
      <c r="C197" s="410">
        <v>19</v>
      </c>
      <c r="D197" s="410">
        <v>19</v>
      </c>
      <c r="E197" s="410">
        <v>20</v>
      </c>
      <c r="F197" s="410">
        <v>20</v>
      </c>
      <c r="G197" s="410">
        <v>25</v>
      </c>
      <c r="H197" s="410">
        <v>25</v>
      </c>
    </row>
    <row r="198" spans="1:8" ht="15" customHeight="1" x14ac:dyDescent="0.35">
      <c r="A198" s="964"/>
      <c r="B198" s="503" t="s">
        <v>911</v>
      </c>
      <c r="C198" s="410">
        <v>20.855048859934854</v>
      </c>
      <c r="D198" s="410">
        <v>20.855048859934854</v>
      </c>
      <c r="E198" s="410">
        <v>20.782324058919805</v>
      </c>
      <c r="F198" s="410">
        <v>20.782324058919805</v>
      </c>
      <c r="G198" s="410">
        <v>44.333333333333336</v>
      </c>
      <c r="H198" s="410">
        <v>44.333333333333336</v>
      </c>
    </row>
    <row r="199" spans="1:8" ht="15" customHeight="1" x14ac:dyDescent="0.35">
      <c r="A199" s="964"/>
      <c r="B199" s="395" t="s">
        <v>910</v>
      </c>
      <c r="C199" s="410">
        <v>20.051993067590988</v>
      </c>
      <c r="D199" s="410">
        <v>20.051993067590988</v>
      </c>
      <c r="E199" s="410">
        <v>19.695121951219512</v>
      </c>
      <c r="F199" s="410">
        <v>20</v>
      </c>
      <c r="G199" s="410">
        <v>19</v>
      </c>
      <c r="H199" s="410">
        <v>19</v>
      </c>
    </row>
    <row r="200" spans="1:8" ht="15" customHeight="1" x14ac:dyDescent="0.35">
      <c r="A200" s="964"/>
      <c r="B200" s="395" t="s">
        <v>909</v>
      </c>
      <c r="C200" s="410">
        <v>41.660137672090109</v>
      </c>
      <c r="D200" s="410">
        <v>41.660137672090109</v>
      </c>
      <c r="E200" s="410">
        <v>42</v>
      </c>
      <c r="F200" s="410">
        <v>42</v>
      </c>
      <c r="G200" s="410">
        <v>20</v>
      </c>
      <c r="H200" s="410">
        <v>20</v>
      </c>
    </row>
    <row r="201" spans="1:8" ht="15" customHeight="1" x14ac:dyDescent="0.35">
      <c r="A201" s="964"/>
      <c r="B201" s="395" t="s">
        <v>908</v>
      </c>
      <c r="C201" s="410">
        <v>42.403814609956129</v>
      </c>
      <c r="D201" s="410">
        <v>42.403814609956129</v>
      </c>
      <c r="E201" s="410">
        <v>43</v>
      </c>
      <c r="F201" s="410">
        <v>43</v>
      </c>
      <c r="G201" s="410">
        <v>15</v>
      </c>
      <c r="H201" s="410">
        <v>15</v>
      </c>
    </row>
    <row r="202" spans="1:8" ht="15" customHeight="1" x14ac:dyDescent="0.35">
      <c r="A202" s="972">
        <v>33</v>
      </c>
      <c r="B202" s="524" t="s">
        <v>42</v>
      </c>
      <c r="C202" s="410"/>
      <c r="D202" s="410"/>
      <c r="E202" s="410"/>
      <c r="F202" s="410"/>
      <c r="G202" s="410"/>
      <c r="H202" s="410"/>
    </row>
    <row r="203" spans="1:8" ht="15" customHeight="1" x14ac:dyDescent="0.35">
      <c r="A203" s="972"/>
      <c r="B203" s="503" t="s">
        <v>912</v>
      </c>
      <c r="C203" s="410">
        <v>36</v>
      </c>
      <c r="D203" s="410">
        <v>34</v>
      </c>
      <c r="E203" s="410">
        <v>38</v>
      </c>
      <c r="F203" s="410">
        <v>35</v>
      </c>
      <c r="G203" s="410">
        <v>38</v>
      </c>
      <c r="H203" s="410">
        <v>26</v>
      </c>
    </row>
    <row r="204" spans="1:8" ht="15" customHeight="1" x14ac:dyDescent="0.35">
      <c r="A204" s="972"/>
      <c r="B204" s="503" t="s">
        <v>911</v>
      </c>
      <c r="C204" s="410">
        <v>41.091540662035143</v>
      </c>
      <c r="D204" s="410">
        <v>37.147936248467509</v>
      </c>
      <c r="E204" s="410">
        <v>42.415272415272412</v>
      </c>
      <c r="F204" s="410">
        <v>38.275418275418275</v>
      </c>
      <c r="G204" s="410">
        <v>45.224528301886792</v>
      </c>
      <c r="H204" s="410">
        <v>27.016981132075472</v>
      </c>
    </row>
    <row r="205" spans="1:8" ht="15" customHeight="1" x14ac:dyDescent="0.35">
      <c r="A205" s="972"/>
      <c r="B205" s="503" t="s">
        <v>910</v>
      </c>
      <c r="C205" s="410">
        <v>37.636068237205521</v>
      </c>
      <c r="D205" s="410">
        <v>32.62144597887896</v>
      </c>
      <c r="E205" s="410">
        <v>38.672340425531914</v>
      </c>
      <c r="F205" s="410">
        <v>33</v>
      </c>
      <c r="G205" s="410">
        <v>49.183864915572229</v>
      </c>
      <c r="H205" s="410">
        <v>26.02063789868668</v>
      </c>
    </row>
    <row r="206" spans="1:8" ht="15" customHeight="1" x14ac:dyDescent="0.35">
      <c r="A206" s="972"/>
      <c r="B206" s="503" t="s">
        <v>909</v>
      </c>
      <c r="C206" s="410">
        <v>35.772293654085445</v>
      </c>
      <c r="D206" s="410">
        <v>30.459975114060555</v>
      </c>
      <c r="E206" s="410">
        <v>44</v>
      </c>
      <c r="F206" s="410">
        <v>37</v>
      </c>
      <c r="G206" s="410">
        <v>59</v>
      </c>
      <c r="H206" s="410">
        <v>25</v>
      </c>
    </row>
    <row r="207" spans="1:8" ht="15" customHeight="1" x14ac:dyDescent="0.35">
      <c r="A207" s="972"/>
      <c r="B207" s="503" t="s">
        <v>908</v>
      </c>
      <c r="C207" s="410">
        <v>33.160785886126703</v>
      </c>
      <c r="D207" s="410">
        <v>28.120288692862871</v>
      </c>
      <c r="E207" s="410">
        <v>42</v>
      </c>
      <c r="F207" s="410">
        <v>36</v>
      </c>
      <c r="G207" s="410">
        <v>45</v>
      </c>
      <c r="H207" s="410">
        <v>19</v>
      </c>
    </row>
    <row r="208" spans="1:8" ht="15" customHeight="1" x14ac:dyDescent="0.35">
      <c r="A208" s="972">
        <v>34</v>
      </c>
      <c r="B208" s="503" t="s">
        <v>43</v>
      </c>
      <c r="C208" s="410"/>
      <c r="D208" s="410"/>
      <c r="E208" s="410"/>
      <c r="F208" s="410"/>
      <c r="G208" s="410"/>
      <c r="H208" s="410"/>
    </row>
    <row r="209" spans="1:8" ht="15" customHeight="1" x14ac:dyDescent="0.35">
      <c r="A209" s="972"/>
      <c r="B209" s="503" t="s">
        <v>912</v>
      </c>
      <c r="C209" s="410">
        <v>36</v>
      </c>
      <c r="D209" s="410">
        <v>35</v>
      </c>
      <c r="E209" s="410">
        <v>38</v>
      </c>
      <c r="F209" s="410">
        <v>37</v>
      </c>
      <c r="G209" s="410">
        <v>26</v>
      </c>
      <c r="H209" s="410">
        <v>20</v>
      </c>
    </row>
    <row r="210" spans="1:8" ht="15" customHeight="1" x14ac:dyDescent="0.35">
      <c r="A210" s="972"/>
      <c r="B210" s="503" t="s">
        <v>911</v>
      </c>
      <c r="C210" s="410">
        <v>35.787631140528617</v>
      </c>
      <c r="D210" s="410">
        <v>34.971875140708718</v>
      </c>
      <c r="E210" s="410">
        <v>37.848402341908752</v>
      </c>
      <c r="F210" s="410">
        <v>36.992501674563997</v>
      </c>
      <c r="G210" s="410">
        <v>25.512515469679428</v>
      </c>
      <c r="H210" s="410">
        <v>20.003233662022435</v>
      </c>
    </row>
    <row r="211" spans="1:8" ht="15" customHeight="1" x14ac:dyDescent="0.35">
      <c r="A211" s="972"/>
      <c r="B211" s="503" t="s">
        <v>910</v>
      </c>
      <c r="C211" s="410">
        <v>37.743172519902558</v>
      </c>
      <c r="D211" s="410">
        <v>36.842667816721644</v>
      </c>
      <c r="E211" s="410">
        <v>35.99258877692283</v>
      </c>
      <c r="F211" s="410">
        <v>39</v>
      </c>
      <c r="G211" s="410">
        <v>27.136503409242835</v>
      </c>
      <c r="H211" s="410">
        <v>20.25054592450644</v>
      </c>
    </row>
    <row r="212" spans="1:8" ht="15" customHeight="1" x14ac:dyDescent="0.35">
      <c r="A212" s="972"/>
      <c r="B212" s="503" t="s">
        <v>909</v>
      </c>
      <c r="C212" s="410">
        <v>39.570450758490821</v>
      </c>
      <c r="D212" s="410">
        <v>38.787139414887356</v>
      </c>
      <c r="E212" s="410">
        <v>49</v>
      </c>
      <c r="F212" s="410">
        <v>48</v>
      </c>
      <c r="G212" s="410">
        <v>26</v>
      </c>
      <c r="H212" s="410">
        <v>20</v>
      </c>
    </row>
    <row r="213" spans="1:8" ht="15" customHeight="1" x14ac:dyDescent="0.35">
      <c r="A213" s="972"/>
      <c r="B213" s="503" t="s">
        <v>908</v>
      </c>
      <c r="C213" s="410">
        <v>45.6106360027919</v>
      </c>
      <c r="D213" s="410">
        <v>44.164700822763841</v>
      </c>
      <c r="E213" s="410">
        <v>57</v>
      </c>
      <c r="F213" s="410">
        <v>55</v>
      </c>
      <c r="G213" s="410">
        <v>32</v>
      </c>
      <c r="H213" s="410">
        <v>21</v>
      </c>
    </row>
    <row r="214" spans="1:8" ht="15" customHeight="1" x14ac:dyDescent="0.35">
      <c r="A214" s="972">
        <v>35</v>
      </c>
      <c r="B214" s="503" t="s">
        <v>750</v>
      </c>
      <c r="C214" s="410"/>
      <c r="D214" s="410"/>
      <c r="E214" s="410"/>
      <c r="F214" s="410"/>
      <c r="G214" s="410"/>
      <c r="H214" s="410"/>
    </row>
    <row r="215" spans="1:8" ht="15" customHeight="1" x14ac:dyDescent="0.35">
      <c r="A215" s="972"/>
      <c r="B215" s="503" t="s">
        <v>912</v>
      </c>
      <c r="C215" s="410">
        <v>27</v>
      </c>
      <c r="D215" s="410">
        <v>22</v>
      </c>
      <c r="E215" s="410">
        <v>29</v>
      </c>
      <c r="F215" s="410">
        <v>23</v>
      </c>
      <c r="G215" s="410">
        <v>34</v>
      </c>
      <c r="H215" s="410">
        <v>20</v>
      </c>
    </row>
    <row r="216" spans="1:8" ht="15" customHeight="1" x14ac:dyDescent="0.35">
      <c r="A216" s="972"/>
      <c r="B216" s="503" t="s">
        <v>911</v>
      </c>
      <c r="C216" s="410">
        <v>27.074298633233994</v>
      </c>
      <c r="D216" s="410">
        <v>21.962285479395746</v>
      </c>
      <c r="E216" s="410">
        <v>28.579054282812322</v>
      </c>
      <c r="F216" s="410">
        <v>22.965240943460106</v>
      </c>
      <c r="G216" s="410">
        <v>33.415380449499054</v>
      </c>
      <c r="H216" s="410">
        <v>19.94557270511779</v>
      </c>
    </row>
    <row r="217" spans="1:8" ht="15" customHeight="1" x14ac:dyDescent="0.35">
      <c r="A217" s="972"/>
      <c r="B217" s="503" t="s">
        <v>910</v>
      </c>
      <c r="C217" s="410">
        <v>32.448419388830345</v>
      </c>
      <c r="D217" s="410">
        <v>27.256269757639622</v>
      </c>
      <c r="E217" s="410">
        <v>32.278897573015222</v>
      </c>
      <c r="F217" s="410">
        <v>29</v>
      </c>
      <c r="G217" s="410">
        <v>43.448369156771385</v>
      </c>
      <c r="H217" s="410">
        <v>27.992634901548175</v>
      </c>
    </row>
    <row r="218" spans="1:8" ht="15" customHeight="1" x14ac:dyDescent="0.35">
      <c r="A218" s="972"/>
      <c r="B218" s="503" t="s">
        <v>909</v>
      </c>
      <c r="C218" s="410">
        <v>26.934530959921371</v>
      </c>
      <c r="D218" s="410">
        <v>22.484274325652507</v>
      </c>
      <c r="E218" s="410">
        <v>46</v>
      </c>
      <c r="F218" s="410">
        <v>38</v>
      </c>
      <c r="G218" s="410">
        <v>36</v>
      </c>
      <c r="H218" s="410">
        <v>22</v>
      </c>
    </row>
    <row r="219" spans="1:8" ht="15" customHeight="1" x14ac:dyDescent="0.35">
      <c r="A219" s="972"/>
      <c r="B219" s="503" t="s">
        <v>908</v>
      </c>
      <c r="C219" s="410">
        <v>26.739093193238922</v>
      </c>
      <c r="D219" s="410">
        <v>23.306190041114665</v>
      </c>
      <c r="E219" s="410">
        <v>46</v>
      </c>
      <c r="F219" s="410">
        <v>40</v>
      </c>
      <c r="G219" s="410">
        <v>33</v>
      </c>
      <c r="H219" s="410">
        <v>23</v>
      </c>
    </row>
    <row r="220" spans="1:8" ht="15" customHeight="1" x14ac:dyDescent="0.35">
      <c r="A220" s="972">
        <v>36</v>
      </c>
      <c r="B220" s="503" t="s">
        <v>45</v>
      </c>
      <c r="C220" s="410"/>
      <c r="D220" s="410"/>
      <c r="E220" s="410"/>
      <c r="F220" s="410"/>
      <c r="G220" s="410"/>
      <c r="H220" s="410"/>
    </row>
    <row r="221" spans="1:8" ht="15" customHeight="1" x14ac:dyDescent="0.35">
      <c r="A221" s="972"/>
      <c r="B221" s="503" t="s">
        <v>912</v>
      </c>
      <c r="C221" s="410">
        <v>35</v>
      </c>
      <c r="D221" s="410">
        <v>28</v>
      </c>
      <c r="E221" s="410">
        <v>38</v>
      </c>
      <c r="F221" s="410">
        <v>30</v>
      </c>
      <c r="G221" s="410">
        <v>78</v>
      </c>
      <c r="H221" s="410">
        <v>21</v>
      </c>
    </row>
    <row r="222" spans="1:8" ht="15" customHeight="1" x14ac:dyDescent="0.35">
      <c r="A222" s="972"/>
      <c r="B222" s="395" t="s">
        <v>911</v>
      </c>
      <c r="C222" s="410">
        <v>37.344989847994292</v>
      </c>
      <c r="D222" s="410">
        <v>29.211367502606596</v>
      </c>
      <c r="E222" s="410">
        <v>40.240183635736891</v>
      </c>
      <c r="F222" s="410">
        <v>30.951443076055277</v>
      </c>
      <c r="G222" s="410">
        <v>86.488866510014546</v>
      </c>
      <c r="H222" s="410">
        <v>20.154973704822648</v>
      </c>
    </row>
    <row r="223" spans="1:8" ht="15" customHeight="1" x14ac:dyDescent="0.35">
      <c r="A223" s="972"/>
      <c r="B223" s="395" t="s">
        <v>910</v>
      </c>
      <c r="C223" s="410">
        <v>31.340245851781649</v>
      </c>
      <c r="D223" s="410">
        <v>28.455320894572306</v>
      </c>
      <c r="E223" s="410">
        <v>32.855801582978181</v>
      </c>
      <c r="F223" s="410">
        <v>30</v>
      </c>
      <c r="G223" s="410">
        <v>43.883979206049148</v>
      </c>
      <c r="H223" s="410">
        <v>20.798086011342154</v>
      </c>
    </row>
    <row r="224" spans="1:8" ht="15" customHeight="1" x14ac:dyDescent="0.35">
      <c r="A224" s="972"/>
      <c r="B224" s="395" t="s">
        <v>909</v>
      </c>
      <c r="C224" s="410">
        <v>32.967580020138527</v>
      </c>
      <c r="D224" s="410">
        <v>30.109190492173436</v>
      </c>
      <c r="E224" s="410">
        <v>40</v>
      </c>
      <c r="F224" s="410">
        <v>36</v>
      </c>
      <c r="G224" s="410">
        <v>43</v>
      </c>
      <c r="H224" s="410">
        <v>19</v>
      </c>
    </row>
    <row r="225" spans="1:8" ht="15" customHeight="1" x14ac:dyDescent="0.35">
      <c r="A225" s="972"/>
      <c r="B225" s="395" t="s">
        <v>908</v>
      </c>
      <c r="C225" s="410">
        <v>34.912610693122048</v>
      </c>
      <c r="D225" s="410">
        <v>31.547556428523869</v>
      </c>
      <c r="E225" s="410">
        <v>42</v>
      </c>
      <c r="F225" s="410">
        <v>38</v>
      </c>
      <c r="G225" s="410">
        <v>50</v>
      </c>
      <c r="H225" s="410">
        <v>21</v>
      </c>
    </row>
    <row r="226" spans="1:8" x14ac:dyDescent="0.35">
      <c r="B226" s="605" t="s">
        <v>987</v>
      </c>
    </row>
  </sheetData>
  <mergeCells count="42">
    <mergeCell ref="A202:A207"/>
    <mergeCell ref="A208:A213"/>
    <mergeCell ref="A214:A219"/>
    <mergeCell ref="A220:A225"/>
    <mergeCell ref="A190:A195"/>
    <mergeCell ref="A196:A201"/>
    <mergeCell ref="A184:A189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78:A183"/>
    <mergeCell ref="A112:A117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1"/>
    <mergeCell ref="G2:H2"/>
    <mergeCell ref="A5:A10"/>
    <mergeCell ref="A41:A46"/>
    <mergeCell ref="A2:A3"/>
    <mergeCell ref="B2:B3"/>
    <mergeCell ref="C2:D2"/>
    <mergeCell ref="E2:F2"/>
    <mergeCell ref="A11:A16"/>
    <mergeCell ref="A17:A22"/>
    <mergeCell ref="A23:A28"/>
    <mergeCell ref="A29:A34"/>
    <mergeCell ref="A35:A40"/>
  </mergeCells>
  <pageMargins left="0.51181102362204722" right="0.11811023622047245" top="0.39370078740157483" bottom="0.39370078740157483" header="0.31496062992125984" footer="0.19685039370078741"/>
  <pageSetup paperSize="9" scale="72" firstPageNumber="2" orientation="portrait" r:id="rId1"/>
  <headerFooter>
    <oddFooter>&amp;L&amp;"Arial,Italic"&amp;9AISHE 2022-23&amp;RT-49</oddFooter>
  </headerFooter>
  <rowBreaks count="3" manualBreakCount="3">
    <brk id="64" max="7" man="1"/>
    <brk id="123" max="7" man="1"/>
    <brk id="183" max="7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4522-F6A5-4EDF-A230-F237F6AF813A}">
  <sheetPr codeName="Sheet14">
    <tabColor rgb="FF92D050"/>
  </sheetPr>
  <dimension ref="A1:AC76"/>
  <sheetViews>
    <sheetView showZeros="0" view="pageBreakPreview" zoomScale="99" zoomScaleSheetLayoutView="99" workbookViewId="0">
      <pane xSplit="2" ySplit="3" topLeftCell="R4" activePane="bottomRight" state="frozen"/>
      <selection activeCell="S20" sqref="S20"/>
      <selection pane="topRight" activeCell="S20" sqref="S20"/>
      <selection pane="bottomLeft" activeCell="S20" sqref="S20"/>
      <selection pane="bottomRight" activeCell="T9" sqref="T9"/>
    </sheetView>
  </sheetViews>
  <sheetFormatPr defaultColWidth="9.1796875" defaultRowHeight="14" x14ac:dyDescent="0.35"/>
  <cols>
    <col min="1" max="1" width="4.453125" style="392" bestFit="1" customWidth="1"/>
    <col min="2" max="2" width="31.1796875" style="526" customWidth="1"/>
    <col min="3" max="3" width="9.6328125" style="1051" bestFit="1" customWidth="1"/>
    <col min="4" max="4" width="8.08984375" style="1051" bestFit="1" customWidth="1"/>
    <col min="5" max="5" width="9.6328125" style="1051" bestFit="1" customWidth="1"/>
    <col min="6" max="6" width="6.90625" style="1051" bestFit="1" customWidth="1"/>
    <col min="7" max="7" width="8.08984375" style="1051" bestFit="1" customWidth="1"/>
    <col min="8" max="8" width="8" style="1051" bestFit="1" customWidth="1"/>
    <col min="9" max="14" width="10.7265625" style="1051" bestFit="1" customWidth="1"/>
    <col min="15" max="15" width="8" style="1051" bestFit="1" customWidth="1"/>
    <col min="16" max="16" width="8.08984375" style="1051" bestFit="1" customWidth="1"/>
    <col min="17" max="20" width="9.6328125" style="1051" bestFit="1" customWidth="1"/>
    <col min="21" max="21" width="8" style="1051" bestFit="1" customWidth="1"/>
    <col min="22" max="22" width="8.08984375" style="1051" bestFit="1" customWidth="1"/>
    <col min="23" max="23" width="8" style="1051" bestFit="1" customWidth="1"/>
    <col min="24" max="24" width="9.6328125" style="1051" bestFit="1" customWidth="1"/>
    <col min="25" max="25" width="8.08984375" style="1051" bestFit="1" customWidth="1"/>
    <col min="26" max="26" width="9.6328125" style="1051" bestFit="1" customWidth="1"/>
    <col min="27" max="28" width="10.7265625" style="1051" bestFit="1" customWidth="1"/>
    <col min="29" max="29" width="12.36328125" style="1051" bestFit="1" customWidth="1"/>
    <col min="30" max="16384" width="9.1796875" style="526"/>
  </cols>
  <sheetData>
    <row r="1" spans="1:29" s="520" customFormat="1" ht="24.75" customHeight="1" x14ac:dyDescent="0.35">
      <c r="A1" s="504"/>
      <c r="B1" s="520" t="s">
        <v>988</v>
      </c>
      <c r="C1" s="1053" t="s">
        <v>1047</v>
      </c>
      <c r="D1" s="1053"/>
      <c r="E1" s="1053"/>
      <c r="F1" s="1053"/>
      <c r="G1" s="1053"/>
      <c r="H1" s="1053"/>
      <c r="I1" s="1053"/>
      <c r="J1" s="1053"/>
      <c r="K1" s="1053"/>
      <c r="L1" s="1053" t="str">
        <f>C1</f>
        <v>Enrolment Trends by University Type at Various Levels Over the Last 5 Years</v>
      </c>
      <c r="M1" s="1053"/>
      <c r="N1" s="1053"/>
      <c r="O1" s="1053"/>
      <c r="P1" s="1053"/>
      <c r="Q1" s="1053"/>
      <c r="R1" s="1053"/>
      <c r="S1" s="1053"/>
      <c r="T1" s="1053"/>
      <c r="U1" s="1053" t="str">
        <f>C1</f>
        <v>Enrolment Trends by University Type at Various Levels Over the Last 5 Years</v>
      </c>
      <c r="V1" s="1053"/>
      <c r="W1" s="1053"/>
      <c r="X1" s="1053"/>
      <c r="Y1" s="1053"/>
      <c r="Z1" s="1053"/>
      <c r="AA1" s="1053"/>
      <c r="AB1" s="1053"/>
      <c r="AC1" s="1070"/>
    </row>
    <row r="2" spans="1:29" s="529" customFormat="1" ht="21.75" customHeight="1" x14ac:dyDescent="0.35">
      <c r="A2" s="987" t="s">
        <v>974</v>
      </c>
      <c r="B2" s="986" t="s">
        <v>50</v>
      </c>
      <c r="C2" s="1071" t="s">
        <v>85</v>
      </c>
      <c r="D2" s="1072"/>
      <c r="E2" s="1072"/>
      <c r="F2" s="1071" t="s">
        <v>86</v>
      </c>
      <c r="G2" s="1072"/>
      <c r="H2" s="1072"/>
      <c r="I2" s="1071" t="s">
        <v>87</v>
      </c>
      <c r="J2" s="1072"/>
      <c r="K2" s="1072"/>
      <c r="L2" s="1071" t="s">
        <v>88</v>
      </c>
      <c r="M2" s="1072"/>
      <c r="N2" s="1072"/>
      <c r="O2" s="1071" t="s">
        <v>89</v>
      </c>
      <c r="P2" s="1072"/>
      <c r="Q2" s="1072"/>
      <c r="R2" s="1071" t="s">
        <v>90</v>
      </c>
      <c r="S2" s="1072"/>
      <c r="T2" s="1072"/>
      <c r="U2" s="1071" t="s">
        <v>91</v>
      </c>
      <c r="V2" s="1072"/>
      <c r="W2" s="1072"/>
      <c r="X2" s="1071" t="s">
        <v>92</v>
      </c>
      <c r="Y2" s="1072"/>
      <c r="Z2" s="1072"/>
      <c r="AA2" s="1071" t="s">
        <v>12</v>
      </c>
      <c r="AB2" s="1072"/>
      <c r="AC2" s="1072"/>
    </row>
    <row r="3" spans="1:29" s="529" customFormat="1" x14ac:dyDescent="0.35">
      <c r="A3" s="988"/>
      <c r="B3" s="989"/>
      <c r="C3" s="1073" t="s">
        <v>93</v>
      </c>
      <c r="D3" s="1073" t="s">
        <v>94</v>
      </c>
      <c r="E3" s="1073" t="s">
        <v>975</v>
      </c>
      <c r="F3" s="1073" t="s">
        <v>93</v>
      </c>
      <c r="G3" s="1073" t="s">
        <v>94</v>
      </c>
      <c r="H3" s="1073" t="s">
        <v>975</v>
      </c>
      <c r="I3" s="1073" t="s">
        <v>93</v>
      </c>
      <c r="J3" s="1073" t="s">
        <v>94</v>
      </c>
      <c r="K3" s="1073" t="s">
        <v>975</v>
      </c>
      <c r="L3" s="1073" t="s">
        <v>93</v>
      </c>
      <c r="M3" s="1073" t="s">
        <v>94</v>
      </c>
      <c r="N3" s="1073" t="s">
        <v>975</v>
      </c>
      <c r="O3" s="1073" t="s">
        <v>93</v>
      </c>
      <c r="P3" s="1073" t="s">
        <v>94</v>
      </c>
      <c r="Q3" s="1073" t="s">
        <v>975</v>
      </c>
      <c r="R3" s="1073" t="s">
        <v>93</v>
      </c>
      <c r="S3" s="1073" t="s">
        <v>94</v>
      </c>
      <c r="T3" s="1073" t="s">
        <v>975</v>
      </c>
      <c r="U3" s="1073" t="s">
        <v>93</v>
      </c>
      <c r="V3" s="1073" t="s">
        <v>94</v>
      </c>
      <c r="W3" s="1073" t="s">
        <v>975</v>
      </c>
      <c r="X3" s="1073" t="s">
        <v>93</v>
      </c>
      <c r="Y3" s="1073" t="s">
        <v>94</v>
      </c>
      <c r="Z3" s="1073" t="s">
        <v>975</v>
      </c>
      <c r="AA3" s="1073" t="s">
        <v>93</v>
      </c>
      <c r="AB3" s="1073" t="s">
        <v>94</v>
      </c>
      <c r="AC3" s="1074" t="s">
        <v>975</v>
      </c>
    </row>
    <row r="4" spans="1:29" s="529" customFormat="1" x14ac:dyDescent="0.35">
      <c r="A4" s="398">
        <v>1</v>
      </c>
      <c r="B4" s="411">
        <v>1</v>
      </c>
      <c r="C4" s="1075">
        <v>2</v>
      </c>
      <c r="D4" s="1076">
        <v>3</v>
      </c>
      <c r="E4" s="1075">
        <v>4</v>
      </c>
      <c r="F4" s="1076">
        <v>5</v>
      </c>
      <c r="G4" s="1075">
        <v>6</v>
      </c>
      <c r="H4" s="1076">
        <v>7</v>
      </c>
      <c r="I4" s="1075">
        <v>8</v>
      </c>
      <c r="J4" s="1076">
        <v>9</v>
      </c>
      <c r="K4" s="1075">
        <v>10</v>
      </c>
      <c r="L4" s="1076">
        <v>11</v>
      </c>
      <c r="M4" s="1075">
        <v>12</v>
      </c>
      <c r="N4" s="1076">
        <v>13</v>
      </c>
      <c r="O4" s="1075">
        <v>14</v>
      </c>
      <c r="P4" s="1076">
        <v>15</v>
      </c>
      <c r="Q4" s="1075">
        <v>16</v>
      </c>
      <c r="R4" s="1076">
        <v>17</v>
      </c>
      <c r="S4" s="1075">
        <v>18</v>
      </c>
      <c r="T4" s="1076">
        <v>19</v>
      </c>
      <c r="U4" s="1075">
        <v>20</v>
      </c>
      <c r="V4" s="1076">
        <v>21</v>
      </c>
      <c r="W4" s="1075">
        <v>22</v>
      </c>
      <c r="X4" s="1076">
        <v>23</v>
      </c>
      <c r="Y4" s="1075">
        <v>24</v>
      </c>
      <c r="Z4" s="1076">
        <v>25</v>
      </c>
      <c r="AA4" s="1075">
        <v>26</v>
      </c>
      <c r="AB4" s="1076">
        <v>27</v>
      </c>
      <c r="AC4" s="1075">
        <v>28</v>
      </c>
    </row>
    <row r="5" spans="1:29" ht="17.149999999999999" customHeight="1" x14ac:dyDescent="0.35">
      <c r="A5" s="963"/>
      <c r="B5" s="528" t="s">
        <v>989</v>
      </c>
      <c r="C5" s="1040"/>
      <c r="D5" s="1040"/>
      <c r="E5" s="1040"/>
      <c r="F5" s="1040"/>
      <c r="G5" s="1040"/>
      <c r="H5" s="1040"/>
      <c r="I5" s="1040"/>
      <c r="J5" s="1040"/>
      <c r="K5" s="1040"/>
      <c r="L5" s="1040"/>
      <c r="M5" s="1040"/>
      <c r="N5" s="1040"/>
      <c r="O5" s="1040"/>
      <c r="P5" s="1040"/>
      <c r="Q5" s="1040"/>
      <c r="R5" s="1040"/>
      <c r="S5" s="1040"/>
      <c r="T5" s="1040"/>
      <c r="U5" s="1040"/>
      <c r="V5" s="1040"/>
      <c r="W5" s="1040"/>
      <c r="X5" s="1040"/>
      <c r="Y5" s="1040"/>
      <c r="Z5" s="1040"/>
      <c r="AA5" s="1040"/>
      <c r="AB5" s="1040"/>
      <c r="AC5" s="1040"/>
    </row>
    <row r="6" spans="1:29" ht="17.149999999999999" customHeight="1" x14ac:dyDescent="0.35">
      <c r="A6" s="964"/>
      <c r="B6" s="528" t="s">
        <v>912</v>
      </c>
      <c r="C6" s="1040">
        <v>105923</v>
      </c>
      <c r="D6" s="1040">
        <v>93295</v>
      </c>
      <c r="E6" s="1040">
        <v>199218</v>
      </c>
      <c r="F6" s="1040">
        <v>791</v>
      </c>
      <c r="G6" s="1040">
        <v>1026</v>
      </c>
      <c r="H6" s="1040">
        <v>1817</v>
      </c>
      <c r="I6" s="1040">
        <v>1352797</v>
      </c>
      <c r="J6" s="1040">
        <v>1523456</v>
      </c>
      <c r="K6" s="1040">
        <v>2876253</v>
      </c>
      <c r="L6" s="1040">
        <v>3896566</v>
      </c>
      <c r="M6" s="1040">
        <v>2613121</v>
      </c>
      <c r="N6" s="1040">
        <v>6509687</v>
      </c>
      <c r="O6" s="1040">
        <v>61626</v>
      </c>
      <c r="P6" s="1040">
        <v>50765</v>
      </c>
      <c r="Q6" s="1040">
        <v>112391</v>
      </c>
      <c r="R6" s="1040">
        <v>207398</v>
      </c>
      <c r="S6" s="1040">
        <v>113690</v>
      </c>
      <c r="T6" s="1040">
        <v>321088</v>
      </c>
      <c r="U6" s="1040">
        <v>35122</v>
      </c>
      <c r="V6" s="1040">
        <v>22044</v>
      </c>
      <c r="W6" s="1040">
        <v>57166</v>
      </c>
      <c r="X6" s="1040">
        <v>123552</v>
      </c>
      <c r="Y6" s="1040">
        <v>98859</v>
      </c>
      <c r="Z6" s="1040">
        <v>222411</v>
      </c>
      <c r="AA6" s="1040">
        <v>5783775</v>
      </c>
      <c r="AB6" s="1040">
        <v>4516256</v>
      </c>
      <c r="AC6" s="1040">
        <v>10300031</v>
      </c>
    </row>
    <row r="7" spans="1:29" ht="17.149999999999999" customHeight="1" x14ac:dyDescent="0.35">
      <c r="A7" s="964"/>
      <c r="B7" s="528" t="s">
        <v>911</v>
      </c>
      <c r="C7" s="1040">
        <v>101088</v>
      </c>
      <c r="D7" s="1040">
        <v>83288</v>
      </c>
      <c r="E7" s="1040">
        <v>184376</v>
      </c>
      <c r="F7" s="1040">
        <v>2399</v>
      </c>
      <c r="G7" s="1040">
        <v>4124</v>
      </c>
      <c r="H7" s="1040">
        <v>6523</v>
      </c>
      <c r="I7" s="1040">
        <v>1233754</v>
      </c>
      <c r="J7" s="1040">
        <v>1328132</v>
      </c>
      <c r="K7" s="1040">
        <v>2561886</v>
      </c>
      <c r="L7" s="1040">
        <v>3796731</v>
      </c>
      <c r="M7" s="1040">
        <v>2438634</v>
      </c>
      <c r="N7" s="1040">
        <v>6235365</v>
      </c>
      <c r="O7" s="1040">
        <v>78555</v>
      </c>
      <c r="P7" s="1040">
        <v>61952</v>
      </c>
      <c r="Q7" s="1040">
        <v>140507</v>
      </c>
      <c r="R7" s="1040">
        <v>178134</v>
      </c>
      <c r="S7" s="1040">
        <v>99710</v>
      </c>
      <c r="T7" s="1040">
        <v>277844</v>
      </c>
      <c r="U7" s="1040">
        <v>20982</v>
      </c>
      <c r="V7" s="1040">
        <v>16307</v>
      </c>
      <c r="W7" s="1040">
        <v>37289</v>
      </c>
      <c r="X7" s="1040">
        <v>109312</v>
      </c>
      <c r="Y7" s="1040">
        <v>85243</v>
      </c>
      <c r="Z7" s="1040">
        <v>194555</v>
      </c>
      <c r="AA7" s="1040">
        <v>5520955</v>
      </c>
      <c r="AB7" s="1040">
        <v>4117390</v>
      </c>
      <c r="AC7" s="1040">
        <v>9638345</v>
      </c>
    </row>
    <row r="8" spans="1:29" ht="17.149999999999999" customHeight="1" x14ac:dyDescent="0.35">
      <c r="A8" s="964"/>
      <c r="B8" s="528" t="s">
        <v>910</v>
      </c>
      <c r="C8" s="1041">
        <v>101450</v>
      </c>
      <c r="D8" s="1041">
        <v>78880</v>
      </c>
      <c r="E8" s="1041">
        <v>180330</v>
      </c>
      <c r="F8" s="1041">
        <v>4654</v>
      </c>
      <c r="G8" s="1041">
        <v>7423</v>
      </c>
      <c r="H8" s="1041">
        <v>12077</v>
      </c>
      <c r="I8" s="1041">
        <v>1087884</v>
      </c>
      <c r="J8" s="1041">
        <v>1236301</v>
      </c>
      <c r="K8" s="1041">
        <v>2324185</v>
      </c>
      <c r="L8" s="1041">
        <v>3448134</v>
      </c>
      <c r="M8" s="1041">
        <v>2320019</v>
      </c>
      <c r="N8" s="1041">
        <v>5768153</v>
      </c>
      <c r="O8" s="1041">
        <v>95077</v>
      </c>
      <c r="P8" s="1041">
        <v>73561</v>
      </c>
      <c r="Q8" s="1041">
        <v>168638</v>
      </c>
      <c r="R8" s="1041">
        <v>188412</v>
      </c>
      <c r="S8" s="1041">
        <v>124219</v>
      </c>
      <c r="T8" s="1041">
        <v>312631</v>
      </c>
      <c r="U8" s="1041">
        <v>50842</v>
      </c>
      <c r="V8" s="1041">
        <v>33396</v>
      </c>
      <c r="W8" s="1041">
        <v>84238</v>
      </c>
      <c r="X8" s="1041">
        <v>102031</v>
      </c>
      <c r="Y8" s="1041">
        <v>75909</v>
      </c>
      <c r="Z8" s="1041">
        <v>177940</v>
      </c>
      <c r="AA8" s="1041">
        <v>5078484</v>
      </c>
      <c r="AB8" s="1041">
        <v>3949708</v>
      </c>
      <c r="AC8" s="1041">
        <v>9028192</v>
      </c>
    </row>
    <row r="9" spans="1:29" ht="17.149999999999999" customHeight="1" x14ac:dyDescent="0.35">
      <c r="A9" s="964"/>
      <c r="B9" s="528" t="s">
        <v>909</v>
      </c>
      <c r="C9" s="1041">
        <v>99659</v>
      </c>
      <c r="D9" s="1041">
        <v>78217</v>
      </c>
      <c r="E9" s="1041">
        <v>177876</v>
      </c>
      <c r="F9" s="1041">
        <v>6461</v>
      </c>
      <c r="G9" s="1041">
        <v>9413</v>
      </c>
      <c r="H9" s="1041">
        <v>15874</v>
      </c>
      <c r="I9" s="1041">
        <v>983466</v>
      </c>
      <c r="J9" s="1041">
        <v>1113085</v>
      </c>
      <c r="K9" s="1041">
        <v>2096551</v>
      </c>
      <c r="L9" s="1041">
        <v>3160539</v>
      </c>
      <c r="M9" s="1041">
        <v>2061807</v>
      </c>
      <c r="N9" s="1041">
        <v>5222346</v>
      </c>
      <c r="O9" s="1041">
        <v>74632</v>
      </c>
      <c r="P9" s="1041">
        <v>63053</v>
      </c>
      <c r="Q9" s="1041">
        <v>137685</v>
      </c>
      <c r="R9" s="1041">
        <v>171993</v>
      </c>
      <c r="S9" s="1041">
        <v>104165</v>
      </c>
      <c r="T9" s="1041">
        <v>276158</v>
      </c>
      <c r="U9" s="1041">
        <v>32798</v>
      </c>
      <c r="V9" s="1041">
        <v>28051</v>
      </c>
      <c r="W9" s="1041">
        <v>60849</v>
      </c>
      <c r="X9" s="1041">
        <v>87722</v>
      </c>
      <c r="Y9" s="1041">
        <v>63307</v>
      </c>
      <c r="Z9" s="1041">
        <v>151029</v>
      </c>
      <c r="AA9" s="1041">
        <v>4617270</v>
      </c>
      <c r="AB9" s="1041">
        <v>3521098</v>
      </c>
      <c r="AC9" s="1041">
        <v>8138368</v>
      </c>
    </row>
    <row r="10" spans="1:29" ht="17.149999999999999" customHeight="1" x14ac:dyDescent="0.35">
      <c r="A10" s="964"/>
      <c r="B10" s="528" t="s">
        <v>908</v>
      </c>
      <c r="C10" s="1040">
        <v>83960</v>
      </c>
      <c r="D10" s="1040">
        <v>62513</v>
      </c>
      <c r="E10" s="1040">
        <v>146473</v>
      </c>
      <c r="F10" s="1040">
        <v>7850</v>
      </c>
      <c r="G10" s="1040">
        <v>10799</v>
      </c>
      <c r="H10" s="1040">
        <v>18649</v>
      </c>
      <c r="I10" s="1040">
        <v>891697</v>
      </c>
      <c r="J10" s="1040">
        <v>997794</v>
      </c>
      <c r="K10" s="1040">
        <v>1889491</v>
      </c>
      <c r="L10" s="1040">
        <v>2928657</v>
      </c>
      <c r="M10" s="1040">
        <v>1898976</v>
      </c>
      <c r="N10" s="1040">
        <v>4827633</v>
      </c>
      <c r="O10" s="1040">
        <v>82634</v>
      </c>
      <c r="P10" s="1040">
        <v>67497</v>
      </c>
      <c r="Q10" s="1040">
        <v>150131</v>
      </c>
      <c r="R10" s="1040">
        <v>169584</v>
      </c>
      <c r="S10" s="1040">
        <v>93413</v>
      </c>
      <c r="T10" s="1040">
        <v>262997</v>
      </c>
      <c r="U10" s="1040">
        <v>30118</v>
      </c>
      <c r="V10" s="1040">
        <v>29173</v>
      </c>
      <c r="W10" s="1040">
        <v>59291</v>
      </c>
      <c r="X10" s="1040">
        <v>77518</v>
      </c>
      <c r="Y10" s="1040">
        <v>54612</v>
      </c>
      <c r="Z10" s="1040">
        <v>132130</v>
      </c>
      <c r="AA10" s="1040">
        <v>4272018</v>
      </c>
      <c r="AB10" s="1040">
        <v>3214777</v>
      </c>
      <c r="AC10" s="1040">
        <v>7486795</v>
      </c>
    </row>
    <row r="11" spans="1:29" ht="17.149999999999999" customHeight="1" x14ac:dyDescent="0.35">
      <c r="A11" s="963">
        <v>1</v>
      </c>
      <c r="B11" s="528" t="s">
        <v>2</v>
      </c>
      <c r="C11" s="632"/>
      <c r="D11" s="1040"/>
      <c r="E11" s="1040"/>
      <c r="F11" s="1040"/>
      <c r="G11" s="1040"/>
      <c r="H11" s="1040"/>
      <c r="I11" s="1040"/>
      <c r="J11" s="1040"/>
      <c r="K11" s="1040"/>
      <c r="L11" s="1040"/>
      <c r="M11" s="1040"/>
      <c r="N11" s="1040"/>
      <c r="O11" s="1040"/>
      <c r="P11" s="1040"/>
      <c r="Q11" s="1040"/>
      <c r="R11" s="1040"/>
      <c r="S11" s="1040"/>
      <c r="T11" s="1040"/>
      <c r="U11" s="1040"/>
      <c r="V11" s="1040"/>
      <c r="W11" s="1040"/>
      <c r="X11" s="1040"/>
      <c r="Y11" s="1040"/>
      <c r="Z11" s="1040"/>
      <c r="AA11" s="1040"/>
      <c r="AB11" s="1040"/>
      <c r="AC11" s="1040"/>
    </row>
    <row r="12" spans="1:29" ht="17.149999999999999" customHeight="1" x14ac:dyDescent="0.35">
      <c r="A12" s="964"/>
      <c r="B12" s="528" t="s">
        <v>912</v>
      </c>
      <c r="C12" s="1040">
        <v>15973</v>
      </c>
      <c r="D12" s="1040">
        <v>12933</v>
      </c>
      <c r="E12" s="1040">
        <v>28906</v>
      </c>
      <c r="F12" s="1040">
        <v>260</v>
      </c>
      <c r="G12" s="1040">
        <v>237</v>
      </c>
      <c r="H12" s="1040">
        <v>497</v>
      </c>
      <c r="I12" s="1040">
        <v>71432</v>
      </c>
      <c r="J12" s="1040">
        <v>69196</v>
      </c>
      <c r="K12" s="1040">
        <v>140628</v>
      </c>
      <c r="L12" s="1040">
        <v>272488</v>
      </c>
      <c r="M12" s="1040">
        <v>250704</v>
      </c>
      <c r="N12" s="1040">
        <v>523192</v>
      </c>
      <c r="O12" s="1040">
        <v>1863</v>
      </c>
      <c r="P12" s="1040">
        <v>2045</v>
      </c>
      <c r="Q12" s="1040">
        <v>3908</v>
      </c>
      <c r="R12" s="1040">
        <v>8156</v>
      </c>
      <c r="S12" s="1040">
        <v>2537</v>
      </c>
      <c r="T12" s="1040">
        <v>10693</v>
      </c>
      <c r="U12" s="1040">
        <v>3200</v>
      </c>
      <c r="V12" s="1040">
        <v>1310</v>
      </c>
      <c r="W12" s="1040">
        <v>4510</v>
      </c>
      <c r="X12" s="1040">
        <v>7318</v>
      </c>
      <c r="Y12" s="1040">
        <v>5904</v>
      </c>
      <c r="Z12" s="1040">
        <v>13222</v>
      </c>
      <c r="AA12" s="1040">
        <v>380690</v>
      </c>
      <c r="AB12" s="1040">
        <v>344866</v>
      </c>
      <c r="AC12" s="1040">
        <v>725556</v>
      </c>
    </row>
    <row r="13" spans="1:29" ht="17.149999999999999" customHeight="1" x14ac:dyDescent="0.35">
      <c r="A13" s="964"/>
      <c r="B13" s="528" t="s">
        <v>911</v>
      </c>
      <c r="C13" s="1040">
        <v>11695</v>
      </c>
      <c r="D13" s="1040">
        <v>10234</v>
      </c>
      <c r="E13" s="1040">
        <v>21929</v>
      </c>
      <c r="F13" s="1040">
        <v>735</v>
      </c>
      <c r="G13" s="1040">
        <v>713</v>
      </c>
      <c r="H13" s="1040">
        <v>1448</v>
      </c>
      <c r="I13" s="1040">
        <v>70543</v>
      </c>
      <c r="J13" s="1040">
        <v>68537</v>
      </c>
      <c r="K13" s="1040">
        <v>139080</v>
      </c>
      <c r="L13" s="1040">
        <v>269062</v>
      </c>
      <c r="M13" s="1040">
        <v>238949</v>
      </c>
      <c r="N13" s="1040">
        <v>508011</v>
      </c>
      <c r="O13" s="1040">
        <v>2700</v>
      </c>
      <c r="P13" s="1040">
        <v>2792</v>
      </c>
      <c r="Q13" s="1040">
        <v>5492</v>
      </c>
      <c r="R13" s="1040">
        <v>6997</v>
      </c>
      <c r="S13" s="1040">
        <v>2729</v>
      </c>
      <c r="T13" s="1040">
        <v>9726</v>
      </c>
      <c r="U13" s="1040">
        <v>2412</v>
      </c>
      <c r="V13" s="1040">
        <v>1025</v>
      </c>
      <c r="W13" s="1040">
        <v>3437</v>
      </c>
      <c r="X13" s="1040">
        <v>6780</v>
      </c>
      <c r="Y13" s="1040">
        <v>5362</v>
      </c>
      <c r="Z13" s="1040">
        <v>12142</v>
      </c>
      <c r="AA13" s="1040">
        <v>370924</v>
      </c>
      <c r="AB13" s="1040">
        <v>330341</v>
      </c>
      <c r="AC13" s="1040">
        <v>701265</v>
      </c>
    </row>
    <row r="14" spans="1:29" ht="17.149999999999999" customHeight="1" x14ac:dyDescent="0.35">
      <c r="A14" s="964"/>
      <c r="B14" s="528" t="s">
        <v>910</v>
      </c>
      <c r="C14" s="1077">
        <v>12485</v>
      </c>
      <c r="D14" s="1077">
        <v>10637</v>
      </c>
      <c r="E14" s="1077">
        <v>23122</v>
      </c>
      <c r="F14" s="1077">
        <v>1294</v>
      </c>
      <c r="G14" s="1077">
        <v>1127</v>
      </c>
      <c r="H14" s="1077">
        <v>2421</v>
      </c>
      <c r="I14" s="1077">
        <v>67880</v>
      </c>
      <c r="J14" s="1077">
        <v>65510</v>
      </c>
      <c r="K14" s="1077">
        <v>133390</v>
      </c>
      <c r="L14" s="1077">
        <v>266929</v>
      </c>
      <c r="M14" s="1077">
        <v>249701</v>
      </c>
      <c r="N14" s="1077">
        <v>516630</v>
      </c>
      <c r="O14" s="1077">
        <v>2492</v>
      </c>
      <c r="P14" s="1077">
        <v>1885</v>
      </c>
      <c r="Q14" s="1077">
        <v>4377</v>
      </c>
      <c r="R14" s="1077">
        <v>6165</v>
      </c>
      <c r="S14" s="1077">
        <v>2597</v>
      </c>
      <c r="T14" s="1077">
        <v>8762</v>
      </c>
      <c r="U14" s="1077">
        <v>2529</v>
      </c>
      <c r="V14" s="1077">
        <v>1296</v>
      </c>
      <c r="W14" s="1077">
        <v>3825</v>
      </c>
      <c r="X14" s="1077">
        <v>6316</v>
      </c>
      <c r="Y14" s="1077">
        <v>4933</v>
      </c>
      <c r="Z14" s="1077">
        <v>11249</v>
      </c>
      <c r="AA14" s="1077">
        <v>366090</v>
      </c>
      <c r="AB14" s="1077">
        <v>337686</v>
      </c>
      <c r="AC14" s="1077">
        <v>703776</v>
      </c>
    </row>
    <row r="15" spans="1:29" ht="17.149999999999999" customHeight="1" x14ac:dyDescent="0.35">
      <c r="A15" s="964"/>
      <c r="B15" s="528" t="s">
        <v>909</v>
      </c>
      <c r="C15" s="1041">
        <v>13253</v>
      </c>
      <c r="D15" s="1041">
        <v>10941</v>
      </c>
      <c r="E15" s="1041">
        <v>24194</v>
      </c>
      <c r="F15" s="1041">
        <v>1193</v>
      </c>
      <c r="G15" s="1041">
        <v>1083</v>
      </c>
      <c r="H15" s="1041">
        <v>2276</v>
      </c>
      <c r="I15" s="1041">
        <v>63195</v>
      </c>
      <c r="J15" s="1041">
        <v>60610</v>
      </c>
      <c r="K15" s="1041">
        <v>123805</v>
      </c>
      <c r="L15" s="1041">
        <v>277315</v>
      </c>
      <c r="M15" s="1041">
        <v>262955</v>
      </c>
      <c r="N15" s="1041">
        <v>540270</v>
      </c>
      <c r="O15" s="1041">
        <v>2713</v>
      </c>
      <c r="P15" s="1041">
        <v>2235</v>
      </c>
      <c r="Q15" s="1041">
        <v>4948</v>
      </c>
      <c r="R15" s="1041">
        <v>6127</v>
      </c>
      <c r="S15" s="1041">
        <v>2266</v>
      </c>
      <c r="T15" s="1041">
        <v>8393</v>
      </c>
      <c r="U15" s="1041">
        <v>3275</v>
      </c>
      <c r="V15" s="1041">
        <v>1497</v>
      </c>
      <c r="W15" s="1041">
        <v>4772</v>
      </c>
      <c r="X15" s="1041">
        <v>6295</v>
      </c>
      <c r="Y15" s="1041">
        <v>5072</v>
      </c>
      <c r="Z15" s="1041">
        <v>11367</v>
      </c>
      <c r="AA15" s="1041">
        <v>373366</v>
      </c>
      <c r="AB15" s="1041">
        <v>346659</v>
      </c>
      <c r="AC15" s="1041">
        <v>720025</v>
      </c>
    </row>
    <row r="16" spans="1:29" ht="17.149999999999999" customHeight="1" x14ac:dyDescent="0.35">
      <c r="A16" s="964"/>
      <c r="B16" s="528" t="s">
        <v>908</v>
      </c>
      <c r="C16" s="1040">
        <v>8618</v>
      </c>
      <c r="D16" s="1040">
        <v>6854</v>
      </c>
      <c r="E16" s="1040">
        <v>15472</v>
      </c>
      <c r="F16" s="1040">
        <v>2757</v>
      </c>
      <c r="G16" s="1040">
        <v>3050</v>
      </c>
      <c r="H16" s="1040">
        <v>5807</v>
      </c>
      <c r="I16" s="1040">
        <v>57351</v>
      </c>
      <c r="J16" s="1040">
        <v>51131</v>
      </c>
      <c r="K16" s="1040">
        <v>108482</v>
      </c>
      <c r="L16" s="1040">
        <v>282489</v>
      </c>
      <c r="M16" s="1040">
        <v>261661</v>
      </c>
      <c r="N16" s="1040">
        <v>544150</v>
      </c>
      <c r="O16" s="1040">
        <v>2675</v>
      </c>
      <c r="P16" s="1040">
        <v>1738</v>
      </c>
      <c r="Q16" s="1040">
        <v>4413</v>
      </c>
      <c r="R16" s="1040">
        <v>6708</v>
      </c>
      <c r="S16" s="1040">
        <v>2004</v>
      </c>
      <c r="T16" s="1040">
        <v>8712</v>
      </c>
      <c r="U16" s="1040">
        <v>3207</v>
      </c>
      <c r="V16" s="1040">
        <v>1261</v>
      </c>
      <c r="W16" s="1040">
        <v>4468</v>
      </c>
      <c r="X16" s="1040">
        <v>6982</v>
      </c>
      <c r="Y16" s="1040">
        <v>6096</v>
      </c>
      <c r="Z16" s="1040">
        <v>13078</v>
      </c>
      <c r="AA16" s="1040">
        <v>370787</v>
      </c>
      <c r="AB16" s="1040">
        <v>333795</v>
      </c>
      <c r="AC16" s="1040">
        <v>704582</v>
      </c>
    </row>
    <row r="17" spans="1:29" ht="17.149999999999999" customHeight="1" x14ac:dyDescent="0.35">
      <c r="A17" s="963">
        <v>2</v>
      </c>
      <c r="B17" s="528" t="s">
        <v>3</v>
      </c>
      <c r="C17" s="1040"/>
      <c r="D17" s="1040"/>
      <c r="E17" s="1040"/>
      <c r="F17" s="1040"/>
      <c r="G17" s="1040"/>
      <c r="H17" s="1040"/>
      <c r="I17" s="1040"/>
      <c r="J17" s="1040"/>
      <c r="K17" s="1040"/>
      <c r="L17" s="1040"/>
      <c r="M17" s="1040"/>
      <c r="N17" s="1040"/>
      <c r="O17" s="1040"/>
      <c r="P17" s="1040"/>
      <c r="Q17" s="1040"/>
      <c r="R17" s="1040"/>
      <c r="S17" s="1040"/>
      <c r="T17" s="1040"/>
      <c r="U17" s="1040"/>
      <c r="V17" s="1040"/>
      <c r="W17" s="1040"/>
      <c r="X17" s="1040"/>
      <c r="Y17" s="1040"/>
      <c r="Z17" s="1040"/>
      <c r="AA17" s="1040"/>
      <c r="AB17" s="1040"/>
      <c r="AC17" s="1040"/>
    </row>
    <row r="18" spans="1:29" ht="17.149999999999999" customHeight="1" x14ac:dyDescent="0.35">
      <c r="A18" s="964"/>
      <c r="B18" s="528" t="s">
        <v>912</v>
      </c>
      <c r="C18" s="1040">
        <v>77</v>
      </c>
      <c r="D18" s="1040">
        <v>105</v>
      </c>
      <c r="E18" s="1040">
        <v>182</v>
      </c>
      <c r="F18" s="1040">
        <v>0</v>
      </c>
      <c r="G18" s="1040"/>
      <c r="H18" s="1040"/>
      <c r="I18" s="1040">
        <v>196571</v>
      </c>
      <c r="J18" s="1040">
        <v>255345</v>
      </c>
      <c r="K18" s="1040">
        <v>451916</v>
      </c>
      <c r="L18" s="1040">
        <v>456539</v>
      </c>
      <c r="M18" s="1040">
        <v>288995</v>
      </c>
      <c r="N18" s="1040">
        <v>745534</v>
      </c>
      <c r="O18" s="1040">
        <v>16890</v>
      </c>
      <c r="P18" s="1040">
        <v>11623</v>
      </c>
      <c r="Q18" s="1040">
        <v>28513</v>
      </c>
      <c r="R18" s="1040">
        <v>8758</v>
      </c>
      <c r="S18" s="1040">
        <v>26601</v>
      </c>
      <c r="T18" s="1040">
        <v>35359</v>
      </c>
      <c r="U18" s="1040">
        <v>90</v>
      </c>
      <c r="V18" s="1040">
        <v>61</v>
      </c>
      <c r="W18" s="1040">
        <v>151</v>
      </c>
      <c r="X18" s="1040">
        <v>0</v>
      </c>
      <c r="Y18" s="1040"/>
      <c r="Z18" s="1040"/>
      <c r="AA18" s="1040">
        <v>678925</v>
      </c>
      <c r="AB18" s="1040">
        <v>582730</v>
      </c>
      <c r="AC18" s="1040">
        <v>1261655</v>
      </c>
    </row>
    <row r="19" spans="1:29" ht="17.149999999999999" customHeight="1" x14ac:dyDescent="0.35">
      <c r="A19" s="964"/>
      <c r="B19" s="528" t="s">
        <v>911</v>
      </c>
      <c r="C19" s="1040">
        <v>82</v>
      </c>
      <c r="D19" s="1040">
        <v>86</v>
      </c>
      <c r="E19" s="1040">
        <v>168</v>
      </c>
      <c r="F19" s="1040"/>
      <c r="G19" s="1040"/>
      <c r="H19" s="1040"/>
      <c r="I19" s="1040">
        <v>189475</v>
      </c>
      <c r="J19" s="1040">
        <v>242496</v>
      </c>
      <c r="K19" s="1040">
        <v>431971</v>
      </c>
      <c r="L19" s="1040">
        <v>471918</v>
      </c>
      <c r="M19" s="1040">
        <v>292603</v>
      </c>
      <c r="N19" s="1040">
        <v>764521</v>
      </c>
      <c r="O19" s="1040">
        <v>17230</v>
      </c>
      <c r="P19" s="1040">
        <v>11601</v>
      </c>
      <c r="Q19" s="1040">
        <v>28831</v>
      </c>
      <c r="R19" s="1040">
        <v>8938</v>
      </c>
      <c r="S19" s="1040">
        <v>26412</v>
      </c>
      <c r="T19" s="1040">
        <v>35350</v>
      </c>
      <c r="U19" s="1040"/>
      <c r="V19" s="1040"/>
      <c r="W19" s="1040"/>
      <c r="X19" s="1040"/>
      <c r="Y19" s="1040"/>
      <c r="Z19" s="1040"/>
      <c r="AA19" s="1040">
        <v>687643</v>
      </c>
      <c r="AB19" s="1040">
        <v>573198</v>
      </c>
      <c r="AC19" s="1040">
        <v>1260841</v>
      </c>
    </row>
    <row r="20" spans="1:29" ht="17.149999999999999" customHeight="1" x14ac:dyDescent="0.35">
      <c r="A20" s="964"/>
      <c r="B20" s="528" t="s">
        <v>910</v>
      </c>
      <c r="C20" s="1077">
        <v>66</v>
      </c>
      <c r="D20" s="1077">
        <v>99</v>
      </c>
      <c r="E20" s="1077">
        <v>165</v>
      </c>
      <c r="F20" s="1077">
        <v>0</v>
      </c>
      <c r="G20" s="1077">
        <v>0</v>
      </c>
      <c r="H20" s="1077">
        <v>0</v>
      </c>
      <c r="I20" s="1077">
        <v>183991</v>
      </c>
      <c r="J20" s="1077">
        <v>225191</v>
      </c>
      <c r="K20" s="1077">
        <v>409182</v>
      </c>
      <c r="L20" s="1077">
        <v>469328</v>
      </c>
      <c r="M20" s="1077">
        <v>271482</v>
      </c>
      <c r="N20" s="1077">
        <v>740810</v>
      </c>
      <c r="O20" s="1077">
        <v>25544</v>
      </c>
      <c r="P20" s="1077">
        <v>14798</v>
      </c>
      <c r="Q20" s="1077">
        <v>40342</v>
      </c>
      <c r="R20" s="1077">
        <v>19080</v>
      </c>
      <c r="S20" s="1077">
        <v>42707</v>
      </c>
      <c r="T20" s="1077">
        <v>61787</v>
      </c>
      <c r="U20" s="1077">
        <v>0</v>
      </c>
      <c r="V20" s="1077">
        <v>0</v>
      </c>
      <c r="W20" s="1077">
        <v>0</v>
      </c>
      <c r="X20" s="1077">
        <v>0</v>
      </c>
      <c r="Y20" s="1077">
        <v>0</v>
      </c>
      <c r="Z20" s="1077">
        <v>0</v>
      </c>
      <c r="AA20" s="1077">
        <v>698009</v>
      </c>
      <c r="AB20" s="1077">
        <v>554277</v>
      </c>
      <c r="AC20" s="1077">
        <v>1252286</v>
      </c>
    </row>
    <row r="21" spans="1:29" ht="17.149999999999999" customHeight="1" x14ac:dyDescent="0.35">
      <c r="A21" s="964"/>
      <c r="B21" s="528" t="s">
        <v>909</v>
      </c>
      <c r="C21" s="1041">
        <v>21</v>
      </c>
      <c r="D21" s="1041">
        <v>52</v>
      </c>
      <c r="E21" s="1041">
        <v>73</v>
      </c>
      <c r="F21" s="1041">
        <v>1</v>
      </c>
      <c r="G21" s="1041">
        <v>0</v>
      </c>
      <c r="H21" s="1041">
        <v>1</v>
      </c>
      <c r="I21" s="1041">
        <v>169982</v>
      </c>
      <c r="J21" s="1041">
        <v>226624</v>
      </c>
      <c r="K21" s="1041">
        <v>396606</v>
      </c>
      <c r="L21" s="1041">
        <v>447586</v>
      </c>
      <c r="M21" s="1041">
        <v>260436</v>
      </c>
      <c r="N21" s="1041">
        <v>708022</v>
      </c>
      <c r="O21" s="1041">
        <v>18123</v>
      </c>
      <c r="P21" s="1041">
        <v>10989</v>
      </c>
      <c r="Q21" s="1041">
        <v>29112</v>
      </c>
      <c r="R21" s="1041">
        <v>9732</v>
      </c>
      <c r="S21" s="1041">
        <v>23299</v>
      </c>
      <c r="T21" s="1041">
        <v>33031</v>
      </c>
      <c r="U21" s="1041">
        <v>223</v>
      </c>
      <c r="V21" s="1041">
        <v>268</v>
      </c>
      <c r="W21" s="1041">
        <v>491</v>
      </c>
      <c r="X21" s="1041">
        <v>0</v>
      </c>
      <c r="Y21" s="1041">
        <v>0</v>
      </c>
      <c r="Z21" s="1041">
        <v>0</v>
      </c>
      <c r="AA21" s="1041">
        <v>645668</v>
      </c>
      <c r="AB21" s="1041">
        <v>521668</v>
      </c>
      <c r="AC21" s="1041">
        <v>1167336</v>
      </c>
    </row>
    <row r="22" spans="1:29" ht="17.149999999999999" customHeight="1" x14ac:dyDescent="0.35">
      <c r="A22" s="964"/>
      <c r="B22" s="528" t="s">
        <v>908</v>
      </c>
      <c r="C22" s="1040">
        <v>67</v>
      </c>
      <c r="D22" s="1040">
        <v>63</v>
      </c>
      <c r="E22" s="1040">
        <v>130</v>
      </c>
      <c r="F22" s="1040">
        <v>11</v>
      </c>
      <c r="G22" s="1040">
        <v>13</v>
      </c>
      <c r="H22" s="1040">
        <v>24</v>
      </c>
      <c r="I22" s="1040">
        <v>153742</v>
      </c>
      <c r="J22" s="1040">
        <v>202662</v>
      </c>
      <c r="K22" s="1040">
        <v>356404</v>
      </c>
      <c r="L22" s="1040">
        <v>395161</v>
      </c>
      <c r="M22" s="1040">
        <v>231907</v>
      </c>
      <c r="N22" s="1040">
        <v>627068</v>
      </c>
      <c r="O22" s="1040">
        <v>17723</v>
      </c>
      <c r="P22" s="1040">
        <v>10389</v>
      </c>
      <c r="Q22" s="1040">
        <v>28112</v>
      </c>
      <c r="R22" s="1040">
        <v>9074</v>
      </c>
      <c r="S22" s="1040">
        <v>13581</v>
      </c>
      <c r="T22" s="1040">
        <v>22655</v>
      </c>
      <c r="U22" s="1040">
        <v>383</v>
      </c>
      <c r="V22" s="1040">
        <v>305</v>
      </c>
      <c r="W22" s="1040">
        <v>688</v>
      </c>
      <c r="X22" s="1040">
        <v>0</v>
      </c>
      <c r="Y22" s="1040">
        <v>0</v>
      </c>
      <c r="Z22" s="1040">
        <v>0</v>
      </c>
      <c r="AA22" s="1040">
        <v>576161</v>
      </c>
      <c r="AB22" s="1040">
        <v>458920</v>
      </c>
      <c r="AC22" s="1040">
        <v>1035081</v>
      </c>
    </row>
    <row r="23" spans="1:29" ht="17.149999999999999" customHeight="1" x14ac:dyDescent="0.35">
      <c r="A23" s="963">
        <v>3</v>
      </c>
      <c r="B23" s="528" t="s">
        <v>4</v>
      </c>
      <c r="C23" s="1040"/>
      <c r="D23" s="1040"/>
      <c r="E23" s="1040"/>
      <c r="F23" s="1040"/>
      <c r="G23" s="1040"/>
      <c r="H23" s="1040"/>
      <c r="I23" s="1040"/>
      <c r="J23" s="1040"/>
      <c r="K23" s="1040"/>
      <c r="L23" s="1040"/>
      <c r="M23" s="1040"/>
      <c r="N23" s="1040"/>
      <c r="O23" s="1040"/>
      <c r="P23" s="1040"/>
      <c r="Q23" s="1040"/>
      <c r="R23" s="1040"/>
      <c r="S23" s="1040"/>
      <c r="T23" s="1040"/>
      <c r="U23" s="1040"/>
      <c r="V23" s="1040"/>
      <c r="W23" s="1040"/>
      <c r="X23" s="1040"/>
      <c r="Y23" s="1040"/>
      <c r="Z23" s="1040"/>
      <c r="AA23" s="1040"/>
      <c r="AB23" s="1040"/>
      <c r="AC23" s="1040"/>
    </row>
    <row r="24" spans="1:29" ht="17.149999999999999" customHeight="1" x14ac:dyDescent="0.35">
      <c r="A24" s="964"/>
      <c r="B24" s="528" t="s">
        <v>912</v>
      </c>
      <c r="C24" s="1040">
        <v>27745</v>
      </c>
      <c r="D24" s="1040">
        <v>14203</v>
      </c>
      <c r="E24" s="1040">
        <v>41948</v>
      </c>
      <c r="F24" s="1040">
        <v>71</v>
      </c>
      <c r="G24" s="1040">
        <v>78</v>
      </c>
      <c r="H24" s="1040">
        <v>149</v>
      </c>
      <c r="I24" s="1040">
        <v>57976</v>
      </c>
      <c r="J24" s="1040">
        <v>24602</v>
      </c>
      <c r="K24" s="1040">
        <v>82578</v>
      </c>
      <c r="L24" s="1040">
        <v>143864</v>
      </c>
      <c r="M24" s="1040">
        <v>50415</v>
      </c>
      <c r="N24" s="1040">
        <v>194279</v>
      </c>
      <c r="O24" s="1040">
        <v>312</v>
      </c>
      <c r="P24" s="1040">
        <v>172</v>
      </c>
      <c r="Q24" s="1040">
        <v>484</v>
      </c>
      <c r="R24" s="1040">
        <v>5793</v>
      </c>
      <c r="S24" s="1040">
        <v>2267</v>
      </c>
      <c r="T24" s="1040">
        <v>8060</v>
      </c>
      <c r="U24" s="1040">
        <v>14473</v>
      </c>
      <c r="V24" s="1040">
        <v>5534</v>
      </c>
      <c r="W24" s="1040">
        <v>20007</v>
      </c>
      <c r="X24" s="1040">
        <v>16559</v>
      </c>
      <c r="Y24" s="1040">
        <v>6678</v>
      </c>
      <c r="Z24" s="1040">
        <v>23237</v>
      </c>
      <c r="AA24" s="1040">
        <v>266793</v>
      </c>
      <c r="AB24" s="1040">
        <v>103949</v>
      </c>
      <c r="AC24" s="1040">
        <v>370742</v>
      </c>
    </row>
    <row r="25" spans="1:29" ht="17.149999999999999" customHeight="1" x14ac:dyDescent="0.35">
      <c r="A25" s="964"/>
      <c r="B25" s="528" t="s">
        <v>911</v>
      </c>
      <c r="C25" s="1040">
        <v>28783</v>
      </c>
      <c r="D25" s="1040">
        <v>13904</v>
      </c>
      <c r="E25" s="1040">
        <v>42687</v>
      </c>
      <c r="F25" s="1040">
        <v>48</v>
      </c>
      <c r="G25" s="1040">
        <v>118</v>
      </c>
      <c r="H25" s="1040">
        <v>166</v>
      </c>
      <c r="I25" s="1040">
        <v>55712</v>
      </c>
      <c r="J25" s="1040">
        <v>22568</v>
      </c>
      <c r="K25" s="1040">
        <v>78280</v>
      </c>
      <c r="L25" s="1040">
        <v>134370</v>
      </c>
      <c r="M25" s="1040">
        <v>44912</v>
      </c>
      <c r="N25" s="1040">
        <v>179282</v>
      </c>
      <c r="O25" s="1040">
        <v>771</v>
      </c>
      <c r="P25" s="1040">
        <v>263</v>
      </c>
      <c r="Q25" s="1040">
        <v>1034</v>
      </c>
      <c r="R25" s="1040">
        <v>415</v>
      </c>
      <c r="S25" s="1040">
        <v>175</v>
      </c>
      <c r="T25" s="1040">
        <v>590</v>
      </c>
      <c r="U25" s="1040">
        <v>1370</v>
      </c>
      <c r="V25" s="1040">
        <v>724</v>
      </c>
      <c r="W25" s="1040">
        <v>2094</v>
      </c>
      <c r="X25" s="1040">
        <v>15741</v>
      </c>
      <c r="Y25" s="1040">
        <v>5858</v>
      </c>
      <c r="Z25" s="1040">
        <v>21599</v>
      </c>
      <c r="AA25" s="1040">
        <v>237210</v>
      </c>
      <c r="AB25" s="1040">
        <v>88522</v>
      </c>
      <c r="AC25" s="1040">
        <v>325732</v>
      </c>
    </row>
    <row r="26" spans="1:29" ht="17.149999999999999" customHeight="1" x14ac:dyDescent="0.35">
      <c r="A26" s="964"/>
      <c r="B26" s="528" t="s">
        <v>910</v>
      </c>
      <c r="C26" s="1077">
        <v>28930</v>
      </c>
      <c r="D26" s="1077">
        <v>13277</v>
      </c>
      <c r="E26" s="1077">
        <v>42207</v>
      </c>
      <c r="F26" s="1077">
        <v>56</v>
      </c>
      <c r="G26" s="1077">
        <v>189</v>
      </c>
      <c r="H26" s="1077">
        <v>245</v>
      </c>
      <c r="I26" s="1077">
        <v>49411</v>
      </c>
      <c r="J26" s="1077">
        <v>19698</v>
      </c>
      <c r="K26" s="1077">
        <v>69109</v>
      </c>
      <c r="L26" s="1077">
        <v>127616</v>
      </c>
      <c r="M26" s="1077">
        <v>39382</v>
      </c>
      <c r="N26" s="1077">
        <v>166998</v>
      </c>
      <c r="O26" s="1077">
        <v>1230</v>
      </c>
      <c r="P26" s="1077">
        <v>510</v>
      </c>
      <c r="Q26" s="1077">
        <v>1740</v>
      </c>
      <c r="R26" s="1077">
        <v>355</v>
      </c>
      <c r="S26" s="1077">
        <v>153</v>
      </c>
      <c r="T26" s="1077">
        <v>508</v>
      </c>
      <c r="U26" s="1077">
        <v>2036</v>
      </c>
      <c r="V26" s="1077">
        <v>740</v>
      </c>
      <c r="W26" s="1077">
        <v>2776</v>
      </c>
      <c r="X26" s="1077">
        <v>17467</v>
      </c>
      <c r="Y26" s="1077">
        <v>5463</v>
      </c>
      <c r="Z26" s="1077">
        <v>22930</v>
      </c>
      <c r="AA26" s="1077">
        <v>227101</v>
      </c>
      <c r="AB26" s="1077">
        <v>79412</v>
      </c>
      <c r="AC26" s="1077">
        <v>306513</v>
      </c>
    </row>
    <row r="27" spans="1:29" ht="17.149999999999999" customHeight="1" x14ac:dyDescent="0.35">
      <c r="A27" s="964"/>
      <c r="B27" s="528" t="s">
        <v>909</v>
      </c>
      <c r="C27" s="1041">
        <v>27993</v>
      </c>
      <c r="D27" s="1041">
        <v>13305</v>
      </c>
      <c r="E27" s="1041">
        <v>41298</v>
      </c>
      <c r="F27" s="1041">
        <v>78</v>
      </c>
      <c r="G27" s="1041">
        <v>172</v>
      </c>
      <c r="H27" s="1041">
        <v>250</v>
      </c>
      <c r="I27" s="1041">
        <v>62418</v>
      </c>
      <c r="J27" s="1041">
        <v>51405</v>
      </c>
      <c r="K27" s="1041">
        <v>83823</v>
      </c>
      <c r="L27" s="1041">
        <v>112467</v>
      </c>
      <c r="M27" s="1041">
        <v>32401</v>
      </c>
      <c r="N27" s="1041">
        <v>144868</v>
      </c>
      <c r="O27" s="1041">
        <v>992</v>
      </c>
      <c r="P27" s="1041">
        <v>517</v>
      </c>
      <c r="Q27" s="1041">
        <v>1509</v>
      </c>
      <c r="R27" s="1041">
        <v>242</v>
      </c>
      <c r="S27" s="1041">
        <v>90</v>
      </c>
      <c r="T27" s="1041">
        <v>332</v>
      </c>
      <c r="U27" s="1041">
        <v>1775</v>
      </c>
      <c r="V27" s="1041">
        <v>567</v>
      </c>
      <c r="W27" s="1041">
        <v>2342</v>
      </c>
      <c r="X27" s="1041">
        <v>14819</v>
      </c>
      <c r="Y27" s="1041">
        <v>4095</v>
      </c>
      <c r="Z27" s="1041">
        <v>18914</v>
      </c>
      <c r="AA27" s="1041">
        <v>220784</v>
      </c>
      <c r="AB27" s="1041">
        <v>72552</v>
      </c>
      <c r="AC27" s="1041">
        <v>293336</v>
      </c>
    </row>
    <row r="28" spans="1:29" ht="17.149999999999999" customHeight="1" x14ac:dyDescent="0.35">
      <c r="A28" s="964"/>
      <c r="B28" s="528" t="s">
        <v>908</v>
      </c>
      <c r="C28" s="1040">
        <v>21670</v>
      </c>
      <c r="D28" s="1040">
        <v>10036</v>
      </c>
      <c r="E28" s="1040">
        <v>31706</v>
      </c>
      <c r="F28" s="1040">
        <v>32</v>
      </c>
      <c r="G28" s="1040">
        <v>64</v>
      </c>
      <c r="H28" s="1040">
        <v>96</v>
      </c>
      <c r="I28" s="1040">
        <v>37382</v>
      </c>
      <c r="J28" s="1040">
        <v>12819</v>
      </c>
      <c r="K28" s="1040">
        <v>50201</v>
      </c>
      <c r="L28" s="1040">
        <v>96724</v>
      </c>
      <c r="M28" s="1040">
        <v>26736</v>
      </c>
      <c r="N28" s="1040">
        <v>123460</v>
      </c>
      <c r="O28" s="1040">
        <v>1882</v>
      </c>
      <c r="P28" s="1040">
        <v>575</v>
      </c>
      <c r="Q28" s="1040">
        <v>2457</v>
      </c>
      <c r="R28" s="1040">
        <v>14</v>
      </c>
      <c r="S28" s="1040">
        <v>58</v>
      </c>
      <c r="T28" s="1040">
        <v>72</v>
      </c>
      <c r="U28" s="1040">
        <v>1793</v>
      </c>
      <c r="V28" s="1040">
        <v>544</v>
      </c>
      <c r="W28" s="1040">
        <v>2337</v>
      </c>
      <c r="X28" s="1040">
        <v>14255</v>
      </c>
      <c r="Y28" s="1040">
        <v>3847</v>
      </c>
      <c r="Z28" s="1040">
        <v>18102</v>
      </c>
      <c r="AA28" s="1040">
        <v>173752</v>
      </c>
      <c r="AB28" s="1040">
        <v>54679</v>
      </c>
      <c r="AC28" s="1040">
        <v>228431</v>
      </c>
    </row>
    <row r="29" spans="1:29" ht="17.149999999999999" customHeight="1" x14ac:dyDescent="0.35">
      <c r="A29" s="963">
        <v>4</v>
      </c>
      <c r="B29" s="528" t="s">
        <v>10</v>
      </c>
      <c r="C29" s="1040"/>
      <c r="D29" s="1040"/>
      <c r="E29" s="1040"/>
      <c r="F29" s="1040"/>
      <c r="G29" s="1040"/>
      <c r="H29" s="1040"/>
      <c r="I29" s="1040"/>
      <c r="J29" s="1040"/>
      <c r="K29" s="1040"/>
      <c r="L29" s="1040"/>
      <c r="M29" s="1040"/>
      <c r="N29" s="1040"/>
      <c r="O29" s="1040"/>
      <c r="P29" s="1040"/>
      <c r="Q29" s="1040"/>
      <c r="R29" s="1040"/>
      <c r="S29" s="1040"/>
      <c r="T29" s="1040"/>
      <c r="U29" s="1040"/>
      <c r="V29" s="1040"/>
      <c r="W29" s="1040"/>
      <c r="X29" s="1040"/>
      <c r="Y29" s="1040"/>
      <c r="Z29" s="1040"/>
      <c r="AA29" s="1040"/>
      <c r="AB29" s="1040"/>
      <c r="AC29" s="1040"/>
    </row>
    <row r="30" spans="1:29" ht="17.149999999999999" customHeight="1" x14ac:dyDescent="0.35">
      <c r="A30" s="964"/>
      <c r="B30" s="528" t="s">
        <v>912</v>
      </c>
      <c r="C30" s="1040">
        <v>3157</v>
      </c>
      <c r="D30" s="1040">
        <v>1944</v>
      </c>
      <c r="E30" s="1040">
        <v>5101</v>
      </c>
      <c r="F30" s="1040">
        <v>12</v>
      </c>
      <c r="G30" s="1040">
        <v>30</v>
      </c>
      <c r="H30" s="1040">
        <v>42</v>
      </c>
      <c r="I30" s="1040">
        <v>6084</v>
      </c>
      <c r="J30" s="1040">
        <v>3338</v>
      </c>
      <c r="K30" s="1040">
        <v>9422</v>
      </c>
      <c r="L30" s="1040">
        <v>9191</v>
      </c>
      <c r="M30" s="1040">
        <v>3145</v>
      </c>
      <c r="N30" s="1040">
        <v>12336</v>
      </c>
      <c r="O30" s="1040">
        <v>461</v>
      </c>
      <c r="P30" s="1040">
        <v>174</v>
      </c>
      <c r="Q30" s="1040">
        <v>635</v>
      </c>
      <c r="R30" s="1040">
        <v>1276</v>
      </c>
      <c r="S30" s="1040">
        <v>406</v>
      </c>
      <c r="T30" s="1040">
        <v>1682</v>
      </c>
      <c r="U30" s="1040">
        <v>342</v>
      </c>
      <c r="V30" s="1040">
        <v>159</v>
      </c>
      <c r="W30" s="1040">
        <v>501</v>
      </c>
      <c r="X30" s="1040">
        <v>917</v>
      </c>
      <c r="Y30" s="1040">
        <v>332</v>
      </c>
      <c r="Z30" s="1040">
        <v>1249</v>
      </c>
      <c r="AA30" s="1040">
        <v>21440</v>
      </c>
      <c r="AB30" s="1040">
        <v>9528</v>
      </c>
      <c r="AC30" s="1040">
        <v>30968</v>
      </c>
    </row>
    <row r="31" spans="1:29" ht="17.149999999999999" customHeight="1" x14ac:dyDescent="0.35">
      <c r="A31" s="964"/>
      <c r="B31" s="528" t="s">
        <v>911</v>
      </c>
      <c r="C31" s="1040">
        <v>3860</v>
      </c>
      <c r="D31" s="1040">
        <v>2150</v>
      </c>
      <c r="E31" s="1040">
        <v>6010</v>
      </c>
      <c r="F31" s="1040">
        <v>16</v>
      </c>
      <c r="G31" s="1040">
        <v>26</v>
      </c>
      <c r="H31" s="1040">
        <v>42</v>
      </c>
      <c r="I31" s="1040">
        <v>6317</v>
      </c>
      <c r="J31" s="1040">
        <v>3360</v>
      </c>
      <c r="K31" s="1040">
        <v>9677</v>
      </c>
      <c r="L31" s="1040">
        <v>8896</v>
      </c>
      <c r="M31" s="1040">
        <v>2759</v>
      </c>
      <c r="N31" s="1040">
        <v>11655</v>
      </c>
      <c r="O31" s="1040">
        <v>559</v>
      </c>
      <c r="P31" s="1040">
        <v>202</v>
      </c>
      <c r="Q31" s="1040">
        <v>761</v>
      </c>
      <c r="R31" s="1040">
        <v>1306</v>
      </c>
      <c r="S31" s="1040">
        <v>400</v>
      </c>
      <c r="T31" s="1040">
        <v>1706</v>
      </c>
      <c r="U31" s="1040">
        <v>350</v>
      </c>
      <c r="V31" s="1040">
        <v>139</v>
      </c>
      <c r="W31" s="1040">
        <v>489</v>
      </c>
      <c r="X31" s="1040">
        <v>369</v>
      </c>
      <c r="Y31" s="1040">
        <v>110</v>
      </c>
      <c r="Z31" s="1040">
        <v>479</v>
      </c>
      <c r="AA31" s="1040">
        <v>21673</v>
      </c>
      <c r="AB31" s="1040">
        <v>9146</v>
      </c>
      <c r="AC31" s="1040">
        <v>30819</v>
      </c>
    </row>
    <row r="32" spans="1:29" ht="17.149999999999999" customHeight="1" x14ac:dyDescent="0.35">
      <c r="A32" s="964"/>
      <c r="B32" s="528" t="s">
        <v>910</v>
      </c>
      <c r="C32" s="1041">
        <v>3813</v>
      </c>
      <c r="D32" s="1041">
        <v>2016</v>
      </c>
      <c r="E32" s="1041">
        <v>5829</v>
      </c>
      <c r="F32" s="1041">
        <v>57</v>
      </c>
      <c r="G32" s="1041">
        <v>54</v>
      </c>
      <c r="H32" s="1041">
        <v>111</v>
      </c>
      <c r="I32" s="1041">
        <v>8290</v>
      </c>
      <c r="J32" s="1041">
        <v>4613</v>
      </c>
      <c r="K32" s="1041">
        <v>12903</v>
      </c>
      <c r="L32" s="1041">
        <v>11192</v>
      </c>
      <c r="M32" s="1041">
        <v>5074</v>
      </c>
      <c r="N32" s="1041">
        <v>16266</v>
      </c>
      <c r="O32" s="1041">
        <v>597</v>
      </c>
      <c r="P32" s="1041">
        <v>218</v>
      </c>
      <c r="Q32" s="1041">
        <v>815</v>
      </c>
      <c r="R32" s="1041">
        <v>1576</v>
      </c>
      <c r="S32" s="1041">
        <v>460</v>
      </c>
      <c r="T32" s="1041">
        <v>2036</v>
      </c>
      <c r="U32" s="1041">
        <v>494</v>
      </c>
      <c r="V32" s="1041">
        <v>251</v>
      </c>
      <c r="W32" s="1041">
        <v>745</v>
      </c>
      <c r="X32" s="1041">
        <v>973</v>
      </c>
      <c r="Y32" s="1041">
        <v>224</v>
      </c>
      <c r="Z32" s="1041">
        <v>1197</v>
      </c>
      <c r="AA32" s="1041">
        <v>26992</v>
      </c>
      <c r="AB32" s="1041">
        <v>12910</v>
      </c>
      <c r="AC32" s="1041">
        <v>39902</v>
      </c>
    </row>
    <row r="33" spans="1:29" ht="17.149999999999999" customHeight="1" x14ac:dyDescent="0.35">
      <c r="A33" s="964"/>
      <c r="B33" s="528" t="s">
        <v>909</v>
      </c>
      <c r="C33" s="1041">
        <v>5341</v>
      </c>
      <c r="D33" s="1041">
        <v>2627</v>
      </c>
      <c r="E33" s="1041">
        <v>7968</v>
      </c>
      <c r="F33" s="1041">
        <v>138</v>
      </c>
      <c r="G33" s="1041">
        <v>144</v>
      </c>
      <c r="H33" s="1041">
        <v>282</v>
      </c>
      <c r="I33" s="1041">
        <v>7663</v>
      </c>
      <c r="J33" s="1041">
        <v>4793</v>
      </c>
      <c r="K33" s="1041">
        <v>12456</v>
      </c>
      <c r="L33" s="1041">
        <v>10000</v>
      </c>
      <c r="M33" s="1041">
        <v>4539</v>
      </c>
      <c r="N33" s="1041">
        <v>14539</v>
      </c>
      <c r="O33" s="1041">
        <v>488</v>
      </c>
      <c r="P33" s="1041">
        <v>239</v>
      </c>
      <c r="Q33" s="1041">
        <v>727</v>
      </c>
      <c r="R33" s="1041">
        <v>1609</v>
      </c>
      <c r="S33" s="1041">
        <v>515</v>
      </c>
      <c r="T33" s="1041">
        <v>2124</v>
      </c>
      <c r="U33" s="1041">
        <v>374</v>
      </c>
      <c r="V33" s="1041">
        <v>187</v>
      </c>
      <c r="W33" s="1041">
        <v>561</v>
      </c>
      <c r="X33" s="1041">
        <v>839</v>
      </c>
      <c r="Y33" s="1041">
        <v>231</v>
      </c>
      <c r="Z33" s="1041">
        <v>1070</v>
      </c>
      <c r="AA33" s="1041">
        <v>26452</v>
      </c>
      <c r="AB33" s="1041">
        <v>13275</v>
      </c>
      <c r="AC33" s="1041">
        <v>39727</v>
      </c>
    </row>
    <row r="34" spans="1:29" ht="17.149999999999999" customHeight="1" x14ac:dyDescent="0.35">
      <c r="A34" s="964"/>
      <c r="B34" s="528" t="s">
        <v>908</v>
      </c>
      <c r="C34" s="1040">
        <v>5214</v>
      </c>
      <c r="D34" s="1040">
        <v>2458</v>
      </c>
      <c r="E34" s="1040">
        <v>7672</v>
      </c>
      <c r="F34" s="1040">
        <v>202</v>
      </c>
      <c r="G34" s="1040">
        <v>158</v>
      </c>
      <c r="H34" s="1040">
        <v>360</v>
      </c>
      <c r="I34" s="1040">
        <v>6306</v>
      </c>
      <c r="J34" s="1040">
        <v>4171</v>
      </c>
      <c r="K34" s="1040">
        <v>10477</v>
      </c>
      <c r="L34" s="1040">
        <v>9881</v>
      </c>
      <c r="M34" s="1040">
        <v>4607</v>
      </c>
      <c r="N34" s="1040">
        <v>14488</v>
      </c>
      <c r="O34" s="1040">
        <v>502</v>
      </c>
      <c r="P34" s="1040">
        <v>261</v>
      </c>
      <c r="Q34" s="1040">
        <v>763</v>
      </c>
      <c r="R34" s="1040">
        <v>1828</v>
      </c>
      <c r="S34" s="1040">
        <v>576</v>
      </c>
      <c r="T34" s="1040">
        <v>2404</v>
      </c>
      <c r="U34" s="1040">
        <v>354</v>
      </c>
      <c r="V34" s="1040">
        <v>118</v>
      </c>
      <c r="W34" s="1040">
        <v>472</v>
      </c>
      <c r="X34" s="1040">
        <v>625</v>
      </c>
      <c r="Y34" s="1040">
        <v>235</v>
      </c>
      <c r="Z34" s="1040">
        <v>860</v>
      </c>
      <c r="AA34" s="1040">
        <v>24912</v>
      </c>
      <c r="AB34" s="1040">
        <v>12584</v>
      </c>
      <c r="AC34" s="1040">
        <v>37496</v>
      </c>
    </row>
    <row r="35" spans="1:29" ht="17.149999999999999" customHeight="1" x14ac:dyDescent="0.35">
      <c r="A35" s="963">
        <v>5</v>
      </c>
      <c r="B35" s="528" t="s">
        <v>5</v>
      </c>
      <c r="C35" s="1040"/>
      <c r="D35" s="1040"/>
      <c r="E35" s="1040"/>
      <c r="F35" s="1040"/>
      <c r="G35" s="1040"/>
      <c r="H35" s="1040"/>
      <c r="I35" s="1040"/>
      <c r="J35" s="1040"/>
      <c r="K35" s="1040"/>
      <c r="L35" s="1040"/>
      <c r="M35" s="1040"/>
      <c r="N35" s="1040"/>
      <c r="O35" s="1040"/>
      <c r="P35" s="1040"/>
      <c r="Q35" s="1040"/>
      <c r="R35" s="1040"/>
      <c r="S35" s="1040"/>
      <c r="T35" s="1040"/>
      <c r="U35" s="1040"/>
      <c r="V35" s="1040"/>
      <c r="W35" s="1040"/>
      <c r="X35" s="1040"/>
      <c r="Y35" s="1040"/>
      <c r="Z35" s="1040"/>
      <c r="AA35" s="1040"/>
      <c r="AB35" s="1040"/>
      <c r="AC35" s="1040"/>
    </row>
    <row r="36" spans="1:29" ht="17.149999999999999" customHeight="1" x14ac:dyDescent="0.35">
      <c r="A36" s="964"/>
      <c r="B36" s="528" t="s">
        <v>912</v>
      </c>
      <c r="C36" s="1040">
        <v>25621</v>
      </c>
      <c r="D36" s="1040">
        <v>25750</v>
      </c>
      <c r="E36" s="1040">
        <v>51371</v>
      </c>
      <c r="F36" s="1040">
        <v>354</v>
      </c>
      <c r="G36" s="1040">
        <v>358</v>
      </c>
      <c r="H36" s="1040">
        <v>712</v>
      </c>
      <c r="I36" s="1040">
        <v>483806</v>
      </c>
      <c r="J36" s="1040">
        <v>649683</v>
      </c>
      <c r="K36" s="1040">
        <v>1133489</v>
      </c>
      <c r="L36" s="1040">
        <v>1002923</v>
      </c>
      <c r="M36" s="1040">
        <v>835416</v>
      </c>
      <c r="N36" s="1040">
        <v>1838339</v>
      </c>
      <c r="O36" s="1040">
        <v>27563</v>
      </c>
      <c r="P36" s="1040">
        <v>27338</v>
      </c>
      <c r="Q36" s="1040">
        <v>54901</v>
      </c>
      <c r="R36" s="1040">
        <v>51006</v>
      </c>
      <c r="S36" s="1040">
        <v>29548</v>
      </c>
      <c r="T36" s="1040">
        <v>80554</v>
      </c>
      <c r="U36" s="1040">
        <v>5857</v>
      </c>
      <c r="V36" s="1040">
        <v>6724</v>
      </c>
      <c r="W36" s="1040">
        <v>12581</v>
      </c>
      <c r="X36" s="1040">
        <v>31242</v>
      </c>
      <c r="Y36" s="1040">
        <v>32709</v>
      </c>
      <c r="Z36" s="1040">
        <v>63951</v>
      </c>
      <c r="AA36" s="1040">
        <v>1628372</v>
      </c>
      <c r="AB36" s="1040">
        <v>1607526</v>
      </c>
      <c r="AC36" s="1040">
        <v>3235898</v>
      </c>
    </row>
    <row r="37" spans="1:29" ht="17.149999999999999" customHeight="1" x14ac:dyDescent="0.35">
      <c r="A37" s="964"/>
      <c r="B37" s="528" t="s">
        <v>911</v>
      </c>
      <c r="C37" s="1040">
        <v>26015</v>
      </c>
      <c r="D37" s="1040">
        <v>23645</v>
      </c>
      <c r="E37" s="1040">
        <v>49660</v>
      </c>
      <c r="F37" s="1040">
        <v>1434</v>
      </c>
      <c r="G37" s="1040">
        <v>2910</v>
      </c>
      <c r="H37" s="1040">
        <v>4344</v>
      </c>
      <c r="I37" s="1040">
        <v>433926</v>
      </c>
      <c r="J37" s="1040">
        <v>570243</v>
      </c>
      <c r="K37" s="1040">
        <v>1004169</v>
      </c>
      <c r="L37" s="1040">
        <v>979473</v>
      </c>
      <c r="M37" s="1040">
        <v>750101</v>
      </c>
      <c r="N37" s="1040">
        <v>1729574</v>
      </c>
      <c r="O37" s="1040">
        <v>27922</v>
      </c>
      <c r="P37" s="1040">
        <v>25733</v>
      </c>
      <c r="Q37" s="1040">
        <v>53655</v>
      </c>
      <c r="R37" s="1040">
        <v>36478</v>
      </c>
      <c r="S37" s="1040">
        <v>24734</v>
      </c>
      <c r="T37" s="1040">
        <v>61212</v>
      </c>
      <c r="U37" s="1040">
        <v>9702</v>
      </c>
      <c r="V37" s="1040">
        <v>10613</v>
      </c>
      <c r="W37" s="1040">
        <v>20315</v>
      </c>
      <c r="X37" s="1040">
        <v>28707</v>
      </c>
      <c r="Y37" s="1040">
        <v>28872</v>
      </c>
      <c r="Z37" s="1040">
        <v>57579</v>
      </c>
      <c r="AA37" s="1040">
        <v>1543657</v>
      </c>
      <c r="AB37" s="1040">
        <v>1436851</v>
      </c>
      <c r="AC37" s="1040">
        <v>2980508</v>
      </c>
    </row>
    <row r="38" spans="1:29" ht="17.149999999999999" customHeight="1" x14ac:dyDescent="0.35">
      <c r="A38" s="964"/>
      <c r="B38" s="528" t="s">
        <v>910</v>
      </c>
      <c r="C38" s="1077">
        <v>25191</v>
      </c>
      <c r="D38" s="1077">
        <v>22216</v>
      </c>
      <c r="E38" s="1077">
        <v>47407</v>
      </c>
      <c r="F38" s="1077">
        <v>2906</v>
      </c>
      <c r="G38" s="1077">
        <v>5220</v>
      </c>
      <c r="H38" s="1077">
        <v>8126</v>
      </c>
      <c r="I38" s="1077">
        <v>399891</v>
      </c>
      <c r="J38" s="1077">
        <v>587200</v>
      </c>
      <c r="K38" s="1077">
        <v>987091</v>
      </c>
      <c r="L38" s="1077">
        <v>810646</v>
      </c>
      <c r="M38" s="1077">
        <v>737761</v>
      </c>
      <c r="N38" s="1077">
        <v>1548407</v>
      </c>
      <c r="O38" s="1077">
        <v>26444</v>
      </c>
      <c r="P38" s="1077">
        <v>23192</v>
      </c>
      <c r="Q38" s="1077">
        <v>49636</v>
      </c>
      <c r="R38" s="1077">
        <v>39121</v>
      </c>
      <c r="S38" s="1077">
        <v>23816</v>
      </c>
      <c r="T38" s="1077">
        <v>62937</v>
      </c>
      <c r="U38" s="1077">
        <v>9205</v>
      </c>
      <c r="V38" s="1077">
        <v>15599</v>
      </c>
      <c r="W38" s="1077">
        <v>24804</v>
      </c>
      <c r="X38" s="1077">
        <v>25096</v>
      </c>
      <c r="Y38" s="1077">
        <v>24576</v>
      </c>
      <c r="Z38" s="1077">
        <v>49672</v>
      </c>
      <c r="AA38" s="1077">
        <v>1338500</v>
      </c>
      <c r="AB38" s="1077">
        <v>1439580</v>
      </c>
      <c r="AC38" s="1077">
        <v>2778080</v>
      </c>
    </row>
    <row r="39" spans="1:29" ht="17.149999999999999" customHeight="1" x14ac:dyDescent="0.35">
      <c r="A39" s="964"/>
      <c r="B39" s="528" t="s">
        <v>909</v>
      </c>
      <c r="C39" s="1041">
        <v>27086</v>
      </c>
      <c r="D39" s="1041">
        <v>25922</v>
      </c>
      <c r="E39" s="1041">
        <v>53008</v>
      </c>
      <c r="F39" s="1041">
        <v>3925</v>
      </c>
      <c r="G39" s="1041">
        <v>6442</v>
      </c>
      <c r="H39" s="1041">
        <v>10367</v>
      </c>
      <c r="I39" s="1041">
        <v>387245</v>
      </c>
      <c r="J39" s="1041">
        <v>540175</v>
      </c>
      <c r="K39" s="1041">
        <v>927420</v>
      </c>
      <c r="L39" s="1041">
        <v>768433</v>
      </c>
      <c r="M39" s="1041">
        <v>629094</v>
      </c>
      <c r="N39" s="1041">
        <v>1397527</v>
      </c>
      <c r="O39" s="1041">
        <v>29517</v>
      </c>
      <c r="P39" s="1041">
        <v>27798</v>
      </c>
      <c r="Q39" s="1041">
        <v>57315</v>
      </c>
      <c r="R39" s="1041">
        <v>39233</v>
      </c>
      <c r="S39" s="1041">
        <v>27092</v>
      </c>
      <c r="T39" s="1041">
        <v>66325</v>
      </c>
      <c r="U39" s="1041">
        <v>10200</v>
      </c>
      <c r="V39" s="1041">
        <v>14557</v>
      </c>
      <c r="W39" s="1041">
        <v>24757</v>
      </c>
      <c r="X39" s="1041">
        <v>22021</v>
      </c>
      <c r="Y39" s="1041">
        <v>19733</v>
      </c>
      <c r="Z39" s="1041">
        <v>41754</v>
      </c>
      <c r="AA39" s="1041">
        <v>1287660</v>
      </c>
      <c r="AB39" s="1041">
        <v>1290813</v>
      </c>
      <c r="AC39" s="1041">
        <v>2578473</v>
      </c>
    </row>
    <row r="40" spans="1:29" ht="17.149999999999999" customHeight="1" x14ac:dyDescent="0.35">
      <c r="A40" s="964"/>
      <c r="B40" s="528" t="s">
        <v>908</v>
      </c>
      <c r="C40" s="1040">
        <v>27002</v>
      </c>
      <c r="D40" s="1040">
        <v>23308</v>
      </c>
      <c r="E40" s="1040">
        <v>50310</v>
      </c>
      <c r="F40" s="1040">
        <v>3969</v>
      </c>
      <c r="G40" s="1040">
        <v>5933</v>
      </c>
      <c r="H40" s="1040">
        <v>9902</v>
      </c>
      <c r="I40" s="1040">
        <v>368065</v>
      </c>
      <c r="J40" s="1040">
        <v>495889</v>
      </c>
      <c r="K40" s="1040">
        <v>863954</v>
      </c>
      <c r="L40" s="1040">
        <v>681006</v>
      </c>
      <c r="M40" s="1040">
        <v>577931</v>
      </c>
      <c r="N40" s="1040">
        <v>1258937</v>
      </c>
      <c r="O40" s="1040">
        <v>28839</v>
      </c>
      <c r="P40" s="1040">
        <v>27724</v>
      </c>
      <c r="Q40" s="1040">
        <v>56563</v>
      </c>
      <c r="R40" s="1040">
        <v>48627</v>
      </c>
      <c r="S40" s="1040">
        <v>30894</v>
      </c>
      <c r="T40" s="1040">
        <v>79521</v>
      </c>
      <c r="U40" s="1040">
        <v>13639</v>
      </c>
      <c r="V40" s="1040">
        <v>16851</v>
      </c>
      <c r="W40" s="1040">
        <v>30490</v>
      </c>
      <c r="X40" s="1040">
        <v>20421</v>
      </c>
      <c r="Y40" s="1040">
        <v>17506</v>
      </c>
      <c r="Z40" s="1040">
        <v>37927</v>
      </c>
      <c r="AA40" s="1040">
        <v>1191568</v>
      </c>
      <c r="AB40" s="1040">
        <v>1196036</v>
      </c>
      <c r="AC40" s="1040">
        <v>2387604</v>
      </c>
    </row>
    <row r="41" spans="1:29" ht="17.149999999999999" customHeight="1" x14ac:dyDescent="0.35">
      <c r="A41" s="963">
        <v>6</v>
      </c>
      <c r="B41" s="528" t="s">
        <v>7</v>
      </c>
      <c r="C41" s="1040"/>
      <c r="D41" s="1040"/>
      <c r="E41" s="1040"/>
      <c r="F41" s="1040"/>
      <c r="G41" s="1040"/>
      <c r="H41" s="1040"/>
      <c r="I41" s="1040"/>
      <c r="J41" s="1040"/>
      <c r="K41" s="1040"/>
      <c r="L41" s="1040"/>
      <c r="M41" s="1040"/>
      <c r="N41" s="1040"/>
      <c r="O41" s="1040"/>
      <c r="P41" s="1040"/>
      <c r="Q41" s="1040"/>
      <c r="R41" s="1040"/>
      <c r="S41" s="1040"/>
      <c r="T41" s="1040"/>
      <c r="U41" s="1040"/>
      <c r="V41" s="1040"/>
      <c r="W41" s="1040"/>
      <c r="X41" s="1040"/>
      <c r="Y41" s="1040"/>
      <c r="Z41" s="1040"/>
      <c r="AA41" s="1040"/>
      <c r="AB41" s="1040"/>
      <c r="AC41" s="1040"/>
    </row>
    <row r="42" spans="1:29" ht="17.149999999999999" customHeight="1" x14ac:dyDescent="0.35">
      <c r="A42" s="964"/>
      <c r="B42" s="528" t="s">
        <v>912</v>
      </c>
      <c r="C42" s="1040">
        <v>155</v>
      </c>
      <c r="D42" s="1040">
        <v>125</v>
      </c>
      <c r="E42" s="1040">
        <v>280</v>
      </c>
      <c r="F42" s="1040">
        <v>0</v>
      </c>
      <c r="G42" s="1040"/>
      <c r="H42" s="1040"/>
      <c r="I42" s="1040">
        <v>226189</v>
      </c>
      <c r="J42" s="1040">
        <v>262910</v>
      </c>
      <c r="K42" s="1040">
        <v>489099</v>
      </c>
      <c r="L42" s="1040">
        <v>719510</v>
      </c>
      <c r="M42" s="1040">
        <v>455555</v>
      </c>
      <c r="N42" s="1040">
        <v>1175065</v>
      </c>
      <c r="O42" s="1040">
        <v>2055</v>
      </c>
      <c r="P42" s="1040">
        <v>1314</v>
      </c>
      <c r="Q42" s="1040">
        <v>3369</v>
      </c>
      <c r="R42" s="1040">
        <v>33923</v>
      </c>
      <c r="S42" s="1040">
        <v>20989</v>
      </c>
      <c r="T42" s="1040">
        <v>54912</v>
      </c>
      <c r="U42" s="1040">
        <v>9129</v>
      </c>
      <c r="V42" s="1040">
        <v>6806</v>
      </c>
      <c r="W42" s="1040">
        <v>15935</v>
      </c>
      <c r="X42" s="1040">
        <v>0</v>
      </c>
      <c r="Y42" s="1040"/>
      <c r="Z42" s="1040"/>
      <c r="AA42" s="1040">
        <v>990961</v>
      </c>
      <c r="AB42" s="1040">
        <v>747699</v>
      </c>
      <c r="AC42" s="1040">
        <v>1738660</v>
      </c>
    </row>
    <row r="43" spans="1:29" ht="17.149999999999999" customHeight="1" x14ac:dyDescent="0.35">
      <c r="A43" s="964"/>
      <c r="B43" s="528" t="s">
        <v>911</v>
      </c>
      <c r="C43" s="1040">
        <v>162</v>
      </c>
      <c r="D43" s="1040">
        <v>120</v>
      </c>
      <c r="E43" s="1040">
        <v>282</v>
      </c>
      <c r="F43" s="1040">
        <v>20</v>
      </c>
      <c r="G43" s="1040">
        <v>9</v>
      </c>
      <c r="H43" s="1040">
        <v>29</v>
      </c>
      <c r="I43" s="1040">
        <v>238925</v>
      </c>
      <c r="J43" s="1040">
        <v>219679</v>
      </c>
      <c r="K43" s="1040">
        <v>458604</v>
      </c>
      <c r="L43" s="1040">
        <v>786816</v>
      </c>
      <c r="M43" s="1040">
        <v>479510</v>
      </c>
      <c r="N43" s="1040">
        <v>1266326</v>
      </c>
      <c r="O43" s="1040">
        <v>9784</v>
      </c>
      <c r="P43" s="1040">
        <v>4734</v>
      </c>
      <c r="Q43" s="1040">
        <v>14518</v>
      </c>
      <c r="R43" s="1040">
        <v>32545</v>
      </c>
      <c r="S43" s="1040">
        <v>20045</v>
      </c>
      <c r="T43" s="1040">
        <v>52590</v>
      </c>
      <c r="U43" s="1040">
        <v>5210</v>
      </c>
      <c r="V43" s="1040">
        <v>2444</v>
      </c>
      <c r="W43" s="1040">
        <v>7654</v>
      </c>
      <c r="X43" s="1040"/>
      <c r="Y43" s="1040"/>
      <c r="Z43" s="1040"/>
      <c r="AA43" s="1040">
        <v>1073462</v>
      </c>
      <c r="AB43" s="1040">
        <v>726541</v>
      </c>
      <c r="AC43" s="1040">
        <v>1800003</v>
      </c>
    </row>
    <row r="44" spans="1:29" ht="17.149999999999999" customHeight="1" x14ac:dyDescent="0.35">
      <c r="A44" s="964"/>
      <c r="B44" s="528" t="s">
        <v>910</v>
      </c>
      <c r="C44" s="1077">
        <v>141</v>
      </c>
      <c r="D44" s="1077">
        <v>139</v>
      </c>
      <c r="E44" s="1077">
        <v>280</v>
      </c>
      <c r="F44" s="1077">
        <v>7</v>
      </c>
      <c r="G44" s="1077">
        <v>15</v>
      </c>
      <c r="H44" s="1077">
        <v>22</v>
      </c>
      <c r="I44" s="1077">
        <v>165176</v>
      </c>
      <c r="J44" s="1077">
        <v>150134</v>
      </c>
      <c r="K44" s="1077">
        <v>315310</v>
      </c>
      <c r="L44" s="1077">
        <v>667510</v>
      </c>
      <c r="M44" s="1077">
        <v>398571</v>
      </c>
      <c r="N44" s="1077">
        <v>1066081</v>
      </c>
      <c r="O44" s="1077">
        <v>21874</v>
      </c>
      <c r="P44" s="1077">
        <v>17285</v>
      </c>
      <c r="Q44" s="1077">
        <v>39159</v>
      </c>
      <c r="R44" s="1077">
        <v>32122</v>
      </c>
      <c r="S44" s="1077">
        <v>23184</v>
      </c>
      <c r="T44" s="1077">
        <v>55306</v>
      </c>
      <c r="U44" s="1077">
        <v>24465</v>
      </c>
      <c r="V44" s="1077">
        <v>14114</v>
      </c>
      <c r="W44" s="1077">
        <v>38579</v>
      </c>
      <c r="X44" s="1077">
        <v>0</v>
      </c>
      <c r="Y44" s="1077">
        <v>0</v>
      </c>
      <c r="Z44" s="1077">
        <v>0</v>
      </c>
      <c r="AA44" s="1077">
        <v>911295</v>
      </c>
      <c r="AB44" s="1077">
        <v>603442</v>
      </c>
      <c r="AC44" s="1077">
        <v>1514737</v>
      </c>
    </row>
    <row r="45" spans="1:29" ht="17.149999999999999" customHeight="1" x14ac:dyDescent="0.35">
      <c r="A45" s="964"/>
      <c r="B45" s="528" t="s">
        <v>909</v>
      </c>
      <c r="C45" s="1041">
        <v>112</v>
      </c>
      <c r="D45" s="1041">
        <v>71</v>
      </c>
      <c r="E45" s="1041">
        <v>183</v>
      </c>
      <c r="F45" s="1041">
        <v>14</v>
      </c>
      <c r="G45" s="1041">
        <v>11</v>
      </c>
      <c r="H45" s="1041">
        <v>25</v>
      </c>
      <c r="I45" s="1041">
        <v>97882</v>
      </c>
      <c r="J45" s="1041">
        <v>97968</v>
      </c>
      <c r="K45" s="1041">
        <v>195850</v>
      </c>
      <c r="L45" s="1041">
        <v>584872</v>
      </c>
      <c r="M45" s="1041">
        <v>338072</v>
      </c>
      <c r="N45" s="1041">
        <v>922944</v>
      </c>
      <c r="O45" s="1041">
        <v>8266</v>
      </c>
      <c r="P45" s="1041">
        <v>7616</v>
      </c>
      <c r="Q45" s="1041">
        <v>15882</v>
      </c>
      <c r="R45" s="1041">
        <v>28729</v>
      </c>
      <c r="S45" s="1041">
        <v>22808</v>
      </c>
      <c r="T45" s="1041">
        <v>51537</v>
      </c>
      <c r="U45" s="1041">
        <v>12800</v>
      </c>
      <c r="V45" s="1041">
        <v>8839</v>
      </c>
      <c r="W45" s="1041">
        <v>21639</v>
      </c>
      <c r="X45" s="1041">
        <v>0</v>
      </c>
      <c r="Y45" s="1041">
        <v>0</v>
      </c>
      <c r="Z45" s="1041">
        <v>0</v>
      </c>
      <c r="AA45" s="1041">
        <v>732675</v>
      </c>
      <c r="AB45" s="1041">
        <v>475385</v>
      </c>
      <c r="AC45" s="1041">
        <v>1208060</v>
      </c>
    </row>
    <row r="46" spans="1:29" ht="17.149999999999999" customHeight="1" x14ac:dyDescent="0.35">
      <c r="A46" s="964"/>
      <c r="B46" s="528" t="s">
        <v>908</v>
      </c>
      <c r="C46" s="1040">
        <v>124</v>
      </c>
      <c r="D46" s="1040">
        <v>74</v>
      </c>
      <c r="E46" s="1040">
        <v>198</v>
      </c>
      <c r="F46" s="1040">
        <v>0</v>
      </c>
      <c r="G46" s="1040">
        <v>0</v>
      </c>
      <c r="H46" s="1040">
        <v>0</v>
      </c>
      <c r="I46" s="1040">
        <v>89507</v>
      </c>
      <c r="J46" s="1040">
        <v>88333</v>
      </c>
      <c r="K46" s="1040">
        <v>177840</v>
      </c>
      <c r="L46" s="1040">
        <v>584970</v>
      </c>
      <c r="M46" s="1040">
        <v>324191</v>
      </c>
      <c r="N46" s="1040">
        <v>909161</v>
      </c>
      <c r="O46" s="1040">
        <v>13861</v>
      </c>
      <c r="P46" s="1040">
        <v>13120</v>
      </c>
      <c r="Q46" s="1040">
        <v>26981</v>
      </c>
      <c r="R46" s="1040">
        <v>26192</v>
      </c>
      <c r="S46" s="1040">
        <v>17391</v>
      </c>
      <c r="T46" s="1040">
        <v>43583</v>
      </c>
      <c r="U46" s="1040">
        <v>8656</v>
      </c>
      <c r="V46" s="1040">
        <v>8328</v>
      </c>
      <c r="W46" s="1040">
        <v>16984</v>
      </c>
      <c r="X46" s="1040">
        <v>0</v>
      </c>
      <c r="Y46" s="1040">
        <v>0</v>
      </c>
      <c r="Z46" s="1040">
        <v>0</v>
      </c>
      <c r="AA46" s="1040">
        <v>723310</v>
      </c>
      <c r="AB46" s="1040">
        <v>451437</v>
      </c>
      <c r="AC46" s="1040">
        <v>1174747</v>
      </c>
    </row>
    <row r="47" spans="1:29" ht="28" x14ac:dyDescent="0.35">
      <c r="A47" s="963">
        <v>7</v>
      </c>
      <c r="B47" s="530" t="s">
        <v>6</v>
      </c>
      <c r="C47" s="1040"/>
      <c r="D47" s="1040"/>
      <c r="E47" s="1040"/>
      <c r="F47" s="1040"/>
      <c r="G47" s="1040"/>
      <c r="H47" s="1040"/>
      <c r="I47" s="1040"/>
      <c r="J47" s="1040"/>
      <c r="K47" s="1040"/>
      <c r="L47" s="1040"/>
      <c r="M47" s="1040"/>
      <c r="N47" s="1040"/>
      <c r="O47" s="1040"/>
      <c r="P47" s="1040"/>
      <c r="Q47" s="1040"/>
      <c r="R47" s="1040"/>
      <c r="S47" s="1040"/>
      <c r="T47" s="1040"/>
      <c r="U47" s="1040"/>
      <c r="V47" s="1040"/>
      <c r="W47" s="1040"/>
      <c r="X47" s="1040"/>
      <c r="Y47" s="1040"/>
      <c r="Z47" s="1040"/>
      <c r="AA47" s="1040"/>
      <c r="AB47" s="1040"/>
      <c r="AC47" s="1040"/>
    </row>
    <row r="48" spans="1:29" x14ac:dyDescent="0.35">
      <c r="A48" s="964"/>
      <c r="B48" s="528" t="s">
        <v>912</v>
      </c>
      <c r="C48" s="1040">
        <v>292</v>
      </c>
      <c r="D48" s="1040">
        <v>132</v>
      </c>
      <c r="E48" s="1040">
        <v>424</v>
      </c>
      <c r="F48" s="1040">
        <v>0</v>
      </c>
      <c r="G48" s="1040"/>
      <c r="H48" s="1040"/>
      <c r="I48" s="1040">
        <v>621</v>
      </c>
      <c r="J48" s="1040">
        <v>549</v>
      </c>
      <c r="K48" s="1040">
        <v>1170</v>
      </c>
      <c r="L48" s="1040">
        <v>1216</v>
      </c>
      <c r="M48" s="1040">
        <v>2902</v>
      </c>
      <c r="N48" s="1040">
        <v>4118</v>
      </c>
      <c r="O48" s="1040">
        <v>8</v>
      </c>
      <c r="P48" s="1040">
        <v>2</v>
      </c>
      <c r="Q48" s="1040">
        <v>10</v>
      </c>
      <c r="R48" s="1040">
        <v>912</v>
      </c>
      <c r="S48" s="1040">
        <v>1259</v>
      </c>
      <c r="T48" s="1040">
        <v>2171</v>
      </c>
      <c r="U48" s="1040">
        <v>72</v>
      </c>
      <c r="V48" s="1040">
        <v>66</v>
      </c>
      <c r="W48" s="1040">
        <v>138</v>
      </c>
      <c r="X48" s="1040">
        <v>0</v>
      </c>
      <c r="Y48" s="1040"/>
      <c r="Z48" s="1040"/>
      <c r="AA48" s="1040">
        <v>3121</v>
      </c>
      <c r="AB48" s="1040">
        <v>4910</v>
      </c>
      <c r="AC48" s="1040">
        <v>8031</v>
      </c>
    </row>
    <row r="49" spans="1:29" x14ac:dyDescent="0.35">
      <c r="A49" s="964"/>
      <c r="B49" s="528" t="s">
        <v>911</v>
      </c>
      <c r="C49" s="1040">
        <v>238</v>
      </c>
      <c r="D49" s="1040">
        <v>76</v>
      </c>
      <c r="E49" s="1040">
        <v>314</v>
      </c>
      <c r="F49" s="1040"/>
      <c r="G49" s="1040"/>
      <c r="H49" s="1040"/>
      <c r="I49" s="1040">
        <v>464</v>
      </c>
      <c r="J49" s="1040">
        <v>735</v>
      </c>
      <c r="K49" s="1040">
        <v>1199</v>
      </c>
      <c r="L49" s="1040">
        <v>1134</v>
      </c>
      <c r="M49" s="1040">
        <v>2868</v>
      </c>
      <c r="N49" s="1040">
        <v>4002</v>
      </c>
      <c r="O49" s="1040">
        <v>8</v>
      </c>
      <c r="P49" s="1040">
        <v>61</v>
      </c>
      <c r="Q49" s="1040">
        <v>69</v>
      </c>
      <c r="R49" s="1040">
        <v>782</v>
      </c>
      <c r="S49" s="1040">
        <v>659</v>
      </c>
      <c r="T49" s="1040">
        <v>1441</v>
      </c>
      <c r="U49" s="1040">
        <v>39</v>
      </c>
      <c r="V49" s="1040">
        <v>28</v>
      </c>
      <c r="W49" s="1040">
        <v>67</v>
      </c>
      <c r="X49" s="1040"/>
      <c r="Y49" s="1040"/>
      <c r="Z49" s="1040"/>
      <c r="AA49" s="1040">
        <v>2665</v>
      </c>
      <c r="AB49" s="1040">
        <v>4427</v>
      </c>
      <c r="AC49" s="1040">
        <v>7092</v>
      </c>
    </row>
    <row r="50" spans="1:29" ht="17.149999999999999" customHeight="1" x14ac:dyDescent="0.35">
      <c r="A50" s="964"/>
      <c r="B50" s="528" t="s">
        <v>910</v>
      </c>
      <c r="C50" s="1077">
        <v>117</v>
      </c>
      <c r="D50" s="1077">
        <v>66</v>
      </c>
      <c r="E50" s="1077">
        <v>183</v>
      </c>
      <c r="F50" s="1077">
        <v>0</v>
      </c>
      <c r="G50" s="1077">
        <v>0</v>
      </c>
      <c r="H50" s="1077">
        <v>0</v>
      </c>
      <c r="I50" s="1077">
        <v>574</v>
      </c>
      <c r="J50" s="1077">
        <v>789</v>
      </c>
      <c r="K50" s="1077">
        <v>1363</v>
      </c>
      <c r="L50" s="1077">
        <v>1035</v>
      </c>
      <c r="M50" s="1077">
        <v>4283</v>
      </c>
      <c r="N50" s="1077">
        <v>5318</v>
      </c>
      <c r="O50" s="1077">
        <v>5</v>
      </c>
      <c r="P50" s="1077">
        <v>54</v>
      </c>
      <c r="Q50" s="1077">
        <v>59</v>
      </c>
      <c r="R50" s="1077">
        <v>61</v>
      </c>
      <c r="S50" s="1077">
        <v>237</v>
      </c>
      <c r="T50" s="1077">
        <v>298</v>
      </c>
      <c r="U50" s="1077">
        <v>43</v>
      </c>
      <c r="V50" s="1077">
        <v>43</v>
      </c>
      <c r="W50" s="1077">
        <v>86</v>
      </c>
      <c r="X50" s="1077">
        <v>0</v>
      </c>
      <c r="Y50" s="1077">
        <v>0</v>
      </c>
      <c r="Z50" s="1077">
        <v>0</v>
      </c>
      <c r="AA50" s="1077">
        <v>1835</v>
      </c>
      <c r="AB50" s="1077">
        <v>5472</v>
      </c>
      <c r="AC50" s="1077">
        <v>7307</v>
      </c>
    </row>
    <row r="51" spans="1:29" ht="17.149999999999999" customHeight="1" x14ac:dyDescent="0.35">
      <c r="A51" s="964"/>
      <c r="B51" s="528" t="s">
        <v>909</v>
      </c>
      <c r="C51" s="1041">
        <v>223</v>
      </c>
      <c r="D51" s="1041">
        <v>58</v>
      </c>
      <c r="E51" s="1041">
        <v>281</v>
      </c>
      <c r="F51" s="1041">
        <v>0</v>
      </c>
      <c r="G51" s="1041">
        <v>0</v>
      </c>
      <c r="H51" s="1041">
        <v>0</v>
      </c>
      <c r="I51" s="1041">
        <v>628</v>
      </c>
      <c r="J51" s="1041">
        <v>595</v>
      </c>
      <c r="K51" s="1041">
        <v>1223</v>
      </c>
      <c r="L51" s="1041">
        <v>1389</v>
      </c>
      <c r="M51" s="1041">
        <v>2755</v>
      </c>
      <c r="N51" s="1041">
        <v>4144</v>
      </c>
      <c r="O51" s="1041">
        <v>26</v>
      </c>
      <c r="P51" s="1041">
        <v>56</v>
      </c>
      <c r="Q51" s="1041">
        <v>82</v>
      </c>
      <c r="R51" s="1041">
        <v>46</v>
      </c>
      <c r="S51" s="1041">
        <v>193</v>
      </c>
      <c r="T51" s="1041">
        <v>239</v>
      </c>
      <c r="U51" s="1041">
        <v>38</v>
      </c>
      <c r="V51" s="1041">
        <v>45</v>
      </c>
      <c r="W51" s="1041">
        <v>83</v>
      </c>
      <c r="X51" s="1041">
        <v>0</v>
      </c>
      <c r="Y51" s="1041">
        <v>0</v>
      </c>
      <c r="Z51" s="1041">
        <v>0</v>
      </c>
      <c r="AA51" s="1041">
        <v>2350</v>
      </c>
      <c r="AB51" s="1041">
        <v>3702</v>
      </c>
      <c r="AC51" s="1041">
        <v>6052</v>
      </c>
    </row>
    <row r="52" spans="1:29" ht="17.149999999999999" customHeight="1" x14ac:dyDescent="0.35">
      <c r="A52" s="964"/>
      <c r="B52" s="528" t="s">
        <v>908</v>
      </c>
      <c r="C52" s="1040">
        <v>59</v>
      </c>
      <c r="D52" s="1040">
        <v>14</v>
      </c>
      <c r="E52" s="1040">
        <v>73</v>
      </c>
      <c r="F52" s="1040">
        <v>0</v>
      </c>
      <c r="G52" s="1040">
        <v>0</v>
      </c>
      <c r="H52" s="1040">
        <v>0</v>
      </c>
      <c r="I52" s="1040">
        <v>556</v>
      </c>
      <c r="J52" s="1040">
        <v>479</v>
      </c>
      <c r="K52" s="1040">
        <v>1035</v>
      </c>
      <c r="L52" s="1040">
        <v>1283</v>
      </c>
      <c r="M52" s="1040">
        <v>2597</v>
      </c>
      <c r="N52" s="1040">
        <v>3880</v>
      </c>
      <c r="O52" s="1040">
        <v>48</v>
      </c>
      <c r="P52" s="1040">
        <v>31</v>
      </c>
      <c r="Q52" s="1040">
        <v>79</v>
      </c>
      <c r="R52" s="1040">
        <v>29</v>
      </c>
      <c r="S52" s="1040">
        <v>14</v>
      </c>
      <c r="T52" s="1040">
        <v>43</v>
      </c>
      <c r="U52" s="1040">
        <v>4</v>
      </c>
      <c r="V52" s="1040">
        <v>1</v>
      </c>
      <c r="W52" s="1040">
        <v>5</v>
      </c>
      <c r="X52" s="1040">
        <v>0</v>
      </c>
      <c r="Y52" s="1040">
        <v>0</v>
      </c>
      <c r="Z52" s="1040">
        <v>0</v>
      </c>
      <c r="AA52" s="1040">
        <v>1979</v>
      </c>
      <c r="AB52" s="1040">
        <v>3136</v>
      </c>
      <c r="AC52" s="1040">
        <v>5115</v>
      </c>
    </row>
    <row r="53" spans="1:29" ht="17.149999999999999" customHeight="1" x14ac:dyDescent="0.35">
      <c r="A53" s="963">
        <v>8</v>
      </c>
      <c r="B53" s="528" t="s">
        <v>8</v>
      </c>
      <c r="C53" s="1040"/>
      <c r="D53" s="1040"/>
      <c r="E53" s="1040"/>
      <c r="F53" s="1040"/>
      <c r="G53" s="1040"/>
      <c r="H53" s="1040"/>
      <c r="I53" s="1040"/>
      <c r="J53" s="1040"/>
      <c r="K53" s="1040"/>
      <c r="L53" s="1040"/>
      <c r="M53" s="1040"/>
      <c r="N53" s="1040"/>
      <c r="O53" s="1040"/>
      <c r="P53" s="1040"/>
      <c r="Q53" s="1040"/>
      <c r="R53" s="1040"/>
      <c r="S53" s="1040"/>
      <c r="T53" s="1040"/>
      <c r="U53" s="1040"/>
      <c r="V53" s="1040"/>
      <c r="W53" s="1040"/>
      <c r="X53" s="1040"/>
      <c r="Y53" s="1040"/>
      <c r="Z53" s="1040"/>
      <c r="AA53" s="1040"/>
      <c r="AB53" s="1040"/>
      <c r="AC53" s="1040"/>
    </row>
    <row r="54" spans="1:29" ht="17.149999999999999" customHeight="1" x14ac:dyDescent="0.35">
      <c r="A54" s="964"/>
      <c r="B54" s="528" t="s">
        <v>912</v>
      </c>
      <c r="C54" s="1040">
        <v>19637</v>
      </c>
      <c r="D54" s="1040">
        <v>20805</v>
      </c>
      <c r="E54" s="1040">
        <v>40442</v>
      </c>
      <c r="F54" s="1040">
        <v>54</v>
      </c>
      <c r="G54" s="1040">
        <v>184</v>
      </c>
      <c r="H54" s="1040">
        <v>238</v>
      </c>
      <c r="I54" s="1040">
        <v>203230</v>
      </c>
      <c r="J54" s="1040">
        <v>156365</v>
      </c>
      <c r="K54" s="1040">
        <v>359595</v>
      </c>
      <c r="L54" s="1040">
        <v>869736</v>
      </c>
      <c r="M54" s="1040">
        <v>451013</v>
      </c>
      <c r="N54" s="1040">
        <v>1320749</v>
      </c>
      <c r="O54" s="1040">
        <v>6711</v>
      </c>
      <c r="P54" s="1040">
        <v>3671</v>
      </c>
      <c r="Q54" s="1040">
        <v>10382</v>
      </c>
      <c r="R54" s="1040">
        <v>92906</v>
      </c>
      <c r="S54" s="1040">
        <v>26756</v>
      </c>
      <c r="T54" s="1040">
        <v>119662</v>
      </c>
      <c r="U54" s="1040">
        <v>1379</v>
      </c>
      <c r="V54" s="1040">
        <v>859</v>
      </c>
      <c r="W54" s="1040">
        <v>2238</v>
      </c>
      <c r="X54" s="1040">
        <v>46318</v>
      </c>
      <c r="Y54" s="1040">
        <v>35901</v>
      </c>
      <c r="Z54" s="1040">
        <v>82219</v>
      </c>
      <c r="AA54" s="1040">
        <v>1239971</v>
      </c>
      <c r="AB54" s="1040">
        <v>695554</v>
      </c>
      <c r="AC54" s="1040">
        <v>1935525</v>
      </c>
    </row>
    <row r="55" spans="1:29" ht="17.149999999999999" customHeight="1" x14ac:dyDescent="0.35">
      <c r="A55" s="964"/>
      <c r="B55" s="528" t="s">
        <v>911</v>
      </c>
      <c r="C55" s="1040">
        <v>17263</v>
      </c>
      <c r="D55" s="1040">
        <v>16929</v>
      </c>
      <c r="E55" s="1040">
        <v>34192</v>
      </c>
      <c r="F55" s="1040">
        <v>30</v>
      </c>
      <c r="G55" s="1040">
        <v>190</v>
      </c>
      <c r="H55" s="1040">
        <v>220</v>
      </c>
      <c r="I55" s="1040">
        <v>158727</v>
      </c>
      <c r="J55" s="1040">
        <v>122954</v>
      </c>
      <c r="K55" s="1040">
        <v>281681</v>
      </c>
      <c r="L55" s="1040">
        <v>741651</v>
      </c>
      <c r="M55" s="1040">
        <v>371904</v>
      </c>
      <c r="N55" s="1040">
        <v>1113555</v>
      </c>
      <c r="O55" s="1040">
        <v>5157</v>
      </c>
      <c r="P55" s="1040">
        <v>3466</v>
      </c>
      <c r="Q55" s="1040">
        <v>8623</v>
      </c>
      <c r="R55" s="1040">
        <v>86439</v>
      </c>
      <c r="S55" s="1040">
        <v>22545</v>
      </c>
      <c r="T55" s="1040">
        <v>108984</v>
      </c>
      <c r="U55" s="1040">
        <v>996</v>
      </c>
      <c r="V55" s="1040">
        <v>449</v>
      </c>
      <c r="W55" s="1040">
        <v>1445</v>
      </c>
      <c r="X55" s="1040">
        <v>38546</v>
      </c>
      <c r="Y55" s="1040">
        <v>29019</v>
      </c>
      <c r="Z55" s="1040">
        <v>67565</v>
      </c>
      <c r="AA55" s="1040">
        <v>1048809</v>
      </c>
      <c r="AB55" s="1040">
        <v>567456</v>
      </c>
      <c r="AC55" s="1040">
        <v>1616265</v>
      </c>
    </row>
    <row r="56" spans="1:29" ht="17.149999999999999" customHeight="1" x14ac:dyDescent="0.35">
      <c r="A56" s="964"/>
      <c r="B56" s="528" t="s">
        <v>910</v>
      </c>
      <c r="C56" s="1077">
        <v>15153</v>
      </c>
      <c r="D56" s="1077">
        <v>13366</v>
      </c>
      <c r="E56" s="1077">
        <v>28519</v>
      </c>
      <c r="F56" s="1077">
        <v>123</v>
      </c>
      <c r="G56" s="1077">
        <v>267</v>
      </c>
      <c r="H56" s="1077">
        <v>390</v>
      </c>
      <c r="I56" s="1077">
        <v>137724</v>
      </c>
      <c r="J56" s="1077">
        <v>107377</v>
      </c>
      <c r="K56" s="1077">
        <v>245101</v>
      </c>
      <c r="L56" s="1077">
        <v>658725</v>
      </c>
      <c r="M56" s="1077">
        <v>334585</v>
      </c>
      <c r="N56" s="1077">
        <v>993310</v>
      </c>
      <c r="O56" s="1077">
        <v>12092</v>
      </c>
      <c r="P56" s="1077">
        <v>11166</v>
      </c>
      <c r="Q56" s="1077">
        <v>23258</v>
      </c>
      <c r="R56" s="1077">
        <v>85036</v>
      </c>
      <c r="S56" s="1077">
        <v>28264</v>
      </c>
      <c r="T56" s="1077">
        <v>113300</v>
      </c>
      <c r="U56" s="1077">
        <v>11254</v>
      </c>
      <c r="V56" s="1077">
        <v>421</v>
      </c>
      <c r="W56" s="1077">
        <v>11675</v>
      </c>
      <c r="X56" s="1077">
        <v>34237</v>
      </c>
      <c r="Y56" s="1077">
        <v>25879</v>
      </c>
      <c r="Z56" s="1077">
        <v>60116</v>
      </c>
      <c r="AA56" s="1077">
        <v>954344</v>
      </c>
      <c r="AB56" s="1077">
        <v>521325</v>
      </c>
      <c r="AC56" s="1077">
        <v>1475669</v>
      </c>
    </row>
    <row r="57" spans="1:29" ht="17.149999999999999" customHeight="1" x14ac:dyDescent="0.35">
      <c r="A57" s="964"/>
      <c r="B57" s="528" t="s">
        <v>909</v>
      </c>
      <c r="C57" s="1041">
        <v>12063</v>
      </c>
      <c r="D57" s="1041">
        <v>11343</v>
      </c>
      <c r="E57" s="1041">
        <v>23406</v>
      </c>
      <c r="F57" s="1041">
        <v>644</v>
      </c>
      <c r="G57" s="1041">
        <v>549</v>
      </c>
      <c r="H57" s="1041">
        <v>1193</v>
      </c>
      <c r="I57" s="1041">
        <v>129672</v>
      </c>
      <c r="J57" s="1041">
        <v>93921</v>
      </c>
      <c r="K57" s="1041">
        <v>223593</v>
      </c>
      <c r="L57" s="1041">
        <v>568894</v>
      </c>
      <c r="M57" s="1041">
        <v>278146</v>
      </c>
      <c r="N57" s="1041">
        <v>847040</v>
      </c>
      <c r="O57" s="1041">
        <v>10593</v>
      </c>
      <c r="P57" s="1041">
        <v>10023</v>
      </c>
      <c r="Q57" s="1041">
        <v>20616</v>
      </c>
      <c r="R57" s="1041">
        <v>79832</v>
      </c>
      <c r="S57" s="1041">
        <v>24946</v>
      </c>
      <c r="T57" s="1041">
        <v>104778</v>
      </c>
      <c r="U57" s="1041">
        <v>3164</v>
      </c>
      <c r="V57" s="1041">
        <v>1197</v>
      </c>
      <c r="W57" s="1041">
        <v>4361</v>
      </c>
      <c r="X57" s="1041">
        <v>28845</v>
      </c>
      <c r="Y57" s="1041">
        <v>22369</v>
      </c>
      <c r="Z57" s="1041">
        <v>51214</v>
      </c>
      <c r="AA57" s="1041">
        <v>833707</v>
      </c>
      <c r="AB57" s="1041">
        <v>442494</v>
      </c>
      <c r="AC57" s="1041">
        <v>1276201</v>
      </c>
    </row>
    <row r="58" spans="1:29" ht="17.149999999999999" customHeight="1" x14ac:dyDescent="0.35">
      <c r="A58" s="964"/>
      <c r="B58" s="528" t="s">
        <v>908</v>
      </c>
      <c r="C58" s="1040">
        <v>10426</v>
      </c>
      <c r="D58" s="1040">
        <v>9160</v>
      </c>
      <c r="E58" s="1040">
        <v>19586</v>
      </c>
      <c r="F58" s="1040">
        <v>412</v>
      </c>
      <c r="G58" s="1040">
        <v>442</v>
      </c>
      <c r="H58" s="1040">
        <v>854</v>
      </c>
      <c r="I58" s="1040">
        <v>120127</v>
      </c>
      <c r="J58" s="1040">
        <v>84335</v>
      </c>
      <c r="K58" s="1040">
        <v>204462</v>
      </c>
      <c r="L58" s="1040">
        <v>520804</v>
      </c>
      <c r="M58" s="1040">
        <v>249851</v>
      </c>
      <c r="N58" s="1040">
        <v>770655</v>
      </c>
      <c r="O58" s="1040">
        <v>13958</v>
      </c>
      <c r="P58" s="1040">
        <v>11021</v>
      </c>
      <c r="Q58" s="1040">
        <v>24979</v>
      </c>
      <c r="R58" s="1040">
        <v>70940</v>
      </c>
      <c r="S58" s="1040">
        <v>25827</v>
      </c>
      <c r="T58" s="1040">
        <v>96767</v>
      </c>
      <c r="U58" s="1040">
        <v>358</v>
      </c>
      <c r="V58" s="1040">
        <v>272</v>
      </c>
      <c r="W58" s="1040">
        <v>630</v>
      </c>
      <c r="X58" s="1040">
        <v>22477</v>
      </c>
      <c r="Y58" s="1040">
        <v>16683</v>
      </c>
      <c r="Z58" s="1040">
        <v>39160</v>
      </c>
      <c r="AA58" s="1040">
        <v>759502</v>
      </c>
      <c r="AB58" s="1040">
        <v>397591</v>
      </c>
      <c r="AC58" s="1040">
        <v>1157093</v>
      </c>
    </row>
    <row r="59" spans="1:29" ht="28" x14ac:dyDescent="0.35">
      <c r="A59" s="963">
        <v>9</v>
      </c>
      <c r="B59" s="530" t="s">
        <v>811</v>
      </c>
      <c r="C59" s="1040"/>
      <c r="D59" s="1040"/>
      <c r="E59" s="1040"/>
      <c r="F59" s="1040"/>
      <c r="G59" s="1040"/>
      <c r="H59" s="1040"/>
      <c r="I59" s="1040"/>
      <c r="J59" s="1040"/>
      <c r="K59" s="1040"/>
      <c r="L59" s="1040"/>
      <c r="M59" s="1040"/>
      <c r="N59" s="1040"/>
      <c r="O59" s="1040"/>
      <c r="P59" s="1040"/>
      <c r="Q59" s="1040"/>
      <c r="R59" s="1040"/>
      <c r="S59" s="1040"/>
      <c r="T59" s="1040"/>
      <c r="U59" s="1040"/>
      <c r="V59" s="1040"/>
      <c r="W59" s="1040"/>
      <c r="X59" s="1040"/>
      <c r="Y59" s="1040"/>
      <c r="Z59" s="1040"/>
      <c r="AA59" s="1040"/>
      <c r="AB59" s="1040"/>
      <c r="AC59" s="1040"/>
    </row>
    <row r="60" spans="1:29" x14ac:dyDescent="0.35">
      <c r="A60" s="964"/>
      <c r="B60" s="528" t="s">
        <v>912</v>
      </c>
      <c r="C60" s="1040">
        <v>829</v>
      </c>
      <c r="D60" s="1040">
        <v>1353</v>
      </c>
      <c r="E60" s="1040">
        <v>2182</v>
      </c>
      <c r="F60" s="1040">
        <v>0</v>
      </c>
      <c r="G60" s="1040">
        <v>3</v>
      </c>
      <c r="H60" s="1040">
        <v>3</v>
      </c>
      <c r="I60" s="1040">
        <v>6022</v>
      </c>
      <c r="J60" s="1040">
        <v>7624</v>
      </c>
      <c r="K60" s="1040">
        <v>13646</v>
      </c>
      <c r="L60" s="1040">
        <v>16933</v>
      </c>
      <c r="M60" s="1040">
        <v>16500</v>
      </c>
      <c r="N60" s="1040">
        <v>33433</v>
      </c>
      <c r="O60" s="1040">
        <v>493</v>
      </c>
      <c r="P60" s="1040">
        <v>292</v>
      </c>
      <c r="Q60" s="1040">
        <v>785</v>
      </c>
      <c r="R60" s="1040">
        <v>1861</v>
      </c>
      <c r="S60" s="1040">
        <v>842</v>
      </c>
      <c r="T60" s="1040">
        <v>2703</v>
      </c>
      <c r="U60" s="1040">
        <v>286</v>
      </c>
      <c r="V60" s="1040">
        <v>281</v>
      </c>
      <c r="W60" s="1040">
        <v>567</v>
      </c>
      <c r="X60" s="1040">
        <v>632</v>
      </c>
      <c r="Y60" s="1040">
        <v>916</v>
      </c>
      <c r="Z60" s="1040">
        <v>1548</v>
      </c>
      <c r="AA60" s="1040">
        <v>27056</v>
      </c>
      <c r="AB60" s="1040">
        <v>27811</v>
      </c>
      <c r="AC60" s="1040">
        <v>54867</v>
      </c>
    </row>
    <row r="61" spans="1:29" x14ac:dyDescent="0.35">
      <c r="A61" s="964"/>
      <c r="B61" s="528" t="s">
        <v>911</v>
      </c>
      <c r="C61" s="1040">
        <v>923</v>
      </c>
      <c r="D61" s="1040">
        <v>1681</v>
      </c>
      <c r="E61" s="1040">
        <v>2604</v>
      </c>
      <c r="F61" s="1040">
        <v>44</v>
      </c>
      <c r="G61" s="1040">
        <v>48</v>
      </c>
      <c r="H61" s="1040">
        <v>92</v>
      </c>
      <c r="I61" s="1040">
        <v>7250</v>
      </c>
      <c r="J61" s="1040">
        <v>7866</v>
      </c>
      <c r="K61" s="1040">
        <v>15116</v>
      </c>
      <c r="L61" s="1040">
        <v>18439</v>
      </c>
      <c r="M61" s="1040">
        <v>17835</v>
      </c>
      <c r="N61" s="1040">
        <v>36274</v>
      </c>
      <c r="O61" s="1040">
        <v>234</v>
      </c>
      <c r="P61" s="1040">
        <v>246</v>
      </c>
      <c r="Q61" s="1040">
        <v>480</v>
      </c>
      <c r="R61" s="1040">
        <v>1940</v>
      </c>
      <c r="S61" s="1040">
        <v>724</v>
      </c>
      <c r="T61" s="1040">
        <v>2664</v>
      </c>
      <c r="U61" s="1040">
        <v>609</v>
      </c>
      <c r="V61" s="1040">
        <v>464</v>
      </c>
      <c r="W61" s="1040">
        <v>1073</v>
      </c>
      <c r="X61" s="1040">
        <v>722</v>
      </c>
      <c r="Y61" s="1040">
        <v>911</v>
      </c>
      <c r="Z61" s="1040">
        <v>1633</v>
      </c>
      <c r="AA61" s="1040">
        <v>30161</v>
      </c>
      <c r="AB61" s="1040">
        <v>29775</v>
      </c>
      <c r="AC61" s="1040">
        <v>59936</v>
      </c>
    </row>
    <row r="62" spans="1:29" ht="17.149999999999999" customHeight="1" x14ac:dyDescent="0.35">
      <c r="A62" s="964"/>
      <c r="B62" s="528" t="s">
        <v>910</v>
      </c>
      <c r="C62" s="1077">
        <v>1148</v>
      </c>
      <c r="D62" s="1077">
        <v>1671</v>
      </c>
      <c r="E62" s="1077">
        <v>2819</v>
      </c>
      <c r="F62" s="1077">
        <v>34</v>
      </c>
      <c r="G62" s="1077">
        <v>152</v>
      </c>
      <c r="H62" s="1077">
        <v>186</v>
      </c>
      <c r="I62" s="1077">
        <v>5885</v>
      </c>
      <c r="J62" s="1077">
        <v>7993</v>
      </c>
      <c r="K62" s="1077">
        <v>13878</v>
      </c>
      <c r="L62" s="1077">
        <v>15514</v>
      </c>
      <c r="M62" s="1077">
        <v>17241</v>
      </c>
      <c r="N62" s="1077">
        <v>32755</v>
      </c>
      <c r="O62" s="1077">
        <v>391</v>
      </c>
      <c r="P62" s="1077">
        <v>413</v>
      </c>
      <c r="Q62" s="1077">
        <v>804</v>
      </c>
      <c r="R62" s="1077">
        <v>2080</v>
      </c>
      <c r="S62" s="1077">
        <v>1044</v>
      </c>
      <c r="T62" s="1077">
        <v>3124</v>
      </c>
      <c r="U62" s="1077">
        <v>213</v>
      </c>
      <c r="V62" s="1077">
        <v>121</v>
      </c>
      <c r="W62" s="1077">
        <v>334</v>
      </c>
      <c r="X62" s="1077">
        <v>703</v>
      </c>
      <c r="Y62" s="1077">
        <v>729</v>
      </c>
      <c r="Z62" s="1077">
        <v>1432</v>
      </c>
      <c r="AA62" s="1077">
        <v>25968</v>
      </c>
      <c r="AB62" s="1077">
        <v>29364</v>
      </c>
      <c r="AC62" s="1077">
        <v>55332</v>
      </c>
    </row>
    <row r="63" spans="1:29" ht="17.149999999999999" customHeight="1" x14ac:dyDescent="0.35">
      <c r="A63" s="964"/>
      <c r="B63" s="528" t="s">
        <v>909</v>
      </c>
      <c r="C63" s="1041">
        <v>997</v>
      </c>
      <c r="D63" s="1041">
        <v>1654</v>
      </c>
      <c r="E63" s="1041">
        <v>2651</v>
      </c>
      <c r="F63" s="1041">
        <v>145</v>
      </c>
      <c r="G63" s="1041">
        <v>290</v>
      </c>
      <c r="H63" s="1041">
        <v>435</v>
      </c>
      <c r="I63" s="1041">
        <v>5542</v>
      </c>
      <c r="J63" s="1041">
        <v>6900</v>
      </c>
      <c r="K63" s="1041">
        <v>12442</v>
      </c>
      <c r="L63" s="1041">
        <v>16704</v>
      </c>
      <c r="M63" s="1041">
        <v>17252</v>
      </c>
      <c r="N63" s="1041">
        <v>33956</v>
      </c>
      <c r="O63" s="1041">
        <v>317</v>
      </c>
      <c r="P63" s="1041">
        <v>276</v>
      </c>
      <c r="Q63" s="1041">
        <v>593</v>
      </c>
      <c r="R63" s="1041">
        <v>2756</v>
      </c>
      <c r="S63" s="1041">
        <v>917</v>
      </c>
      <c r="T63" s="1041">
        <v>3673</v>
      </c>
      <c r="U63" s="1041">
        <v>803</v>
      </c>
      <c r="V63" s="1041">
        <v>702</v>
      </c>
      <c r="W63" s="1041">
        <v>1505</v>
      </c>
      <c r="X63" s="1041">
        <v>384</v>
      </c>
      <c r="Y63" s="1041">
        <v>530</v>
      </c>
      <c r="Z63" s="1041">
        <v>914</v>
      </c>
      <c r="AA63" s="1041">
        <v>27648</v>
      </c>
      <c r="AB63" s="1041">
        <v>28521</v>
      </c>
      <c r="AC63" s="1041">
        <v>56169</v>
      </c>
    </row>
    <row r="64" spans="1:29" ht="17.149999999999999" customHeight="1" x14ac:dyDescent="0.35">
      <c r="A64" s="964"/>
      <c r="B64" s="528" t="s">
        <v>908</v>
      </c>
      <c r="C64" s="1040">
        <v>1705</v>
      </c>
      <c r="D64" s="1040">
        <v>1889</v>
      </c>
      <c r="E64" s="1040">
        <v>3594</v>
      </c>
      <c r="F64" s="1040">
        <v>197</v>
      </c>
      <c r="G64" s="1040">
        <v>392</v>
      </c>
      <c r="H64" s="1040">
        <v>589</v>
      </c>
      <c r="I64" s="1040">
        <v>6334</v>
      </c>
      <c r="J64" s="1040">
        <v>7555</v>
      </c>
      <c r="K64" s="1040">
        <v>13889</v>
      </c>
      <c r="L64" s="1040">
        <v>16337</v>
      </c>
      <c r="M64" s="1040">
        <v>17902</v>
      </c>
      <c r="N64" s="1040">
        <v>34239</v>
      </c>
      <c r="O64" s="1040">
        <v>230</v>
      </c>
      <c r="P64" s="1040">
        <v>214</v>
      </c>
      <c r="Q64" s="1040">
        <v>444</v>
      </c>
      <c r="R64" s="1040">
        <v>2345</v>
      </c>
      <c r="S64" s="1040">
        <v>1157</v>
      </c>
      <c r="T64" s="1040">
        <v>3502</v>
      </c>
      <c r="U64" s="1040">
        <v>1565</v>
      </c>
      <c r="V64" s="1040">
        <v>1260</v>
      </c>
      <c r="W64" s="1040">
        <v>2825</v>
      </c>
      <c r="X64" s="1040">
        <v>250</v>
      </c>
      <c r="Y64" s="1040">
        <v>388</v>
      </c>
      <c r="Z64" s="1040">
        <v>638</v>
      </c>
      <c r="AA64" s="1040">
        <v>28963</v>
      </c>
      <c r="AB64" s="1040">
        <v>30757</v>
      </c>
      <c r="AC64" s="1040">
        <v>59720</v>
      </c>
    </row>
    <row r="65" spans="1:29" ht="17.149999999999999" customHeight="1" x14ac:dyDescent="0.35">
      <c r="A65" s="963">
        <v>10</v>
      </c>
      <c r="B65" s="528" t="s">
        <v>11</v>
      </c>
      <c r="C65" s="1040"/>
      <c r="D65" s="1040"/>
      <c r="E65" s="1040"/>
      <c r="F65" s="1040"/>
      <c r="G65" s="1040"/>
      <c r="H65" s="1040"/>
      <c r="I65" s="1040"/>
      <c r="J65" s="1040"/>
      <c r="K65" s="1040"/>
      <c r="L65" s="1040"/>
      <c r="M65" s="1040"/>
      <c r="N65" s="1040"/>
      <c r="O65" s="1040"/>
      <c r="P65" s="1040"/>
      <c r="Q65" s="1040"/>
      <c r="R65" s="1040"/>
      <c r="S65" s="1040"/>
      <c r="T65" s="1040"/>
      <c r="U65" s="1040"/>
      <c r="V65" s="1040"/>
      <c r="W65" s="1040"/>
      <c r="X65" s="1040"/>
      <c r="Y65" s="1040"/>
      <c r="Z65" s="1040"/>
      <c r="AA65" s="1040"/>
      <c r="AB65" s="1040"/>
      <c r="AC65" s="1040"/>
    </row>
    <row r="66" spans="1:29" ht="17.149999999999999" customHeight="1" x14ac:dyDescent="0.35">
      <c r="A66" s="964"/>
      <c r="B66" s="528" t="s">
        <v>912</v>
      </c>
      <c r="C66" s="1040">
        <v>12417</v>
      </c>
      <c r="D66" s="1040">
        <v>15937</v>
      </c>
      <c r="E66" s="1040">
        <v>28354</v>
      </c>
      <c r="F66" s="1040">
        <v>40</v>
      </c>
      <c r="G66" s="1040">
        <v>136</v>
      </c>
      <c r="H66" s="1040">
        <v>176</v>
      </c>
      <c r="I66" s="1040">
        <v>100317</v>
      </c>
      <c r="J66" s="1040">
        <v>93456</v>
      </c>
      <c r="K66" s="1040">
        <v>193773</v>
      </c>
      <c r="L66" s="1040">
        <v>403269</v>
      </c>
      <c r="M66" s="1040">
        <v>257950</v>
      </c>
      <c r="N66" s="1040">
        <v>661219</v>
      </c>
      <c r="O66" s="1040">
        <v>5270</v>
      </c>
      <c r="P66" s="1040">
        <v>4134</v>
      </c>
      <c r="Q66" s="1040">
        <v>9404</v>
      </c>
      <c r="R66" s="1040">
        <v>2807</v>
      </c>
      <c r="S66" s="1040">
        <v>2485</v>
      </c>
      <c r="T66" s="1040">
        <v>5292</v>
      </c>
      <c r="U66" s="1040">
        <v>294</v>
      </c>
      <c r="V66" s="1040">
        <v>244</v>
      </c>
      <c r="W66" s="1040">
        <v>538</v>
      </c>
      <c r="X66" s="1040">
        <v>20566</v>
      </c>
      <c r="Y66" s="1040">
        <v>16419</v>
      </c>
      <c r="Z66" s="1040">
        <v>36985</v>
      </c>
      <c r="AA66" s="1040">
        <v>544980</v>
      </c>
      <c r="AB66" s="1040">
        <v>390761</v>
      </c>
      <c r="AC66" s="1040">
        <v>935741</v>
      </c>
    </row>
    <row r="67" spans="1:29" ht="17.149999999999999" customHeight="1" x14ac:dyDescent="0.35">
      <c r="A67" s="964"/>
      <c r="B67" s="528" t="s">
        <v>911</v>
      </c>
      <c r="C67" s="1040">
        <v>12037</v>
      </c>
      <c r="D67" s="1040">
        <v>14452</v>
      </c>
      <c r="E67" s="1040">
        <v>26489</v>
      </c>
      <c r="F67" s="1040">
        <v>72</v>
      </c>
      <c r="G67" s="1040">
        <v>110</v>
      </c>
      <c r="H67" s="1040">
        <v>182</v>
      </c>
      <c r="I67" s="1040">
        <v>71608</v>
      </c>
      <c r="J67" s="1040">
        <v>69253</v>
      </c>
      <c r="K67" s="1040">
        <v>140861</v>
      </c>
      <c r="L67" s="1040">
        <v>383713</v>
      </c>
      <c r="M67" s="1040">
        <v>236508</v>
      </c>
      <c r="N67" s="1040">
        <v>620221</v>
      </c>
      <c r="O67" s="1040">
        <v>14190</v>
      </c>
      <c r="P67" s="1040">
        <v>12854</v>
      </c>
      <c r="Q67" s="1040">
        <v>27044</v>
      </c>
      <c r="R67" s="1040">
        <v>2294</v>
      </c>
      <c r="S67" s="1040">
        <v>1287</v>
      </c>
      <c r="T67" s="1040">
        <v>3581</v>
      </c>
      <c r="U67" s="1040">
        <v>294</v>
      </c>
      <c r="V67" s="1040">
        <v>421</v>
      </c>
      <c r="W67" s="1040">
        <v>715</v>
      </c>
      <c r="X67" s="1040">
        <v>18447</v>
      </c>
      <c r="Y67" s="1040">
        <v>15111</v>
      </c>
      <c r="Z67" s="1040">
        <v>33558</v>
      </c>
      <c r="AA67" s="1040">
        <v>502655</v>
      </c>
      <c r="AB67" s="1040">
        <v>349996</v>
      </c>
      <c r="AC67" s="1040">
        <v>852651</v>
      </c>
    </row>
    <row r="68" spans="1:29" ht="17.149999999999999" customHeight="1" x14ac:dyDescent="0.35">
      <c r="A68" s="964"/>
      <c r="B68" s="528" t="s">
        <v>910</v>
      </c>
      <c r="C68" s="1077">
        <v>14374</v>
      </c>
      <c r="D68" s="1077">
        <v>15377</v>
      </c>
      <c r="E68" s="1077">
        <v>29751</v>
      </c>
      <c r="F68" s="1077">
        <v>177</v>
      </c>
      <c r="G68" s="1077">
        <v>399</v>
      </c>
      <c r="H68" s="1077">
        <v>576</v>
      </c>
      <c r="I68" s="1077">
        <v>67998</v>
      </c>
      <c r="J68" s="1077">
        <v>66886</v>
      </c>
      <c r="K68" s="1077">
        <v>134884</v>
      </c>
      <c r="L68" s="1077">
        <v>418217</v>
      </c>
      <c r="M68" s="1077">
        <v>260587</v>
      </c>
      <c r="N68" s="1077">
        <v>678804</v>
      </c>
      <c r="O68" s="1077">
        <v>4408</v>
      </c>
      <c r="P68" s="1077">
        <v>4040</v>
      </c>
      <c r="Q68" s="1077">
        <v>8448</v>
      </c>
      <c r="R68" s="1077">
        <v>2816</v>
      </c>
      <c r="S68" s="1077">
        <v>1757</v>
      </c>
      <c r="T68" s="1077">
        <v>4573</v>
      </c>
      <c r="U68" s="1077">
        <v>603</v>
      </c>
      <c r="V68" s="1077">
        <v>811</v>
      </c>
      <c r="W68" s="1077">
        <v>1414</v>
      </c>
      <c r="X68" s="1077">
        <v>17239</v>
      </c>
      <c r="Y68" s="1077">
        <v>14105</v>
      </c>
      <c r="Z68" s="1077">
        <v>31344</v>
      </c>
      <c r="AA68" s="1077">
        <v>525832</v>
      </c>
      <c r="AB68" s="1077">
        <v>363962</v>
      </c>
      <c r="AC68" s="1077">
        <v>889794</v>
      </c>
    </row>
    <row r="69" spans="1:29" ht="17.149999999999999" customHeight="1" x14ac:dyDescent="0.35">
      <c r="A69" s="964"/>
      <c r="B69" s="528" t="s">
        <v>909</v>
      </c>
      <c r="C69" s="1041">
        <v>12538</v>
      </c>
      <c r="D69" s="1041">
        <v>12196</v>
      </c>
      <c r="E69" s="1041">
        <v>24734</v>
      </c>
      <c r="F69" s="1041">
        <v>303</v>
      </c>
      <c r="G69" s="1041">
        <v>697</v>
      </c>
      <c r="H69" s="1041">
        <v>1000</v>
      </c>
      <c r="I69" s="1041">
        <v>58752</v>
      </c>
      <c r="J69" s="1041">
        <v>59178</v>
      </c>
      <c r="K69" s="1041">
        <v>117930</v>
      </c>
      <c r="L69" s="1041">
        <v>371741</v>
      </c>
      <c r="M69" s="1041">
        <v>234714</v>
      </c>
      <c r="N69" s="1041">
        <v>606455</v>
      </c>
      <c r="O69" s="1041">
        <v>3546</v>
      </c>
      <c r="P69" s="1041">
        <v>3237</v>
      </c>
      <c r="Q69" s="1041">
        <v>6783</v>
      </c>
      <c r="R69" s="1041">
        <v>3687</v>
      </c>
      <c r="S69" s="1041">
        <v>2039</v>
      </c>
      <c r="T69" s="1041">
        <v>5726</v>
      </c>
      <c r="U69" s="1041">
        <v>146</v>
      </c>
      <c r="V69" s="1041">
        <v>192</v>
      </c>
      <c r="W69" s="1041">
        <v>338</v>
      </c>
      <c r="X69" s="1041">
        <v>14519</v>
      </c>
      <c r="Y69" s="1041">
        <v>11277</v>
      </c>
      <c r="Z69" s="1041">
        <v>25796</v>
      </c>
      <c r="AA69" s="1041">
        <v>465232</v>
      </c>
      <c r="AB69" s="1041">
        <v>323530</v>
      </c>
      <c r="AC69" s="1041">
        <v>788762</v>
      </c>
    </row>
    <row r="70" spans="1:29" ht="17.149999999999999" customHeight="1" x14ac:dyDescent="0.35">
      <c r="A70" s="964"/>
      <c r="B70" s="528" t="s">
        <v>908</v>
      </c>
      <c r="C70" s="1040">
        <v>9075</v>
      </c>
      <c r="D70" s="1040">
        <v>8657</v>
      </c>
      <c r="E70" s="1040">
        <v>17732</v>
      </c>
      <c r="F70" s="1040">
        <v>270</v>
      </c>
      <c r="G70" s="1040">
        <v>747</v>
      </c>
      <c r="H70" s="1040">
        <v>1017</v>
      </c>
      <c r="I70" s="1040">
        <v>52327</v>
      </c>
      <c r="J70" s="1040">
        <v>50420</v>
      </c>
      <c r="K70" s="1040">
        <v>102747</v>
      </c>
      <c r="L70" s="1040">
        <v>340002</v>
      </c>
      <c r="M70" s="1040">
        <v>201593</v>
      </c>
      <c r="N70" s="1040">
        <v>541595</v>
      </c>
      <c r="O70" s="1040">
        <v>2916</v>
      </c>
      <c r="P70" s="1040">
        <v>2424</v>
      </c>
      <c r="Q70" s="1040">
        <v>5340</v>
      </c>
      <c r="R70" s="1040">
        <v>3827</v>
      </c>
      <c r="S70" s="1040">
        <v>1911</v>
      </c>
      <c r="T70" s="1040">
        <v>5738</v>
      </c>
      <c r="U70" s="1040">
        <v>159</v>
      </c>
      <c r="V70" s="1040">
        <v>233</v>
      </c>
      <c r="W70" s="1040">
        <v>392</v>
      </c>
      <c r="X70" s="1040">
        <v>12508</v>
      </c>
      <c r="Y70" s="1040">
        <v>9857</v>
      </c>
      <c r="Z70" s="1040">
        <v>22365</v>
      </c>
      <c r="AA70" s="1040">
        <v>421084</v>
      </c>
      <c r="AB70" s="1040">
        <v>275842</v>
      </c>
      <c r="AC70" s="1040">
        <v>696926</v>
      </c>
    </row>
    <row r="71" spans="1:29" ht="17.149999999999999" customHeight="1" x14ac:dyDescent="0.35">
      <c r="A71" s="968">
        <v>11</v>
      </c>
      <c r="B71" s="528" t="s">
        <v>9</v>
      </c>
      <c r="C71" s="1040"/>
      <c r="D71" s="1040"/>
      <c r="E71" s="1040"/>
      <c r="F71" s="1040"/>
      <c r="G71" s="1040"/>
      <c r="H71" s="1040"/>
      <c r="I71" s="1040"/>
      <c r="J71" s="1040"/>
      <c r="K71" s="1040"/>
      <c r="L71" s="1040"/>
      <c r="M71" s="1040"/>
      <c r="N71" s="1040"/>
      <c r="O71" s="1040"/>
      <c r="P71" s="1040"/>
      <c r="Q71" s="1040"/>
      <c r="R71" s="1040"/>
      <c r="S71" s="1040"/>
      <c r="T71" s="1040"/>
      <c r="U71" s="1040"/>
      <c r="V71" s="1040"/>
      <c r="W71" s="1040"/>
      <c r="X71" s="1040"/>
      <c r="Y71" s="1040"/>
      <c r="Z71" s="1040"/>
      <c r="AA71" s="1040"/>
      <c r="AB71" s="1040"/>
      <c r="AC71" s="1040"/>
    </row>
    <row r="72" spans="1:29" ht="17.149999999999999" customHeight="1" x14ac:dyDescent="0.35">
      <c r="A72" s="969"/>
      <c r="B72" s="528" t="s">
        <v>912</v>
      </c>
      <c r="C72" s="1040">
        <v>20</v>
      </c>
      <c r="D72" s="1040">
        <v>8</v>
      </c>
      <c r="E72" s="1040">
        <v>28</v>
      </c>
      <c r="F72" s="1040">
        <v>0</v>
      </c>
      <c r="G72" s="1040"/>
      <c r="H72" s="1040"/>
      <c r="I72" s="1040">
        <v>549</v>
      </c>
      <c r="J72" s="1040">
        <v>388</v>
      </c>
      <c r="K72" s="1040">
        <v>937</v>
      </c>
      <c r="L72" s="1040">
        <v>897</v>
      </c>
      <c r="M72" s="1040">
        <v>526</v>
      </c>
      <c r="N72" s="1040">
        <v>1423</v>
      </c>
      <c r="O72" s="1040">
        <v>0</v>
      </c>
      <c r="P72" s="1040"/>
      <c r="Q72" s="1040"/>
      <c r="R72" s="1040">
        <v>0</v>
      </c>
      <c r="S72" s="1040"/>
      <c r="T72" s="1040"/>
      <c r="U72" s="1040">
        <v>0</v>
      </c>
      <c r="V72" s="1040"/>
      <c r="W72" s="1040"/>
      <c r="X72" s="1040">
        <v>0</v>
      </c>
      <c r="Y72" s="1040"/>
      <c r="Z72" s="1040"/>
      <c r="AA72" s="1040">
        <v>1466</v>
      </c>
      <c r="AB72" s="1040">
        <v>922</v>
      </c>
      <c r="AC72" s="1040">
        <v>2388</v>
      </c>
    </row>
    <row r="73" spans="1:29" ht="17.149999999999999" customHeight="1" x14ac:dyDescent="0.35">
      <c r="A73" s="969"/>
      <c r="B73" s="528" t="s">
        <v>911</v>
      </c>
      <c r="C73" s="1040">
        <v>30</v>
      </c>
      <c r="D73" s="1040">
        <v>11</v>
      </c>
      <c r="E73" s="1040">
        <v>41</v>
      </c>
      <c r="F73" s="1040"/>
      <c r="G73" s="1040"/>
      <c r="H73" s="1040"/>
      <c r="I73" s="1040">
        <v>807</v>
      </c>
      <c r="J73" s="1040">
        <v>441</v>
      </c>
      <c r="K73" s="1040">
        <v>1248</v>
      </c>
      <c r="L73" s="1040">
        <v>1259</v>
      </c>
      <c r="M73" s="1040">
        <v>685</v>
      </c>
      <c r="N73" s="1040">
        <v>1944</v>
      </c>
      <c r="O73" s="1040"/>
      <c r="P73" s="1040"/>
      <c r="Q73" s="1040"/>
      <c r="R73" s="1040"/>
      <c r="S73" s="1040"/>
      <c r="T73" s="1040"/>
      <c r="U73" s="1040"/>
      <c r="V73" s="1040"/>
      <c r="W73" s="1040"/>
      <c r="X73" s="1040"/>
      <c r="Y73" s="1040"/>
      <c r="Z73" s="1040"/>
      <c r="AA73" s="1040">
        <v>2096</v>
      </c>
      <c r="AB73" s="1040">
        <v>1137</v>
      </c>
      <c r="AC73" s="1040">
        <v>3233</v>
      </c>
    </row>
    <row r="74" spans="1:29" ht="17.149999999999999" customHeight="1" x14ac:dyDescent="0.35">
      <c r="A74" s="969"/>
      <c r="B74" s="528" t="s">
        <v>910</v>
      </c>
      <c r="C74" s="1077">
        <v>32</v>
      </c>
      <c r="D74" s="1077">
        <v>16</v>
      </c>
      <c r="E74" s="1077">
        <v>48</v>
      </c>
      <c r="F74" s="1077">
        <v>0</v>
      </c>
      <c r="G74" s="1077">
        <v>0</v>
      </c>
      <c r="H74" s="1077">
        <v>0</v>
      </c>
      <c r="I74" s="1077">
        <v>1064</v>
      </c>
      <c r="J74" s="1077">
        <v>910</v>
      </c>
      <c r="K74" s="1077">
        <v>1974</v>
      </c>
      <c r="L74" s="1077">
        <v>1422</v>
      </c>
      <c r="M74" s="1077">
        <v>1352</v>
      </c>
      <c r="N74" s="1077">
        <v>2774</v>
      </c>
      <c r="O74" s="1077">
        <v>0</v>
      </c>
      <c r="P74" s="1077">
        <v>0</v>
      </c>
      <c r="Q74" s="1077">
        <v>0</v>
      </c>
      <c r="R74" s="1077">
        <v>0</v>
      </c>
      <c r="S74" s="1077">
        <v>0</v>
      </c>
      <c r="T74" s="1077">
        <v>0</v>
      </c>
      <c r="U74" s="1077">
        <v>0</v>
      </c>
      <c r="V74" s="1077">
        <v>0</v>
      </c>
      <c r="W74" s="1077">
        <v>0</v>
      </c>
      <c r="X74" s="1077">
        <v>0</v>
      </c>
      <c r="Y74" s="1077">
        <v>0</v>
      </c>
      <c r="Z74" s="1077">
        <v>0</v>
      </c>
      <c r="AA74" s="1077">
        <v>2518</v>
      </c>
      <c r="AB74" s="1077">
        <v>2278</v>
      </c>
      <c r="AC74" s="1077">
        <v>4796</v>
      </c>
    </row>
    <row r="75" spans="1:29" ht="17.149999999999999" customHeight="1" x14ac:dyDescent="0.35">
      <c r="A75" s="969"/>
      <c r="B75" s="528" t="s">
        <v>909</v>
      </c>
      <c r="C75" s="1041">
        <v>32</v>
      </c>
      <c r="D75" s="1041">
        <v>48</v>
      </c>
      <c r="E75" s="1041">
        <v>80</v>
      </c>
      <c r="F75" s="1041">
        <v>20</v>
      </c>
      <c r="G75" s="1041">
        <v>25</v>
      </c>
      <c r="H75" s="1041">
        <v>45</v>
      </c>
      <c r="I75" s="1041">
        <v>487</v>
      </c>
      <c r="J75" s="1041">
        <v>916</v>
      </c>
      <c r="K75" s="1041">
        <v>1403</v>
      </c>
      <c r="L75" s="1041">
        <v>1138</v>
      </c>
      <c r="M75" s="1041">
        <v>1443</v>
      </c>
      <c r="N75" s="1041">
        <v>2581</v>
      </c>
      <c r="O75" s="1041">
        <v>51</v>
      </c>
      <c r="P75" s="1041">
        <v>67</v>
      </c>
      <c r="Q75" s="1041">
        <v>118</v>
      </c>
      <c r="R75" s="1041">
        <v>0</v>
      </c>
      <c r="S75" s="1041">
        <v>0</v>
      </c>
      <c r="T75" s="1041">
        <v>0</v>
      </c>
      <c r="U75" s="1041">
        <v>0</v>
      </c>
      <c r="V75" s="1041">
        <v>0</v>
      </c>
      <c r="W75" s="1041">
        <v>0</v>
      </c>
      <c r="X75" s="1041">
        <v>0</v>
      </c>
      <c r="Y75" s="1041">
        <v>0</v>
      </c>
      <c r="Z75" s="1041">
        <v>0</v>
      </c>
      <c r="AA75" s="1041">
        <v>1728</v>
      </c>
      <c r="AB75" s="1041">
        <v>2499</v>
      </c>
      <c r="AC75" s="1041">
        <v>4227</v>
      </c>
    </row>
    <row r="76" spans="1:29" ht="17.149999999999999" customHeight="1" x14ac:dyDescent="0.35">
      <c r="A76" s="969"/>
      <c r="B76" s="528" t="s">
        <v>908</v>
      </c>
      <c r="C76" s="1040"/>
      <c r="D76" s="1040"/>
      <c r="E76" s="1040"/>
      <c r="F76" s="1040"/>
      <c r="G76" s="1040"/>
      <c r="H76" s="1040"/>
      <c r="I76" s="1040"/>
      <c r="J76" s="1040"/>
      <c r="K76" s="1040"/>
      <c r="L76" s="1040"/>
      <c r="M76" s="1040"/>
      <c r="N76" s="1040"/>
      <c r="O76" s="1040"/>
      <c r="P76" s="1040"/>
      <c r="Q76" s="1040"/>
      <c r="R76" s="1040"/>
      <c r="S76" s="1040"/>
      <c r="T76" s="1040"/>
      <c r="U76" s="1040"/>
      <c r="V76" s="1040"/>
      <c r="W76" s="1040"/>
      <c r="X76" s="1040"/>
      <c r="Y76" s="1040"/>
      <c r="Z76" s="1040"/>
      <c r="AA76" s="1040"/>
      <c r="AB76" s="1040"/>
      <c r="AC76" s="1040"/>
    </row>
  </sheetData>
  <mergeCells count="26">
    <mergeCell ref="A71:A76"/>
    <mergeCell ref="A5:A10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A65:A70"/>
    <mergeCell ref="AA2:AC2"/>
    <mergeCell ref="C1:K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L1:T1"/>
    <mergeCell ref="U1:AB1"/>
  </mergeCells>
  <pageMargins left="0.59055118110236227" right="0.15748031496062992" top="0.39370078740157483" bottom="0.39370078740157483" header="0.31496062992125984" footer="0.19685039370078741"/>
  <pageSetup paperSize="9" scale="70" firstPageNumber="2" orientation="portrait" r:id="rId1"/>
  <headerFooter>
    <oddFooter>&amp;L&amp;"Arial,Italic"&amp;9AISHE 2022-23&amp;RT-50</oddFooter>
  </headerFooter>
  <rowBreaks count="1" manualBreakCount="1">
    <brk id="64" max="28" man="1"/>
  </rowBreaks>
  <colBreaks count="2" manualBreakCount="2">
    <brk id="11" max="1048575" man="1"/>
    <brk id="20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5997-43FE-4995-8769-FDF69B775211}">
  <sheetPr codeName="Sheet15">
    <tabColor rgb="FF92D050"/>
  </sheetPr>
  <dimension ref="A1:Y225"/>
  <sheetViews>
    <sheetView showZeros="0" tabSelected="1" view="pageBreakPreview" zoomScale="95" zoomScaleNormal="85" zoomScaleSheetLayoutView="95" workbookViewId="0">
      <pane xSplit="2" ySplit="3" topLeftCell="Q4" activePane="bottomRight" state="frozen"/>
      <selection activeCell="S20" sqref="S20"/>
      <selection pane="topRight" activeCell="S20" sqref="S20"/>
      <selection pane="bottomLeft" activeCell="S20" sqref="S20"/>
      <selection pane="bottomRight" activeCell="C1" sqref="C1:W1048576"/>
    </sheetView>
  </sheetViews>
  <sheetFormatPr defaultColWidth="9.1796875" defaultRowHeight="14" x14ac:dyDescent="0.35"/>
  <cols>
    <col min="1" max="1" width="4.453125" style="392" bestFit="1" customWidth="1"/>
    <col min="2" max="2" width="30.54296875" style="526" customWidth="1"/>
    <col min="3" max="3" width="59.90625" style="1051" bestFit="1" customWidth="1"/>
    <col min="4" max="4" width="8.54296875" style="1051" bestFit="1" customWidth="1"/>
    <col min="5" max="6" width="10" style="1051" bestFit="1" customWidth="1"/>
    <col min="7" max="7" width="8.54296875" style="1051" bestFit="1" customWidth="1"/>
    <col min="8" max="10" width="10" style="1051" bestFit="1" customWidth="1"/>
    <col min="11" max="11" width="11.1796875" style="1051" bestFit="1" customWidth="1"/>
    <col min="12" max="12" width="8.36328125" style="1051" bestFit="1" customWidth="1"/>
    <col min="13" max="13" width="8.54296875" style="1051" bestFit="1" customWidth="1"/>
    <col min="14" max="14" width="10" style="1051" bestFit="1" customWidth="1"/>
    <col min="15" max="15" width="8.36328125" style="1051" bestFit="1" customWidth="1"/>
    <col min="16" max="16" width="8.54296875" style="1051" bestFit="1" customWidth="1"/>
    <col min="17" max="17" width="8.36328125" style="1051" bestFit="1" customWidth="1"/>
    <col min="18" max="19" width="10" style="1051" bestFit="1" customWidth="1"/>
    <col min="20" max="20" width="11.1796875" style="1051" bestFit="1" customWidth="1"/>
    <col min="21" max="21" width="7.1796875" style="1051" bestFit="1" customWidth="1"/>
    <col min="22" max="22" width="8.54296875" style="1051" bestFit="1" customWidth="1"/>
    <col min="23" max="23" width="8.36328125" style="1051" bestFit="1" customWidth="1"/>
    <col min="24" max="24" width="16.453125" style="526" customWidth="1"/>
    <col min="25" max="25" width="7" style="526" customWidth="1"/>
    <col min="26" max="16384" width="9.1796875" style="526"/>
  </cols>
  <sheetData>
    <row r="1" spans="1:23" s="521" customFormat="1" ht="27.75" customHeight="1" x14ac:dyDescent="0.35">
      <c r="A1" s="392"/>
      <c r="B1" s="520" t="s">
        <v>990</v>
      </c>
      <c r="C1" s="1078" t="s">
        <v>1046</v>
      </c>
      <c r="D1" s="1078"/>
      <c r="E1" s="1078"/>
      <c r="F1" s="1079"/>
      <c r="G1" s="1079"/>
      <c r="H1" s="1079"/>
      <c r="I1" s="1053" t="str">
        <f>C1</f>
        <v>Post-Wise Teacher Distribution Over the Last 5 Years</v>
      </c>
      <c r="J1" s="1053"/>
      <c r="K1" s="1053"/>
      <c r="L1" s="1053"/>
      <c r="M1" s="1053"/>
      <c r="N1" s="1053"/>
      <c r="O1" s="1053"/>
      <c r="P1" s="1053"/>
      <c r="Q1" s="1053"/>
      <c r="R1" s="1053" t="str">
        <f>I1</f>
        <v>Post-Wise Teacher Distribution Over the Last 5 Years</v>
      </c>
      <c r="S1" s="1053"/>
      <c r="T1" s="1053"/>
      <c r="U1" s="1053"/>
      <c r="V1" s="1053"/>
      <c r="W1" s="1053"/>
    </row>
    <row r="2" spans="1:23" s="522" customFormat="1" ht="34.5" customHeight="1" x14ac:dyDescent="0.35">
      <c r="A2" s="985" t="s">
        <v>974</v>
      </c>
      <c r="B2" s="990" t="s">
        <v>50</v>
      </c>
      <c r="C2" s="1080" t="s">
        <v>759</v>
      </c>
      <c r="D2" s="1080"/>
      <c r="E2" s="1080"/>
      <c r="F2" s="1080" t="s">
        <v>760</v>
      </c>
      <c r="G2" s="1080"/>
      <c r="H2" s="1080"/>
      <c r="I2" s="1081" t="s">
        <v>761</v>
      </c>
      <c r="J2" s="1081"/>
      <c r="K2" s="1081"/>
      <c r="L2" s="1080" t="s">
        <v>762</v>
      </c>
      <c r="M2" s="1080"/>
      <c r="N2" s="1080"/>
      <c r="O2" s="1080" t="s">
        <v>767</v>
      </c>
      <c r="P2" s="1080"/>
      <c r="Q2" s="1080"/>
      <c r="R2" s="1080" t="s">
        <v>991</v>
      </c>
      <c r="S2" s="1080"/>
      <c r="T2" s="1080"/>
      <c r="U2" s="1080" t="s">
        <v>764</v>
      </c>
      <c r="V2" s="1080"/>
      <c r="W2" s="1080"/>
    </row>
    <row r="3" spans="1:23" ht="21" customHeight="1" x14ac:dyDescent="0.35">
      <c r="A3" s="985"/>
      <c r="B3" s="990"/>
      <c r="C3" s="1082" t="s">
        <v>93</v>
      </c>
      <c r="D3" s="1082" t="s">
        <v>94</v>
      </c>
      <c r="E3" s="1082" t="s">
        <v>975</v>
      </c>
      <c r="F3" s="1082" t="s">
        <v>93</v>
      </c>
      <c r="G3" s="1082" t="s">
        <v>94</v>
      </c>
      <c r="H3" s="1082" t="s">
        <v>975</v>
      </c>
      <c r="I3" s="1082" t="s">
        <v>93</v>
      </c>
      <c r="J3" s="1082" t="s">
        <v>94</v>
      </c>
      <c r="K3" s="1082" t="s">
        <v>975</v>
      </c>
      <c r="L3" s="1082" t="s">
        <v>93</v>
      </c>
      <c r="M3" s="1082" t="s">
        <v>94</v>
      </c>
      <c r="N3" s="1082" t="s">
        <v>975</v>
      </c>
      <c r="O3" s="1082" t="s">
        <v>93</v>
      </c>
      <c r="P3" s="1082" t="s">
        <v>94</v>
      </c>
      <c r="Q3" s="1082" t="s">
        <v>975</v>
      </c>
      <c r="R3" s="1082" t="s">
        <v>93</v>
      </c>
      <c r="S3" s="1082" t="s">
        <v>94</v>
      </c>
      <c r="T3" s="1082" t="s">
        <v>975</v>
      </c>
      <c r="U3" s="1082" t="s">
        <v>93</v>
      </c>
      <c r="V3" s="1082" t="s">
        <v>94</v>
      </c>
      <c r="W3" s="1082" t="s">
        <v>975</v>
      </c>
    </row>
    <row r="4" spans="1:23" x14ac:dyDescent="0.35">
      <c r="A4" s="408">
        <v>1</v>
      </c>
      <c r="B4" s="408">
        <v>2</v>
      </c>
      <c r="C4" s="1036">
        <v>3</v>
      </c>
      <c r="D4" s="1036">
        <v>4</v>
      </c>
      <c r="E4" s="1036">
        <v>5</v>
      </c>
      <c r="F4" s="1036">
        <v>6</v>
      </c>
      <c r="G4" s="1036">
        <v>7</v>
      </c>
      <c r="H4" s="1036">
        <v>8</v>
      </c>
      <c r="I4" s="1036">
        <v>9</v>
      </c>
      <c r="J4" s="1036">
        <v>10</v>
      </c>
      <c r="K4" s="1036">
        <v>11</v>
      </c>
      <c r="L4" s="1036">
        <v>12</v>
      </c>
      <c r="M4" s="1036">
        <v>13</v>
      </c>
      <c r="N4" s="1036">
        <v>14</v>
      </c>
      <c r="O4" s="1036">
        <v>15</v>
      </c>
      <c r="P4" s="1036">
        <v>16</v>
      </c>
      <c r="Q4" s="1036">
        <v>17</v>
      </c>
      <c r="R4" s="1036">
        <v>18</v>
      </c>
      <c r="S4" s="1036">
        <v>19</v>
      </c>
      <c r="T4" s="1036">
        <v>20</v>
      </c>
      <c r="U4" s="1036">
        <v>21</v>
      </c>
      <c r="V4" s="1036">
        <v>22</v>
      </c>
      <c r="W4" s="1036">
        <v>23</v>
      </c>
    </row>
    <row r="5" spans="1:23" x14ac:dyDescent="0.35">
      <c r="A5" s="972"/>
      <c r="B5" s="527" t="s">
        <v>913</v>
      </c>
      <c r="C5" s="1040"/>
      <c r="D5" s="1040"/>
      <c r="E5" s="1040"/>
      <c r="F5" s="1040"/>
      <c r="G5" s="1040"/>
      <c r="H5" s="1040"/>
      <c r="I5" s="1040"/>
      <c r="J5" s="1040"/>
      <c r="K5" s="1040"/>
      <c r="L5" s="1040"/>
      <c r="M5" s="1040"/>
      <c r="N5" s="1040"/>
      <c r="O5" s="1040"/>
      <c r="P5" s="1040"/>
      <c r="Q5" s="1040"/>
      <c r="R5" s="1040"/>
      <c r="S5" s="1040"/>
      <c r="T5" s="1040"/>
      <c r="U5" s="1040"/>
      <c r="V5" s="1040"/>
      <c r="W5" s="1040"/>
    </row>
    <row r="6" spans="1:23" x14ac:dyDescent="0.35">
      <c r="A6" s="972"/>
      <c r="B6" s="528" t="s">
        <v>912</v>
      </c>
      <c r="C6" s="1040">
        <v>110382</v>
      </c>
      <c r="D6" s="1040">
        <v>48309</v>
      </c>
      <c r="E6" s="1040">
        <v>158691</v>
      </c>
      <c r="F6" s="1040">
        <v>100876</v>
      </c>
      <c r="G6" s="1040">
        <v>62865</v>
      </c>
      <c r="H6" s="1040">
        <v>163741</v>
      </c>
      <c r="I6" s="1040">
        <v>622263</v>
      </c>
      <c r="J6" s="1040">
        <v>501024</v>
      </c>
      <c r="K6" s="1040">
        <v>1123287</v>
      </c>
      <c r="L6" s="1040">
        <v>34755</v>
      </c>
      <c r="M6" s="1040">
        <v>70637</v>
      </c>
      <c r="N6" s="1040">
        <v>105392</v>
      </c>
      <c r="O6" s="1040">
        <v>51607</v>
      </c>
      <c r="P6" s="1040">
        <v>47594</v>
      </c>
      <c r="Q6" s="1040">
        <v>99201</v>
      </c>
      <c r="R6" s="1040">
        <v>927394</v>
      </c>
      <c r="S6" s="1040">
        <v>736778</v>
      </c>
      <c r="T6" s="1040">
        <v>1664172</v>
      </c>
      <c r="U6" s="1040">
        <v>7511</v>
      </c>
      <c r="V6" s="1040">
        <v>6349</v>
      </c>
      <c r="W6" s="1040">
        <v>13860</v>
      </c>
    </row>
    <row r="7" spans="1:23" x14ac:dyDescent="0.35">
      <c r="A7" s="972"/>
      <c r="B7" s="528" t="s">
        <v>911</v>
      </c>
      <c r="C7" s="1040">
        <v>106703</v>
      </c>
      <c r="D7" s="1040">
        <v>44704</v>
      </c>
      <c r="E7" s="1040">
        <v>151407</v>
      </c>
      <c r="F7" s="1040">
        <v>99893</v>
      </c>
      <c r="G7" s="1040">
        <v>60840</v>
      </c>
      <c r="H7" s="1040">
        <v>160733</v>
      </c>
      <c r="I7" s="1040">
        <v>610368</v>
      </c>
      <c r="J7" s="1040">
        <v>476158</v>
      </c>
      <c r="K7" s="1040">
        <v>1086526</v>
      </c>
      <c r="L7" s="1040">
        <v>32142</v>
      </c>
      <c r="M7" s="1040">
        <v>63611</v>
      </c>
      <c r="N7" s="1040">
        <v>95753</v>
      </c>
      <c r="O7" s="1040">
        <v>47274</v>
      </c>
      <c r="P7" s="1040">
        <v>43091</v>
      </c>
      <c r="Q7" s="1040">
        <v>90365</v>
      </c>
      <c r="R7" s="1040">
        <v>896380</v>
      </c>
      <c r="S7" s="1040">
        <v>688404</v>
      </c>
      <c r="T7" s="1040">
        <v>1584784</v>
      </c>
      <c r="U7" s="1040">
        <v>7143</v>
      </c>
      <c r="V7" s="1040">
        <v>5761</v>
      </c>
      <c r="W7" s="1040">
        <v>12904</v>
      </c>
    </row>
    <row r="8" spans="1:23" x14ac:dyDescent="0.35">
      <c r="A8" s="972"/>
      <c r="B8" s="528" t="s">
        <v>910</v>
      </c>
      <c r="C8" s="1050">
        <v>104469</v>
      </c>
      <c r="D8" s="1050">
        <v>42280</v>
      </c>
      <c r="E8" s="1050">
        <v>146749</v>
      </c>
      <c r="F8" s="1050">
        <v>100272</v>
      </c>
      <c r="G8" s="1050">
        <v>60387</v>
      </c>
      <c r="H8" s="1050">
        <v>160659</v>
      </c>
      <c r="I8" s="1050">
        <v>601019</v>
      </c>
      <c r="J8" s="1050">
        <v>458277</v>
      </c>
      <c r="K8" s="1050">
        <v>1059296</v>
      </c>
      <c r="L8" s="1050">
        <v>29329</v>
      </c>
      <c r="M8" s="1050">
        <v>58252</v>
      </c>
      <c r="N8" s="1050">
        <v>87581</v>
      </c>
      <c r="O8" s="1050">
        <v>43816</v>
      </c>
      <c r="P8" s="1050">
        <v>39925</v>
      </c>
      <c r="Q8" s="1050">
        <v>83741</v>
      </c>
      <c r="R8" s="1050">
        <v>886140</v>
      </c>
      <c r="S8" s="1050">
        <v>664930</v>
      </c>
      <c r="T8" s="1050">
        <v>1551070</v>
      </c>
      <c r="U8" s="1050">
        <v>7259</v>
      </c>
      <c r="V8" s="1050">
        <v>5819</v>
      </c>
      <c r="W8" s="1050">
        <v>13078</v>
      </c>
    </row>
    <row r="9" spans="1:23" x14ac:dyDescent="0.35">
      <c r="A9" s="972"/>
      <c r="B9" s="528" t="s">
        <v>909</v>
      </c>
      <c r="C9" s="1050">
        <v>101319</v>
      </c>
      <c r="D9" s="1050">
        <v>38478</v>
      </c>
      <c r="E9" s="1050">
        <v>139797</v>
      </c>
      <c r="F9" s="1050">
        <v>100652</v>
      </c>
      <c r="G9" s="1050">
        <v>59485</v>
      </c>
      <c r="H9" s="1050">
        <v>160137</v>
      </c>
      <c r="I9" s="1050">
        <v>583231</v>
      </c>
      <c r="J9" s="1050">
        <v>440288</v>
      </c>
      <c r="K9" s="1050">
        <v>1023519</v>
      </c>
      <c r="L9" s="1050">
        <v>27650</v>
      </c>
      <c r="M9" s="1050">
        <v>52522</v>
      </c>
      <c r="N9" s="1050">
        <v>80172</v>
      </c>
      <c r="O9" s="1050">
        <v>43387</v>
      </c>
      <c r="P9" s="1050">
        <v>41569</v>
      </c>
      <c r="Q9" s="1050">
        <v>84956</v>
      </c>
      <c r="R9" s="1050">
        <v>864337</v>
      </c>
      <c r="S9" s="1050">
        <v>638819</v>
      </c>
      <c r="T9" s="1050">
        <v>1503156</v>
      </c>
      <c r="U9" s="1050">
        <v>8098</v>
      </c>
      <c r="V9" s="1050">
        <v>6477</v>
      </c>
      <c r="W9" s="1050">
        <v>14575</v>
      </c>
    </row>
    <row r="10" spans="1:23" x14ac:dyDescent="0.35">
      <c r="A10" s="972"/>
      <c r="B10" s="528" t="s">
        <v>908</v>
      </c>
      <c r="C10" s="1050">
        <v>93799</v>
      </c>
      <c r="D10" s="1050">
        <v>35150</v>
      </c>
      <c r="E10" s="1050">
        <v>128949</v>
      </c>
      <c r="F10" s="1050">
        <v>96376</v>
      </c>
      <c r="G10" s="1050">
        <v>56181</v>
      </c>
      <c r="H10" s="1050">
        <v>152557</v>
      </c>
      <c r="I10" s="1050">
        <v>557447</v>
      </c>
      <c r="J10" s="1050">
        <v>413754</v>
      </c>
      <c r="K10" s="1050">
        <v>971201</v>
      </c>
      <c r="L10" s="1050">
        <v>25274</v>
      </c>
      <c r="M10" s="1050">
        <v>47900</v>
      </c>
      <c r="N10" s="1050">
        <v>73174</v>
      </c>
      <c r="O10" s="1050">
        <v>39229</v>
      </c>
      <c r="P10" s="1050">
        <v>38281</v>
      </c>
      <c r="Q10" s="1050">
        <v>77510</v>
      </c>
      <c r="R10" s="1050">
        <v>819283</v>
      </c>
      <c r="S10" s="1050">
        <v>597016</v>
      </c>
      <c r="T10" s="1050">
        <v>1416299</v>
      </c>
      <c r="U10" s="1050">
        <v>7158</v>
      </c>
      <c r="V10" s="1050">
        <v>5750</v>
      </c>
      <c r="W10" s="1050">
        <v>12908</v>
      </c>
    </row>
    <row r="11" spans="1:23" ht="15.5" x14ac:dyDescent="0.35">
      <c r="A11" s="972">
        <v>1</v>
      </c>
      <c r="B11" s="527" t="s">
        <v>116</v>
      </c>
      <c r="C11" s="632"/>
      <c r="D11" s="1040"/>
      <c r="E11" s="1040"/>
      <c r="F11" s="1040"/>
      <c r="G11" s="1040"/>
      <c r="H11" s="1040"/>
      <c r="I11" s="1040"/>
      <c r="J11" s="1040"/>
      <c r="K11" s="1040"/>
      <c r="L11" s="1040"/>
      <c r="M11" s="1040"/>
      <c r="N11" s="1040"/>
      <c r="O11" s="1040"/>
      <c r="P11" s="1040"/>
      <c r="Q11" s="1040"/>
      <c r="R11" s="1040"/>
      <c r="S11" s="1040"/>
      <c r="T11" s="1040"/>
      <c r="U11" s="1040"/>
      <c r="V11" s="1040"/>
      <c r="W11" s="1040"/>
    </row>
    <row r="12" spans="1:23" x14ac:dyDescent="0.35">
      <c r="A12" s="972"/>
      <c r="B12" s="528" t="s">
        <v>912</v>
      </c>
      <c r="C12" s="1040">
        <v>4</v>
      </c>
      <c r="D12" s="1040"/>
      <c r="E12" s="1040">
        <v>4</v>
      </c>
      <c r="F12" s="1040"/>
      <c r="G12" s="1040"/>
      <c r="H12" s="1040"/>
      <c r="I12" s="1040">
        <v>47</v>
      </c>
      <c r="J12" s="1040">
        <v>27</v>
      </c>
      <c r="K12" s="1040">
        <v>74</v>
      </c>
      <c r="L12" s="1040"/>
      <c r="M12" s="1040"/>
      <c r="N12" s="1040"/>
      <c r="O12" s="1040">
        <v>8</v>
      </c>
      <c r="P12" s="1040">
        <v>40</v>
      </c>
      <c r="Q12" s="1040">
        <v>48</v>
      </c>
      <c r="R12" s="1040">
        <v>59</v>
      </c>
      <c r="S12" s="1040">
        <v>67</v>
      </c>
      <c r="T12" s="1040">
        <v>126</v>
      </c>
      <c r="U12" s="1040"/>
      <c r="V12" s="1040"/>
      <c r="W12" s="1040"/>
    </row>
    <row r="13" spans="1:23" x14ac:dyDescent="0.35">
      <c r="A13" s="972"/>
      <c r="B13" s="528" t="s">
        <v>911</v>
      </c>
      <c r="C13" s="1040">
        <v>26</v>
      </c>
      <c r="D13" s="1040">
        <v>2</v>
      </c>
      <c r="E13" s="1040">
        <v>28</v>
      </c>
      <c r="F13" s="1040">
        <v>51</v>
      </c>
      <c r="G13" s="1040">
        <v>12</v>
      </c>
      <c r="H13" s="1040">
        <v>63</v>
      </c>
      <c r="I13" s="1040">
        <v>99</v>
      </c>
      <c r="J13" s="1040">
        <v>48</v>
      </c>
      <c r="K13" s="1040">
        <v>147</v>
      </c>
      <c r="L13" s="1040">
        <v>12</v>
      </c>
      <c r="M13" s="1040">
        <v>8</v>
      </c>
      <c r="N13" s="1040">
        <v>20</v>
      </c>
      <c r="O13" s="1040">
        <v>48</v>
      </c>
      <c r="P13" s="1040">
        <v>112</v>
      </c>
      <c r="Q13" s="1040">
        <v>160</v>
      </c>
      <c r="R13" s="1040">
        <v>236</v>
      </c>
      <c r="S13" s="1040">
        <v>182</v>
      </c>
      <c r="T13" s="1040">
        <v>418</v>
      </c>
      <c r="U13" s="1040">
        <v>11</v>
      </c>
      <c r="V13" s="1040">
        <v>23</v>
      </c>
      <c r="W13" s="1040">
        <v>34</v>
      </c>
    </row>
    <row r="14" spans="1:23" x14ac:dyDescent="0.35">
      <c r="A14" s="972"/>
      <c r="B14" s="528" t="s">
        <v>910</v>
      </c>
      <c r="C14" s="1050">
        <v>25</v>
      </c>
      <c r="D14" s="1050">
        <v>2</v>
      </c>
      <c r="E14" s="1050">
        <v>27</v>
      </c>
      <c r="F14" s="1050">
        <v>52</v>
      </c>
      <c r="G14" s="1050">
        <v>12</v>
      </c>
      <c r="H14" s="1050">
        <v>64</v>
      </c>
      <c r="I14" s="1050">
        <v>99</v>
      </c>
      <c r="J14" s="1050">
        <v>47</v>
      </c>
      <c r="K14" s="1050">
        <v>146</v>
      </c>
      <c r="L14" s="1050">
        <v>12</v>
      </c>
      <c r="M14" s="1050">
        <v>8</v>
      </c>
      <c r="N14" s="1050">
        <v>20</v>
      </c>
      <c r="O14" s="1050">
        <v>50</v>
      </c>
      <c r="P14" s="1050">
        <v>112</v>
      </c>
      <c r="Q14" s="1050">
        <v>162</v>
      </c>
      <c r="R14" s="1050">
        <v>249</v>
      </c>
      <c r="S14" s="1050">
        <v>204</v>
      </c>
      <c r="T14" s="1050">
        <v>453</v>
      </c>
      <c r="U14" s="1050">
        <v>11</v>
      </c>
      <c r="V14" s="1050">
        <v>23</v>
      </c>
      <c r="W14" s="1050">
        <v>34</v>
      </c>
    </row>
    <row r="15" spans="1:23" x14ac:dyDescent="0.35">
      <c r="A15" s="972"/>
      <c r="B15" s="528" t="s">
        <v>909</v>
      </c>
      <c r="C15" s="1050">
        <v>24</v>
      </c>
      <c r="D15" s="1050">
        <v>2</v>
      </c>
      <c r="E15" s="1050">
        <v>26</v>
      </c>
      <c r="F15" s="1050">
        <v>51</v>
      </c>
      <c r="G15" s="1050">
        <v>12</v>
      </c>
      <c r="H15" s="1050">
        <v>63</v>
      </c>
      <c r="I15" s="1050">
        <v>107</v>
      </c>
      <c r="J15" s="1050">
        <v>53</v>
      </c>
      <c r="K15" s="1050">
        <v>160</v>
      </c>
      <c r="L15" s="1050">
        <v>12</v>
      </c>
      <c r="M15" s="1050">
        <v>8</v>
      </c>
      <c r="N15" s="1050">
        <v>20</v>
      </c>
      <c r="O15" s="1050">
        <v>49</v>
      </c>
      <c r="P15" s="1050">
        <v>111</v>
      </c>
      <c r="Q15" s="1050">
        <v>160</v>
      </c>
      <c r="R15" s="1050">
        <v>254</v>
      </c>
      <c r="S15" s="1050">
        <v>209</v>
      </c>
      <c r="T15" s="1050">
        <v>463</v>
      </c>
      <c r="U15" s="1050">
        <v>11</v>
      </c>
      <c r="V15" s="1050">
        <v>23</v>
      </c>
      <c r="W15" s="1050">
        <v>34</v>
      </c>
    </row>
    <row r="16" spans="1:23" x14ac:dyDescent="0.35">
      <c r="A16" s="972"/>
      <c r="B16" s="528" t="s">
        <v>908</v>
      </c>
      <c r="C16" s="1050">
        <v>26</v>
      </c>
      <c r="D16" s="1050">
        <v>2</v>
      </c>
      <c r="E16" s="1050">
        <v>28</v>
      </c>
      <c r="F16" s="1050">
        <v>51</v>
      </c>
      <c r="G16" s="1050">
        <v>13</v>
      </c>
      <c r="H16" s="1050">
        <v>64</v>
      </c>
      <c r="I16" s="1050">
        <v>110</v>
      </c>
      <c r="J16" s="1050">
        <v>46</v>
      </c>
      <c r="K16" s="1050">
        <v>156</v>
      </c>
      <c r="L16" s="1050">
        <v>12</v>
      </c>
      <c r="M16" s="1050">
        <v>8</v>
      </c>
      <c r="N16" s="1050">
        <v>20</v>
      </c>
      <c r="O16" s="1050">
        <v>55</v>
      </c>
      <c r="P16" s="1050">
        <v>104</v>
      </c>
      <c r="Q16" s="1050">
        <v>159</v>
      </c>
      <c r="R16" s="1050">
        <v>265</v>
      </c>
      <c r="S16" s="1050">
        <v>192</v>
      </c>
      <c r="T16" s="1050">
        <v>457</v>
      </c>
      <c r="U16" s="1050">
        <v>11</v>
      </c>
      <c r="V16" s="1050">
        <v>19</v>
      </c>
      <c r="W16" s="1050">
        <v>30</v>
      </c>
    </row>
    <row r="17" spans="1:23" x14ac:dyDescent="0.35">
      <c r="A17" s="972">
        <v>2</v>
      </c>
      <c r="B17" s="527" t="s">
        <v>13</v>
      </c>
      <c r="C17" s="1040"/>
      <c r="D17" s="1040"/>
      <c r="E17" s="1040"/>
      <c r="F17" s="1040"/>
      <c r="G17" s="1040"/>
      <c r="H17" s="1040"/>
      <c r="I17" s="1040"/>
      <c r="J17" s="1040"/>
      <c r="K17" s="1040"/>
      <c r="L17" s="1040"/>
      <c r="M17" s="1040"/>
      <c r="N17" s="1040"/>
      <c r="O17" s="1040"/>
      <c r="P17" s="1040"/>
      <c r="Q17" s="1040"/>
      <c r="R17" s="1040"/>
      <c r="S17" s="1040"/>
      <c r="T17" s="1040"/>
      <c r="U17" s="1040"/>
      <c r="V17" s="1040"/>
      <c r="W17" s="1040"/>
    </row>
    <row r="18" spans="1:23" x14ac:dyDescent="0.35">
      <c r="A18" s="972"/>
      <c r="B18" s="527" t="s">
        <v>912</v>
      </c>
      <c r="C18" s="1040">
        <v>7329</v>
      </c>
      <c r="D18" s="1040">
        <v>2592</v>
      </c>
      <c r="E18" s="1040">
        <v>9921</v>
      </c>
      <c r="F18" s="1040">
        <v>6884</v>
      </c>
      <c r="G18" s="1040">
        <v>3174</v>
      </c>
      <c r="H18" s="1040">
        <v>10058</v>
      </c>
      <c r="I18" s="1040">
        <v>47233</v>
      </c>
      <c r="J18" s="1040">
        <v>29898</v>
      </c>
      <c r="K18" s="1040">
        <v>77131</v>
      </c>
      <c r="L18" s="1040">
        <v>1029</v>
      </c>
      <c r="M18" s="1040">
        <v>5136</v>
      </c>
      <c r="N18" s="1040">
        <v>6165</v>
      </c>
      <c r="O18" s="1040">
        <v>2391</v>
      </c>
      <c r="P18" s="1040">
        <v>1718</v>
      </c>
      <c r="Q18" s="1040">
        <v>4109</v>
      </c>
      <c r="R18" s="1040">
        <v>64920</v>
      </c>
      <c r="S18" s="1040">
        <v>42589</v>
      </c>
      <c r="T18" s="1040">
        <v>107509</v>
      </c>
      <c r="U18" s="1040">
        <v>54</v>
      </c>
      <c r="V18" s="1040">
        <v>71</v>
      </c>
      <c r="W18" s="1040">
        <v>125</v>
      </c>
    </row>
    <row r="19" spans="1:23" x14ac:dyDescent="0.35">
      <c r="A19" s="972"/>
      <c r="B19" s="528" t="s">
        <v>911</v>
      </c>
      <c r="C19" s="1040">
        <v>7337</v>
      </c>
      <c r="D19" s="1040">
        <v>2310</v>
      </c>
      <c r="E19" s="1040">
        <v>9647</v>
      </c>
      <c r="F19" s="1040">
        <v>6601</v>
      </c>
      <c r="G19" s="1040">
        <v>2808</v>
      </c>
      <c r="H19" s="1040">
        <v>9409</v>
      </c>
      <c r="I19" s="1040">
        <v>48610</v>
      </c>
      <c r="J19" s="1040">
        <v>29183</v>
      </c>
      <c r="K19" s="1040">
        <v>77793</v>
      </c>
      <c r="L19" s="1040">
        <v>924</v>
      </c>
      <c r="M19" s="1040">
        <v>4530</v>
      </c>
      <c r="N19" s="1040">
        <v>5454</v>
      </c>
      <c r="O19" s="1040">
        <v>2400</v>
      </c>
      <c r="P19" s="1040">
        <v>1708</v>
      </c>
      <c r="Q19" s="1040">
        <v>4108</v>
      </c>
      <c r="R19" s="1040">
        <v>65872</v>
      </c>
      <c r="S19" s="1040">
        <v>40539</v>
      </c>
      <c r="T19" s="1040">
        <v>106411</v>
      </c>
      <c r="U19" s="1040">
        <v>58</v>
      </c>
      <c r="V19" s="1040">
        <v>69</v>
      </c>
      <c r="W19" s="1040">
        <v>127</v>
      </c>
    </row>
    <row r="20" spans="1:23" x14ac:dyDescent="0.35">
      <c r="A20" s="972"/>
      <c r="B20" s="528" t="s">
        <v>910</v>
      </c>
      <c r="C20" s="1050">
        <v>7261</v>
      </c>
      <c r="D20" s="1050">
        <v>2150</v>
      </c>
      <c r="E20" s="1050">
        <v>9411</v>
      </c>
      <c r="F20" s="1050">
        <v>6633</v>
      </c>
      <c r="G20" s="1050">
        <v>2687</v>
      </c>
      <c r="H20" s="1050">
        <v>9320</v>
      </c>
      <c r="I20" s="1050">
        <v>47557</v>
      </c>
      <c r="J20" s="1050">
        <v>27520</v>
      </c>
      <c r="K20" s="1050">
        <v>75077</v>
      </c>
      <c r="L20" s="1050">
        <v>885</v>
      </c>
      <c r="M20" s="1050">
        <v>4019</v>
      </c>
      <c r="N20" s="1050">
        <v>4904</v>
      </c>
      <c r="O20" s="1050">
        <v>2212</v>
      </c>
      <c r="P20" s="1050">
        <v>1564</v>
      </c>
      <c r="Q20" s="1050">
        <v>3776</v>
      </c>
      <c r="R20" s="1050">
        <v>64608</v>
      </c>
      <c r="S20" s="1050">
        <v>38004</v>
      </c>
      <c r="T20" s="1050">
        <v>102612</v>
      </c>
      <c r="U20" s="1050">
        <v>60</v>
      </c>
      <c r="V20" s="1050">
        <v>64</v>
      </c>
      <c r="W20" s="1050">
        <v>124</v>
      </c>
    </row>
    <row r="21" spans="1:23" x14ac:dyDescent="0.35">
      <c r="A21" s="972"/>
      <c r="B21" s="528" t="s">
        <v>909</v>
      </c>
      <c r="C21" s="1050">
        <v>7282</v>
      </c>
      <c r="D21" s="1050">
        <v>1947</v>
      </c>
      <c r="E21" s="1050">
        <v>9229</v>
      </c>
      <c r="F21" s="1050">
        <v>6845</v>
      </c>
      <c r="G21" s="1050">
        <v>2482</v>
      </c>
      <c r="H21" s="1050">
        <v>9327</v>
      </c>
      <c r="I21" s="1050">
        <v>46694</v>
      </c>
      <c r="J21" s="1050">
        <v>26059</v>
      </c>
      <c r="K21" s="1050">
        <v>72753</v>
      </c>
      <c r="L21" s="1050">
        <v>828</v>
      </c>
      <c r="M21" s="1050">
        <v>3353</v>
      </c>
      <c r="N21" s="1050">
        <v>4181</v>
      </c>
      <c r="O21" s="1050">
        <v>2384</v>
      </c>
      <c r="P21" s="1050">
        <v>1720</v>
      </c>
      <c r="Q21" s="1050">
        <v>4104</v>
      </c>
      <c r="R21" s="1050">
        <v>64116</v>
      </c>
      <c r="S21" s="1050">
        <v>35621</v>
      </c>
      <c r="T21" s="1050">
        <v>99737</v>
      </c>
      <c r="U21" s="1050">
        <v>83</v>
      </c>
      <c r="V21" s="1050">
        <v>60</v>
      </c>
      <c r="W21" s="1050">
        <v>143</v>
      </c>
    </row>
    <row r="22" spans="1:23" x14ac:dyDescent="0.35">
      <c r="A22" s="972"/>
      <c r="B22" s="528" t="s">
        <v>908</v>
      </c>
      <c r="C22" s="1050">
        <v>7160</v>
      </c>
      <c r="D22" s="1050">
        <v>1872</v>
      </c>
      <c r="E22" s="1050">
        <v>9032</v>
      </c>
      <c r="F22" s="1050">
        <v>6845</v>
      </c>
      <c r="G22" s="1050">
        <v>2327</v>
      </c>
      <c r="H22" s="1050">
        <v>9172</v>
      </c>
      <c r="I22" s="1050">
        <v>47564</v>
      </c>
      <c r="J22" s="1050">
        <v>25762</v>
      </c>
      <c r="K22" s="1050">
        <v>73326</v>
      </c>
      <c r="L22" s="1050">
        <v>805</v>
      </c>
      <c r="M22" s="1050">
        <v>3356</v>
      </c>
      <c r="N22" s="1050">
        <v>4161</v>
      </c>
      <c r="O22" s="1050">
        <v>2135</v>
      </c>
      <c r="P22" s="1050">
        <v>1425</v>
      </c>
      <c r="Q22" s="1050">
        <v>3560</v>
      </c>
      <c r="R22" s="1050">
        <v>64591</v>
      </c>
      <c r="S22" s="1050">
        <v>34807</v>
      </c>
      <c r="T22" s="1050">
        <v>99398</v>
      </c>
      <c r="U22" s="1050">
        <v>82</v>
      </c>
      <c r="V22" s="1050">
        <v>65</v>
      </c>
      <c r="W22" s="1050">
        <v>147</v>
      </c>
    </row>
    <row r="23" spans="1:23" x14ac:dyDescent="0.35">
      <c r="A23" s="972">
        <v>3</v>
      </c>
      <c r="B23" s="527" t="s">
        <v>14</v>
      </c>
      <c r="C23" s="1040"/>
      <c r="D23" s="1040"/>
      <c r="E23" s="1040"/>
      <c r="F23" s="1040"/>
      <c r="G23" s="1040"/>
      <c r="H23" s="1040"/>
      <c r="I23" s="1040"/>
      <c r="J23" s="1040"/>
      <c r="K23" s="1040"/>
      <c r="L23" s="1040"/>
      <c r="M23" s="1040"/>
      <c r="N23" s="1040"/>
      <c r="O23" s="1040"/>
      <c r="P23" s="1040"/>
      <c r="Q23" s="1040"/>
      <c r="R23" s="1040"/>
      <c r="S23" s="1040"/>
      <c r="T23" s="1040"/>
      <c r="U23" s="1040"/>
      <c r="V23" s="1040"/>
      <c r="W23" s="1040"/>
    </row>
    <row r="24" spans="1:23" x14ac:dyDescent="0.35">
      <c r="A24" s="972"/>
      <c r="B24" s="527" t="s">
        <v>912</v>
      </c>
      <c r="C24" s="1040">
        <v>172</v>
      </c>
      <c r="D24" s="1040">
        <v>45</v>
      </c>
      <c r="E24" s="1040">
        <v>217</v>
      </c>
      <c r="F24" s="1040">
        <v>187</v>
      </c>
      <c r="G24" s="1040">
        <v>65</v>
      </c>
      <c r="H24" s="1040">
        <v>252</v>
      </c>
      <c r="I24" s="1040">
        <v>834</v>
      </c>
      <c r="J24" s="1040">
        <v>789</v>
      </c>
      <c r="K24" s="1040">
        <v>1623</v>
      </c>
      <c r="L24" s="1040">
        <v>13</v>
      </c>
      <c r="M24" s="1040">
        <v>76</v>
      </c>
      <c r="N24" s="1040">
        <v>89</v>
      </c>
      <c r="O24" s="1040">
        <v>55</v>
      </c>
      <c r="P24" s="1040">
        <v>91</v>
      </c>
      <c r="Q24" s="1040">
        <v>146</v>
      </c>
      <c r="R24" s="1040">
        <v>1265</v>
      </c>
      <c r="S24" s="1040">
        <v>1068</v>
      </c>
      <c r="T24" s="1040">
        <v>2333</v>
      </c>
      <c r="U24" s="1040">
        <v>4</v>
      </c>
      <c r="V24" s="1040">
        <v>2</v>
      </c>
      <c r="W24" s="1040">
        <v>6</v>
      </c>
    </row>
    <row r="25" spans="1:23" x14ac:dyDescent="0.35">
      <c r="A25" s="972"/>
      <c r="B25" s="528" t="s">
        <v>911</v>
      </c>
      <c r="C25" s="1040">
        <v>181</v>
      </c>
      <c r="D25" s="1040">
        <v>45</v>
      </c>
      <c r="E25" s="1040">
        <v>226</v>
      </c>
      <c r="F25" s="1040">
        <v>207</v>
      </c>
      <c r="G25" s="1040">
        <v>63</v>
      </c>
      <c r="H25" s="1040">
        <v>270</v>
      </c>
      <c r="I25" s="1040">
        <v>828</v>
      </c>
      <c r="J25" s="1040">
        <v>779</v>
      </c>
      <c r="K25" s="1040">
        <v>1607</v>
      </c>
      <c r="L25" s="1040">
        <v>16</v>
      </c>
      <c r="M25" s="1040">
        <v>69</v>
      </c>
      <c r="N25" s="1040">
        <v>85</v>
      </c>
      <c r="O25" s="1040">
        <v>41</v>
      </c>
      <c r="P25" s="1040">
        <v>58</v>
      </c>
      <c r="Q25" s="1040">
        <v>99</v>
      </c>
      <c r="R25" s="1040">
        <v>1273</v>
      </c>
      <c r="S25" s="1040">
        <v>1014</v>
      </c>
      <c r="T25" s="1040">
        <v>2287</v>
      </c>
      <c r="U25" s="1040">
        <v>3</v>
      </c>
      <c r="V25" s="1040">
        <v>3</v>
      </c>
      <c r="W25" s="1040">
        <v>6</v>
      </c>
    </row>
    <row r="26" spans="1:23" x14ac:dyDescent="0.35">
      <c r="A26" s="972"/>
      <c r="B26" s="528" t="s">
        <v>910</v>
      </c>
      <c r="C26" s="1050">
        <v>167</v>
      </c>
      <c r="D26" s="1050">
        <v>40</v>
      </c>
      <c r="E26" s="1050">
        <v>207</v>
      </c>
      <c r="F26" s="1050">
        <v>192</v>
      </c>
      <c r="G26" s="1050">
        <v>58</v>
      </c>
      <c r="H26" s="1050">
        <v>250</v>
      </c>
      <c r="I26" s="1050">
        <v>839</v>
      </c>
      <c r="J26" s="1050">
        <v>768</v>
      </c>
      <c r="K26" s="1050">
        <v>1607</v>
      </c>
      <c r="L26" s="1050">
        <v>17</v>
      </c>
      <c r="M26" s="1050">
        <v>37</v>
      </c>
      <c r="N26" s="1050">
        <v>54</v>
      </c>
      <c r="O26" s="1050">
        <v>17</v>
      </c>
      <c r="P26" s="1050">
        <v>20</v>
      </c>
      <c r="Q26" s="1050">
        <v>37</v>
      </c>
      <c r="R26" s="1050">
        <v>1233</v>
      </c>
      <c r="S26" s="1050">
        <v>926</v>
      </c>
      <c r="T26" s="1050">
        <v>2159</v>
      </c>
      <c r="U26" s="1050">
        <v>1</v>
      </c>
      <c r="V26" s="1050">
        <v>3</v>
      </c>
      <c r="W26" s="1050">
        <v>4</v>
      </c>
    </row>
    <row r="27" spans="1:23" x14ac:dyDescent="0.35">
      <c r="A27" s="972"/>
      <c r="B27" s="528" t="s">
        <v>909</v>
      </c>
      <c r="C27" s="1050">
        <v>171</v>
      </c>
      <c r="D27" s="1050">
        <v>33</v>
      </c>
      <c r="E27" s="1050">
        <v>204</v>
      </c>
      <c r="F27" s="1050">
        <v>180</v>
      </c>
      <c r="G27" s="1050">
        <v>55</v>
      </c>
      <c r="H27" s="1050">
        <v>235</v>
      </c>
      <c r="I27" s="1050">
        <v>826</v>
      </c>
      <c r="J27" s="1050">
        <v>674</v>
      </c>
      <c r="K27" s="1050">
        <v>1500</v>
      </c>
      <c r="L27" s="1050">
        <v>18</v>
      </c>
      <c r="M27" s="1050">
        <v>14</v>
      </c>
      <c r="N27" s="1050">
        <v>32</v>
      </c>
      <c r="O27" s="1050">
        <v>13</v>
      </c>
      <c r="P27" s="1050">
        <v>13</v>
      </c>
      <c r="Q27" s="1050">
        <v>26</v>
      </c>
      <c r="R27" s="1050">
        <v>1213</v>
      </c>
      <c r="S27" s="1050">
        <v>791</v>
      </c>
      <c r="T27" s="1050">
        <v>2004</v>
      </c>
      <c r="U27" s="1050">
        <v>5</v>
      </c>
      <c r="V27" s="1050">
        <v>2</v>
      </c>
      <c r="W27" s="1050">
        <v>7</v>
      </c>
    </row>
    <row r="28" spans="1:23" x14ac:dyDescent="0.35">
      <c r="A28" s="972"/>
      <c r="B28" s="528" t="s">
        <v>908</v>
      </c>
      <c r="C28" s="1050">
        <v>146</v>
      </c>
      <c r="D28" s="1050">
        <v>20</v>
      </c>
      <c r="E28" s="1050">
        <v>166</v>
      </c>
      <c r="F28" s="1050">
        <v>139</v>
      </c>
      <c r="G28" s="1050">
        <v>36</v>
      </c>
      <c r="H28" s="1050">
        <v>175</v>
      </c>
      <c r="I28" s="1050">
        <v>636</v>
      </c>
      <c r="J28" s="1050">
        <v>462</v>
      </c>
      <c r="K28" s="1050">
        <v>1098</v>
      </c>
      <c r="L28" s="1050">
        <v>12</v>
      </c>
      <c r="M28" s="1050">
        <v>6</v>
      </c>
      <c r="N28" s="1050">
        <v>18</v>
      </c>
      <c r="O28" s="1050">
        <v>18</v>
      </c>
      <c r="P28" s="1050">
        <v>10</v>
      </c>
      <c r="Q28" s="1050">
        <v>28</v>
      </c>
      <c r="R28" s="1050">
        <v>959</v>
      </c>
      <c r="S28" s="1050">
        <v>545</v>
      </c>
      <c r="T28" s="1050">
        <v>1504</v>
      </c>
      <c r="U28" s="1050">
        <v>8</v>
      </c>
      <c r="V28" s="1050">
        <v>11</v>
      </c>
      <c r="W28" s="1050">
        <v>19</v>
      </c>
    </row>
    <row r="29" spans="1:23" x14ac:dyDescent="0.35">
      <c r="A29" s="972">
        <v>4</v>
      </c>
      <c r="B29" s="527" t="s">
        <v>15</v>
      </c>
      <c r="C29" s="1040"/>
      <c r="D29" s="1040"/>
      <c r="E29" s="1040"/>
      <c r="F29" s="1040"/>
      <c r="G29" s="1040"/>
      <c r="H29" s="1040"/>
      <c r="I29" s="1040"/>
      <c r="J29" s="1040"/>
      <c r="K29" s="1040"/>
      <c r="L29" s="1040"/>
      <c r="M29" s="1040"/>
      <c r="N29" s="1040"/>
      <c r="O29" s="1040"/>
      <c r="P29" s="1040"/>
      <c r="Q29" s="1040"/>
      <c r="R29" s="1040"/>
      <c r="S29" s="1040"/>
      <c r="T29" s="1040"/>
      <c r="U29" s="1040"/>
      <c r="V29" s="1040"/>
      <c r="W29" s="1040"/>
    </row>
    <row r="30" spans="1:23" x14ac:dyDescent="0.35">
      <c r="A30" s="972"/>
      <c r="B30" s="527" t="s">
        <v>912</v>
      </c>
      <c r="C30" s="1040">
        <v>1401</v>
      </c>
      <c r="D30" s="1040">
        <v>512</v>
      </c>
      <c r="E30" s="1040">
        <v>1913</v>
      </c>
      <c r="F30" s="1040">
        <v>2111</v>
      </c>
      <c r="G30" s="1040">
        <v>1230</v>
      </c>
      <c r="H30" s="1040">
        <v>3341</v>
      </c>
      <c r="I30" s="1040">
        <v>9863</v>
      </c>
      <c r="J30" s="1040">
        <v>8378</v>
      </c>
      <c r="K30" s="1040">
        <v>18241</v>
      </c>
      <c r="L30" s="1040">
        <v>663</v>
      </c>
      <c r="M30" s="1040">
        <v>944</v>
      </c>
      <c r="N30" s="1040">
        <v>1607</v>
      </c>
      <c r="O30" s="1040">
        <v>709</v>
      </c>
      <c r="P30" s="1040">
        <v>875</v>
      </c>
      <c r="Q30" s="1040">
        <v>1584</v>
      </c>
      <c r="R30" s="1040">
        <v>14772</v>
      </c>
      <c r="S30" s="1040">
        <v>11962</v>
      </c>
      <c r="T30" s="1040">
        <v>26734</v>
      </c>
      <c r="U30" s="1040">
        <v>25</v>
      </c>
      <c r="V30" s="1040">
        <v>23</v>
      </c>
      <c r="W30" s="1040">
        <v>48</v>
      </c>
    </row>
    <row r="31" spans="1:23" x14ac:dyDescent="0.35">
      <c r="A31" s="972"/>
      <c r="B31" s="528" t="s">
        <v>911</v>
      </c>
      <c r="C31" s="1040">
        <v>1182</v>
      </c>
      <c r="D31" s="1040">
        <v>384</v>
      </c>
      <c r="E31" s="1040">
        <v>1566</v>
      </c>
      <c r="F31" s="1040">
        <v>2092</v>
      </c>
      <c r="G31" s="1040">
        <v>1207</v>
      </c>
      <c r="H31" s="1040">
        <v>3299</v>
      </c>
      <c r="I31" s="1040">
        <v>8903</v>
      </c>
      <c r="J31" s="1040">
        <v>7001</v>
      </c>
      <c r="K31" s="1040">
        <v>15904</v>
      </c>
      <c r="L31" s="1040">
        <v>507</v>
      </c>
      <c r="M31" s="1040">
        <v>500</v>
      </c>
      <c r="N31" s="1040">
        <v>1007</v>
      </c>
      <c r="O31" s="1040">
        <v>681</v>
      </c>
      <c r="P31" s="1040">
        <v>843</v>
      </c>
      <c r="Q31" s="1040">
        <v>1524</v>
      </c>
      <c r="R31" s="1040">
        <v>13365</v>
      </c>
      <c r="S31" s="1040">
        <v>9935</v>
      </c>
      <c r="T31" s="1040">
        <v>23300</v>
      </c>
      <c r="U31" s="1040">
        <v>20</v>
      </c>
      <c r="V31" s="1040">
        <v>16</v>
      </c>
      <c r="W31" s="1040">
        <v>36</v>
      </c>
    </row>
    <row r="32" spans="1:23" x14ac:dyDescent="0.35">
      <c r="A32" s="972"/>
      <c r="B32" s="528" t="s">
        <v>910</v>
      </c>
      <c r="C32" s="1050">
        <v>1220</v>
      </c>
      <c r="D32" s="1050">
        <v>379</v>
      </c>
      <c r="E32" s="1050">
        <v>1599</v>
      </c>
      <c r="F32" s="1050">
        <v>2205</v>
      </c>
      <c r="G32" s="1050">
        <v>1276</v>
      </c>
      <c r="H32" s="1050">
        <v>3481</v>
      </c>
      <c r="I32" s="1050">
        <v>8963</v>
      </c>
      <c r="J32" s="1050">
        <v>6880</v>
      </c>
      <c r="K32" s="1050">
        <v>15843</v>
      </c>
      <c r="L32" s="1050">
        <v>442</v>
      </c>
      <c r="M32" s="1050">
        <v>381</v>
      </c>
      <c r="N32" s="1050">
        <v>823</v>
      </c>
      <c r="O32" s="1050">
        <v>662</v>
      </c>
      <c r="P32" s="1050">
        <v>858</v>
      </c>
      <c r="Q32" s="1050">
        <v>1520</v>
      </c>
      <c r="R32" s="1050">
        <v>13510</v>
      </c>
      <c r="S32" s="1050">
        <v>9792</v>
      </c>
      <c r="T32" s="1050">
        <v>23302</v>
      </c>
      <c r="U32" s="1050">
        <v>18</v>
      </c>
      <c r="V32" s="1050">
        <v>18</v>
      </c>
      <c r="W32" s="1050">
        <v>36</v>
      </c>
    </row>
    <row r="33" spans="1:23" x14ac:dyDescent="0.35">
      <c r="A33" s="972"/>
      <c r="B33" s="528" t="s">
        <v>909</v>
      </c>
      <c r="C33" s="1050">
        <v>1257</v>
      </c>
      <c r="D33" s="1050">
        <v>365</v>
      </c>
      <c r="E33" s="1050">
        <v>1622</v>
      </c>
      <c r="F33" s="1050">
        <v>2489</v>
      </c>
      <c r="G33" s="1050">
        <v>1416</v>
      </c>
      <c r="H33" s="1050">
        <v>3905</v>
      </c>
      <c r="I33" s="1050">
        <v>8618</v>
      </c>
      <c r="J33" s="1050">
        <v>6371</v>
      </c>
      <c r="K33" s="1050">
        <v>14989</v>
      </c>
      <c r="L33" s="1050">
        <v>415</v>
      </c>
      <c r="M33" s="1050">
        <v>375</v>
      </c>
      <c r="N33" s="1050">
        <v>790</v>
      </c>
      <c r="O33" s="1050">
        <v>781</v>
      </c>
      <c r="P33" s="1050">
        <v>958</v>
      </c>
      <c r="Q33" s="1050">
        <v>1739</v>
      </c>
      <c r="R33" s="1050">
        <v>13579</v>
      </c>
      <c r="S33" s="1050">
        <v>9501</v>
      </c>
      <c r="T33" s="1050">
        <v>23080</v>
      </c>
      <c r="U33" s="1050">
        <v>19</v>
      </c>
      <c r="V33" s="1050">
        <v>16</v>
      </c>
      <c r="W33" s="1050">
        <v>35</v>
      </c>
    </row>
    <row r="34" spans="1:23" x14ac:dyDescent="0.35">
      <c r="A34" s="972"/>
      <c r="B34" s="528" t="s">
        <v>908</v>
      </c>
      <c r="C34" s="1050">
        <v>1271</v>
      </c>
      <c r="D34" s="1050">
        <v>375</v>
      </c>
      <c r="E34" s="1050">
        <v>1646</v>
      </c>
      <c r="F34" s="1050">
        <v>2654</v>
      </c>
      <c r="G34" s="1050">
        <v>1526</v>
      </c>
      <c r="H34" s="1050">
        <v>4180</v>
      </c>
      <c r="I34" s="1050">
        <v>8370</v>
      </c>
      <c r="J34" s="1050">
        <v>6020</v>
      </c>
      <c r="K34" s="1050">
        <v>14390</v>
      </c>
      <c r="L34" s="1050">
        <v>478</v>
      </c>
      <c r="M34" s="1050">
        <v>373</v>
      </c>
      <c r="N34" s="1050">
        <v>851</v>
      </c>
      <c r="O34" s="1050">
        <v>788</v>
      </c>
      <c r="P34" s="1050">
        <v>960</v>
      </c>
      <c r="Q34" s="1050">
        <v>1748</v>
      </c>
      <c r="R34" s="1050">
        <v>13582</v>
      </c>
      <c r="S34" s="1050">
        <v>9267</v>
      </c>
      <c r="T34" s="1050">
        <v>22849</v>
      </c>
      <c r="U34" s="1050">
        <v>21</v>
      </c>
      <c r="V34" s="1050">
        <v>13</v>
      </c>
      <c r="W34" s="1050">
        <v>34</v>
      </c>
    </row>
    <row r="35" spans="1:23" x14ac:dyDescent="0.35">
      <c r="A35" s="972">
        <v>5</v>
      </c>
      <c r="B35" s="527" t="s">
        <v>16</v>
      </c>
      <c r="C35" s="1040"/>
      <c r="D35" s="1040"/>
      <c r="E35" s="1040"/>
      <c r="F35" s="1040"/>
      <c r="G35" s="1040"/>
      <c r="H35" s="1040"/>
      <c r="I35" s="1040"/>
      <c r="J35" s="1040"/>
      <c r="K35" s="1040"/>
      <c r="L35" s="1040"/>
      <c r="M35" s="1040"/>
      <c r="N35" s="1040"/>
      <c r="O35" s="1040"/>
      <c r="P35" s="1040"/>
      <c r="Q35" s="1040"/>
      <c r="R35" s="1040"/>
      <c r="S35" s="1040"/>
      <c r="T35" s="1040"/>
      <c r="U35" s="1040"/>
      <c r="V35" s="1040"/>
      <c r="W35" s="1040"/>
    </row>
    <row r="36" spans="1:23" x14ac:dyDescent="0.35">
      <c r="A36" s="972"/>
      <c r="B36" s="527" t="s">
        <v>912</v>
      </c>
      <c r="C36" s="1040">
        <v>2255</v>
      </c>
      <c r="D36" s="1040">
        <v>624</v>
      </c>
      <c r="E36" s="1040">
        <v>2879</v>
      </c>
      <c r="F36" s="1040">
        <v>2595</v>
      </c>
      <c r="G36" s="1040">
        <v>671</v>
      </c>
      <c r="H36" s="1040">
        <v>3266</v>
      </c>
      <c r="I36" s="1040">
        <v>22627</v>
      </c>
      <c r="J36" s="1040">
        <v>6977</v>
      </c>
      <c r="K36" s="1040">
        <v>29604</v>
      </c>
      <c r="L36" s="1040">
        <v>1479</v>
      </c>
      <c r="M36" s="1040">
        <v>1565</v>
      </c>
      <c r="N36" s="1040">
        <v>3044</v>
      </c>
      <c r="O36" s="1040">
        <v>1463</v>
      </c>
      <c r="P36" s="1040">
        <v>647</v>
      </c>
      <c r="Q36" s="1040">
        <v>2110</v>
      </c>
      <c r="R36" s="1040">
        <v>30628</v>
      </c>
      <c r="S36" s="1040">
        <v>10569</v>
      </c>
      <c r="T36" s="1040">
        <v>41197</v>
      </c>
      <c r="U36" s="1040">
        <v>209</v>
      </c>
      <c r="V36" s="1040">
        <v>85</v>
      </c>
      <c r="W36" s="1040">
        <v>294</v>
      </c>
    </row>
    <row r="37" spans="1:23" x14ac:dyDescent="0.35">
      <c r="A37" s="972"/>
      <c r="B37" s="528" t="s">
        <v>911</v>
      </c>
      <c r="C37" s="1040">
        <v>2169</v>
      </c>
      <c r="D37" s="1040">
        <v>549</v>
      </c>
      <c r="E37" s="1040">
        <v>2718</v>
      </c>
      <c r="F37" s="1040">
        <v>2986</v>
      </c>
      <c r="G37" s="1040">
        <v>705</v>
      </c>
      <c r="H37" s="1040">
        <v>3691</v>
      </c>
      <c r="I37" s="1040">
        <v>21030</v>
      </c>
      <c r="J37" s="1040">
        <v>6157</v>
      </c>
      <c r="K37" s="1040">
        <v>27187</v>
      </c>
      <c r="L37" s="1040">
        <v>1286</v>
      </c>
      <c r="M37" s="1040">
        <v>1297</v>
      </c>
      <c r="N37" s="1040">
        <v>2583</v>
      </c>
      <c r="O37" s="1040">
        <v>1227</v>
      </c>
      <c r="P37" s="1040">
        <v>476</v>
      </c>
      <c r="Q37" s="1040">
        <v>1703</v>
      </c>
      <c r="R37" s="1040">
        <v>28698</v>
      </c>
      <c r="S37" s="1040">
        <v>9184</v>
      </c>
      <c r="T37" s="1040">
        <v>37882</v>
      </c>
      <c r="U37" s="1040">
        <v>198</v>
      </c>
      <c r="V37" s="1040">
        <v>72</v>
      </c>
      <c r="W37" s="1040">
        <v>270</v>
      </c>
    </row>
    <row r="38" spans="1:23" x14ac:dyDescent="0.35">
      <c r="A38" s="972"/>
      <c r="B38" s="528" t="s">
        <v>910</v>
      </c>
      <c r="C38" s="1050">
        <v>2149</v>
      </c>
      <c r="D38" s="1050">
        <v>500</v>
      </c>
      <c r="E38" s="1050">
        <v>2649</v>
      </c>
      <c r="F38" s="1050">
        <v>3050</v>
      </c>
      <c r="G38" s="1050">
        <v>711</v>
      </c>
      <c r="H38" s="1050">
        <v>3761</v>
      </c>
      <c r="I38" s="1050">
        <v>20124</v>
      </c>
      <c r="J38" s="1050">
        <v>5669</v>
      </c>
      <c r="K38" s="1050">
        <v>25793</v>
      </c>
      <c r="L38" s="1050">
        <v>1051</v>
      </c>
      <c r="M38" s="1050">
        <v>1123</v>
      </c>
      <c r="N38" s="1050">
        <v>2174</v>
      </c>
      <c r="O38" s="1050">
        <v>880</v>
      </c>
      <c r="P38" s="1050">
        <v>348</v>
      </c>
      <c r="Q38" s="1050">
        <v>1228</v>
      </c>
      <c r="R38" s="1050">
        <v>27445</v>
      </c>
      <c r="S38" s="1050">
        <v>8420</v>
      </c>
      <c r="T38" s="1050">
        <v>35865</v>
      </c>
      <c r="U38" s="1050">
        <v>191</v>
      </c>
      <c r="V38" s="1050">
        <v>69</v>
      </c>
      <c r="W38" s="1050">
        <v>260</v>
      </c>
    </row>
    <row r="39" spans="1:23" x14ac:dyDescent="0.35">
      <c r="A39" s="972"/>
      <c r="B39" s="528" t="s">
        <v>909</v>
      </c>
      <c r="C39" s="1050">
        <v>1933</v>
      </c>
      <c r="D39" s="1050">
        <v>423</v>
      </c>
      <c r="E39" s="1050">
        <v>2356</v>
      </c>
      <c r="F39" s="1050">
        <v>3336</v>
      </c>
      <c r="G39" s="1050">
        <v>757</v>
      </c>
      <c r="H39" s="1050">
        <v>4093</v>
      </c>
      <c r="I39" s="1050">
        <v>16407</v>
      </c>
      <c r="J39" s="1050">
        <v>4362</v>
      </c>
      <c r="K39" s="1050">
        <v>20769</v>
      </c>
      <c r="L39" s="1050">
        <v>683</v>
      </c>
      <c r="M39" s="1050">
        <v>509</v>
      </c>
      <c r="N39" s="1050">
        <v>1192</v>
      </c>
      <c r="O39" s="1050">
        <v>649</v>
      </c>
      <c r="P39" s="1050">
        <v>270</v>
      </c>
      <c r="Q39" s="1050">
        <v>919</v>
      </c>
      <c r="R39" s="1050">
        <v>23213</v>
      </c>
      <c r="S39" s="1050">
        <v>6384</v>
      </c>
      <c r="T39" s="1050">
        <v>29597</v>
      </c>
      <c r="U39" s="1050">
        <v>205</v>
      </c>
      <c r="V39" s="1050">
        <v>63</v>
      </c>
      <c r="W39" s="1050">
        <v>268</v>
      </c>
    </row>
    <row r="40" spans="1:23" x14ac:dyDescent="0.35">
      <c r="A40" s="972"/>
      <c r="B40" s="528" t="s">
        <v>908</v>
      </c>
      <c r="C40" s="1050">
        <v>1847</v>
      </c>
      <c r="D40" s="1050">
        <v>412</v>
      </c>
      <c r="E40" s="1050">
        <v>2259</v>
      </c>
      <c r="F40" s="1050">
        <v>3343</v>
      </c>
      <c r="G40" s="1050">
        <v>791</v>
      </c>
      <c r="H40" s="1050">
        <v>4134</v>
      </c>
      <c r="I40" s="1050">
        <v>14582</v>
      </c>
      <c r="J40" s="1050">
        <v>3727</v>
      </c>
      <c r="K40" s="1050">
        <v>18309</v>
      </c>
      <c r="L40" s="1050">
        <v>448</v>
      </c>
      <c r="M40" s="1050">
        <v>400</v>
      </c>
      <c r="N40" s="1050">
        <v>848</v>
      </c>
      <c r="O40" s="1050">
        <v>494</v>
      </c>
      <c r="P40" s="1050">
        <v>176</v>
      </c>
      <c r="Q40" s="1050">
        <v>670</v>
      </c>
      <c r="R40" s="1050">
        <v>20888</v>
      </c>
      <c r="S40" s="1050">
        <v>5562</v>
      </c>
      <c r="T40" s="1050">
        <v>26450</v>
      </c>
      <c r="U40" s="1050">
        <v>174</v>
      </c>
      <c r="V40" s="1050">
        <v>56</v>
      </c>
      <c r="W40" s="1050">
        <v>230</v>
      </c>
    </row>
    <row r="41" spans="1:23" x14ac:dyDescent="0.35">
      <c r="A41" s="972">
        <v>6</v>
      </c>
      <c r="B41" s="527" t="s">
        <v>17</v>
      </c>
      <c r="C41" s="1040"/>
      <c r="D41" s="1040"/>
      <c r="E41" s="1040"/>
      <c r="F41" s="1040"/>
      <c r="G41" s="1040"/>
      <c r="H41" s="1040"/>
      <c r="I41" s="1040"/>
      <c r="J41" s="1040"/>
      <c r="K41" s="1040"/>
      <c r="L41" s="1040"/>
      <c r="M41" s="1040"/>
      <c r="N41" s="1040"/>
      <c r="O41" s="1040"/>
      <c r="P41" s="1040"/>
      <c r="Q41" s="1040"/>
      <c r="R41" s="1040"/>
      <c r="S41" s="1040"/>
      <c r="T41" s="1040"/>
      <c r="U41" s="1040"/>
      <c r="V41" s="1040"/>
      <c r="W41" s="1040"/>
    </row>
    <row r="42" spans="1:23" x14ac:dyDescent="0.35">
      <c r="A42" s="972"/>
      <c r="B42" s="527" t="s">
        <v>912</v>
      </c>
      <c r="C42" s="1040">
        <v>424</v>
      </c>
      <c r="D42" s="1040">
        <v>324</v>
      </c>
      <c r="E42" s="1040">
        <v>748</v>
      </c>
      <c r="F42" s="1040">
        <v>279</v>
      </c>
      <c r="G42" s="1040">
        <v>289</v>
      </c>
      <c r="H42" s="1040">
        <v>568</v>
      </c>
      <c r="I42" s="1040">
        <v>768</v>
      </c>
      <c r="J42" s="1040">
        <v>1298</v>
      </c>
      <c r="K42" s="1040">
        <v>2066</v>
      </c>
      <c r="L42" s="1040">
        <v>14</v>
      </c>
      <c r="M42" s="1040">
        <v>10</v>
      </c>
      <c r="N42" s="1040">
        <v>24</v>
      </c>
      <c r="O42" s="1040">
        <v>68</v>
      </c>
      <c r="P42" s="1040">
        <v>235</v>
      </c>
      <c r="Q42" s="1040">
        <v>303</v>
      </c>
      <c r="R42" s="1040">
        <v>1556</v>
      </c>
      <c r="S42" s="1040">
        <v>2162</v>
      </c>
      <c r="T42" s="1040">
        <v>3718</v>
      </c>
      <c r="U42" s="1040">
        <v>3</v>
      </c>
      <c r="V42" s="1040">
        <v>6</v>
      </c>
      <c r="W42" s="1040">
        <v>9</v>
      </c>
    </row>
    <row r="43" spans="1:23" x14ac:dyDescent="0.35">
      <c r="A43" s="972"/>
      <c r="B43" s="528" t="s">
        <v>911</v>
      </c>
      <c r="C43" s="1040">
        <v>427</v>
      </c>
      <c r="D43" s="1040">
        <v>318</v>
      </c>
      <c r="E43" s="1040">
        <v>745</v>
      </c>
      <c r="F43" s="1040">
        <v>288</v>
      </c>
      <c r="G43" s="1040">
        <v>313</v>
      </c>
      <c r="H43" s="1040">
        <v>601</v>
      </c>
      <c r="I43" s="1040">
        <v>764</v>
      </c>
      <c r="J43" s="1040">
        <v>1308</v>
      </c>
      <c r="K43" s="1040">
        <v>2072</v>
      </c>
      <c r="L43" s="1040">
        <v>14</v>
      </c>
      <c r="M43" s="1040">
        <v>9</v>
      </c>
      <c r="N43" s="1040">
        <v>23</v>
      </c>
      <c r="O43" s="1040">
        <v>62</v>
      </c>
      <c r="P43" s="1040">
        <v>212</v>
      </c>
      <c r="Q43" s="1040">
        <v>274</v>
      </c>
      <c r="R43" s="1040">
        <v>1555</v>
      </c>
      <c r="S43" s="1040">
        <v>2160</v>
      </c>
      <c r="T43" s="1040">
        <v>3715</v>
      </c>
      <c r="U43" s="1040">
        <v>9</v>
      </c>
      <c r="V43" s="1040">
        <v>10</v>
      </c>
      <c r="W43" s="1040">
        <v>19</v>
      </c>
    </row>
    <row r="44" spans="1:23" x14ac:dyDescent="0.35">
      <c r="A44" s="972"/>
      <c r="B44" s="528" t="s">
        <v>910</v>
      </c>
      <c r="C44" s="1050">
        <v>439</v>
      </c>
      <c r="D44" s="1050">
        <v>318</v>
      </c>
      <c r="E44" s="1050">
        <v>757</v>
      </c>
      <c r="F44" s="1050">
        <v>271</v>
      </c>
      <c r="G44" s="1050">
        <v>323</v>
      </c>
      <c r="H44" s="1050">
        <v>594</v>
      </c>
      <c r="I44" s="1050">
        <v>735</v>
      </c>
      <c r="J44" s="1050">
        <v>1240</v>
      </c>
      <c r="K44" s="1050">
        <v>1975</v>
      </c>
      <c r="L44" s="1050">
        <v>17</v>
      </c>
      <c r="M44" s="1050">
        <v>8</v>
      </c>
      <c r="N44" s="1050">
        <v>25</v>
      </c>
      <c r="O44" s="1050">
        <v>79</v>
      </c>
      <c r="P44" s="1050">
        <v>211</v>
      </c>
      <c r="Q44" s="1050">
        <v>290</v>
      </c>
      <c r="R44" s="1050">
        <v>1551</v>
      </c>
      <c r="S44" s="1050">
        <v>2112</v>
      </c>
      <c r="T44" s="1050">
        <v>3663</v>
      </c>
      <c r="U44" s="1050">
        <v>10</v>
      </c>
      <c r="V44" s="1050">
        <v>12</v>
      </c>
      <c r="W44" s="1050">
        <v>22</v>
      </c>
    </row>
    <row r="45" spans="1:23" x14ac:dyDescent="0.35">
      <c r="A45" s="972"/>
      <c r="B45" s="528" t="s">
        <v>909</v>
      </c>
      <c r="C45" s="1050">
        <v>443</v>
      </c>
      <c r="D45" s="1050">
        <v>301</v>
      </c>
      <c r="E45" s="1050">
        <v>744</v>
      </c>
      <c r="F45" s="1050">
        <v>224</v>
      </c>
      <c r="G45" s="1050">
        <v>322</v>
      </c>
      <c r="H45" s="1050">
        <v>546</v>
      </c>
      <c r="I45" s="1050">
        <v>864</v>
      </c>
      <c r="J45" s="1050">
        <v>1368</v>
      </c>
      <c r="K45" s="1050">
        <v>2232</v>
      </c>
      <c r="L45" s="1050">
        <v>12</v>
      </c>
      <c r="M45" s="1050">
        <v>9</v>
      </c>
      <c r="N45" s="1050">
        <v>21</v>
      </c>
      <c r="O45" s="1050">
        <v>44</v>
      </c>
      <c r="P45" s="1050">
        <v>156</v>
      </c>
      <c r="Q45" s="1050">
        <v>200</v>
      </c>
      <c r="R45" s="1050">
        <v>1595</v>
      </c>
      <c r="S45" s="1050">
        <v>2169</v>
      </c>
      <c r="T45" s="1050">
        <v>3764</v>
      </c>
      <c r="U45" s="1050">
        <v>8</v>
      </c>
      <c r="V45" s="1050">
        <v>13</v>
      </c>
      <c r="W45" s="1050">
        <v>21</v>
      </c>
    </row>
    <row r="46" spans="1:23" x14ac:dyDescent="0.35">
      <c r="A46" s="972"/>
      <c r="B46" s="528" t="s">
        <v>908</v>
      </c>
      <c r="C46" s="1050">
        <v>395</v>
      </c>
      <c r="D46" s="1050">
        <v>282</v>
      </c>
      <c r="E46" s="1050">
        <v>677</v>
      </c>
      <c r="F46" s="1050">
        <v>224</v>
      </c>
      <c r="G46" s="1050">
        <v>334</v>
      </c>
      <c r="H46" s="1050">
        <v>558</v>
      </c>
      <c r="I46" s="1050">
        <v>783</v>
      </c>
      <c r="J46" s="1050">
        <v>1317</v>
      </c>
      <c r="K46" s="1050">
        <v>2100</v>
      </c>
      <c r="L46" s="1050">
        <v>13</v>
      </c>
      <c r="M46" s="1050">
        <v>10</v>
      </c>
      <c r="N46" s="1050">
        <v>23</v>
      </c>
      <c r="O46" s="1050">
        <v>20</v>
      </c>
      <c r="P46" s="1050">
        <v>85</v>
      </c>
      <c r="Q46" s="1050">
        <v>105</v>
      </c>
      <c r="R46" s="1050">
        <v>1453</v>
      </c>
      <c r="S46" s="1050">
        <v>2079</v>
      </c>
      <c r="T46" s="1050">
        <v>3532</v>
      </c>
      <c r="U46" s="1050">
        <v>18</v>
      </c>
      <c r="V46" s="1050">
        <v>51</v>
      </c>
      <c r="W46" s="1050">
        <v>69</v>
      </c>
    </row>
    <row r="47" spans="1:23" x14ac:dyDescent="0.35">
      <c r="A47" s="972">
        <v>7</v>
      </c>
      <c r="B47" s="527" t="s">
        <v>18</v>
      </c>
      <c r="C47" s="1040"/>
      <c r="D47" s="1040"/>
      <c r="E47" s="1040"/>
      <c r="F47" s="1040"/>
      <c r="G47" s="1040"/>
      <c r="H47" s="1040"/>
      <c r="I47" s="1040"/>
      <c r="J47" s="1040"/>
      <c r="K47" s="1040"/>
      <c r="L47" s="1040"/>
      <c r="M47" s="1040"/>
      <c r="N47" s="1040"/>
      <c r="O47" s="1040"/>
      <c r="P47" s="1040"/>
      <c r="Q47" s="1040"/>
      <c r="R47" s="1040"/>
      <c r="S47" s="1040"/>
      <c r="T47" s="1040"/>
      <c r="U47" s="1040"/>
      <c r="V47" s="1040"/>
      <c r="W47" s="1040"/>
    </row>
    <row r="48" spans="1:23" x14ac:dyDescent="0.35">
      <c r="A48" s="972"/>
      <c r="B48" s="527" t="s">
        <v>912</v>
      </c>
      <c r="C48" s="1040">
        <v>1269</v>
      </c>
      <c r="D48" s="1040">
        <v>698</v>
      </c>
      <c r="E48" s="1040">
        <v>1967</v>
      </c>
      <c r="F48" s="1040">
        <v>955</v>
      </c>
      <c r="G48" s="1040">
        <v>733</v>
      </c>
      <c r="H48" s="1040">
        <v>1688</v>
      </c>
      <c r="I48" s="1040">
        <v>8124</v>
      </c>
      <c r="J48" s="1040">
        <v>7615</v>
      </c>
      <c r="K48" s="1040">
        <v>15739</v>
      </c>
      <c r="L48" s="1040">
        <v>616</v>
      </c>
      <c r="M48" s="1040">
        <v>1957</v>
      </c>
      <c r="N48" s="1040">
        <v>2573</v>
      </c>
      <c r="O48" s="1040">
        <v>1461</v>
      </c>
      <c r="P48" s="1040">
        <v>1374</v>
      </c>
      <c r="Q48" s="1040">
        <v>2835</v>
      </c>
      <c r="R48" s="1040">
        <v>12471</v>
      </c>
      <c r="S48" s="1040">
        <v>12431</v>
      </c>
      <c r="T48" s="1040">
        <v>24902</v>
      </c>
      <c r="U48" s="1040">
        <v>46</v>
      </c>
      <c r="V48" s="1040">
        <v>54</v>
      </c>
      <c r="W48" s="1040">
        <v>100</v>
      </c>
    </row>
    <row r="49" spans="1:23" x14ac:dyDescent="0.35">
      <c r="A49" s="972"/>
      <c r="B49" s="528" t="s">
        <v>911</v>
      </c>
      <c r="C49" s="1040">
        <v>1281</v>
      </c>
      <c r="D49" s="1040">
        <v>687</v>
      </c>
      <c r="E49" s="1040">
        <v>1968</v>
      </c>
      <c r="F49" s="1040">
        <v>976</v>
      </c>
      <c r="G49" s="1040">
        <v>692</v>
      </c>
      <c r="H49" s="1040">
        <v>1668</v>
      </c>
      <c r="I49" s="1040">
        <v>7541</v>
      </c>
      <c r="J49" s="1040">
        <v>7048</v>
      </c>
      <c r="K49" s="1040">
        <v>14589</v>
      </c>
      <c r="L49" s="1040">
        <v>556</v>
      </c>
      <c r="M49" s="1040">
        <v>1848</v>
      </c>
      <c r="N49" s="1040">
        <v>2404</v>
      </c>
      <c r="O49" s="1040">
        <v>1470</v>
      </c>
      <c r="P49" s="1040">
        <v>1380</v>
      </c>
      <c r="Q49" s="1040">
        <v>2850</v>
      </c>
      <c r="R49" s="1040">
        <v>11824</v>
      </c>
      <c r="S49" s="1040">
        <v>11655</v>
      </c>
      <c r="T49" s="1040">
        <v>23479</v>
      </c>
      <c r="U49" s="1040">
        <v>49</v>
      </c>
      <c r="V49" s="1040">
        <v>67</v>
      </c>
      <c r="W49" s="1040">
        <v>116</v>
      </c>
    </row>
    <row r="50" spans="1:23" x14ac:dyDescent="0.35">
      <c r="A50" s="972"/>
      <c r="B50" s="528" t="s">
        <v>910</v>
      </c>
      <c r="C50" s="1050">
        <v>1233</v>
      </c>
      <c r="D50" s="1050">
        <v>686</v>
      </c>
      <c r="E50" s="1050">
        <v>1919</v>
      </c>
      <c r="F50" s="1050">
        <v>947</v>
      </c>
      <c r="G50" s="1050">
        <v>651</v>
      </c>
      <c r="H50" s="1050">
        <v>1598</v>
      </c>
      <c r="I50" s="1050">
        <v>7327</v>
      </c>
      <c r="J50" s="1050">
        <v>6529</v>
      </c>
      <c r="K50" s="1050">
        <v>13856</v>
      </c>
      <c r="L50" s="1050">
        <v>525</v>
      </c>
      <c r="M50" s="1050">
        <v>1835</v>
      </c>
      <c r="N50" s="1050">
        <v>2360</v>
      </c>
      <c r="O50" s="1050">
        <v>1186</v>
      </c>
      <c r="P50" s="1050">
        <v>1074</v>
      </c>
      <c r="Q50" s="1050">
        <v>2260</v>
      </c>
      <c r="R50" s="1050">
        <v>11299</v>
      </c>
      <c r="S50" s="1050">
        <v>10864</v>
      </c>
      <c r="T50" s="1050">
        <v>22163</v>
      </c>
      <c r="U50" s="1050">
        <v>81</v>
      </c>
      <c r="V50" s="1050">
        <v>89</v>
      </c>
      <c r="W50" s="1050">
        <v>170</v>
      </c>
    </row>
    <row r="51" spans="1:23" x14ac:dyDescent="0.35">
      <c r="A51" s="972"/>
      <c r="B51" s="528" t="s">
        <v>909</v>
      </c>
      <c r="C51" s="1050">
        <v>1184</v>
      </c>
      <c r="D51" s="1050">
        <v>652</v>
      </c>
      <c r="E51" s="1050">
        <v>1836</v>
      </c>
      <c r="F51" s="1050">
        <v>986</v>
      </c>
      <c r="G51" s="1050">
        <v>631</v>
      </c>
      <c r="H51" s="1050">
        <v>1617</v>
      </c>
      <c r="I51" s="1050">
        <v>7553</v>
      </c>
      <c r="J51" s="1050">
        <v>6554</v>
      </c>
      <c r="K51" s="1050">
        <v>14107</v>
      </c>
      <c r="L51" s="1050">
        <v>531</v>
      </c>
      <c r="M51" s="1050">
        <v>1775</v>
      </c>
      <c r="N51" s="1050">
        <v>2306</v>
      </c>
      <c r="O51" s="1050">
        <v>1090</v>
      </c>
      <c r="P51" s="1050">
        <v>1069</v>
      </c>
      <c r="Q51" s="1050">
        <v>2159</v>
      </c>
      <c r="R51" s="1050">
        <v>11452</v>
      </c>
      <c r="S51" s="1050">
        <v>10783</v>
      </c>
      <c r="T51" s="1050">
        <v>22235</v>
      </c>
      <c r="U51" s="1050">
        <v>108</v>
      </c>
      <c r="V51" s="1050">
        <v>102</v>
      </c>
      <c r="W51" s="1050">
        <v>210</v>
      </c>
    </row>
    <row r="52" spans="1:23" x14ac:dyDescent="0.35">
      <c r="A52" s="972"/>
      <c r="B52" s="528" t="s">
        <v>908</v>
      </c>
      <c r="C52" s="1050">
        <v>1077</v>
      </c>
      <c r="D52" s="1050">
        <v>579</v>
      </c>
      <c r="E52" s="1050">
        <v>1656</v>
      </c>
      <c r="F52" s="1050">
        <v>894</v>
      </c>
      <c r="G52" s="1050">
        <v>513</v>
      </c>
      <c r="H52" s="1050">
        <v>1407</v>
      </c>
      <c r="I52" s="1050">
        <v>7388</v>
      </c>
      <c r="J52" s="1050">
        <v>6029</v>
      </c>
      <c r="K52" s="1050">
        <v>13417</v>
      </c>
      <c r="L52" s="1050">
        <v>473</v>
      </c>
      <c r="M52" s="1050">
        <v>1509</v>
      </c>
      <c r="N52" s="1050">
        <v>1982</v>
      </c>
      <c r="O52" s="1050">
        <v>948</v>
      </c>
      <c r="P52" s="1050">
        <v>1023</v>
      </c>
      <c r="Q52" s="1050">
        <v>1971</v>
      </c>
      <c r="R52" s="1050">
        <v>10881</v>
      </c>
      <c r="S52" s="1050">
        <v>9749</v>
      </c>
      <c r="T52" s="1050">
        <v>20630</v>
      </c>
      <c r="U52" s="1050">
        <v>101</v>
      </c>
      <c r="V52" s="1050">
        <v>96</v>
      </c>
      <c r="W52" s="1050">
        <v>197</v>
      </c>
    </row>
    <row r="53" spans="1:23" x14ac:dyDescent="0.35">
      <c r="A53" s="972">
        <v>8</v>
      </c>
      <c r="B53" s="527" t="s">
        <v>19</v>
      </c>
      <c r="C53" s="1040"/>
      <c r="D53" s="1040"/>
      <c r="E53" s="1040"/>
      <c r="F53" s="1040"/>
      <c r="G53" s="1040"/>
      <c r="H53" s="1040"/>
      <c r="I53" s="1040"/>
      <c r="J53" s="1040"/>
      <c r="K53" s="1040"/>
      <c r="L53" s="1040"/>
      <c r="M53" s="1040"/>
      <c r="N53" s="1040"/>
      <c r="O53" s="1040"/>
      <c r="P53" s="1040"/>
      <c r="Q53" s="1040"/>
      <c r="R53" s="1040"/>
      <c r="S53" s="1040"/>
      <c r="T53" s="1040"/>
      <c r="U53" s="1040"/>
      <c r="V53" s="1040"/>
      <c r="W53" s="1040"/>
    </row>
    <row r="54" spans="1:23" x14ac:dyDescent="0.35">
      <c r="A54" s="972"/>
      <c r="B54" s="527" t="s">
        <v>912</v>
      </c>
      <c r="C54" s="1040">
        <v>2432</v>
      </c>
      <c r="D54" s="1040">
        <v>1666</v>
      </c>
      <c r="E54" s="1040">
        <v>4098</v>
      </c>
      <c r="F54" s="1040">
        <v>1900</v>
      </c>
      <c r="G54" s="1040">
        <v>2621</v>
      </c>
      <c r="H54" s="1040">
        <v>4521</v>
      </c>
      <c r="I54" s="1040">
        <v>5570</v>
      </c>
      <c r="J54" s="1040">
        <v>6948</v>
      </c>
      <c r="K54" s="1040">
        <v>12518</v>
      </c>
      <c r="L54" s="1040">
        <v>83</v>
      </c>
      <c r="M54" s="1040">
        <v>411</v>
      </c>
      <c r="N54" s="1040">
        <v>494</v>
      </c>
      <c r="O54" s="1040">
        <v>568</v>
      </c>
      <c r="P54" s="1040">
        <v>923</v>
      </c>
      <c r="Q54" s="1040">
        <v>1491</v>
      </c>
      <c r="R54" s="1040">
        <v>10724</v>
      </c>
      <c r="S54" s="1040">
        <v>12698</v>
      </c>
      <c r="T54" s="1040">
        <v>23422</v>
      </c>
      <c r="U54" s="1040">
        <v>171</v>
      </c>
      <c r="V54" s="1040">
        <v>129</v>
      </c>
      <c r="W54" s="1040">
        <v>300</v>
      </c>
    </row>
    <row r="55" spans="1:23" x14ac:dyDescent="0.35">
      <c r="A55" s="972"/>
      <c r="B55" s="528" t="s">
        <v>911</v>
      </c>
      <c r="C55" s="1040">
        <v>2497</v>
      </c>
      <c r="D55" s="1040">
        <v>1579</v>
      </c>
      <c r="E55" s="1040">
        <v>4076</v>
      </c>
      <c r="F55" s="1040">
        <v>1929</v>
      </c>
      <c r="G55" s="1040">
        <v>2638</v>
      </c>
      <c r="H55" s="1040">
        <v>4567</v>
      </c>
      <c r="I55" s="1040">
        <v>5235</v>
      </c>
      <c r="J55" s="1040">
        <v>6793</v>
      </c>
      <c r="K55" s="1040">
        <v>12028</v>
      </c>
      <c r="L55" s="1040">
        <v>117</v>
      </c>
      <c r="M55" s="1040">
        <v>399</v>
      </c>
      <c r="N55" s="1040">
        <v>516</v>
      </c>
      <c r="O55" s="1040">
        <v>700</v>
      </c>
      <c r="P55" s="1040">
        <v>876</v>
      </c>
      <c r="Q55" s="1040">
        <v>1576</v>
      </c>
      <c r="R55" s="1040">
        <v>10478</v>
      </c>
      <c r="S55" s="1040">
        <v>12285</v>
      </c>
      <c r="T55" s="1040">
        <v>22763</v>
      </c>
      <c r="U55" s="1040">
        <v>102</v>
      </c>
      <c r="V55" s="1040">
        <v>64</v>
      </c>
      <c r="W55" s="1040">
        <v>166</v>
      </c>
    </row>
    <row r="56" spans="1:23" x14ac:dyDescent="0.35">
      <c r="A56" s="972"/>
      <c r="B56" s="528" t="s">
        <v>910</v>
      </c>
      <c r="C56" s="1050">
        <v>2404</v>
      </c>
      <c r="D56" s="1050">
        <v>1415</v>
      </c>
      <c r="E56" s="1050">
        <v>3819</v>
      </c>
      <c r="F56" s="1050">
        <v>1838</v>
      </c>
      <c r="G56" s="1050">
        <v>2519</v>
      </c>
      <c r="H56" s="1050">
        <v>4357</v>
      </c>
      <c r="I56" s="1050">
        <v>5291</v>
      </c>
      <c r="J56" s="1050">
        <v>6879</v>
      </c>
      <c r="K56" s="1050">
        <v>12170</v>
      </c>
      <c r="L56" s="1050">
        <v>136</v>
      </c>
      <c r="M56" s="1050">
        <v>401</v>
      </c>
      <c r="N56" s="1050">
        <v>537</v>
      </c>
      <c r="O56" s="1050">
        <v>464</v>
      </c>
      <c r="P56" s="1050">
        <v>620</v>
      </c>
      <c r="Q56" s="1050">
        <v>1084</v>
      </c>
      <c r="R56" s="1050">
        <v>10196</v>
      </c>
      <c r="S56" s="1050">
        <v>11875</v>
      </c>
      <c r="T56" s="1050">
        <v>22071</v>
      </c>
      <c r="U56" s="1050">
        <v>63</v>
      </c>
      <c r="V56" s="1050">
        <v>41</v>
      </c>
      <c r="W56" s="1050">
        <v>104</v>
      </c>
    </row>
    <row r="57" spans="1:23" x14ac:dyDescent="0.35">
      <c r="A57" s="972"/>
      <c r="B57" s="528" t="s">
        <v>909</v>
      </c>
      <c r="C57" s="1050">
        <v>2333</v>
      </c>
      <c r="D57" s="1050">
        <v>1234</v>
      </c>
      <c r="E57" s="1050">
        <v>3567</v>
      </c>
      <c r="F57" s="1050">
        <v>1749</v>
      </c>
      <c r="G57" s="1050">
        <v>2326</v>
      </c>
      <c r="H57" s="1050">
        <v>4075</v>
      </c>
      <c r="I57" s="1050">
        <v>5213</v>
      </c>
      <c r="J57" s="1050">
        <v>6958</v>
      </c>
      <c r="K57" s="1050">
        <v>12171</v>
      </c>
      <c r="L57" s="1050">
        <v>165</v>
      </c>
      <c r="M57" s="1050">
        <v>427</v>
      </c>
      <c r="N57" s="1050">
        <v>592</v>
      </c>
      <c r="O57" s="1050">
        <v>474</v>
      </c>
      <c r="P57" s="1050">
        <v>759</v>
      </c>
      <c r="Q57" s="1050">
        <v>1233</v>
      </c>
      <c r="R57" s="1050">
        <v>10008</v>
      </c>
      <c r="S57" s="1050">
        <v>11754</v>
      </c>
      <c r="T57" s="1050">
        <v>21762</v>
      </c>
      <c r="U57" s="1050">
        <v>74</v>
      </c>
      <c r="V57" s="1050">
        <v>50</v>
      </c>
      <c r="W57" s="1050">
        <v>124</v>
      </c>
    </row>
    <row r="58" spans="1:23" x14ac:dyDescent="0.35">
      <c r="A58" s="972"/>
      <c r="B58" s="528" t="s">
        <v>908</v>
      </c>
      <c r="C58" s="1050">
        <v>2046</v>
      </c>
      <c r="D58" s="1050">
        <v>1051</v>
      </c>
      <c r="E58" s="1050">
        <v>3097</v>
      </c>
      <c r="F58" s="1050">
        <v>1671</v>
      </c>
      <c r="G58" s="1050">
        <v>2283</v>
      </c>
      <c r="H58" s="1050">
        <v>3954</v>
      </c>
      <c r="I58" s="1050">
        <v>5016</v>
      </c>
      <c r="J58" s="1050">
        <v>6781</v>
      </c>
      <c r="K58" s="1050">
        <v>11797</v>
      </c>
      <c r="L58" s="1050">
        <v>142</v>
      </c>
      <c r="M58" s="1050">
        <v>438</v>
      </c>
      <c r="N58" s="1050">
        <v>580</v>
      </c>
      <c r="O58" s="1050">
        <v>397</v>
      </c>
      <c r="P58" s="1050">
        <v>696</v>
      </c>
      <c r="Q58" s="1050">
        <v>1093</v>
      </c>
      <c r="R58" s="1050">
        <v>9349</v>
      </c>
      <c r="S58" s="1050">
        <v>11298</v>
      </c>
      <c r="T58" s="1050">
        <v>20647</v>
      </c>
      <c r="U58" s="1050">
        <v>77</v>
      </c>
      <c r="V58" s="1050">
        <v>49</v>
      </c>
      <c r="W58" s="1050">
        <v>126</v>
      </c>
    </row>
    <row r="59" spans="1:23" x14ac:dyDescent="0.35">
      <c r="A59" s="972">
        <v>9</v>
      </c>
      <c r="B59" s="527" t="s">
        <v>20</v>
      </c>
      <c r="C59" s="1040"/>
      <c r="D59" s="1040"/>
      <c r="E59" s="1040"/>
      <c r="F59" s="1040"/>
      <c r="G59" s="1040"/>
      <c r="H59" s="1040"/>
      <c r="I59" s="1040"/>
      <c r="J59" s="1040"/>
      <c r="K59" s="1040"/>
      <c r="L59" s="1040"/>
      <c r="M59" s="1040"/>
      <c r="N59" s="1040"/>
      <c r="O59" s="1040"/>
      <c r="P59" s="1040"/>
      <c r="Q59" s="1040"/>
      <c r="R59" s="1040"/>
      <c r="S59" s="1040"/>
      <c r="T59" s="1040"/>
      <c r="U59" s="1040"/>
      <c r="V59" s="1040"/>
      <c r="W59" s="1040"/>
    </row>
    <row r="60" spans="1:23" x14ac:dyDescent="0.35">
      <c r="A60" s="972"/>
      <c r="B60" s="527" t="s">
        <v>912</v>
      </c>
      <c r="C60" s="1040">
        <v>240</v>
      </c>
      <c r="D60" s="1040">
        <v>95</v>
      </c>
      <c r="E60" s="1040">
        <v>335</v>
      </c>
      <c r="F60" s="1040">
        <v>301</v>
      </c>
      <c r="G60" s="1040">
        <v>294</v>
      </c>
      <c r="H60" s="1040">
        <v>595</v>
      </c>
      <c r="I60" s="1040">
        <v>1123</v>
      </c>
      <c r="J60" s="1040">
        <v>1652</v>
      </c>
      <c r="K60" s="1040">
        <v>2775</v>
      </c>
      <c r="L60" s="1040">
        <v>23</v>
      </c>
      <c r="M60" s="1040">
        <v>48</v>
      </c>
      <c r="N60" s="1040">
        <v>71</v>
      </c>
      <c r="O60" s="1040">
        <v>60</v>
      </c>
      <c r="P60" s="1040">
        <v>101</v>
      </c>
      <c r="Q60" s="1040">
        <v>161</v>
      </c>
      <c r="R60" s="1040">
        <v>1776</v>
      </c>
      <c r="S60" s="1040">
        <v>2243</v>
      </c>
      <c r="T60" s="1040">
        <v>4019</v>
      </c>
      <c r="U60" s="1040">
        <v>29</v>
      </c>
      <c r="V60" s="1040">
        <v>53</v>
      </c>
      <c r="W60" s="1040">
        <v>82</v>
      </c>
    </row>
    <row r="61" spans="1:23" x14ac:dyDescent="0.35">
      <c r="A61" s="972"/>
      <c r="B61" s="528" t="s">
        <v>911</v>
      </c>
      <c r="C61" s="1040">
        <v>230</v>
      </c>
      <c r="D61" s="1040">
        <v>77</v>
      </c>
      <c r="E61" s="1040">
        <v>307</v>
      </c>
      <c r="F61" s="1040">
        <v>308</v>
      </c>
      <c r="G61" s="1040">
        <v>299</v>
      </c>
      <c r="H61" s="1040">
        <v>607</v>
      </c>
      <c r="I61" s="1040">
        <v>1033</v>
      </c>
      <c r="J61" s="1040">
        <v>1572</v>
      </c>
      <c r="K61" s="1040">
        <v>2605</v>
      </c>
      <c r="L61" s="1040">
        <v>23</v>
      </c>
      <c r="M61" s="1040">
        <v>55</v>
      </c>
      <c r="N61" s="1040">
        <v>78</v>
      </c>
      <c r="O61" s="1040">
        <v>140</v>
      </c>
      <c r="P61" s="1040">
        <v>84</v>
      </c>
      <c r="Q61" s="1040">
        <v>224</v>
      </c>
      <c r="R61" s="1040">
        <v>1734</v>
      </c>
      <c r="S61" s="1040">
        <v>2087</v>
      </c>
      <c r="T61" s="1040">
        <v>3821</v>
      </c>
      <c r="U61" s="1040">
        <v>22</v>
      </c>
      <c r="V61" s="1040">
        <v>60</v>
      </c>
      <c r="W61" s="1040">
        <v>82</v>
      </c>
    </row>
    <row r="62" spans="1:23" x14ac:dyDescent="0.35">
      <c r="A62" s="972"/>
      <c r="B62" s="528" t="s">
        <v>910</v>
      </c>
      <c r="C62" s="1050">
        <v>202</v>
      </c>
      <c r="D62" s="1050">
        <v>65</v>
      </c>
      <c r="E62" s="1050">
        <v>267</v>
      </c>
      <c r="F62" s="1050">
        <v>245</v>
      </c>
      <c r="G62" s="1050">
        <v>278</v>
      </c>
      <c r="H62" s="1050">
        <v>523</v>
      </c>
      <c r="I62" s="1050">
        <v>895</v>
      </c>
      <c r="J62" s="1050">
        <v>1499</v>
      </c>
      <c r="K62" s="1050">
        <v>2394</v>
      </c>
      <c r="L62" s="1050">
        <v>18</v>
      </c>
      <c r="M62" s="1050">
        <v>44</v>
      </c>
      <c r="N62" s="1050">
        <v>62</v>
      </c>
      <c r="O62" s="1050">
        <v>137</v>
      </c>
      <c r="P62" s="1050">
        <v>106</v>
      </c>
      <c r="Q62" s="1050">
        <v>243</v>
      </c>
      <c r="R62" s="1050">
        <v>1519</v>
      </c>
      <c r="S62" s="1050">
        <v>2038</v>
      </c>
      <c r="T62" s="1050">
        <v>3557</v>
      </c>
      <c r="U62" s="1050">
        <v>22</v>
      </c>
      <c r="V62" s="1050">
        <v>46</v>
      </c>
      <c r="W62" s="1050">
        <v>68</v>
      </c>
    </row>
    <row r="63" spans="1:23" x14ac:dyDescent="0.35">
      <c r="A63" s="972"/>
      <c r="B63" s="528" t="s">
        <v>909</v>
      </c>
      <c r="C63" s="1050">
        <v>171</v>
      </c>
      <c r="D63" s="1050">
        <v>56</v>
      </c>
      <c r="E63" s="1050">
        <v>227</v>
      </c>
      <c r="F63" s="1050">
        <v>272</v>
      </c>
      <c r="G63" s="1050">
        <v>286</v>
      </c>
      <c r="H63" s="1050">
        <v>558</v>
      </c>
      <c r="I63" s="1050">
        <v>1138</v>
      </c>
      <c r="J63" s="1050">
        <v>1345</v>
      </c>
      <c r="K63" s="1050">
        <v>2483</v>
      </c>
      <c r="L63" s="1050">
        <v>14</v>
      </c>
      <c r="M63" s="1050">
        <v>45</v>
      </c>
      <c r="N63" s="1050">
        <v>59</v>
      </c>
      <c r="O63" s="1050">
        <v>51</v>
      </c>
      <c r="P63" s="1050">
        <v>162</v>
      </c>
      <c r="Q63" s="1050">
        <v>213</v>
      </c>
      <c r="R63" s="1050">
        <v>1671</v>
      </c>
      <c r="S63" s="1050">
        <v>1968</v>
      </c>
      <c r="T63" s="1050">
        <v>3639</v>
      </c>
      <c r="U63" s="1050">
        <v>25</v>
      </c>
      <c r="V63" s="1050">
        <v>74</v>
      </c>
      <c r="W63" s="1050">
        <v>99</v>
      </c>
    </row>
    <row r="64" spans="1:23" x14ac:dyDescent="0.35">
      <c r="A64" s="972"/>
      <c r="B64" s="528" t="s">
        <v>908</v>
      </c>
      <c r="C64" s="1050">
        <v>161</v>
      </c>
      <c r="D64" s="1050">
        <v>48</v>
      </c>
      <c r="E64" s="1050">
        <v>209</v>
      </c>
      <c r="F64" s="1050">
        <v>259</v>
      </c>
      <c r="G64" s="1050">
        <v>284</v>
      </c>
      <c r="H64" s="1050">
        <v>543</v>
      </c>
      <c r="I64" s="1050">
        <v>1055</v>
      </c>
      <c r="J64" s="1050">
        <v>1251</v>
      </c>
      <c r="K64" s="1050">
        <v>2306</v>
      </c>
      <c r="L64" s="1050">
        <v>14</v>
      </c>
      <c r="M64" s="1050">
        <v>42</v>
      </c>
      <c r="N64" s="1050">
        <v>56</v>
      </c>
      <c r="O64" s="1050">
        <v>51</v>
      </c>
      <c r="P64" s="1050">
        <v>151</v>
      </c>
      <c r="Q64" s="1050">
        <v>202</v>
      </c>
      <c r="R64" s="1050">
        <v>1559</v>
      </c>
      <c r="S64" s="1050">
        <v>1859</v>
      </c>
      <c r="T64" s="1050">
        <v>3418</v>
      </c>
      <c r="U64" s="1050">
        <v>19</v>
      </c>
      <c r="V64" s="1050">
        <v>83</v>
      </c>
      <c r="W64" s="1050">
        <v>102</v>
      </c>
    </row>
    <row r="65" spans="1:23" x14ac:dyDescent="0.35">
      <c r="A65" s="972">
        <v>10</v>
      </c>
      <c r="B65" s="527" t="s">
        <v>21</v>
      </c>
      <c r="C65" s="1040"/>
      <c r="D65" s="1040"/>
      <c r="E65" s="1040"/>
      <c r="F65" s="1040"/>
      <c r="G65" s="1040"/>
      <c r="H65" s="1040"/>
      <c r="I65" s="1040"/>
      <c r="J65" s="1040"/>
      <c r="K65" s="1040"/>
      <c r="L65" s="1040"/>
      <c r="M65" s="1040"/>
      <c r="N65" s="1040"/>
      <c r="O65" s="1040"/>
      <c r="P65" s="1040"/>
      <c r="Q65" s="1040"/>
      <c r="R65" s="1040"/>
      <c r="S65" s="1040"/>
      <c r="T65" s="1040"/>
      <c r="U65" s="1040"/>
      <c r="V65" s="1040"/>
      <c r="W65" s="1040"/>
    </row>
    <row r="66" spans="1:23" x14ac:dyDescent="0.35">
      <c r="A66" s="972"/>
      <c r="B66" s="527" t="s">
        <v>912</v>
      </c>
      <c r="C66" s="1040">
        <v>4151</v>
      </c>
      <c r="D66" s="1040">
        <v>1807</v>
      </c>
      <c r="E66" s="1040">
        <v>5958</v>
      </c>
      <c r="F66" s="1040">
        <v>5125</v>
      </c>
      <c r="G66" s="1040">
        <v>2655</v>
      </c>
      <c r="H66" s="1040">
        <v>7780</v>
      </c>
      <c r="I66" s="1040">
        <v>22852</v>
      </c>
      <c r="J66" s="1040">
        <v>17021</v>
      </c>
      <c r="K66" s="1040">
        <v>39873</v>
      </c>
      <c r="L66" s="1040">
        <v>2123</v>
      </c>
      <c r="M66" s="1040">
        <v>5107</v>
      </c>
      <c r="N66" s="1040">
        <v>7230</v>
      </c>
      <c r="O66" s="1040">
        <v>1200</v>
      </c>
      <c r="P66" s="1040">
        <v>1590</v>
      </c>
      <c r="Q66" s="1040">
        <v>2790</v>
      </c>
      <c r="R66" s="1040">
        <v>36939</v>
      </c>
      <c r="S66" s="1040">
        <v>29312</v>
      </c>
      <c r="T66" s="1040">
        <v>66251</v>
      </c>
      <c r="U66" s="1040">
        <v>1488</v>
      </c>
      <c r="V66" s="1040">
        <v>1132</v>
      </c>
      <c r="W66" s="1040">
        <v>2620</v>
      </c>
    </row>
    <row r="67" spans="1:23" x14ac:dyDescent="0.35">
      <c r="A67" s="972"/>
      <c r="B67" s="528" t="s">
        <v>911</v>
      </c>
      <c r="C67" s="1040">
        <v>4061</v>
      </c>
      <c r="D67" s="1040">
        <v>1686</v>
      </c>
      <c r="E67" s="1040">
        <v>5747</v>
      </c>
      <c r="F67" s="1040">
        <v>5034</v>
      </c>
      <c r="G67" s="1040">
        <v>2582</v>
      </c>
      <c r="H67" s="1040">
        <v>7616</v>
      </c>
      <c r="I67" s="1040">
        <v>21947</v>
      </c>
      <c r="J67" s="1040">
        <v>15399</v>
      </c>
      <c r="K67" s="1040">
        <v>37346</v>
      </c>
      <c r="L67" s="1040">
        <v>1753</v>
      </c>
      <c r="M67" s="1040">
        <v>4336</v>
      </c>
      <c r="N67" s="1040">
        <v>6089</v>
      </c>
      <c r="O67" s="1040">
        <v>1216</v>
      </c>
      <c r="P67" s="1040">
        <v>1507</v>
      </c>
      <c r="Q67" s="1040">
        <v>2723</v>
      </c>
      <c r="R67" s="1040">
        <v>34011</v>
      </c>
      <c r="S67" s="1040">
        <v>25510</v>
      </c>
      <c r="T67" s="1040">
        <v>59521</v>
      </c>
      <c r="U67" s="1040">
        <v>1317</v>
      </c>
      <c r="V67" s="1040">
        <v>965</v>
      </c>
      <c r="W67" s="1040">
        <v>2282</v>
      </c>
    </row>
    <row r="68" spans="1:23" x14ac:dyDescent="0.35">
      <c r="A68" s="972"/>
      <c r="B68" s="528" t="s">
        <v>910</v>
      </c>
      <c r="C68" s="1050">
        <v>4096</v>
      </c>
      <c r="D68" s="1050">
        <v>1619</v>
      </c>
      <c r="E68" s="1050">
        <v>5715</v>
      </c>
      <c r="F68" s="1050">
        <v>5094</v>
      </c>
      <c r="G68" s="1050">
        <v>2554</v>
      </c>
      <c r="H68" s="1050">
        <v>7648</v>
      </c>
      <c r="I68" s="1050">
        <v>22208</v>
      </c>
      <c r="J68" s="1050">
        <v>14879</v>
      </c>
      <c r="K68" s="1050">
        <v>37087</v>
      </c>
      <c r="L68" s="1050">
        <v>1605</v>
      </c>
      <c r="M68" s="1050">
        <v>3879</v>
      </c>
      <c r="N68" s="1050">
        <v>5484</v>
      </c>
      <c r="O68" s="1050">
        <v>1139</v>
      </c>
      <c r="P68" s="1050">
        <v>1316</v>
      </c>
      <c r="Q68" s="1050">
        <v>2455</v>
      </c>
      <c r="R68" s="1050">
        <v>35408</v>
      </c>
      <c r="S68" s="1050">
        <v>25197</v>
      </c>
      <c r="T68" s="1050">
        <v>60605</v>
      </c>
      <c r="U68" s="1050">
        <v>1266</v>
      </c>
      <c r="V68" s="1050">
        <v>950</v>
      </c>
      <c r="W68" s="1050">
        <v>2216</v>
      </c>
    </row>
    <row r="69" spans="1:23" x14ac:dyDescent="0.35">
      <c r="A69" s="972"/>
      <c r="B69" s="528" t="s">
        <v>909</v>
      </c>
      <c r="C69" s="1050">
        <v>4161</v>
      </c>
      <c r="D69" s="1050">
        <v>1540</v>
      </c>
      <c r="E69" s="1050">
        <v>5701</v>
      </c>
      <c r="F69" s="1050">
        <v>5138</v>
      </c>
      <c r="G69" s="1050">
        <v>2598</v>
      </c>
      <c r="H69" s="1050">
        <v>7736</v>
      </c>
      <c r="I69" s="1050">
        <v>22191</v>
      </c>
      <c r="J69" s="1050">
        <v>14555</v>
      </c>
      <c r="K69" s="1050">
        <v>36746</v>
      </c>
      <c r="L69" s="1050">
        <v>1461</v>
      </c>
      <c r="M69" s="1050">
        <v>3549</v>
      </c>
      <c r="N69" s="1050">
        <v>5010</v>
      </c>
      <c r="O69" s="1050">
        <v>1251</v>
      </c>
      <c r="P69" s="1050">
        <v>1465</v>
      </c>
      <c r="Q69" s="1050">
        <v>2716</v>
      </c>
      <c r="R69" s="1050">
        <v>35627</v>
      </c>
      <c r="S69" s="1050">
        <v>24761</v>
      </c>
      <c r="T69" s="1050">
        <v>60388</v>
      </c>
      <c r="U69" s="1050">
        <v>1425</v>
      </c>
      <c r="V69" s="1050">
        <v>1054</v>
      </c>
      <c r="W69" s="1050">
        <v>2479</v>
      </c>
    </row>
    <row r="70" spans="1:23" x14ac:dyDescent="0.35">
      <c r="A70" s="972"/>
      <c r="B70" s="528" t="s">
        <v>908</v>
      </c>
      <c r="C70" s="1050">
        <v>3955</v>
      </c>
      <c r="D70" s="1050">
        <v>1387</v>
      </c>
      <c r="E70" s="1050">
        <v>5342</v>
      </c>
      <c r="F70" s="1050">
        <v>4862</v>
      </c>
      <c r="G70" s="1050">
        <v>2446</v>
      </c>
      <c r="H70" s="1050">
        <v>7308</v>
      </c>
      <c r="I70" s="1050">
        <v>21900</v>
      </c>
      <c r="J70" s="1050">
        <v>13756</v>
      </c>
      <c r="K70" s="1050">
        <v>35656</v>
      </c>
      <c r="L70" s="1050">
        <v>1183</v>
      </c>
      <c r="M70" s="1050">
        <v>3192</v>
      </c>
      <c r="N70" s="1050">
        <v>4375</v>
      </c>
      <c r="O70" s="1050">
        <v>1282</v>
      </c>
      <c r="P70" s="1050">
        <v>1389</v>
      </c>
      <c r="Q70" s="1050">
        <v>2671</v>
      </c>
      <c r="R70" s="1050">
        <v>34459</v>
      </c>
      <c r="S70" s="1050">
        <v>23070</v>
      </c>
      <c r="T70" s="1050">
        <v>57529</v>
      </c>
      <c r="U70" s="1050">
        <v>1277</v>
      </c>
      <c r="V70" s="1050">
        <v>900</v>
      </c>
      <c r="W70" s="1050">
        <v>2177</v>
      </c>
    </row>
    <row r="71" spans="1:23" x14ac:dyDescent="0.35">
      <c r="A71" s="972">
        <v>11</v>
      </c>
      <c r="B71" s="527" t="s">
        <v>22</v>
      </c>
      <c r="C71" s="1040"/>
      <c r="D71" s="1040"/>
      <c r="E71" s="1040"/>
      <c r="F71" s="1040"/>
      <c r="G71" s="1040"/>
      <c r="H71" s="1040"/>
      <c r="I71" s="1040"/>
      <c r="J71" s="1040"/>
      <c r="K71" s="1040"/>
      <c r="L71" s="1040"/>
      <c r="M71" s="1040"/>
      <c r="N71" s="1040"/>
      <c r="O71" s="1040"/>
      <c r="P71" s="1040"/>
      <c r="Q71" s="1040"/>
      <c r="R71" s="1040"/>
      <c r="S71" s="1040"/>
      <c r="T71" s="1040"/>
      <c r="U71" s="1040"/>
      <c r="V71" s="1040"/>
      <c r="W71" s="1040"/>
    </row>
    <row r="72" spans="1:23" x14ac:dyDescent="0.35">
      <c r="A72" s="972"/>
      <c r="B72" s="527" t="s">
        <v>912</v>
      </c>
      <c r="C72" s="1040">
        <v>2619</v>
      </c>
      <c r="D72" s="1040">
        <v>1298</v>
      </c>
      <c r="E72" s="1040">
        <v>3917</v>
      </c>
      <c r="F72" s="1040">
        <v>2228</v>
      </c>
      <c r="G72" s="1040">
        <v>2106</v>
      </c>
      <c r="H72" s="1040">
        <v>4334</v>
      </c>
      <c r="I72" s="1040">
        <v>13649</v>
      </c>
      <c r="J72" s="1040">
        <v>16534</v>
      </c>
      <c r="K72" s="1040">
        <v>30183</v>
      </c>
      <c r="L72" s="1040">
        <v>324</v>
      </c>
      <c r="M72" s="1040">
        <v>1344</v>
      </c>
      <c r="N72" s="1040">
        <v>1668</v>
      </c>
      <c r="O72" s="1040">
        <v>980</v>
      </c>
      <c r="P72" s="1040">
        <v>1918</v>
      </c>
      <c r="Q72" s="1040">
        <v>2898</v>
      </c>
      <c r="R72" s="1040">
        <v>20064</v>
      </c>
      <c r="S72" s="1040">
        <v>23483</v>
      </c>
      <c r="T72" s="1040">
        <v>43547</v>
      </c>
      <c r="U72" s="1040">
        <v>264</v>
      </c>
      <c r="V72" s="1040">
        <v>283</v>
      </c>
      <c r="W72" s="1040">
        <v>547</v>
      </c>
    </row>
    <row r="73" spans="1:23" x14ac:dyDescent="0.35">
      <c r="A73" s="972"/>
      <c r="B73" s="528" t="s">
        <v>911</v>
      </c>
      <c r="C73" s="1040">
        <v>2519</v>
      </c>
      <c r="D73" s="1040">
        <v>1219</v>
      </c>
      <c r="E73" s="1040">
        <v>3738</v>
      </c>
      <c r="F73" s="1040">
        <v>2179</v>
      </c>
      <c r="G73" s="1040">
        <v>2020</v>
      </c>
      <c r="H73" s="1040">
        <v>4199</v>
      </c>
      <c r="I73" s="1040">
        <v>12993</v>
      </c>
      <c r="J73" s="1040">
        <v>15770</v>
      </c>
      <c r="K73" s="1040">
        <v>28763</v>
      </c>
      <c r="L73" s="1040">
        <v>313</v>
      </c>
      <c r="M73" s="1040">
        <v>1371</v>
      </c>
      <c r="N73" s="1040">
        <v>1684</v>
      </c>
      <c r="O73" s="1040">
        <v>755</v>
      </c>
      <c r="P73" s="1040">
        <v>1486</v>
      </c>
      <c r="Q73" s="1040">
        <v>2241</v>
      </c>
      <c r="R73" s="1040">
        <v>18759</v>
      </c>
      <c r="S73" s="1040">
        <v>21866</v>
      </c>
      <c r="T73" s="1040">
        <v>40625</v>
      </c>
      <c r="U73" s="1040">
        <v>253</v>
      </c>
      <c r="V73" s="1040">
        <v>220</v>
      </c>
      <c r="W73" s="1040">
        <v>473</v>
      </c>
    </row>
    <row r="74" spans="1:23" x14ac:dyDescent="0.35">
      <c r="A74" s="972"/>
      <c r="B74" s="528" t="s">
        <v>910</v>
      </c>
      <c r="C74" s="1050">
        <v>2435</v>
      </c>
      <c r="D74" s="1050">
        <v>1157</v>
      </c>
      <c r="E74" s="1050">
        <v>3592</v>
      </c>
      <c r="F74" s="1050">
        <v>2168</v>
      </c>
      <c r="G74" s="1050">
        <v>2016</v>
      </c>
      <c r="H74" s="1050">
        <v>4184</v>
      </c>
      <c r="I74" s="1050">
        <v>12746</v>
      </c>
      <c r="J74" s="1050">
        <v>15123</v>
      </c>
      <c r="K74" s="1050">
        <v>27869</v>
      </c>
      <c r="L74" s="1050">
        <v>334</v>
      </c>
      <c r="M74" s="1050">
        <v>1229</v>
      </c>
      <c r="N74" s="1050">
        <v>1563</v>
      </c>
      <c r="O74" s="1050">
        <v>538</v>
      </c>
      <c r="P74" s="1050">
        <v>1025</v>
      </c>
      <c r="Q74" s="1050">
        <v>1563</v>
      </c>
      <c r="R74" s="1050">
        <v>18467</v>
      </c>
      <c r="S74" s="1050">
        <v>20789</v>
      </c>
      <c r="T74" s="1050">
        <v>39256</v>
      </c>
      <c r="U74" s="1050">
        <v>246</v>
      </c>
      <c r="V74" s="1050">
        <v>239</v>
      </c>
      <c r="W74" s="1050">
        <v>485</v>
      </c>
    </row>
    <row r="75" spans="1:23" x14ac:dyDescent="0.35">
      <c r="A75" s="972"/>
      <c r="B75" s="528" t="s">
        <v>909</v>
      </c>
      <c r="C75" s="1050">
        <v>2396</v>
      </c>
      <c r="D75" s="1050">
        <v>1054</v>
      </c>
      <c r="E75" s="1050">
        <v>3450</v>
      </c>
      <c r="F75" s="1050">
        <v>2220</v>
      </c>
      <c r="G75" s="1050">
        <v>2035</v>
      </c>
      <c r="H75" s="1050">
        <v>4255</v>
      </c>
      <c r="I75" s="1050">
        <v>12789</v>
      </c>
      <c r="J75" s="1050">
        <v>15185</v>
      </c>
      <c r="K75" s="1050">
        <v>27974</v>
      </c>
      <c r="L75" s="1050">
        <v>426</v>
      </c>
      <c r="M75" s="1050">
        <v>1195</v>
      </c>
      <c r="N75" s="1050">
        <v>1621</v>
      </c>
      <c r="O75" s="1050">
        <v>451</v>
      </c>
      <c r="P75" s="1050">
        <v>939</v>
      </c>
      <c r="Q75" s="1050">
        <v>1390</v>
      </c>
      <c r="R75" s="1050">
        <v>18541</v>
      </c>
      <c r="S75" s="1050">
        <v>20690</v>
      </c>
      <c r="T75" s="1050">
        <v>39231</v>
      </c>
      <c r="U75" s="1050">
        <v>259</v>
      </c>
      <c r="V75" s="1050">
        <v>282</v>
      </c>
      <c r="W75" s="1050">
        <v>541</v>
      </c>
    </row>
    <row r="76" spans="1:23" x14ac:dyDescent="0.35">
      <c r="A76" s="972"/>
      <c r="B76" s="528" t="s">
        <v>908</v>
      </c>
      <c r="C76" s="1050">
        <v>2290</v>
      </c>
      <c r="D76" s="1050">
        <v>1021</v>
      </c>
      <c r="E76" s="1050">
        <v>3311</v>
      </c>
      <c r="F76" s="1050">
        <v>2157</v>
      </c>
      <c r="G76" s="1050">
        <v>2066</v>
      </c>
      <c r="H76" s="1050">
        <v>4223</v>
      </c>
      <c r="I76" s="1050">
        <v>11575</v>
      </c>
      <c r="J76" s="1050">
        <v>13363</v>
      </c>
      <c r="K76" s="1050">
        <v>24938</v>
      </c>
      <c r="L76" s="1050">
        <v>365</v>
      </c>
      <c r="M76" s="1050">
        <v>992</v>
      </c>
      <c r="N76" s="1050">
        <v>1357</v>
      </c>
      <c r="O76" s="1050">
        <v>426</v>
      </c>
      <c r="P76" s="1050">
        <v>913</v>
      </c>
      <c r="Q76" s="1050">
        <v>1339</v>
      </c>
      <c r="R76" s="1050">
        <v>17061</v>
      </c>
      <c r="S76" s="1050">
        <v>18616</v>
      </c>
      <c r="T76" s="1050">
        <v>35677</v>
      </c>
      <c r="U76" s="1050">
        <v>248</v>
      </c>
      <c r="V76" s="1050">
        <v>261</v>
      </c>
      <c r="W76" s="1050">
        <v>509</v>
      </c>
    </row>
    <row r="77" spans="1:23" x14ac:dyDescent="0.35">
      <c r="A77" s="972">
        <v>12</v>
      </c>
      <c r="B77" s="527" t="s">
        <v>23</v>
      </c>
      <c r="C77" s="1040"/>
      <c r="D77" s="1040"/>
      <c r="E77" s="1040"/>
      <c r="F77" s="1040"/>
      <c r="G77" s="1040"/>
      <c r="H77" s="1040"/>
      <c r="I77" s="1040"/>
      <c r="J77" s="1040"/>
      <c r="K77" s="1040"/>
      <c r="L77" s="1040"/>
      <c r="M77" s="1040"/>
      <c r="N77" s="1040"/>
      <c r="O77" s="1040"/>
      <c r="P77" s="1040"/>
      <c r="Q77" s="1040"/>
      <c r="R77" s="1040"/>
      <c r="S77" s="1040"/>
      <c r="T77" s="1040"/>
      <c r="U77" s="1040"/>
      <c r="V77" s="1040"/>
      <c r="W77" s="1040"/>
    </row>
    <row r="78" spans="1:23" x14ac:dyDescent="0.35">
      <c r="A78" s="972"/>
      <c r="B78" s="527" t="s">
        <v>912</v>
      </c>
      <c r="C78" s="1040">
        <v>747</v>
      </c>
      <c r="D78" s="1040">
        <v>264</v>
      </c>
      <c r="E78" s="1040">
        <v>1011</v>
      </c>
      <c r="F78" s="1040">
        <v>732</v>
      </c>
      <c r="G78" s="1040">
        <v>398</v>
      </c>
      <c r="H78" s="1040">
        <v>1130</v>
      </c>
      <c r="I78" s="1040">
        <v>3630</v>
      </c>
      <c r="J78" s="1040">
        <v>3787</v>
      </c>
      <c r="K78" s="1040">
        <v>7417</v>
      </c>
      <c r="L78" s="1040">
        <v>129</v>
      </c>
      <c r="M78" s="1040">
        <v>696</v>
      </c>
      <c r="N78" s="1040">
        <v>825</v>
      </c>
      <c r="O78" s="1040">
        <v>154</v>
      </c>
      <c r="P78" s="1040">
        <v>214</v>
      </c>
      <c r="Q78" s="1040">
        <v>368</v>
      </c>
      <c r="R78" s="1040">
        <v>5415</v>
      </c>
      <c r="S78" s="1040">
        <v>5386</v>
      </c>
      <c r="T78" s="1040">
        <v>10801</v>
      </c>
      <c r="U78" s="1040">
        <v>23</v>
      </c>
      <c r="V78" s="1040">
        <v>27</v>
      </c>
      <c r="W78" s="1040">
        <v>50</v>
      </c>
    </row>
    <row r="79" spans="1:23" x14ac:dyDescent="0.35">
      <c r="A79" s="972"/>
      <c r="B79" s="528" t="s">
        <v>911</v>
      </c>
      <c r="C79" s="1040">
        <v>845</v>
      </c>
      <c r="D79" s="1040">
        <v>287</v>
      </c>
      <c r="E79" s="1040">
        <v>1132</v>
      </c>
      <c r="F79" s="1040">
        <v>772</v>
      </c>
      <c r="G79" s="1040">
        <v>403</v>
      </c>
      <c r="H79" s="1040">
        <v>1175</v>
      </c>
      <c r="I79" s="1040">
        <v>3526</v>
      </c>
      <c r="J79" s="1040">
        <v>3709</v>
      </c>
      <c r="K79" s="1040">
        <v>7235</v>
      </c>
      <c r="L79" s="1040">
        <v>224</v>
      </c>
      <c r="M79" s="1040">
        <v>751</v>
      </c>
      <c r="N79" s="1040">
        <v>975</v>
      </c>
      <c r="O79" s="1040">
        <v>125</v>
      </c>
      <c r="P79" s="1040">
        <v>203</v>
      </c>
      <c r="Q79" s="1040">
        <v>328</v>
      </c>
      <c r="R79" s="1040">
        <v>5492</v>
      </c>
      <c r="S79" s="1040">
        <v>5353</v>
      </c>
      <c r="T79" s="1040">
        <v>10845</v>
      </c>
      <c r="U79" s="1040">
        <v>30</v>
      </c>
      <c r="V79" s="1040">
        <v>20</v>
      </c>
      <c r="W79" s="1040">
        <v>50</v>
      </c>
    </row>
    <row r="80" spans="1:23" x14ac:dyDescent="0.35">
      <c r="A80" s="972"/>
      <c r="B80" s="528" t="s">
        <v>910</v>
      </c>
      <c r="C80" s="1050">
        <v>845</v>
      </c>
      <c r="D80" s="1050">
        <v>284</v>
      </c>
      <c r="E80" s="1050">
        <v>1129</v>
      </c>
      <c r="F80" s="1050">
        <v>810</v>
      </c>
      <c r="G80" s="1050">
        <v>400</v>
      </c>
      <c r="H80" s="1050">
        <v>1210</v>
      </c>
      <c r="I80" s="1050">
        <v>3545</v>
      </c>
      <c r="J80" s="1050">
        <v>3560</v>
      </c>
      <c r="K80" s="1050">
        <v>7105</v>
      </c>
      <c r="L80" s="1050">
        <v>202</v>
      </c>
      <c r="M80" s="1050">
        <v>728</v>
      </c>
      <c r="N80" s="1050">
        <v>930</v>
      </c>
      <c r="O80" s="1050">
        <v>119</v>
      </c>
      <c r="P80" s="1050">
        <v>195</v>
      </c>
      <c r="Q80" s="1050">
        <v>314</v>
      </c>
      <c r="R80" s="1050">
        <v>5557</v>
      </c>
      <c r="S80" s="1050">
        <v>5195</v>
      </c>
      <c r="T80" s="1050">
        <v>10752</v>
      </c>
      <c r="U80" s="1050">
        <v>36</v>
      </c>
      <c r="V80" s="1050">
        <v>28</v>
      </c>
      <c r="W80" s="1050">
        <v>64</v>
      </c>
    </row>
    <row r="81" spans="1:23" x14ac:dyDescent="0.35">
      <c r="A81" s="972"/>
      <c r="B81" s="528" t="s">
        <v>909</v>
      </c>
      <c r="C81" s="1050">
        <v>909</v>
      </c>
      <c r="D81" s="1050">
        <v>292</v>
      </c>
      <c r="E81" s="1050">
        <v>1201</v>
      </c>
      <c r="F81" s="1050">
        <v>837</v>
      </c>
      <c r="G81" s="1050">
        <v>400</v>
      </c>
      <c r="H81" s="1050">
        <v>1237</v>
      </c>
      <c r="I81" s="1050">
        <v>3579</v>
      </c>
      <c r="J81" s="1050">
        <v>3547</v>
      </c>
      <c r="K81" s="1050">
        <v>7126</v>
      </c>
      <c r="L81" s="1050">
        <v>190</v>
      </c>
      <c r="M81" s="1050">
        <v>719</v>
      </c>
      <c r="N81" s="1050">
        <v>909</v>
      </c>
      <c r="O81" s="1050">
        <v>103</v>
      </c>
      <c r="P81" s="1050">
        <v>154</v>
      </c>
      <c r="Q81" s="1050">
        <v>257</v>
      </c>
      <c r="R81" s="1050">
        <v>5648</v>
      </c>
      <c r="S81" s="1050">
        <v>5133</v>
      </c>
      <c r="T81" s="1050">
        <v>10781</v>
      </c>
      <c r="U81" s="1050">
        <v>30</v>
      </c>
      <c r="V81" s="1050">
        <v>21</v>
      </c>
      <c r="W81" s="1050">
        <v>51</v>
      </c>
    </row>
    <row r="82" spans="1:23" x14ac:dyDescent="0.35">
      <c r="A82" s="972"/>
      <c r="B82" s="528" t="s">
        <v>908</v>
      </c>
      <c r="C82" s="1050">
        <v>850</v>
      </c>
      <c r="D82" s="1050">
        <v>258</v>
      </c>
      <c r="E82" s="1050">
        <v>1108</v>
      </c>
      <c r="F82" s="1050">
        <v>803</v>
      </c>
      <c r="G82" s="1050">
        <v>415</v>
      </c>
      <c r="H82" s="1050">
        <v>1218</v>
      </c>
      <c r="I82" s="1050">
        <v>3458</v>
      </c>
      <c r="J82" s="1050">
        <v>3356</v>
      </c>
      <c r="K82" s="1050">
        <v>6814</v>
      </c>
      <c r="L82" s="1050">
        <v>190</v>
      </c>
      <c r="M82" s="1050">
        <v>698</v>
      </c>
      <c r="N82" s="1050">
        <v>888</v>
      </c>
      <c r="O82" s="1050">
        <v>138</v>
      </c>
      <c r="P82" s="1050">
        <v>203</v>
      </c>
      <c r="Q82" s="1050">
        <v>341</v>
      </c>
      <c r="R82" s="1050">
        <v>5462</v>
      </c>
      <c r="S82" s="1050">
        <v>4949</v>
      </c>
      <c r="T82" s="1050">
        <v>10411</v>
      </c>
      <c r="U82" s="1050">
        <v>23</v>
      </c>
      <c r="V82" s="1050">
        <v>19</v>
      </c>
      <c r="W82" s="1050">
        <v>42</v>
      </c>
    </row>
    <row r="83" spans="1:23" x14ac:dyDescent="0.35">
      <c r="A83" s="972">
        <v>13</v>
      </c>
      <c r="B83" s="527" t="s">
        <v>24</v>
      </c>
      <c r="C83" s="1040"/>
      <c r="D83" s="1040"/>
      <c r="E83" s="1040"/>
      <c r="F83" s="1040"/>
      <c r="G83" s="1040"/>
      <c r="H83" s="1040"/>
      <c r="I83" s="1040"/>
      <c r="J83" s="1040"/>
      <c r="K83" s="1040"/>
      <c r="L83" s="1040"/>
      <c r="M83" s="1040"/>
      <c r="N83" s="1040"/>
      <c r="O83" s="1040"/>
      <c r="P83" s="1040"/>
      <c r="Q83" s="1040"/>
      <c r="R83" s="1040"/>
      <c r="S83" s="1040"/>
      <c r="T83" s="1040"/>
      <c r="U83" s="1040"/>
      <c r="V83" s="1040"/>
      <c r="W83" s="1040"/>
    </row>
    <row r="84" spans="1:23" x14ac:dyDescent="0.35">
      <c r="A84" s="972"/>
      <c r="B84" s="527" t="s">
        <v>912</v>
      </c>
      <c r="C84" s="1040">
        <v>845</v>
      </c>
      <c r="D84" s="1040">
        <v>316</v>
      </c>
      <c r="E84" s="1040">
        <v>1161</v>
      </c>
      <c r="F84" s="1040">
        <v>627</v>
      </c>
      <c r="G84" s="1040">
        <v>406</v>
      </c>
      <c r="H84" s="1040">
        <v>1033</v>
      </c>
      <c r="I84" s="1040">
        <v>4063</v>
      </c>
      <c r="J84" s="1040">
        <v>2956</v>
      </c>
      <c r="K84" s="1040">
        <v>7019</v>
      </c>
      <c r="L84" s="1040">
        <v>328</v>
      </c>
      <c r="M84" s="1040">
        <v>577</v>
      </c>
      <c r="N84" s="1040">
        <v>905</v>
      </c>
      <c r="O84" s="1040">
        <v>979</v>
      </c>
      <c r="P84" s="1040">
        <v>629</v>
      </c>
      <c r="Q84" s="1040">
        <v>1608</v>
      </c>
      <c r="R84" s="1040">
        <v>6868</v>
      </c>
      <c r="S84" s="1040">
        <v>4900</v>
      </c>
      <c r="T84" s="1040">
        <v>11768</v>
      </c>
      <c r="U84" s="1040">
        <v>26</v>
      </c>
      <c r="V84" s="1040">
        <v>16</v>
      </c>
      <c r="W84" s="1040">
        <v>42</v>
      </c>
    </row>
    <row r="85" spans="1:23" x14ac:dyDescent="0.35">
      <c r="A85" s="972"/>
      <c r="B85" s="528" t="s">
        <v>911</v>
      </c>
      <c r="C85" s="1040">
        <v>811</v>
      </c>
      <c r="D85" s="1040">
        <v>293</v>
      </c>
      <c r="E85" s="1040">
        <v>1104</v>
      </c>
      <c r="F85" s="1040">
        <v>633</v>
      </c>
      <c r="G85" s="1040">
        <v>394</v>
      </c>
      <c r="H85" s="1040">
        <v>1027</v>
      </c>
      <c r="I85" s="1040">
        <v>4011</v>
      </c>
      <c r="J85" s="1040">
        <v>2952</v>
      </c>
      <c r="K85" s="1040">
        <v>6963</v>
      </c>
      <c r="L85" s="1040">
        <v>344</v>
      </c>
      <c r="M85" s="1040">
        <v>536</v>
      </c>
      <c r="N85" s="1040">
        <v>880</v>
      </c>
      <c r="O85" s="1040">
        <v>805</v>
      </c>
      <c r="P85" s="1040">
        <v>521</v>
      </c>
      <c r="Q85" s="1040">
        <v>1326</v>
      </c>
      <c r="R85" s="1040">
        <v>6604</v>
      </c>
      <c r="S85" s="1040">
        <v>4696</v>
      </c>
      <c r="T85" s="1040">
        <v>11300</v>
      </c>
      <c r="U85" s="1040">
        <v>34</v>
      </c>
      <c r="V85" s="1040">
        <v>29</v>
      </c>
      <c r="W85" s="1040">
        <v>63</v>
      </c>
    </row>
    <row r="86" spans="1:23" x14ac:dyDescent="0.35">
      <c r="A86" s="972"/>
      <c r="B86" s="528" t="s">
        <v>910</v>
      </c>
      <c r="C86" s="1050">
        <v>824</v>
      </c>
      <c r="D86" s="1050">
        <v>289</v>
      </c>
      <c r="E86" s="1050">
        <v>1113</v>
      </c>
      <c r="F86" s="1050">
        <v>664</v>
      </c>
      <c r="G86" s="1050">
        <v>400</v>
      </c>
      <c r="H86" s="1050">
        <v>1064</v>
      </c>
      <c r="I86" s="1050">
        <v>3966</v>
      </c>
      <c r="J86" s="1050">
        <v>2995</v>
      </c>
      <c r="K86" s="1050">
        <v>6961</v>
      </c>
      <c r="L86" s="1050">
        <v>324</v>
      </c>
      <c r="M86" s="1050">
        <v>511</v>
      </c>
      <c r="N86" s="1050">
        <v>835</v>
      </c>
      <c r="O86" s="1050">
        <v>834</v>
      </c>
      <c r="P86" s="1050">
        <v>501</v>
      </c>
      <c r="Q86" s="1050">
        <v>1335</v>
      </c>
      <c r="R86" s="1050">
        <v>6661</v>
      </c>
      <c r="S86" s="1050">
        <v>4731</v>
      </c>
      <c r="T86" s="1050">
        <v>11392</v>
      </c>
      <c r="U86" s="1050">
        <v>49</v>
      </c>
      <c r="V86" s="1050">
        <v>35</v>
      </c>
      <c r="W86" s="1050">
        <v>84</v>
      </c>
    </row>
    <row r="87" spans="1:23" x14ac:dyDescent="0.35">
      <c r="A87" s="972"/>
      <c r="B87" s="528" t="s">
        <v>909</v>
      </c>
      <c r="C87" s="1050">
        <v>863</v>
      </c>
      <c r="D87" s="1050">
        <v>272</v>
      </c>
      <c r="E87" s="1050">
        <v>1135</v>
      </c>
      <c r="F87" s="1050">
        <v>716</v>
      </c>
      <c r="G87" s="1050">
        <v>434</v>
      </c>
      <c r="H87" s="1050">
        <v>1150</v>
      </c>
      <c r="I87" s="1050">
        <v>3822</v>
      </c>
      <c r="J87" s="1050">
        <v>2926</v>
      </c>
      <c r="K87" s="1050">
        <v>6748</v>
      </c>
      <c r="L87" s="1050">
        <v>310</v>
      </c>
      <c r="M87" s="1050">
        <v>498</v>
      </c>
      <c r="N87" s="1050">
        <v>808</v>
      </c>
      <c r="O87" s="1050">
        <v>831</v>
      </c>
      <c r="P87" s="1050">
        <v>582</v>
      </c>
      <c r="Q87" s="1050">
        <v>1413</v>
      </c>
      <c r="R87" s="1050">
        <v>6580</v>
      </c>
      <c r="S87" s="1050">
        <v>4741</v>
      </c>
      <c r="T87" s="1050">
        <v>11321</v>
      </c>
      <c r="U87" s="1050">
        <v>38</v>
      </c>
      <c r="V87" s="1050">
        <v>29</v>
      </c>
      <c r="W87" s="1050">
        <v>67</v>
      </c>
    </row>
    <row r="88" spans="1:23" x14ac:dyDescent="0.35">
      <c r="A88" s="972"/>
      <c r="B88" s="528" t="s">
        <v>908</v>
      </c>
      <c r="C88" s="1050">
        <v>787</v>
      </c>
      <c r="D88" s="1050">
        <v>246</v>
      </c>
      <c r="E88" s="1050">
        <v>1033</v>
      </c>
      <c r="F88" s="1050">
        <v>712</v>
      </c>
      <c r="G88" s="1050">
        <v>440</v>
      </c>
      <c r="H88" s="1050">
        <v>1152</v>
      </c>
      <c r="I88" s="1050">
        <v>3775</v>
      </c>
      <c r="J88" s="1050">
        <v>2755</v>
      </c>
      <c r="K88" s="1050">
        <v>6530</v>
      </c>
      <c r="L88" s="1050">
        <v>238</v>
      </c>
      <c r="M88" s="1050">
        <v>392</v>
      </c>
      <c r="N88" s="1050">
        <v>630</v>
      </c>
      <c r="O88" s="1050">
        <v>1051</v>
      </c>
      <c r="P88" s="1050">
        <v>731</v>
      </c>
      <c r="Q88" s="1050">
        <v>1782</v>
      </c>
      <c r="R88" s="1050">
        <v>6608</v>
      </c>
      <c r="S88" s="1050">
        <v>4594</v>
      </c>
      <c r="T88" s="1050">
        <v>11202</v>
      </c>
      <c r="U88" s="1050">
        <v>45</v>
      </c>
      <c r="V88" s="1050">
        <v>30</v>
      </c>
      <c r="W88" s="1050">
        <v>75</v>
      </c>
    </row>
    <row r="89" spans="1:23" x14ac:dyDescent="0.35">
      <c r="A89" s="972">
        <v>14</v>
      </c>
      <c r="B89" s="527" t="s">
        <v>25</v>
      </c>
      <c r="C89" s="1040"/>
      <c r="D89" s="1040"/>
      <c r="E89" s="1040"/>
      <c r="F89" s="1040"/>
      <c r="G89" s="1040"/>
      <c r="H89" s="1040"/>
      <c r="I89" s="1040"/>
      <c r="J89" s="1040"/>
      <c r="K89" s="1040"/>
      <c r="L89" s="1040"/>
      <c r="M89" s="1040"/>
      <c r="N89" s="1040"/>
      <c r="O89" s="1040"/>
      <c r="P89" s="1040"/>
      <c r="Q89" s="1040"/>
      <c r="R89" s="1040"/>
      <c r="S89" s="1040"/>
      <c r="T89" s="1040"/>
      <c r="U89" s="1040"/>
      <c r="V89" s="1040"/>
      <c r="W89" s="1040"/>
    </row>
    <row r="90" spans="1:23" x14ac:dyDescent="0.35">
      <c r="A90" s="972"/>
      <c r="B90" s="527" t="s">
        <v>912</v>
      </c>
      <c r="C90" s="1040">
        <v>926</v>
      </c>
      <c r="D90" s="1040">
        <v>330</v>
      </c>
      <c r="E90" s="1040">
        <v>1256</v>
      </c>
      <c r="F90" s="1040">
        <v>930</v>
      </c>
      <c r="G90" s="1040">
        <v>299</v>
      </c>
      <c r="H90" s="1040">
        <v>1229</v>
      </c>
      <c r="I90" s="1040">
        <v>7746</v>
      </c>
      <c r="J90" s="1040">
        <v>3968</v>
      </c>
      <c r="K90" s="1040">
        <v>11714</v>
      </c>
      <c r="L90" s="1040">
        <v>502</v>
      </c>
      <c r="M90" s="1040">
        <v>1124</v>
      </c>
      <c r="N90" s="1040">
        <v>1626</v>
      </c>
      <c r="O90" s="1040">
        <v>663</v>
      </c>
      <c r="P90" s="1040">
        <v>456</v>
      </c>
      <c r="Q90" s="1040">
        <v>1119</v>
      </c>
      <c r="R90" s="1040">
        <v>10829</v>
      </c>
      <c r="S90" s="1040">
        <v>6203</v>
      </c>
      <c r="T90" s="1040">
        <v>17032</v>
      </c>
      <c r="U90" s="1040">
        <v>62</v>
      </c>
      <c r="V90" s="1040">
        <v>26</v>
      </c>
      <c r="W90" s="1040">
        <v>88</v>
      </c>
    </row>
    <row r="91" spans="1:23" x14ac:dyDescent="0.35">
      <c r="A91" s="972"/>
      <c r="B91" s="528" t="s">
        <v>911</v>
      </c>
      <c r="C91" s="1040">
        <v>866</v>
      </c>
      <c r="D91" s="1040">
        <v>237</v>
      </c>
      <c r="E91" s="1040">
        <v>1103</v>
      </c>
      <c r="F91" s="1040">
        <v>891</v>
      </c>
      <c r="G91" s="1040">
        <v>291</v>
      </c>
      <c r="H91" s="1040">
        <v>1182</v>
      </c>
      <c r="I91" s="1040">
        <v>7186</v>
      </c>
      <c r="J91" s="1040">
        <v>3566</v>
      </c>
      <c r="K91" s="1040">
        <v>10752</v>
      </c>
      <c r="L91" s="1040">
        <v>316</v>
      </c>
      <c r="M91" s="1040">
        <v>646</v>
      </c>
      <c r="N91" s="1040">
        <v>962</v>
      </c>
      <c r="O91" s="1040">
        <v>608</v>
      </c>
      <c r="P91" s="1040">
        <v>386</v>
      </c>
      <c r="Q91" s="1040">
        <v>994</v>
      </c>
      <c r="R91" s="1040">
        <v>9867</v>
      </c>
      <c r="S91" s="1040">
        <v>5126</v>
      </c>
      <c r="T91" s="1040">
        <v>14993</v>
      </c>
      <c r="U91" s="1040">
        <v>65</v>
      </c>
      <c r="V91" s="1040">
        <v>31</v>
      </c>
      <c r="W91" s="1040">
        <v>96</v>
      </c>
    </row>
    <row r="92" spans="1:23" x14ac:dyDescent="0.35">
      <c r="A92" s="972"/>
      <c r="B92" s="528" t="s">
        <v>910</v>
      </c>
      <c r="C92" s="1050">
        <v>829</v>
      </c>
      <c r="D92" s="1050">
        <v>207</v>
      </c>
      <c r="E92" s="1050">
        <v>1036</v>
      </c>
      <c r="F92" s="1050">
        <v>895</v>
      </c>
      <c r="G92" s="1050">
        <v>295</v>
      </c>
      <c r="H92" s="1050">
        <v>1190</v>
      </c>
      <c r="I92" s="1050">
        <v>6995</v>
      </c>
      <c r="J92" s="1050">
        <v>3282</v>
      </c>
      <c r="K92" s="1050">
        <v>10277</v>
      </c>
      <c r="L92" s="1050">
        <v>301</v>
      </c>
      <c r="M92" s="1050">
        <v>472</v>
      </c>
      <c r="N92" s="1050">
        <v>773</v>
      </c>
      <c r="O92" s="1050">
        <v>614</v>
      </c>
      <c r="P92" s="1050">
        <v>393</v>
      </c>
      <c r="Q92" s="1050">
        <v>1007</v>
      </c>
      <c r="R92" s="1050">
        <v>9702</v>
      </c>
      <c r="S92" s="1050">
        <v>4684</v>
      </c>
      <c r="T92" s="1050">
        <v>14386</v>
      </c>
      <c r="U92" s="1050">
        <v>68</v>
      </c>
      <c r="V92" s="1050">
        <v>35</v>
      </c>
      <c r="W92" s="1050">
        <v>103</v>
      </c>
    </row>
    <row r="93" spans="1:23" x14ac:dyDescent="0.35">
      <c r="A93" s="972"/>
      <c r="B93" s="528" t="s">
        <v>909</v>
      </c>
      <c r="C93" s="1050">
        <v>810</v>
      </c>
      <c r="D93" s="1050">
        <v>165</v>
      </c>
      <c r="E93" s="1050">
        <v>975</v>
      </c>
      <c r="F93" s="1050">
        <v>920</v>
      </c>
      <c r="G93" s="1050">
        <v>299</v>
      </c>
      <c r="H93" s="1050">
        <v>1219</v>
      </c>
      <c r="I93" s="1050">
        <v>6828</v>
      </c>
      <c r="J93" s="1050">
        <v>2926</v>
      </c>
      <c r="K93" s="1050">
        <v>9754</v>
      </c>
      <c r="L93" s="1050">
        <v>227</v>
      </c>
      <c r="M93" s="1050">
        <v>292</v>
      </c>
      <c r="N93" s="1050">
        <v>519</v>
      </c>
      <c r="O93" s="1050">
        <v>652</v>
      </c>
      <c r="P93" s="1050">
        <v>423</v>
      </c>
      <c r="Q93" s="1050">
        <v>1075</v>
      </c>
      <c r="R93" s="1050">
        <v>9514</v>
      </c>
      <c r="S93" s="1050">
        <v>4174</v>
      </c>
      <c r="T93" s="1050">
        <v>13688</v>
      </c>
      <c r="U93" s="1050">
        <v>77</v>
      </c>
      <c r="V93" s="1050">
        <v>69</v>
      </c>
      <c r="W93" s="1050">
        <v>146</v>
      </c>
    </row>
    <row r="94" spans="1:23" x14ac:dyDescent="0.35">
      <c r="A94" s="972"/>
      <c r="B94" s="528" t="s">
        <v>908</v>
      </c>
      <c r="C94" s="1050">
        <v>764</v>
      </c>
      <c r="D94" s="1050">
        <v>153</v>
      </c>
      <c r="E94" s="1050">
        <v>917</v>
      </c>
      <c r="F94" s="1050">
        <v>856</v>
      </c>
      <c r="G94" s="1050">
        <v>310</v>
      </c>
      <c r="H94" s="1050">
        <v>1166</v>
      </c>
      <c r="I94" s="1050">
        <v>6186</v>
      </c>
      <c r="J94" s="1050">
        <v>2656</v>
      </c>
      <c r="K94" s="1050">
        <v>8842</v>
      </c>
      <c r="L94" s="1050">
        <v>217</v>
      </c>
      <c r="M94" s="1050">
        <v>230</v>
      </c>
      <c r="N94" s="1050">
        <v>447</v>
      </c>
      <c r="O94" s="1050">
        <v>538</v>
      </c>
      <c r="P94" s="1050">
        <v>358</v>
      </c>
      <c r="Q94" s="1050">
        <v>896</v>
      </c>
      <c r="R94" s="1050">
        <v>8627</v>
      </c>
      <c r="S94" s="1050">
        <v>3739</v>
      </c>
      <c r="T94" s="1050">
        <v>12366</v>
      </c>
      <c r="U94" s="1050">
        <v>66</v>
      </c>
      <c r="V94" s="1050">
        <v>32</v>
      </c>
      <c r="W94" s="1050">
        <v>98</v>
      </c>
    </row>
    <row r="95" spans="1:23" x14ac:dyDescent="0.35">
      <c r="A95" s="972">
        <v>15</v>
      </c>
      <c r="B95" s="527" t="s">
        <v>26</v>
      </c>
      <c r="C95" s="1040"/>
      <c r="D95" s="1040"/>
      <c r="E95" s="1040"/>
      <c r="F95" s="1040"/>
      <c r="G95" s="1040"/>
      <c r="H95" s="1040"/>
      <c r="I95" s="1040"/>
      <c r="J95" s="1040"/>
      <c r="K95" s="1040"/>
      <c r="L95" s="1040"/>
      <c r="M95" s="1040"/>
      <c r="N95" s="1040"/>
      <c r="O95" s="1040"/>
      <c r="P95" s="1040"/>
      <c r="Q95" s="1040"/>
      <c r="R95" s="1040"/>
      <c r="S95" s="1040"/>
      <c r="T95" s="1040"/>
      <c r="U95" s="1040"/>
      <c r="V95" s="1040"/>
      <c r="W95" s="1040"/>
    </row>
    <row r="96" spans="1:23" x14ac:dyDescent="0.35">
      <c r="A96" s="972"/>
      <c r="B96" s="527" t="s">
        <v>912</v>
      </c>
      <c r="C96" s="1040">
        <v>12356</v>
      </c>
      <c r="D96" s="1040">
        <v>5596</v>
      </c>
      <c r="E96" s="1040">
        <v>17952</v>
      </c>
      <c r="F96" s="1040">
        <v>9526</v>
      </c>
      <c r="G96" s="1040">
        <v>6602</v>
      </c>
      <c r="H96" s="1040">
        <v>16128</v>
      </c>
      <c r="I96" s="1040">
        <v>43836</v>
      </c>
      <c r="J96" s="1040">
        <v>44775</v>
      </c>
      <c r="K96" s="1040">
        <v>88611</v>
      </c>
      <c r="L96" s="1040">
        <v>5494</v>
      </c>
      <c r="M96" s="1040">
        <v>10544</v>
      </c>
      <c r="N96" s="1040">
        <v>16038</v>
      </c>
      <c r="O96" s="1040">
        <v>6028</v>
      </c>
      <c r="P96" s="1040">
        <v>5503</v>
      </c>
      <c r="Q96" s="1040">
        <v>11531</v>
      </c>
      <c r="R96" s="1040">
        <v>77894</v>
      </c>
      <c r="S96" s="1040">
        <v>73610</v>
      </c>
      <c r="T96" s="1040">
        <v>151504</v>
      </c>
      <c r="U96" s="1040">
        <v>654</v>
      </c>
      <c r="V96" s="1040">
        <v>590</v>
      </c>
      <c r="W96" s="1040">
        <v>1244</v>
      </c>
    </row>
    <row r="97" spans="1:23" x14ac:dyDescent="0.35">
      <c r="A97" s="972"/>
      <c r="B97" s="528" t="s">
        <v>911</v>
      </c>
      <c r="C97" s="1040">
        <v>12372</v>
      </c>
      <c r="D97" s="1040">
        <v>5264</v>
      </c>
      <c r="E97" s="1040">
        <v>17636</v>
      </c>
      <c r="F97" s="1040">
        <v>9702</v>
      </c>
      <c r="G97" s="1040">
        <v>6456</v>
      </c>
      <c r="H97" s="1040">
        <v>16158</v>
      </c>
      <c r="I97" s="1040">
        <v>45288</v>
      </c>
      <c r="J97" s="1040">
        <v>43741</v>
      </c>
      <c r="K97" s="1040">
        <v>89029</v>
      </c>
      <c r="L97" s="1040">
        <v>5301</v>
      </c>
      <c r="M97" s="1040">
        <v>9911</v>
      </c>
      <c r="N97" s="1040">
        <v>15212</v>
      </c>
      <c r="O97" s="1040">
        <v>5773</v>
      </c>
      <c r="P97" s="1040">
        <v>5576</v>
      </c>
      <c r="Q97" s="1040">
        <v>11349</v>
      </c>
      <c r="R97" s="1040">
        <v>78436</v>
      </c>
      <c r="S97" s="1040">
        <v>70948</v>
      </c>
      <c r="T97" s="1040">
        <v>149384</v>
      </c>
      <c r="U97" s="1040">
        <v>791</v>
      </c>
      <c r="V97" s="1040">
        <v>710</v>
      </c>
      <c r="W97" s="1040">
        <v>1501</v>
      </c>
    </row>
    <row r="98" spans="1:23" x14ac:dyDescent="0.35">
      <c r="A98" s="972"/>
      <c r="B98" s="528" t="s">
        <v>910</v>
      </c>
      <c r="C98" s="1050">
        <v>12912</v>
      </c>
      <c r="D98" s="1050">
        <v>5238</v>
      </c>
      <c r="E98" s="1050">
        <v>18150</v>
      </c>
      <c r="F98" s="1050">
        <v>10306</v>
      </c>
      <c r="G98" s="1050">
        <v>6707</v>
      </c>
      <c r="H98" s="1050">
        <v>17013</v>
      </c>
      <c r="I98" s="1050">
        <v>46297</v>
      </c>
      <c r="J98" s="1050">
        <v>42719</v>
      </c>
      <c r="K98" s="1050">
        <v>89016</v>
      </c>
      <c r="L98" s="1050">
        <v>4734</v>
      </c>
      <c r="M98" s="1050">
        <v>9302</v>
      </c>
      <c r="N98" s="1050">
        <v>14036</v>
      </c>
      <c r="O98" s="1050">
        <v>5873</v>
      </c>
      <c r="P98" s="1050">
        <v>5821</v>
      </c>
      <c r="Q98" s="1050">
        <v>11694</v>
      </c>
      <c r="R98" s="1050">
        <v>81100</v>
      </c>
      <c r="S98" s="1050">
        <v>70693</v>
      </c>
      <c r="T98" s="1050">
        <v>151793</v>
      </c>
      <c r="U98" s="1050">
        <v>978</v>
      </c>
      <c r="V98" s="1050">
        <v>906</v>
      </c>
      <c r="W98" s="1050">
        <v>1884</v>
      </c>
    </row>
    <row r="99" spans="1:23" x14ac:dyDescent="0.35">
      <c r="A99" s="972"/>
      <c r="B99" s="528" t="s">
        <v>909</v>
      </c>
      <c r="C99" s="1050">
        <v>12578</v>
      </c>
      <c r="D99" s="1050">
        <v>4748</v>
      </c>
      <c r="E99" s="1050">
        <v>17326</v>
      </c>
      <c r="F99" s="1050">
        <v>10584</v>
      </c>
      <c r="G99" s="1050">
        <v>6523</v>
      </c>
      <c r="H99" s="1050">
        <v>17107</v>
      </c>
      <c r="I99" s="1050">
        <v>45593</v>
      </c>
      <c r="J99" s="1050">
        <v>40559</v>
      </c>
      <c r="K99" s="1050">
        <v>86152</v>
      </c>
      <c r="L99" s="1050">
        <v>4456</v>
      </c>
      <c r="M99" s="1050">
        <v>8445</v>
      </c>
      <c r="N99" s="1050">
        <v>12901</v>
      </c>
      <c r="O99" s="1050">
        <v>6443</v>
      </c>
      <c r="P99" s="1050">
        <v>6388</v>
      </c>
      <c r="Q99" s="1050">
        <v>12831</v>
      </c>
      <c r="R99" s="1050">
        <v>80677</v>
      </c>
      <c r="S99" s="1050">
        <v>67691</v>
      </c>
      <c r="T99" s="1050">
        <v>148368</v>
      </c>
      <c r="U99" s="1050">
        <v>1023</v>
      </c>
      <c r="V99" s="1050">
        <v>1028</v>
      </c>
      <c r="W99" s="1050">
        <v>2051</v>
      </c>
    </row>
    <row r="100" spans="1:23" x14ac:dyDescent="0.35">
      <c r="A100" s="972"/>
      <c r="B100" s="528" t="s">
        <v>908</v>
      </c>
      <c r="C100" s="1050">
        <v>11150</v>
      </c>
      <c r="D100" s="1050">
        <v>4115</v>
      </c>
      <c r="E100" s="1050">
        <v>15265</v>
      </c>
      <c r="F100" s="1050">
        <v>9668</v>
      </c>
      <c r="G100" s="1050">
        <v>5721</v>
      </c>
      <c r="H100" s="1050">
        <v>15389</v>
      </c>
      <c r="I100" s="1050">
        <v>42345</v>
      </c>
      <c r="J100" s="1050">
        <v>36487</v>
      </c>
      <c r="K100" s="1050">
        <v>78832</v>
      </c>
      <c r="L100" s="1050">
        <v>4026</v>
      </c>
      <c r="M100" s="1050">
        <v>7314</v>
      </c>
      <c r="N100" s="1050">
        <v>11340</v>
      </c>
      <c r="O100" s="1050">
        <v>5496</v>
      </c>
      <c r="P100" s="1050">
        <v>5328</v>
      </c>
      <c r="Q100" s="1050">
        <v>10824</v>
      </c>
      <c r="R100" s="1050">
        <v>73476</v>
      </c>
      <c r="S100" s="1050">
        <v>59861</v>
      </c>
      <c r="T100" s="1050">
        <v>133337</v>
      </c>
      <c r="U100" s="1050">
        <v>791</v>
      </c>
      <c r="V100" s="1050">
        <v>896</v>
      </c>
      <c r="W100" s="1050">
        <v>1687</v>
      </c>
    </row>
    <row r="101" spans="1:23" x14ac:dyDescent="0.35">
      <c r="A101" s="972">
        <v>16</v>
      </c>
      <c r="B101" s="527" t="s">
        <v>27</v>
      </c>
      <c r="C101" s="1040"/>
      <c r="D101" s="1040"/>
      <c r="E101" s="1040"/>
      <c r="F101" s="1040"/>
      <c r="G101" s="1040"/>
      <c r="H101" s="1040"/>
      <c r="I101" s="1040"/>
      <c r="J101" s="1040"/>
      <c r="K101" s="1040"/>
      <c r="L101" s="1040"/>
      <c r="M101" s="1040"/>
      <c r="N101" s="1040"/>
      <c r="O101" s="1040"/>
      <c r="P101" s="1040"/>
      <c r="Q101" s="1040"/>
      <c r="R101" s="1040"/>
      <c r="S101" s="1040"/>
      <c r="T101" s="1040"/>
      <c r="U101" s="1040"/>
      <c r="V101" s="1040"/>
      <c r="W101" s="1040"/>
    </row>
    <row r="102" spans="1:23" x14ac:dyDescent="0.35">
      <c r="A102" s="972"/>
      <c r="B102" s="527" t="s">
        <v>912</v>
      </c>
      <c r="C102" s="1040">
        <v>3313</v>
      </c>
      <c r="D102" s="1040">
        <v>2290</v>
      </c>
      <c r="E102" s="1040">
        <v>5603</v>
      </c>
      <c r="F102" s="1040">
        <v>2920</v>
      </c>
      <c r="G102" s="1040">
        <v>3035</v>
      </c>
      <c r="H102" s="1040">
        <v>5955</v>
      </c>
      <c r="I102" s="1040">
        <v>15636</v>
      </c>
      <c r="J102" s="1040">
        <v>30975</v>
      </c>
      <c r="K102" s="1040">
        <v>46611</v>
      </c>
      <c r="L102" s="1040">
        <v>994</v>
      </c>
      <c r="M102" s="1040">
        <v>2453</v>
      </c>
      <c r="N102" s="1040">
        <v>3447</v>
      </c>
      <c r="O102" s="1040">
        <v>1136</v>
      </c>
      <c r="P102" s="1040">
        <v>3421</v>
      </c>
      <c r="Q102" s="1040">
        <v>4557</v>
      </c>
      <c r="R102" s="1040">
        <v>24055</v>
      </c>
      <c r="S102" s="1040">
        <v>42208</v>
      </c>
      <c r="T102" s="1040">
        <v>66263</v>
      </c>
      <c r="U102" s="1040">
        <v>56</v>
      </c>
      <c r="V102" s="1040">
        <v>34</v>
      </c>
      <c r="W102" s="1040">
        <v>90</v>
      </c>
    </row>
    <row r="103" spans="1:23" x14ac:dyDescent="0.35">
      <c r="A103" s="972"/>
      <c r="B103" s="528" t="s">
        <v>911</v>
      </c>
      <c r="C103" s="1040">
        <v>3151</v>
      </c>
      <c r="D103" s="1040">
        <v>2058</v>
      </c>
      <c r="E103" s="1040">
        <v>5209</v>
      </c>
      <c r="F103" s="1040">
        <v>2841</v>
      </c>
      <c r="G103" s="1040">
        <v>2820</v>
      </c>
      <c r="H103" s="1040">
        <v>5661</v>
      </c>
      <c r="I103" s="1040">
        <v>15536</v>
      </c>
      <c r="J103" s="1040">
        <v>29264</v>
      </c>
      <c r="K103" s="1040">
        <v>44800</v>
      </c>
      <c r="L103" s="1040">
        <v>903</v>
      </c>
      <c r="M103" s="1040">
        <v>2231</v>
      </c>
      <c r="N103" s="1040">
        <v>3134</v>
      </c>
      <c r="O103" s="1040">
        <v>1041</v>
      </c>
      <c r="P103" s="1040">
        <v>2915</v>
      </c>
      <c r="Q103" s="1040">
        <v>3956</v>
      </c>
      <c r="R103" s="1040">
        <v>23472</v>
      </c>
      <c r="S103" s="1040">
        <v>39288</v>
      </c>
      <c r="T103" s="1040">
        <v>62760</v>
      </c>
      <c r="U103" s="1040">
        <v>44</v>
      </c>
      <c r="V103" s="1040">
        <v>51</v>
      </c>
      <c r="W103" s="1040">
        <v>95</v>
      </c>
    </row>
    <row r="104" spans="1:23" x14ac:dyDescent="0.35">
      <c r="A104" s="972"/>
      <c r="B104" s="528" t="s">
        <v>910</v>
      </c>
      <c r="C104" s="1050">
        <v>3112</v>
      </c>
      <c r="D104" s="1050">
        <v>1991</v>
      </c>
      <c r="E104" s="1050">
        <v>5103</v>
      </c>
      <c r="F104" s="1050">
        <v>2827</v>
      </c>
      <c r="G104" s="1050">
        <v>2768</v>
      </c>
      <c r="H104" s="1050">
        <v>5595</v>
      </c>
      <c r="I104" s="1050">
        <v>15113</v>
      </c>
      <c r="J104" s="1050">
        <v>27849</v>
      </c>
      <c r="K104" s="1050">
        <v>42962</v>
      </c>
      <c r="L104" s="1050">
        <v>932</v>
      </c>
      <c r="M104" s="1050">
        <v>2253</v>
      </c>
      <c r="N104" s="1050">
        <v>3185</v>
      </c>
      <c r="O104" s="1050">
        <v>1118</v>
      </c>
      <c r="P104" s="1050">
        <v>3022</v>
      </c>
      <c r="Q104" s="1050">
        <v>4140</v>
      </c>
      <c r="R104" s="1050">
        <v>23150</v>
      </c>
      <c r="S104" s="1050">
        <v>37930</v>
      </c>
      <c r="T104" s="1050">
        <v>61080</v>
      </c>
      <c r="U104" s="1050">
        <v>48</v>
      </c>
      <c r="V104" s="1050">
        <v>47</v>
      </c>
      <c r="W104" s="1050">
        <v>95</v>
      </c>
    </row>
    <row r="105" spans="1:23" x14ac:dyDescent="0.35">
      <c r="A105" s="972"/>
      <c r="B105" s="528" t="s">
        <v>909</v>
      </c>
      <c r="C105" s="1050">
        <v>3193</v>
      </c>
      <c r="D105" s="1050">
        <v>1976</v>
      </c>
      <c r="E105" s="1050">
        <v>5169</v>
      </c>
      <c r="F105" s="1050">
        <v>2939</v>
      </c>
      <c r="G105" s="1050">
        <v>2788</v>
      </c>
      <c r="H105" s="1050">
        <v>5727</v>
      </c>
      <c r="I105" s="1050">
        <v>15166</v>
      </c>
      <c r="J105" s="1050">
        <v>26837</v>
      </c>
      <c r="K105" s="1050">
        <v>42003</v>
      </c>
      <c r="L105" s="1050">
        <v>997</v>
      </c>
      <c r="M105" s="1050">
        <v>2310</v>
      </c>
      <c r="N105" s="1050">
        <v>3307</v>
      </c>
      <c r="O105" s="1050">
        <v>1361</v>
      </c>
      <c r="P105" s="1050">
        <v>3882</v>
      </c>
      <c r="Q105" s="1050">
        <v>5243</v>
      </c>
      <c r="R105" s="1050">
        <v>23712</v>
      </c>
      <c r="S105" s="1050">
        <v>37846</v>
      </c>
      <c r="T105" s="1050">
        <v>61558</v>
      </c>
      <c r="U105" s="1050">
        <v>56</v>
      </c>
      <c r="V105" s="1050">
        <v>53</v>
      </c>
      <c r="W105" s="1050">
        <v>109</v>
      </c>
    </row>
    <row r="106" spans="1:23" x14ac:dyDescent="0.35">
      <c r="A106" s="972"/>
      <c r="B106" s="528" t="s">
        <v>908</v>
      </c>
      <c r="C106" s="1050">
        <v>3119</v>
      </c>
      <c r="D106" s="1050">
        <v>1982</v>
      </c>
      <c r="E106" s="1050">
        <v>5101</v>
      </c>
      <c r="F106" s="1050">
        <v>2903</v>
      </c>
      <c r="G106" s="1050">
        <v>2752</v>
      </c>
      <c r="H106" s="1050">
        <v>5655</v>
      </c>
      <c r="I106" s="1050">
        <v>14630</v>
      </c>
      <c r="J106" s="1050">
        <v>25499</v>
      </c>
      <c r="K106" s="1050">
        <v>40129</v>
      </c>
      <c r="L106" s="1050">
        <v>979</v>
      </c>
      <c r="M106" s="1050">
        <v>2359</v>
      </c>
      <c r="N106" s="1050">
        <v>3338</v>
      </c>
      <c r="O106" s="1050">
        <v>1253</v>
      </c>
      <c r="P106" s="1050">
        <v>3622</v>
      </c>
      <c r="Q106" s="1050">
        <v>4875</v>
      </c>
      <c r="R106" s="1050">
        <v>22945</v>
      </c>
      <c r="S106" s="1050">
        <v>36291</v>
      </c>
      <c r="T106" s="1050">
        <v>59236</v>
      </c>
      <c r="U106" s="1050">
        <v>61</v>
      </c>
      <c r="V106" s="1050">
        <v>77</v>
      </c>
      <c r="W106" s="1050">
        <v>138</v>
      </c>
    </row>
    <row r="107" spans="1:23" x14ac:dyDescent="0.35">
      <c r="A107" s="972">
        <v>17</v>
      </c>
      <c r="B107" s="527" t="s">
        <v>28</v>
      </c>
      <c r="C107" s="1040"/>
      <c r="D107" s="1040"/>
      <c r="E107" s="1040"/>
      <c r="F107" s="1040"/>
      <c r="G107" s="1040"/>
      <c r="H107" s="1040"/>
      <c r="I107" s="1040"/>
      <c r="J107" s="1040"/>
      <c r="K107" s="1040"/>
      <c r="L107" s="1040"/>
      <c r="M107" s="1040"/>
      <c r="N107" s="1040"/>
      <c r="O107" s="1040"/>
      <c r="P107" s="1040"/>
      <c r="Q107" s="1040"/>
      <c r="R107" s="1040"/>
      <c r="S107" s="1040"/>
      <c r="T107" s="1040"/>
      <c r="U107" s="1040"/>
      <c r="V107" s="1040"/>
      <c r="W107" s="1040"/>
    </row>
    <row r="108" spans="1:23" x14ac:dyDescent="0.35">
      <c r="A108" s="972"/>
      <c r="B108" s="527" t="s">
        <v>912</v>
      </c>
      <c r="C108" s="1040">
        <v>9</v>
      </c>
      <c r="D108" s="1040">
        <v>6</v>
      </c>
      <c r="E108" s="1040">
        <v>15</v>
      </c>
      <c r="F108" s="1040">
        <v>3</v>
      </c>
      <c r="G108" s="1040"/>
      <c r="H108" s="1040">
        <v>3</v>
      </c>
      <c r="I108" s="1040">
        <v>134</v>
      </c>
      <c r="J108" s="1040">
        <v>77</v>
      </c>
      <c r="K108" s="1040">
        <v>211</v>
      </c>
      <c r="L108" s="1040">
        <v>8</v>
      </c>
      <c r="M108" s="1040">
        <v>3</v>
      </c>
      <c r="N108" s="1040">
        <v>11</v>
      </c>
      <c r="O108" s="1040">
        <v>48</v>
      </c>
      <c r="P108" s="1040">
        <v>25</v>
      </c>
      <c r="Q108" s="1040">
        <v>73</v>
      </c>
      <c r="R108" s="1040">
        <v>202</v>
      </c>
      <c r="S108" s="1040">
        <v>111</v>
      </c>
      <c r="T108" s="1040">
        <v>313</v>
      </c>
      <c r="U108" s="1040"/>
      <c r="V108" s="1040"/>
      <c r="W108" s="1040"/>
    </row>
    <row r="109" spans="1:23" x14ac:dyDescent="0.35">
      <c r="A109" s="972"/>
      <c r="B109" s="528" t="s">
        <v>911</v>
      </c>
      <c r="C109" s="1040">
        <v>9</v>
      </c>
      <c r="D109" s="1040">
        <v>4</v>
      </c>
      <c r="E109" s="1040">
        <v>13</v>
      </c>
      <c r="F109" s="1040">
        <v>3</v>
      </c>
      <c r="G109" s="1040"/>
      <c r="H109" s="1040">
        <v>3</v>
      </c>
      <c r="I109" s="1040">
        <v>119</v>
      </c>
      <c r="J109" s="1040">
        <v>77</v>
      </c>
      <c r="K109" s="1040">
        <v>196</v>
      </c>
      <c r="L109" s="1040">
        <v>9</v>
      </c>
      <c r="M109" s="1040">
        <v>3</v>
      </c>
      <c r="N109" s="1040">
        <v>12</v>
      </c>
      <c r="O109" s="1040">
        <v>19</v>
      </c>
      <c r="P109" s="1040">
        <v>31</v>
      </c>
      <c r="Q109" s="1040">
        <v>50</v>
      </c>
      <c r="R109" s="1040">
        <v>159</v>
      </c>
      <c r="S109" s="1040">
        <v>115</v>
      </c>
      <c r="T109" s="1040">
        <v>274</v>
      </c>
      <c r="U109" s="1040"/>
      <c r="V109" s="1040"/>
      <c r="W109" s="1040"/>
    </row>
    <row r="110" spans="1:23" x14ac:dyDescent="0.35">
      <c r="A110" s="972"/>
      <c r="B110" s="528" t="s">
        <v>910</v>
      </c>
      <c r="C110" s="1050">
        <v>3</v>
      </c>
      <c r="D110" s="1050">
        <v>2</v>
      </c>
      <c r="E110" s="1050">
        <v>5</v>
      </c>
      <c r="F110" s="1050">
        <v>4</v>
      </c>
      <c r="G110" s="1050">
        <v>0</v>
      </c>
      <c r="H110" s="1050">
        <v>4</v>
      </c>
      <c r="I110" s="1050">
        <v>73</v>
      </c>
      <c r="J110" s="1050">
        <v>41</v>
      </c>
      <c r="K110" s="1050">
        <v>114</v>
      </c>
      <c r="L110" s="1050">
        <v>5</v>
      </c>
      <c r="M110" s="1050">
        <v>0</v>
      </c>
      <c r="N110" s="1050">
        <v>5</v>
      </c>
      <c r="O110" s="1050">
        <v>19</v>
      </c>
      <c r="P110" s="1050">
        <v>18</v>
      </c>
      <c r="Q110" s="1050">
        <v>37</v>
      </c>
      <c r="R110" s="1050">
        <v>104</v>
      </c>
      <c r="S110" s="1050">
        <v>61</v>
      </c>
      <c r="T110" s="1050">
        <v>165</v>
      </c>
      <c r="U110" s="1050">
        <v>0</v>
      </c>
      <c r="V110" s="1050">
        <v>0</v>
      </c>
      <c r="W110" s="1050">
        <v>0</v>
      </c>
    </row>
    <row r="111" spans="1:23" x14ac:dyDescent="0.35">
      <c r="A111" s="972"/>
      <c r="B111" s="528" t="s">
        <v>909</v>
      </c>
      <c r="C111" s="1050">
        <v>6</v>
      </c>
      <c r="D111" s="1050">
        <v>3</v>
      </c>
      <c r="E111" s="1050">
        <v>9</v>
      </c>
      <c r="F111" s="1050">
        <v>5</v>
      </c>
      <c r="G111" s="1050">
        <v>1</v>
      </c>
      <c r="H111" s="1050">
        <v>6</v>
      </c>
      <c r="I111" s="1050">
        <v>86</v>
      </c>
      <c r="J111" s="1050">
        <v>47</v>
      </c>
      <c r="K111" s="1050">
        <v>133</v>
      </c>
      <c r="L111" s="1050">
        <v>5</v>
      </c>
      <c r="M111" s="1050">
        <v>0</v>
      </c>
      <c r="N111" s="1050">
        <v>5</v>
      </c>
      <c r="O111" s="1050">
        <v>33</v>
      </c>
      <c r="P111" s="1050">
        <v>13</v>
      </c>
      <c r="Q111" s="1050">
        <v>46</v>
      </c>
      <c r="R111" s="1050">
        <v>135</v>
      </c>
      <c r="S111" s="1050">
        <v>64</v>
      </c>
      <c r="T111" s="1050">
        <v>199</v>
      </c>
      <c r="U111" s="1050">
        <v>0</v>
      </c>
      <c r="V111" s="1050">
        <v>0</v>
      </c>
      <c r="W111" s="1050">
        <v>0</v>
      </c>
    </row>
    <row r="112" spans="1:23" x14ac:dyDescent="0.35">
      <c r="A112" s="972">
        <v>18</v>
      </c>
      <c r="B112" s="527" t="s">
        <v>72</v>
      </c>
      <c r="C112" s="1040"/>
      <c r="D112" s="1040"/>
      <c r="E112" s="1040"/>
      <c r="F112" s="1040"/>
      <c r="G112" s="1040"/>
      <c r="H112" s="1040"/>
      <c r="I112" s="1040"/>
      <c r="J112" s="1040"/>
      <c r="K112" s="1040"/>
      <c r="L112" s="1040"/>
      <c r="M112" s="1040"/>
      <c r="N112" s="1040"/>
      <c r="O112" s="1040"/>
      <c r="P112" s="1040"/>
      <c r="Q112" s="1040"/>
      <c r="R112" s="1040"/>
      <c r="S112" s="1040"/>
      <c r="T112" s="1040"/>
      <c r="U112" s="1040"/>
      <c r="V112" s="1040"/>
      <c r="W112" s="1040"/>
    </row>
    <row r="113" spans="1:23" x14ac:dyDescent="0.35">
      <c r="A113" s="972"/>
      <c r="B113" s="527" t="s">
        <v>912</v>
      </c>
      <c r="C113" s="1040">
        <v>2</v>
      </c>
      <c r="D113" s="1040">
        <v>2</v>
      </c>
      <c r="E113" s="1040">
        <v>4</v>
      </c>
      <c r="F113" s="1040"/>
      <c r="G113" s="1040"/>
      <c r="H113" s="1040"/>
      <c r="I113" s="1040">
        <v>32</v>
      </c>
      <c r="J113" s="1040">
        <v>22</v>
      </c>
      <c r="K113" s="1040">
        <v>54</v>
      </c>
      <c r="L113" s="1040"/>
      <c r="M113" s="1040"/>
      <c r="N113" s="1040"/>
      <c r="O113" s="1040"/>
      <c r="P113" s="1040">
        <v>1</v>
      </c>
      <c r="Q113" s="1040">
        <v>1</v>
      </c>
      <c r="R113" s="1040">
        <v>34</v>
      </c>
      <c r="S113" s="1040">
        <v>25</v>
      </c>
      <c r="T113" s="1040">
        <v>59</v>
      </c>
      <c r="U113" s="1040"/>
      <c r="V113" s="1040"/>
      <c r="W113" s="1040"/>
    </row>
    <row r="114" spans="1:23" x14ac:dyDescent="0.35">
      <c r="A114" s="972"/>
      <c r="B114" s="528" t="s">
        <v>911</v>
      </c>
      <c r="C114" s="1040"/>
      <c r="D114" s="1040">
        <v>1</v>
      </c>
      <c r="E114" s="1040">
        <v>1</v>
      </c>
      <c r="F114" s="1040"/>
      <c r="G114" s="1040"/>
      <c r="H114" s="1040"/>
      <c r="I114" s="1040">
        <v>5</v>
      </c>
      <c r="J114" s="1040">
        <v>4</v>
      </c>
      <c r="K114" s="1040">
        <v>9</v>
      </c>
      <c r="L114" s="1040"/>
      <c r="M114" s="1040"/>
      <c r="N114" s="1040"/>
      <c r="O114" s="1040"/>
      <c r="P114" s="1040"/>
      <c r="Q114" s="1040"/>
      <c r="R114" s="1040">
        <v>5</v>
      </c>
      <c r="S114" s="1040">
        <v>5</v>
      </c>
      <c r="T114" s="1040">
        <v>10</v>
      </c>
      <c r="U114" s="1040"/>
      <c r="V114" s="1040"/>
      <c r="W114" s="1040"/>
    </row>
    <row r="115" spans="1:23" x14ac:dyDescent="0.35">
      <c r="A115" s="972"/>
      <c r="B115" s="528" t="s">
        <v>910</v>
      </c>
      <c r="C115" s="1050">
        <v>1</v>
      </c>
      <c r="D115" s="1050">
        <v>1</v>
      </c>
      <c r="E115" s="1050">
        <v>2</v>
      </c>
      <c r="F115" s="1050">
        <v>0</v>
      </c>
      <c r="G115" s="1050">
        <v>0</v>
      </c>
      <c r="H115" s="1050">
        <v>0</v>
      </c>
      <c r="I115" s="1050">
        <v>11</v>
      </c>
      <c r="J115" s="1050">
        <v>12</v>
      </c>
      <c r="K115" s="1050">
        <v>23</v>
      </c>
      <c r="L115" s="1050">
        <v>0</v>
      </c>
      <c r="M115" s="1050">
        <v>0</v>
      </c>
      <c r="N115" s="1050">
        <v>0</v>
      </c>
      <c r="O115" s="1050">
        <v>0</v>
      </c>
      <c r="P115" s="1050">
        <v>0</v>
      </c>
      <c r="Q115" s="1050">
        <v>0</v>
      </c>
      <c r="R115" s="1050">
        <v>12</v>
      </c>
      <c r="S115" s="1050">
        <v>13</v>
      </c>
      <c r="T115" s="1050">
        <v>25</v>
      </c>
      <c r="U115" s="1050">
        <v>0</v>
      </c>
      <c r="V115" s="1050">
        <v>0</v>
      </c>
      <c r="W115" s="1050">
        <v>0</v>
      </c>
    </row>
    <row r="116" spans="1:23" x14ac:dyDescent="0.35">
      <c r="A116" s="972"/>
      <c r="B116" s="528" t="s">
        <v>909</v>
      </c>
      <c r="C116" s="1050">
        <v>2</v>
      </c>
      <c r="D116" s="1050">
        <v>1</v>
      </c>
      <c r="E116" s="1050">
        <v>3</v>
      </c>
      <c r="F116" s="1050">
        <v>0</v>
      </c>
      <c r="G116" s="1050">
        <v>0</v>
      </c>
      <c r="H116" s="1050">
        <v>0</v>
      </c>
      <c r="I116" s="1050">
        <v>23</v>
      </c>
      <c r="J116" s="1050">
        <v>19</v>
      </c>
      <c r="K116" s="1050">
        <v>42</v>
      </c>
      <c r="L116" s="1050">
        <v>0</v>
      </c>
      <c r="M116" s="1050">
        <v>0</v>
      </c>
      <c r="N116" s="1050">
        <v>0</v>
      </c>
      <c r="O116" s="1050">
        <v>0</v>
      </c>
      <c r="P116" s="1050">
        <v>0</v>
      </c>
      <c r="Q116" s="1050">
        <v>0</v>
      </c>
      <c r="R116" s="1050">
        <v>25</v>
      </c>
      <c r="S116" s="1050">
        <v>20</v>
      </c>
      <c r="T116" s="1050">
        <v>45</v>
      </c>
      <c r="U116" s="1050">
        <v>0</v>
      </c>
      <c r="V116" s="1050">
        <v>0</v>
      </c>
      <c r="W116" s="1050">
        <v>0</v>
      </c>
    </row>
    <row r="117" spans="1:23" x14ac:dyDescent="0.35">
      <c r="A117" s="972"/>
      <c r="B117" s="528" t="s">
        <v>908</v>
      </c>
      <c r="C117" s="1050">
        <v>2</v>
      </c>
      <c r="D117" s="1050">
        <v>1</v>
      </c>
      <c r="E117" s="1050">
        <v>3</v>
      </c>
      <c r="F117" s="1050">
        <v>0</v>
      </c>
      <c r="G117" s="1050">
        <v>0</v>
      </c>
      <c r="H117" s="1050">
        <v>0</v>
      </c>
      <c r="I117" s="1050">
        <v>23</v>
      </c>
      <c r="J117" s="1050">
        <v>19</v>
      </c>
      <c r="K117" s="1050">
        <v>42</v>
      </c>
      <c r="L117" s="1050">
        <v>0</v>
      </c>
      <c r="M117" s="1050">
        <v>0</v>
      </c>
      <c r="N117" s="1050">
        <v>0</v>
      </c>
      <c r="O117" s="1050">
        <v>0</v>
      </c>
      <c r="P117" s="1050">
        <v>0</v>
      </c>
      <c r="Q117" s="1050">
        <v>0</v>
      </c>
      <c r="R117" s="1050">
        <v>25</v>
      </c>
      <c r="S117" s="1050">
        <v>20</v>
      </c>
      <c r="T117" s="1050">
        <v>45</v>
      </c>
      <c r="U117" s="1050">
        <v>0</v>
      </c>
      <c r="V117" s="1050">
        <v>0</v>
      </c>
      <c r="W117" s="1050">
        <v>0</v>
      </c>
    </row>
    <row r="118" spans="1:23" x14ac:dyDescent="0.35">
      <c r="A118" s="972">
        <v>19</v>
      </c>
      <c r="B118" s="527" t="s">
        <v>29</v>
      </c>
      <c r="C118" s="1040"/>
      <c r="D118" s="1040"/>
      <c r="E118" s="1040"/>
      <c r="F118" s="1040"/>
      <c r="G118" s="1040"/>
      <c r="H118" s="1040"/>
      <c r="I118" s="1040"/>
      <c r="J118" s="1040"/>
      <c r="K118" s="1040"/>
      <c r="L118" s="1040"/>
      <c r="M118" s="1040"/>
      <c r="N118" s="1040"/>
      <c r="O118" s="1040"/>
      <c r="P118" s="1040"/>
      <c r="Q118" s="1040"/>
      <c r="R118" s="1040"/>
      <c r="S118" s="1040"/>
      <c r="T118" s="1040"/>
      <c r="U118" s="1040"/>
      <c r="V118" s="1040"/>
      <c r="W118" s="1040"/>
    </row>
    <row r="119" spans="1:23" x14ac:dyDescent="0.35">
      <c r="A119" s="972"/>
      <c r="B119" s="527" t="s">
        <v>912</v>
      </c>
      <c r="C119" s="1040">
        <v>5974</v>
      </c>
      <c r="D119" s="1040">
        <v>3237</v>
      </c>
      <c r="E119" s="1040">
        <v>9211</v>
      </c>
      <c r="F119" s="1040">
        <v>4777</v>
      </c>
      <c r="G119" s="1040">
        <v>2970</v>
      </c>
      <c r="H119" s="1040">
        <v>7747</v>
      </c>
      <c r="I119" s="1040">
        <v>31813</v>
      </c>
      <c r="J119" s="1040">
        <v>22917</v>
      </c>
      <c r="K119" s="1040">
        <v>54730</v>
      </c>
      <c r="L119" s="1040">
        <v>2580</v>
      </c>
      <c r="M119" s="1040">
        <v>4580</v>
      </c>
      <c r="N119" s="1040">
        <v>7160</v>
      </c>
      <c r="O119" s="1040">
        <v>3355</v>
      </c>
      <c r="P119" s="1040">
        <v>2938</v>
      </c>
      <c r="Q119" s="1040">
        <v>6293</v>
      </c>
      <c r="R119" s="1040">
        <v>48798</v>
      </c>
      <c r="S119" s="1040">
        <v>36866</v>
      </c>
      <c r="T119" s="1040">
        <v>85664</v>
      </c>
      <c r="U119" s="1040">
        <v>299</v>
      </c>
      <c r="V119" s="1040">
        <v>224</v>
      </c>
      <c r="W119" s="1040">
        <v>523</v>
      </c>
    </row>
    <row r="120" spans="1:23" x14ac:dyDescent="0.35">
      <c r="A120" s="972"/>
      <c r="B120" s="528" t="s">
        <v>911</v>
      </c>
      <c r="C120" s="1040">
        <v>5781</v>
      </c>
      <c r="D120" s="1040">
        <v>3136</v>
      </c>
      <c r="E120" s="1040">
        <v>8917</v>
      </c>
      <c r="F120" s="1040">
        <v>4546</v>
      </c>
      <c r="G120" s="1040">
        <v>2792</v>
      </c>
      <c r="H120" s="1040">
        <v>7338</v>
      </c>
      <c r="I120" s="1040">
        <v>31473</v>
      </c>
      <c r="J120" s="1040">
        <v>22239</v>
      </c>
      <c r="K120" s="1040">
        <v>53712</v>
      </c>
      <c r="L120" s="1040">
        <v>2385</v>
      </c>
      <c r="M120" s="1040">
        <v>4171</v>
      </c>
      <c r="N120" s="1040">
        <v>6556</v>
      </c>
      <c r="O120" s="1040">
        <v>2831</v>
      </c>
      <c r="P120" s="1040">
        <v>2575</v>
      </c>
      <c r="Q120" s="1040">
        <v>5406</v>
      </c>
      <c r="R120" s="1040">
        <v>47016</v>
      </c>
      <c r="S120" s="1040">
        <v>34913</v>
      </c>
      <c r="T120" s="1040">
        <v>81929</v>
      </c>
      <c r="U120" s="1040">
        <v>303</v>
      </c>
      <c r="V120" s="1040">
        <v>229</v>
      </c>
      <c r="W120" s="1040">
        <v>532</v>
      </c>
    </row>
    <row r="121" spans="1:23" x14ac:dyDescent="0.35">
      <c r="A121" s="972"/>
      <c r="B121" s="528" t="s">
        <v>910</v>
      </c>
      <c r="C121" s="1050">
        <v>5566</v>
      </c>
      <c r="D121" s="1050">
        <v>3066</v>
      </c>
      <c r="E121" s="1050">
        <v>8632</v>
      </c>
      <c r="F121" s="1050">
        <v>4385</v>
      </c>
      <c r="G121" s="1050">
        <v>2647</v>
      </c>
      <c r="H121" s="1050">
        <v>7032</v>
      </c>
      <c r="I121" s="1050">
        <v>30140</v>
      </c>
      <c r="J121" s="1050">
        <v>20792</v>
      </c>
      <c r="K121" s="1050">
        <v>50932</v>
      </c>
      <c r="L121" s="1050">
        <v>1916</v>
      </c>
      <c r="M121" s="1050">
        <v>3485</v>
      </c>
      <c r="N121" s="1050">
        <v>5401</v>
      </c>
      <c r="O121" s="1050">
        <v>2425</v>
      </c>
      <c r="P121" s="1050">
        <v>2168</v>
      </c>
      <c r="Q121" s="1050">
        <v>4593</v>
      </c>
      <c r="R121" s="1050">
        <v>44736</v>
      </c>
      <c r="S121" s="1050">
        <v>32386</v>
      </c>
      <c r="T121" s="1050">
        <v>77122</v>
      </c>
      <c r="U121" s="1050">
        <v>304</v>
      </c>
      <c r="V121" s="1050">
        <v>228</v>
      </c>
      <c r="W121" s="1050">
        <v>532</v>
      </c>
    </row>
    <row r="122" spans="1:23" x14ac:dyDescent="0.35">
      <c r="A122" s="972"/>
      <c r="B122" s="528" t="s">
        <v>909</v>
      </c>
      <c r="C122" s="1050">
        <v>4775</v>
      </c>
      <c r="D122" s="1050">
        <v>2549</v>
      </c>
      <c r="E122" s="1050">
        <v>7324</v>
      </c>
      <c r="F122" s="1050">
        <v>3985</v>
      </c>
      <c r="G122" s="1050">
        <v>2311</v>
      </c>
      <c r="H122" s="1050">
        <v>6296</v>
      </c>
      <c r="I122" s="1050">
        <v>25048</v>
      </c>
      <c r="J122" s="1050">
        <v>17483</v>
      </c>
      <c r="K122" s="1050">
        <v>42531</v>
      </c>
      <c r="L122" s="1050">
        <v>1426</v>
      </c>
      <c r="M122" s="1050">
        <v>2260</v>
      </c>
      <c r="N122" s="1050">
        <v>3686</v>
      </c>
      <c r="O122" s="1050">
        <v>1947</v>
      </c>
      <c r="P122" s="1050">
        <v>1818</v>
      </c>
      <c r="Q122" s="1050">
        <v>3765</v>
      </c>
      <c r="R122" s="1050">
        <v>37474</v>
      </c>
      <c r="S122" s="1050">
        <v>26632</v>
      </c>
      <c r="T122" s="1050">
        <v>64106</v>
      </c>
      <c r="U122" s="1050">
        <v>293</v>
      </c>
      <c r="V122" s="1050">
        <v>211</v>
      </c>
      <c r="W122" s="1050">
        <v>504</v>
      </c>
    </row>
    <row r="123" spans="1:23" x14ac:dyDescent="0.35">
      <c r="A123" s="972"/>
      <c r="B123" s="528" t="s">
        <v>908</v>
      </c>
      <c r="C123" s="1050">
        <v>4472</v>
      </c>
      <c r="D123" s="1050">
        <v>2402</v>
      </c>
      <c r="E123" s="1050">
        <v>6874</v>
      </c>
      <c r="F123" s="1050">
        <v>3613</v>
      </c>
      <c r="G123" s="1050">
        <v>2083</v>
      </c>
      <c r="H123" s="1050">
        <v>5696</v>
      </c>
      <c r="I123" s="1050">
        <v>22811</v>
      </c>
      <c r="J123" s="1050">
        <v>15762</v>
      </c>
      <c r="K123" s="1050">
        <v>38573</v>
      </c>
      <c r="L123" s="1050">
        <v>1442</v>
      </c>
      <c r="M123" s="1050">
        <v>2081</v>
      </c>
      <c r="N123" s="1050">
        <v>3523</v>
      </c>
      <c r="O123" s="1050">
        <v>2166</v>
      </c>
      <c r="P123" s="1050">
        <v>1910</v>
      </c>
      <c r="Q123" s="1050">
        <v>4076</v>
      </c>
      <c r="R123" s="1050">
        <v>34772</v>
      </c>
      <c r="S123" s="1050">
        <v>24412</v>
      </c>
      <c r="T123" s="1050">
        <v>59184</v>
      </c>
      <c r="U123" s="1050">
        <v>268</v>
      </c>
      <c r="V123" s="1050">
        <v>174</v>
      </c>
      <c r="W123" s="1050">
        <v>442</v>
      </c>
    </row>
    <row r="124" spans="1:23" x14ac:dyDescent="0.35">
      <c r="A124" s="972">
        <v>20</v>
      </c>
      <c r="B124" s="527" t="s">
        <v>30</v>
      </c>
      <c r="C124" s="1040"/>
      <c r="D124" s="1040"/>
      <c r="E124" s="1040"/>
      <c r="F124" s="1040"/>
      <c r="G124" s="1040"/>
      <c r="H124" s="1040"/>
      <c r="I124" s="1040"/>
      <c r="J124" s="1040"/>
      <c r="K124" s="1040"/>
      <c r="L124" s="1040"/>
      <c r="M124" s="1040"/>
      <c r="N124" s="1040"/>
      <c r="O124" s="1040"/>
      <c r="P124" s="1040"/>
      <c r="Q124" s="1040"/>
      <c r="R124" s="1040"/>
      <c r="S124" s="1040"/>
      <c r="T124" s="1040"/>
      <c r="U124" s="1040"/>
      <c r="V124" s="1040"/>
      <c r="W124" s="1040"/>
    </row>
    <row r="125" spans="1:23" x14ac:dyDescent="0.35">
      <c r="A125" s="972"/>
      <c r="B125" s="527" t="s">
        <v>912</v>
      </c>
      <c r="C125" s="1011">
        <v>12156</v>
      </c>
      <c r="D125" s="1011">
        <v>5070</v>
      </c>
      <c r="E125" s="1011">
        <v>17226</v>
      </c>
      <c r="F125" s="1011">
        <v>12566</v>
      </c>
      <c r="G125" s="1011">
        <v>6540</v>
      </c>
      <c r="H125" s="1011">
        <v>19106</v>
      </c>
      <c r="I125" s="1011">
        <v>63451</v>
      </c>
      <c r="J125" s="1011">
        <v>53875</v>
      </c>
      <c r="K125" s="1011">
        <v>117326</v>
      </c>
      <c r="L125" s="1011">
        <v>3043</v>
      </c>
      <c r="M125" s="1011">
        <v>5634</v>
      </c>
      <c r="N125" s="1011">
        <v>8677</v>
      </c>
      <c r="O125" s="1011">
        <v>5658</v>
      </c>
      <c r="P125" s="1011">
        <v>5911</v>
      </c>
      <c r="Q125" s="1011">
        <v>11569</v>
      </c>
      <c r="R125" s="1011">
        <v>99125</v>
      </c>
      <c r="S125" s="1011">
        <v>79153</v>
      </c>
      <c r="T125" s="1011">
        <v>178278</v>
      </c>
      <c r="U125" s="1011">
        <v>2251</v>
      </c>
      <c r="V125" s="1011">
        <v>2123</v>
      </c>
      <c r="W125" s="1011">
        <v>4374</v>
      </c>
    </row>
    <row r="126" spans="1:23" x14ac:dyDescent="0.35">
      <c r="A126" s="972"/>
      <c r="B126" s="528" t="s">
        <v>911</v>
      </c>
      <c r="C126" s="1040">
        <v>11443</v>
      </c>
      <c r="D126" s="1040">
        <v>4745</v>
      </c>
      <c r="E126" s="1040">
        <v>16188</v>
      </c>
      <c r="F126" s="1040">
        <v>12023</v>
      </c>
      <c r="G126" s="1040">
        <v>6242</v>
      </c>
      <c r="H126" s="1040">
        <v>18265</v>
      </c>
      <c r="I126" s="1040">
        <v>62690</v>
      </c>
      <c r="J126" s="1040">
        <v>48957</v>
      </c>
      <c r="K126" s="1040">
        <v>111647</v>
      </c>
      <c r="L126" s="1040">
        <v>2790</v>
      </c>
      <c r="M126" s="1040">
        <v>5200</v>
      </c>
      <c r="N126" s="1040">
        <v>7990</v>
      </c>
      <c r="O126" s="1040">
        <v>4949</v>
      </c>
      <c r="P126" s="1040">
        <v>5055</v>
      </c>
      <c r="Q126" s="1040">
        <v>10004</v>
      </c>
      <c r="R126" s="1040">
        <v>93895</v>
      </c>
      <c r="S126" s="1040">
        <v>70199</v>
      </c>
      <c r="T126" s="1040">
        <v>164094</v>
      </c>
      <c r="U126" s="1040">
        <v>1884</v>
      </c>
      <c r="V126" s="1040">
        <v>1714</v>
      </c>
      <c r="W126" s="1040">
        <v>3598</v>
      </c>
    </row>
    <row r="127" spans="1:23" x14ac:dyDescent="0.35">
      <c r="A127" s="972"/>
      <c r="B127" s="528" t="s">
        <v>910</v>
      </c>
      <c r="C127" s="1050">
        <v>10921</v>
      </c>
      <c r="D127" s="1050">
        <v>4421</v>
      </c>
      <c r="E127" s="1050">
        <v>15342</v>
      </c>
      <c r="F127" s="1050">
        <v>12082</v>
      </c>
      <c r="G127" s="1050">
        <v>6131</v>
      </c>
      <c r="H127" s="1050">
        <v>18213</v>
      </c>
      <c r="I127" s="1050">
        <v>62559</v>
      </c>
      <c r="J127" s="1050">
        <v>46741</v>
      </c>
      <c r="K127" s="1050">
        <v>109300</v>
      </c>
      <c r="L127" s="1050">
        <v>2356</v>
      </c>
      <c r="M127" s="1050">
        <v>4596</v>
      </c>
      <c r="N127" s="1050">
        <v>6952</v>
      </c>
      <c r="O127" s="1050">
        <v>4615</v>
      </c>
      <c r="P127" s="1050">
        <v>4821</v>
      </c>
      <c r="Q127" s="1050">
        <v>9436</v>
      </c>
      <c r="R127" s="1050">
        <v>94345</v>
      </c>
      <c r="S127" s="1050">
        <v>68328</v>
      </c>
      <c r="T127" s="1050">
        <v>162673</v>
      </c>
      <c r="U127" s="1050">
        <v>1812</v>
      </c>
      <c r="V127" s="1050">
        <v>1618</v>
      </c>
      <c r="W127" s="1050">
        <v>3430</v>
      </c>
    </row>
    <row r="128" spans="1:23" x14ac:dyDescent="0.35">
      <c r="A128" s="972"/>
      <c r="B128" s="528" t="s">
        <v>909</v>
      </c>
      <c r="C128" s="1050">
        <v>10412</v>
      </c>
      <c r="D128" s="1050">
        <v>4103</v>
      </c>
      <c r="E128" s="1050">
        <v>14515</v>
      </c>
      <c r="F128" s="1050">
        <v>12789</v>
      </c>
      <c r="G128" s="1050">
        <v>6465</v>
      </c>
      <c r="H128" s="1050">
        <v>19254</v>
      </c>
      <c r="I128" s="1050">
        <v>63431</v>
      </c>
      <c r="J128" s="1050">
        <v>45524</v>
      </c>
      <c r="K128" s="1050">
        <v>108955</v>
      </c>
      <c r="L128" s="1050">
        <v>2273</v>
      </c>
      <c r="M128" s="1050">
        <v>4536</v>
      </c>
      <c r="N128" s="1050">
        <v>6809</v>
      </c>
      <c r="O128" s="1050">
        <v>4749</v>
      </c>
      <c r="P128" s="1050">
        <v>5565</v>
      </c>
      <c r="Q128" s="1050">
        <v>10314</v>
      </c>
      <c r="R128" s="1050">
        <v>95447</v>
      </c>
      <c r="S128" s="1050">
        <v>67685</v>
      </c>
      <c r="T128" s="1050">
        <v>163132</v>
      </c>
      <c r="U128" s="1050">
        <v>1793</v>
      </c>
      <c r="V128" s="1050">
        <v>1492</v>
      </c>
      <c r="W128" s="1050">
        <v>3285</v>
      </c>
    </row>
    <row r="129" spans="1:23" x14ac:dyDescent="0.35">
      <c r="A129" s="972"/>
      <c r="B129" s="528" t="s">
        <v>908</v>
      </c>
      <c r="C129" s="1050">
        <v>9752</v>
      </c>
      <c r="D129" s="1050">
        <v>3846</v>
      </c>
      <c r="E129" s="1050">
        <v>13598</v>
      </c>
      <c r="F129" s="1050">
        <v>12731</v>
      </c>
      <c r="G129" s="1050">
        <v>6213</v>
      </c>
      <c r="H129" s="1050">
        <v>18944</v>
      </c>
      <c r="I129" s="1050">
        <v>63627</v>
      </c>
      <c r="J129" s="1050">
        <v>44010</v>
      </c>
      <c r="K129" s="1050">
        <v>107637</v>
      </c>
      <c r="L129" s="1050">
        <v>2169</v>
      </c>
      <c r="M129" s="1050">
        <v>3990</v>
      </c>
      <c r="N129" s="1050">
        <v>6159</v>
      </c>
      <c r="O129" s="1050">
        <v>4465</v>
      </c>
      <c r="P129" s="1050">
        <v>5010</v>
      </c>
      <c r="Q129" s="1050">
        <v>9475</v>
      </c>
      <c r="R129" s="1050">
        <v>94465</v>
      </c>
      <c r="S129" s="1050">
        <v>64474</v>
      </c>
      <c r="T129" s="1050">
        <v>158939</v>
      </c>
      <c r="U129" s="1050">
        <v>1721</v>
      </c>
      <c r="V129" s="1050">
        <v>1405</v>
      </c>
      <c r="W129" s="1050">
        <v>3126</v>
      </c>
    </row>
    <row r="130" spans="1:23" x14ac:dyDescent="0.35">
      <c r="A130" s="972">
        <v>21</v>
      </c>
      <c r="B130" s="527" t="s">
        <v>31</v>
      </c>
      <c r="C130" s="1040"/>
      <c r="D130" s="1040"/>
      <c r="E130" s="1040"/>
      <c r="F130" s="1040"/>
      <c r="G130" s="1040"/>
      <c r="H130" s="1040"/>
      <c r="I130" s="1040"/>
      <c r="J130" s="1040"/>
      <c r="K130" s="1040"/>
      <c r="L130" s="1040"/>
      <c r="M130" s="1040"/>
      <c r="N130" s="1040"/>
      <c r="O130" s="1040"/>
      <c r="P130" s="1040"/>
      <c r="Q130" s="1040"/>
      <c r="R130" s="1040"/>
      <c r="S130" s="1040"/>
      <c r="T130" s="1040"/>
      <c r="U130" s="1040"/>
      <c r="V130" s="1040"/>
      <c r="W130" s="1040"/>
    </row>
    <row r="131" spans="1:23" x14ac:dyDescent="0.35">
      <c r="A131" s="972"/>
      <c r="B131" s="527" t="s">
        <v>912</v>
      </c>
      <c r="C131" s="1040">
        <v>351</v>
      </c>
      <c r="D131" s="1040">
        <v>161</v>
      </c>
      <c r="E131" s="1040">
        <v>512</v>
      </c>
      <c r="F131" s="1040">
        <v>450</v>
      </c>
      <c r="G131" s="1040">
        <v>296</v>
      </c>
      <c r="H131" s="1040">
        <v>746</v>
      </c>
      <c r="I131" s="1040">
        <v>2288</v>
      </c>
      <c r="J131" s="1040">
        <v>2521</v>
      </c>
      <c r="K131" s="1040">
        <v>4809</v>
      </c>
      <c r="L131" s="1040">
        <v>54</v>
      </c>
      <c r="M131" s="1040">
        <v>239</v>
      </c>
      <c r="N131" s="1040">
        <v>293</v>
      </c>
      <c r="O131" s="1040">
        <v>151</v>
      </c>
      <c r="P131" s="1040">
        <v>109</v>
      </c>
      <c r="Q131" s="1040">
        <v>260</v>
      </c>
      <c r="R131" s="1040">
        <v>3339</v>
      </c>
      <c r="S131" s="1040">
        <v>3336</v>
      </c>
      <c r="T131" s="1040">
        <v>6675</v>
      </c>
      <c r="U131" s="1040">
        <v>45</v>
      </c>
      <c r="V131" s="1040">
        <v>10</v>
      </c>
      <c r="W131" s="1040">
        <v>55</v>
      </c>
    </row>
    <row r="132" spans="1:23" x14ac:dyDescent="0.35">
      <c r="A132" s="972"/>
      <c r="B132" s="528" t="s">
        <v>911</v>
      </c>
      <c r="C132" s="1040">
        <v>282</v>
      </c>
      <c r="D132" s="1040">
        <v>111</v>
      </c>
      <c r="E132" s="1040">
        <v>393</v>
      </c>
      <c r="F132" s="1040">
        <v>420</v>
      </c>
      <c r="G132" s="1040">
        <v>305</v>
      </c>
      <c r="H132" s="1040">
        <v>725</v>
      </c>
      <c r="I132" s="1040">
        <v>2180</v>
      </c>
      <c r="J132" s="1040">
        <v>2434</v>
      </c>
      <c r="K132" s="1040">
        <v>4614</v>
      </c>
      <c r="L132" s="1040">
        <v>23</v>
      </c>
      <c r="M132" s="1040">
        <v>200</v>
      </c>
      <c r="N132" s="1040">
        <v>223</v>
      </c>
      <c r="O132" s="1040">
        <v>151</v>
      </c>
      <c r="P132" s="1040">
        <v>107</v>
      </c>
      <c r="Q132" s="1040">
        <v>258</v>
      </c>
      <c r="R132" s="1040">
        <v>3056</v>
      </c>
      <c r="S132" s="1040">
        <v>3157</v>
      </c>
      <c r="T132" s="1040">
        <v>6213</v>
      </c>
      <c r="U132" s="1040">
        <v>47</v>
      </c>
      <c r="V132" s="1040">
        <v>10</v>
      </c>
      <c r="W132" s="1040">
        <v>57</v>
      </c>
    </row>
    <row r="133" spans="1:23" x14ac:dyDescent="0.35">
      <c r="A133" s="972"/>
      <c r="B133" s="528" t="s">
        <v>910</v>
      </c>
      <c r="C133" s="1050">
        <v>290</v>
      </c>
      <c r="D133" s="1050">
        <v>117</v>
      </c>
      <c r="E133" s="1050">
        <v>407</v>
      </c>
      <c r="F133" s="1050">
        <v>448</v>
      </c>
      <c r="G133" s="1050">
        <v>322</v>
      </c>
      <c r="H133" s="1050">
        <v>770</v>
      </c>
      <c r="I133" s="1050">
        <v>2000</v>
      </c>
      <c r="J133" s="1050">
        <v>2136</v>
      </c>
      <c r="K133" s="1050">
        <v>4136</v>
      </c>
      <c r="L133" s="1050">
        <v>23</v>
      </c>
      <c r="M133" s="1050">
        <v>184</v>
      </c>
      <c r="N133" s="1050">
        <v>207</v>
      </c>
      <c r="O133" s="1050">
        <v>130</v>
      </c>
      <c r="P133" s="1050">
        <v>102</v>
      </c>
      <c r="Q133" s="1050">
        <v>232</v>
      </c>
      <c r="R133" s="1050">
        <v>2946</v>
      </c>
      <c r="S133" s="1050">
        <v>2873</v>
      </c>
      <c r="T133" s="1050">
        <v>5819</v>
      </c>
      <c r="U133" s="1050">
        <v>55</v>
      </c>
      <c r="V133" s="1050">
        <v>12</v>
      </c>
      <c r="W133" s="1050">
        <v>67</v>
      </c>
    </row>
    <row r="134" spans="1:23" x14ac:dyDescent="0.35">
      <c r="A134" s="972"/>
      <c r="B134" s="528" t="s">
        <v>909</v>
      </c>
      <c r="C134" s="1050">
        <v>274</v>
      </c>
      <c r="D134" s="1050">
        <v>107</v>
      </c>
      <c r="E134" s="1050">
        <v>381</v>
      </c>
      <c r="F134" s="1050">
        <v>521</v>
      </c>
      <c r="G134" s="1050">
        <v>408</v>
      </c>
      <c r="H134" s="1050">
        <v>929</v>
      </c>
      <c r="I134" s="1050">
        <v>1796</v>
      </c>
      <c r="J134" s="1050">
        <v>1874</v>
      </c>
      <c r="K134" s="1050">
        <v>3670</v>
      </c>
      <c r="L134" s="1050">
        <v>24</v>
      </c>
      <c r="M134" s="1050">
        <v>174</v>
      </c>
      <c r="N134" s="1050">
        <v>198</v>
      </c>
      <c r="O134" s="1050">
        <v>128</v>
      </c>
      <c r="P134" s="1050">
        <v>128</v>
      </c>
      <c r="Q134" s="1050">
        <v>256</v>
      </c>
      <c r="R134" s="1050">
        <v>2792</v>
      </c>
      <c r="S134" s="1050">
        <v>2702</v>
      </c>
      <c r="T134" s="1050">
        <v>5494</v>
      </c>
      <c r="U134" s="1050">
        <v>49</v>
      </c>
      <c r="V134" s="1050">
        <v>11</v>
      </c>
      <c r="W134" s="1050">
        <v>60</v>
      </c>
    </row>
    <row r="135" spans="1:23" x14ac:dyDescent="0.35">
      <c r="A135" s="972"/>
      <c r="B135" s="528" t="s">
        <v>908</v>
      </c>
      <c r="C135" s="1050">
        <v>256</v>
      </c>
      <c r="D135" s="1050">
        <v>93</v>
      </c>
      <c r="E135" s="1050">
        <v>349</v>
      </c>
      <c r="F135" s="1050">
        <v>625</v>
      </c>
      <c r="G135" s="1050">
        <v>480</v>
      </c>
      <c r="H135" s="1050">
        <v>1105</v>
      </c>
      <c r="I135" s="1050">
        <v>1596</v>
      </c>
      <c r="J135" s="1050">
        <v>1650</v>
      </c>
      <c r="K135" s="1050">
        <v>3246</v>
      </c>
      <c r="L135" s="1050">
        <v>17</v>
      </c>
      <c r="M135" s="1050">
        <v>104</v>
      </c>
      <c r="N135" s="1050">
        <v>121</v>
      </c>
      <c r="O135" s="1050">
        <v>83</v>
      </c>
      <c r="P135" s="1050">
        <v>83</v>
      </c>
      <c r="Q135" s="1050">
        <v>166</v>
      </c>
      <c r="R135" s="1050">
        <v>2616</v>
      </c>
      <c r="S135" s="1050">
        <v>2419</v>
      </c>
      <c r="T135" s="1050">
        <v>5035</v>
      </c>
      <c r="U135" s="1050">
        <v>39</v>
      </c>
      <c r="V135" s="1050">
        <v>9</v>
      </c>
      <c r="W135" s="1050">
        <v>48</v>
      </c>
    </row>
    <row r="136" spans="1:23" x14ac:dyDescent="0.35">
      <c r="A136" s="972">
        <v>22</v>
      </c>
      <c r="B136" s="527" t="s">
        <v>32</v>
      </c>
      <c r="C136" s="1040"/>
      <c r="D136" s="1040"/>
      <c r="E136" s="1040"/>
      <c r="F136" s="1040"/>
      <c r="G136" s="1040"/>
      <c r="H136" s="1040"/>
      <c r="I136" s="1040"/>
      <c r="J136" s="1040"/>
      <c r="K136" s="1040"/>
      <c r="L136" s="1040"/>
      <c r="M136" s="1040"/>
      <c r="N136" s="1040"/>
      <c r="O136" s="1040"/>
      <c r="P136" s="1040"/>
      <c r="Q136" s="1040"/>
      <c r="R136" s="1040"/>
      <c r="S136" s="1040"/>
      <c r="T136" s="1040"/>
      <c r="U136" s="1040"/>
      <c r="V136" s="1040"/>
      <c r="W136" s="1040"/>
    </row>
    <row r="137" spans="1:23" x14ac:dyDescent="0.35">
      <c r="A137" s="972"/>
      <c r="B137" s="527" t="s">
        <v>912</v>
      </c>
      <c r="C137" s="1040">
        <v>210</v>
      </c>
      <c r="D137" s="1040">
        <v>113</v>
      </c>
      <c r="E137" s="1040">
        <v>323</v>
      </c>
      <c r="F137" s="1040">
        <v>232</v>
      </c>
      <c r="G137" s="1040">
        <v>219</v>
      </c>
      <c r="H137" s="1040">
        <v>451</v>
      </c>
      <c r="I137" s="1040">
        <v>1182</v>
      </c>
      <c r="J137" s="1040">
        <v>1826</v>
      </c>
      <c r="K137" s="1040">
        <v>3008</v>
      </c>
      <c r="L137" s="1040">
        <v>37</v>
      </c>
      <c r="M137" s="1040">
        <v>115</v>
      </c>
      <c r="N137" s="1040">
        <v>152</v>
      </c>
      <c r="O137" s="1040">
        <v>55</v>
      </c>
      <c r="P137" s="1040">
        <v>72</v>
      </c>
      <c r="Q137" s="1040">
        <v>127</v>
      </c>
      <c r="R137" s="1040">
        <v>1717</v>
      </c>
      <c r="S137" s="1040">
        <v>2351</v>
      </c>
      <c r="T137" s="1040">
        <v>4068</v>
      </c>
      <c r="U137" s="1040">
        <v>1</v>
      </c>
      <c r="V137" s="1040">
        <v>6</v>
      </c>
      <c r="W137" s="1040">
        <v>7</v>
      </c>
    </row>
    <row r="138" spans="1:23" x14ac:dyDescent="0.35">
      <c r="A138" s="972"/>
      <c r="B138" s="528" t="s">
        <v>911</v>
      </c>
      <c r="C138" s="1040">
        <v>188</v>
      </c>
      <c r="D138" s="1040">
        <v>96</v>
      </c>
      <c r="E138" s="1040">
        <v>284</v>
      </c>
      <c r="F138" s="1040">
        <v>218</v>
      </c>
      <c r="G138" s="1040">
        <v>211</v>
      </c>
      <c r="H138" s="1040">
        <v>429</v>
      </c>
      <c r="I138" s="1040">
        <v>1147</v>
      </c>
      <c r="J138" s="1040">
        <v>1695</v>
      </c>
      <c r="K138" s="1040">
        <v>2842</v>
      </c>
      <c r="L138" s="1040">
        <v>34</v>
      </c>
      <c r="M138" s="1040">
        <v>113</v>
      </c>
      <c r="N138" s="1040">
        <v>147</v>
      </c>
      <c r="O138" s="1040">
        <v>40</v>
      </c>
      <c r="P138" s="1040">
        <v>48</v>
      </c>
      <c r="Q138" s="1040">
        <v>88</v>
      </c>
      <c r="R138" s="1040">
        <v>1627</v>
      </c>
      <c r="S138" s="1040">
        <v>2163</v>
      </c>
      <c r="T138" s="1040">
        <v>3790</v>
      </c>
      <c r="U138" s="1040">
        <v>3</v>
      </c>
      <c r="V138" s="1040">
        <v>12</v>
      </c>
      <c r="W138" s="1040">
        <v>15</v>
      </c>
    </row>
    <row r="139" spans="1:23" x14ac:dyDescent="0.35">
      <c r="A139" s="972"/>
      <c r="B139" s="528" t="s">
        <v>910</v>
      </c>
      <c r="C139" s="1050">
        <v>170</v>
      </c>
      <c r="D139" s="1050">
        <v>82</v>
      </c>
      <c r="E139" s="1050">
        <v>252</v>
      </c>
      <c r="F139" s="1050">
        <v>213</v>
      </c>
      <c r="G139" s="1050">
        <v>203</v>
      </c>
      <c r="H139" s="1050">
        <v>416</v>
      </c>
      <c r="I139" s="1050">
        <v>1099</v>
      </c>
      <c r="J139" s="1050">
        <v>1580</v>
      </c>
      <c r="K139" s="1050">
        <v>2679</v>
      </c>
      <c r="L139" s="1050">
        <v>34</v>
      </c>
      <c r="M139" s="1050">
        <v>111</v>
      </c>
      <c r="N139" s="1050">
        <v>145</v>
      </c>
      <c r="O139" s="1050">
        <v>42</v>
      </c>
      <c r="P139" s="1050">
        <v>68</v>
      </c>
      <c r="Q139" s="1050">
        <v>110</v>
      </c>
      <c r="R139" s="1050">
        <v>1560</v>
      </c>
      <c r="S139" s="1050">
        <v>2052</v>
      </c>
      <c r="T139" s="1050">
        <v>3612</v>
      </c>
      <c r="U139" s="1050">
        <v>2</v>
      </c>
      <c r="V139" s="1050">
        <v>8</v>
      </c>
      <c r="W139" s="1050">
        <v>10</v>
      </c>
    </row>
    <row r="140" spans="1:23" x14ac:dyDescent="0.35">
      <c r="A140" s="972"/>
      <c r="B140" s="528" t="s">
        <v>909</v>
      </c>
      <c r="C140" s="1050">
        <v>171</v>
      </c>
      <c r="D140" s="1050">
        <v>69</v>
      </c>
      <c r="E140" s="1050">
        <v>240</v>
      </c>
      <c r="F140" s="1050">
        <v>244</v>
      </c>
      <c r="G140" s="1050">
        <v>229</v>
      </c>
      <c r="H140" s="1050">
        <v>473</v>
      </c>
      <c r="I140" s="1050">
        <v>1077</v>
      </c>
      <c r="J140" s="1050">
        <v>1539</v>
      </c>
      <c r="K140" s="1050">
        <v>2616</v>
      </c>
      <c r="L140" s="1050">
        <v>50</v>
      </c>
      <c r="M140" s="1050">
        <v>96</v>
      </c>
      <c r="N140" s="1050">
        <v>146</v>
      </c>
      <c r="O140" s="1050">
        <v>53</v>
      </c>
      <c r="P140" s="1050">
        <v>83</v>
      </c>
      <c r="Q140" s="1050">
        <v>136</v>
      </c>
      <c r="R140" s="1050">
        <v>1597</v>
      </c>
      <c r="S140" s="1050">
        <v>2027</v>
      </c>
      <c r="T140" s="1050">
        <v>3624</v>
      </c>
      <c r="U140" s="1050">
        <v>2</v>
      </c>
      <c r="V140" s="1050">
        <v>11</v>
      </c>
      <c r="W140" s="1050">
        <v>13</v>
      </c>
    </row>
    <row r="141" spans="1:23" x14ac:dyDescent="0.35">
      <c r="A141" s="972"/>
      <c r="B141" s="528" t="s">
        <v>908</v>
      </c>
      <c r="C141" s="1050">
        <v>160</v>
      </c>
      <c r="D141" s="1050">
        <v>65</v>
      </c>
      <c r="E141" s="1050">
        <v>225</v>
      </c>
      <c r="F141" s="1050">
        <v>240</v>
      </c>
      <c r="G141" s="1050">
        <v>241</v>
      </c>
      <c r="H141" s="1050">
        <v>481</v>
      </c>
      <c r="I141" s="1050">
        <v>957</v>
      </c>
      <c r="J141" s="1050">
        <v>1353</v>
      </c>
      <c r="K141" s="1050">
        <v>2310</v>
      </c>
      <c r="L141" s="1050">
        <v>42</v>
      </c>
      <c r="M141" s="1050">
        <v>98</v>
      </c>
      <c r="N141" s="1050">
        <v>140</v>
      </c>
      <c r="O141" s="1050">
        <v>60</v>
      </c>
      <c r="P141" s="1050">
        <v>83</v>
      </c>
      <c r="Q141" s="1050">
        <v>143</v>
      </c>
      <c r="R141" s="1050">
        <v>1462</v>
      </c>
      <c r="S141" s="1050">
        <v>1850</v>
      </c>
      <c r="T141" s="1050">
        <v>3312</v>
      </c>
      <c r="U141" s="1050">
        <v>3</v>
      </c>
      <c r="V141" s="1050">
        <v>10</v>
      </c>
      <c r="W141" s="1050">
        <v>13</v>
      </c>
    </row>
    <row r="142" spans="1:23" x14ac:dyDescent="0.35">
      <c r="A142" s="972">
        <v>23</v>
      </c>
      <c r="B142" s="527" t="s">
        <v>33</v>
      </c>
      <c r="C142" s="1040"/>
      <c r="D142" s="1040"/>
      <c r="E142" s="1040"/>
      <c r="F142" s="1040"/>
      <c r="G142" s="1040"/>
      <c r="H142" s="1040"/>
      <c r="I142" s="1040"/>
      <c r="J142" s="1040"/>
      <c r="K142" s="1040"/>
      <c r="L142" s="1040"/>
      <c r="M142" s="1040"/>
      <c r="N142" s="1040"/>
      <c r="O142" s="1040"/>
      <c r="P142" s="1040"/>
      <c r="Q142" s="1040"/>
      <c r="R142" s="1040"/>
      <c r="S142" s="1040"/>
      <c r="T142" s="1040"/>
      <c r="U142" s="1040"/>
      <c r="V142" s="1040"/>
      <c r="W142" s="1040"/>
    </row>
    <row r="143" spans="1:23" x14ac:dyDescent="0.35">
      <c r="A143" s="972"/>
      <c r="B143" s="527" t="s">
        <v>912</v>
      </c>
      <c r="C143" s="1040">
        <v>160</v>
      </c>
      <c r="D143" s="1040">
        <v>55</v>
      </c>
      <c r="E143" s="1040">
        <v>215</v>
      </c>
      <c r="F143" s="1040">
        <v>241</v>
      </c>
      <c r="G143" s="1040">
        <v>212</v>
      </c>
      <c r="H143" s="1040">
        <v>453</v>
      </c>
      <c r="I143" s="1040">
        <v>584</v>
      </c>
      <c r="J143" s="1040">
        <v>558</v>
      </c>
      <c r="K143" s="1040">
        <v>1142</v>
      </c>
      <c r="L143" s="1040">
        <v>43</v>
      </c>
      <c r="M143" s="1040">
        <v>131</v>
      </c>
      <c r="N143" s="1040">
        <v>174</v>
      </c>
      <c r="O143" s="1040">
        <v>139</v>
      </c>
      <c r="P143" s="1040">
        <v>128</v>
      </c>
      <c r="Q143" s="1040">
        <v>267</v>
      </c>
      <c r="R143" s="1040">
        <v>1181</v>
      </c>
      <c r="S143" s="1040">
        <v>1092</v>
      </c>
      <c r="T143" s="1040">
        <v>2273</v>
      </c>
      <c r="U143" s="1040">
        <v>14</v>
      </c>
      <c r="V143" s="1040">
        <v>8</v>
      </c>
      <c r="W143" s="1040">
        <v>22</v>
      </c>
    </row>
    <row r="144" spans="1:23" x14ac:dyDescent="0.35">
      <c r="A144" s="972"/>
      <c r="B144" s="528" t="s">
        <v>911</v>
      </c>
      <c r="C144" s="1040">
        <v>138</v>
      </c>
      <c r="D144" s="1040">
        <v>47</v>
      </c>
      <c r="E144" s="1040">
        <v>185</v>
      </c>
      <c r="F144" s="1040">
        <v>267</v>
      </c>
      <c r="G144" s="1040">
        <v>214</v>
      </c>
      <c r="H144" s="1040">
        <v>481</v>
      </c>
      <c r="I144" s="1040">
        <v>580</v>
      </c>
      <c r="J144" s="1040">
        <v>547</v>
      </c>
      <c r="K144" s="1040">
        <v>1127</v>
      </c>
      <c r="L144" s="1040">
        <v>40</v>
      </c>
      <c r="M144" s="1040">
        <v>109</v>
      </c>
      <c r="N144" s="1040">
        <v>149</v>
      </c>
      <c r="O144" s="1040">
        <v>135</v>
      </c>
      <c r="P144" s="1040">
        <v>121</v>
      </c>
      <c r="Q144" s="1040">
        <v>256</v>
      </c>
      <c r="R144" s="1040">
        <v>1160</v>
      </c>
      <c r="S144" s="1040">
        <v>1038</v>
      </c>
      <c r="T144" s="1040">
        <v>2198</v>
      </c>
      <c r="U144" s="1040">
        <v>8</v>
      </c>
      <c r="V144" s="1040">
        <v>4</v>
      </c>
      <c r="W144" s="1040">
        <v>12</v>
      </c>
    </row>
    <row r="145" spans="1:23" x14ac:dyDescent="0.35">
      <c r="A145" s="972"/>
      <c r="B145" s="528" t="s">
        <v>910</v>
      </c>
      <c r="C145" s="1050">
        <v>118</v>
      </c>
      <c r="D145" s="1050">
        <v>34</v>
      </c>
      <c r="E145" s="1050">
        <v>152</v>
      </c>
      <c r="F145" s="1050">
        <v>260</v>
      </c>
      <c r="G145" s="1050">
        <v>208</v>
      </c>
      <c r="H145" s="1050">
        <v>468</v>
      </c>
      <c r="I145" s="1050">
        <v>542</v>
      </c>
      <c r="J145" s="1050">
        <v>496</v>
      </c>
      <c r="K145" s="1050">
        <v>1038</v>
      </c>
      <c r="L145" s="1050">
        <v>28</v>
      </c>
      <c r="M145" s="1050">
        <v>102</v>
      </c>
      <c r="N145" s="1050">
        <v>130</v>
      </c>
      <c r="O145" s="1050">
        <v>112</v>
      </c>
      <c r="P145" s="1050">
        <v>109</v>
      </c>
      <c r="Q145" s="1050">
        <v>221</v>
      </c>
      <c r="R145" s="1050">
        <v>1073</v>
      </c>
      <c r="S145" s="1050">
        <v>960</v>
      </c>
      <c r="T145" s="1050">
        <v>2033</v>
      </c>
      <c r="U145" s="1050">
        <v>13</v>
      </c>
      <c r="V145" s="1050">
        <v>11</v>
      </c>
      <c r="W145" s="1050">
        <v>24</v>
      </c>
    </row>
    <row r="146" spans="1:23" x14ac:dyDescent="0.35">
      <c r="A146" s="972"/>
      <c r="B146" s="528" t="s">
        <v>909</v>
      </c>
      <c r="C146" s="1050">
        <v>128</v>
      </c>
      <c r="D146" s="1050">
        <v>29</v>
      </c>
      <c r="E146" s="1050">
        <v>157</v>
      </c>
      <c r="F146" s="1050">
        <v>262</v>
      </c>
      <c r="G146" s="1050">
        <v>207</v>
      </c>
      <c r="H146" s="1050">
        <v>469</v>
      </c>
      <c r="I146" s="1050">
        <v>501</v>
      </c>
      <c r="J146" s="1050">
        <v>467</v>
      </c>
      <c r="K146" s="1050">
        <v>968</v>
      </c>
      <c r="L146" s="1050">
        <v>36</v>
      </c>
      <c r="M146" s="1050">
        <v>84</v>
      </c>
      <c r="N146" s="1050">
        <v>120</v>
      </c>
      <c r="O146" s="1050">
        <v>98</v>
      </c>
      <c r="P146" s="1050">
        <v>99</v>
      </c>
      <c r="Q146" s="1050">
        <v>197</v>
      </c>
      <c r="R146" s="1050">
        <v>1032</v>
      </c>
      <c r="S146" s="1050">
        <v>895</v>
      </c>
      <c r="T146" s="1050">
        <v>1927</v>
      </c>
      <c r="U146" s="1050">
        <v>7</v>
      </c>
      <c r="V146" s="1050">
        <v>9</v>
      </c>
      <c r="W146" s="1050">
        <v>16</v>
      </c>
    </row>
    <row r="147" spans="1:23" x14ac:dyDescent="0.35">
      <c r="A147" s="972"/>
      <c r="B147" s="528" t="s">
        <v>908</v>
      </c>
      <c r="C147" s="1050">
        <v>118</v>
      </c>
      <c r="D147" s="1050">
        <v>25</v>
      </c>
      <c r="E147" s="1050">
        <v>143</v>
      </c>
      <c r="F147" s="1050">
        <v>259</v>
      </c>
      <c r="G147" s="1050">
        <v>203</v>
      </c>
      <c r="H147" s="1050">
        <v>462</v>
      </c>
      <c r="I147" s="1050">
        <v>479</v>
      </c>
      <c r="J147" s="1050">
        <v>434</v>
      </c>
      <c r="K147" s="1050">
        <v>913</v>
      </c>
      <c r="L147" s="1050">
        <v>35</v>
      </c>
      <c r="M147" s="1050">
        <v>90</v>
      </c>
      <c r="N147" s="1050">
        <v>125</v>
      </c>
      <c r="O147" s="1050">
        <v>97</v>
      </c>
      <c r="P147" s="1050">
        <v>113</v>
      </c>
      <c r="Q147" s="1050">
        <v>210</v>
      </c>
      <c r="R147" s="1050">
        <v>994</v>
      </c>
      <c r="S147" s="1050">
        <v>874</v>
      </c>
      <c r="T147" s="1050">
        <v>1868</v>
      </c>
      <c r="U147" s="1050">
        <v>6</v>
      </c>
      <c r="V147" s="1050">
        <v>9</v>
      </c>
      <c r="W147" s="1050">
        <v>15</v>
      </c>
    </row>
    <row r="148" spans="1:23" x14ac:dyDescent="0.35">
      <c r="A148" s="972">
        <v>24</v>
      </c>
      <c r="B148" s="527" t="s">
        <v>34</v>
      </c>
      <c r="C148" s="1040"/>
      <c r="D148" s="1040"/>
      <c r="E148" s="1040"/>
      <c r="F148" s="1040"/>
      <c r="G148" s="1040"/>
      <c r="H148" s="1040"/>
      <c r="I148" s="1040"/>
      <c r="J148" s="1040"/>
      <c r="K148" s="1040"/>
      <c r="L148" s="1040"/>
      <c r="M148" s="1040"/>
      <c r="N148" s="1040"/>
      <c r="O148" s="1040"/>
      <c r="P148" s="1040"/>
      <c r="Q148" s="1040"/>
      <c r="R148" s="1040"/>
      <c r="S148" s="1040"/>
      <c r="T148" s="1040"/>
      <c r="U148" s="1040"/>
      <c r="V148" s="1040"/>
      <c r="W148" s="1040"/>
    </row>
    <row r="149" spans="1:23" x14ac:dyDescent="0.35">
      <c r="A149" s="972"/>
      <c r="B149" s="527" t="s">
        <v>912</v>
      </c>
      <c r="C149" s="1040">
        <v>107</v>
      </c>
      <c r="D149" s="1040">
        <v>60</v>
      </c>
      <c r="E149" s="1040">
        <v>167</v>
      </c>
      <c r="F149" s="1040">
        <v>72</v>
      </c>
      <c r="G149" s="1040">
        <v>89</v>
      </c>
      <c r="H149" s="1040">
        <v>161</v>
      </c>
      <c r="I149" s="1040">
        <v>863</v>
      </c>
      <c r="J149" s="1040">
        <v>1317</v>
      </c>
      <c r="K149" s="1040">
        <v>2180</v>
      </c>
      <c r="L149" s="1040">
        <v>44</v>
      </c>
      <c r="M149" s="1040">
        <v>63</v>
      </c>
      <c r="N149" s="1040">
        <v>107</v>
      </c>
      <c r="O149" s="1040">
        <v>20</v>
      </c>
      <c r="P149" s="1040">
        <v>32</v>
      </c>
      <c r="Q149" s="1040">
        <v>52</v>
      </c>
      <c r="R149" s="1040">
        <v>1113</v>
      </c>
      <c r="S149" s="1040">
        <v>1570</v>
      </c>
      <c r="T149" s="1040">
        <v>2683</v>
      </c>
      <c r="U149" s="1040">
        <v>7</v>
      </c>
      <c r="V149" s="1040">
        <v>9</v>
      </c>
      <c r="W149" s="1040">
        <v>16</v>
      </c>
    </row>
    <row r="150" spans="1:23" x14ac:dyDescent="0.35">
      <c r="A150" s="972"/>
      <c r="B150" s="528" t="s">
        <v>911</v>
      </c>
      <c r="C150" s="1040">
        <v>106</v>
      </c>
      <c r="D150" s="1040">
        <v>57</v>
      </c>
      <c r="E150" s="1040">
        <v>163</v>
      </c>
      <c r="F150" s="1040">
        <v>74</v>
      </c>
      <c r="G150" s="1040">
        <v>95</v>
      </c>
      <c r="H150" s="1040">
        <v>169</v>
      </c>
      <c r="I150" s="1040">
        <v>840</v>
      </c>
      <c r="J150" s="1040">
        <v>1198</v>
      </c>
      <c r="K150" s="1040">
        <v>2038</v>
      </c>
      <c r="L150" s="1040">
        <v>40</v>
      </c>
      <c r="M150" s="1040">
        <v>62</v>
      </c>
      <c r="N150" s="1040">
        <v>102</v>
      </c>
      <c r="O150" s="1040">
        <v>18</v>
      </c>
      <c r="P150" s="1040">
        <v>32</v>
      </c>
      <c r="Q150" s="1040">
        <v>50</v>
      </c>
      <c r="R150" s="1040">
        <v>1078</v>
      </c>
      <c r="S150" s="1040">
        <v>1444</v>
      </c>
      <c r="T150" s="1040">
        <v>2522</v>
      </c>
      <c r="U150" s="1040">
        <v>9</v>
      </c>
      <c r="V150" s="1040">
        <v>8</v>
      </c>
      <c r="W150" s="1040">
        <v>17</v>
      </c>
    </row>
    <row r="151" spans="1:23" x14ac:dyDescent="0.35">
      <c r="A151" s="972"/>
      <c r="B151" s="528" t="s">
        <v>910</v>
      </c>
      <c r="C151" s="1050">
        <v>114</v>
      </c>
      <c r="D151" s="1050">
        <v>55</v>
      </c>
      <c r="E151" s="1050">
        <v>169</v>
      </c>
      <c r="F151" s="1050">
        <v>69</v>
      </c>
      <c r="G151" s="1050">
        <v>100</v>
      </c>
      <c r="H151" s="1050">
        <v>169</v>
      </c>
      <c r="I151" s="1050">
        <v>814</v>
      </c>
      <c r="J151" s="1050">
        <v>1125</v>
      </c>
      <c r="K151" s="1050">
        <v>1939</v>
      </c>
      <c r="L151" s="1050">
        <v>40</v>
      </c>
      <c r="M151" s="1050">
        <v>61</v>
      </c>
      <c r="N151" s="1050">
        <v>101</v>
      </c>
      <c r="O151" s="1050">
        <v>19</v>
      </c>
      <c r="P151" s="1050">
        <v>31</v>
      </c>
      <c r="Q151" s="1050">
        <v>50</v>
      </c>
      <c r="R151" s="1050">
        <v>1059</v>
      </c>
      <c r="S151" s="1050">
        <v>1374</v>
      </c>
      <c r="T151" s="1050">
        <v>2433</v>
      </c>
      <c r="U151" s="1050">
        <v>3</v>
      </c>
      <c r="V151" s="1050">
        <v>2</v>
      </c>
      <c r="W151" s="1050">
        <v>5</v>
      </c>
    </row>
    <row r="152" spans="1:23" x14ac:dyDescent="0.35">
      <c r="A152" s="972"/>
      <c r="B152" s="528" t="s">
        <v>909</v>
      </c>
      <c r="C152" s="1050">
        <v>112</v>
      </c>
      <c r="D152" s="1050">
        <v>50</v>
      </c>
      <c r="E152" s="1050">
        <v>162</v>
      </c>
      <c r="F152" s="1050">
        <v>70</v>
      </c>
      <c r="G152" s="1050">
        <v>99</v>
      </c>
      <c r="H152" s="1050">
        <v>169</v>
      </c>
      <c r="I152" s="1050">
        <v>824</v>
      </c>
      <c r="J152" s="1050">
        <v>1127</v>
      </c>
      <c r="K152" s="1050">
        <v>1951</v>
      </c>
      <c r="L152" s="1050">
        <v>29</v>
      </c>
      <c r="M152" s="1050">
        <v>57</v>
      </c>
      <c r="N152" s="1050">
        <v>86</v>
      </c>
      <c r="O152" s="1050">
        <v>19</v>
      </c>
      <c r="P152" s="1050">
        <v>28</v>
      </c>
      <c r="Q152" s="1050">
        <v>47</v>
      </c>
      <c r="R152" s="1050">
        <v>1058</v>
      </c>
      <c r="S152" s="1050">
        <v>1363</v>
      </c>
      <c r="T152" s="1050">
        <v>2421</v>
      </c>
      <c r="U152" s="1050">
        <v>4</v>
      </c>
      <c r="V152" s="1050">
        <v>2</v>
      </c>
      <c r="W152" s="1050">
        <v>6</v>
      </c>
    </row>
    <row r="153" spans="1:23" x14ac:dyDescent="0.35">
      <c r="A153" s="972"/>
      <c r="B153" s="528" t="s">
        <v>908</v>
      </c>
      <c r="C153" s="1050">
        <v>115</v>
      </c>
      <c r="D153" s="1050">
        <v>50</v>
      </c>
      <c r="E153" s="1050">
        <v>165</v>
      </c>
      <c r="F153" s="1050">
        <v>83</v>
      </c>
      <c r="G153" s="1050">
        <v>97</v>
      </c>
      <c r="H153" s="1050">
        <v>180</v>
      </c>
      <c r="I153" s="1050">
        <v>812</v>
      </c>
      <c r="J153" s="1050">
        <v>1097</v>
      </c>
      <c r="K153" s="1050">
        <v>1909</v>
      </c>
      <c r="L153" s="1050">
        <v>29</v>
      </c>
      <c r="M153" s="1050">
        <v>50</v>
      </c>
      <c r="N153" s="1050">
        <v>79</v>
      </c>
      <c r="O153" s="1050">
        <v>20</v>
      </c>
      <c r="P153" s="1050">
        <v>13</v>
      </c>
      <c r="Q153" s="1050">
        <v>33</v>
      </c>
      <c r="R153" s="1050">
        <v>1067</v>
      </c>
      <c r="S153" s="1050">
        <v>1312</v>
      </c>
      <c r="T153" s="1050">
        <v>2379</v>
      </c>
      <c r="U153" s="1050">
        <v>8</v>
      </c>
      <c r="V153" s="1050">
        <v>5</v>
      </c>
      <c r="W153" s="1050">
        <v>13</v>
      </c>
    </row>
    <row r="154" spans="1:23" x14ac:dyDescent="0.35">
      <c r="A154" s="972">
        <v>25</v>
      </c>
      <c r="B154" s="527" t="s">
        <v>35</v>
      </c>
      <c r="C154" s="1040"/>
      <c r="D154" s="1040"/>
      <c r="E154" s="1040"/>
      <c r="F154" s="1040"/>
      <c r="G154" s="1040"/>
      <c r="H154" s="1040"/>
      <c r="I154" s="1040"/>
      <c r="J154" s="1040"/>
      <c r="K154" s="1040"/>
      <c r="L154" s="1040"/>
      <c r="M154" s="1040"/>
      <c r="N154" s="1040"/>
      <c r="O154" s="1040"/>
      <c r="P154" s="1040"/>
      <c r="Q154" s="1040"/>
      <c r="R154" s="1040"/>
      <c r="S154" s="1040"/>
      <c r="T154" s="1040"/>
      <c r="U154" s="1040"/>
      <c r="V154" s="1040"/>
      <c r="W154" s="1040"/>
    </row>
    <row r="155" spans="1:23" x14ac:dyDescent="0.35">
      <c r="A155" s="972"/>
      <c r="B155" s="527" t="s">
        <v>912</v>
      </c>
      <c r="C155" s="1040">
        <v>2774</v>
      </c>
      <c r="D155" s="1040">
        <v>945</v>
      </c>
      <c r="E155" s="1040">
        <v>3719</v>
      </c>
      <c r="F155" s="1040">
        <v>3070</v>
      </c>
      <c r="G155" s="1040">
        <v>1301</v>
      </c>
      <c r="H155" s="1040">
        <v>4371</v>
      </c>
      <c r="I155" s="1040">
        <v>18941</v>
      </c>
      <c r="J155" s="1040">
        <v>12381</v>
      </c>
      <c r="K155" s="1040">
        <v>31322</v>
      </c>
      <c r="L155" s="1040">
        <v>1396</v>
      </c>
      <c r="M155" s="1040">
        <v>2533</v>
      </c>
      <c r="N155" s="1040">
        <v>3929</v>
      </c>
      <c r="O155" s="1040">
        <v>1156</v>
      </c>
      <c r="P155" s="1040">
        <v>1159</v>
      </c>
      <c r="Q155" s="1040">
        <v>2315</v>
      </c>
      <c r="R155" s="1040">
        <v>27444</v>
      </c>
      <c r="S155" s="1040">
        <v>18397</v>
      </c>
      <c r="T155" s="1040">
        <v>45841</v>
      </c>
      <c r="U155" s="1040">
        <v>107</v>
      </c>
      <c r="V155" s="1040">
        <v>78</v>
      </c>
      <c r="W155" s="1040">
        <v>185</v>
      </c>
    </row>
    <row r="156" spans="1:23" x14ac:dyDescent="0.35">
      <c r="A156" s="972"/>
      <c r="B156" s="528" t="s">
        <v>911</v>
      </c>
      <c r="C156" s="1040">
        <v>2657</v>
      </c>
      <c r="D156" s="1040">
        <v>866</v>
      </c>
      <c r="E156" s="1040">
        <v>3523</v>
      </c>
      <c r="F156" s="1040">
        <v>3153</v>
      </c>
      <c r="G156" s="1040">
        <v>1271</v>
      </c>
      <c r="H156" s="1040">
        <v>4424</v>
      </c>
      <c r="I156" s="1040">
        <v>18280</v>
      </c>
      <c r="J156" s="1040">
        <v>11381</v>
      </c>
      <c r="K156" s="1040">
        <v>29661</v>
      </c>
      <c r="L156" s="1040">
        <v>1423</v>
      </c>
      <c r="M156" s="1040">
        <v>2465</v>
      </c>
      <c r="N156" s="1040">
        <v>3888</v>
      </c>
      <c r="O156" s="1040">
        <v>1009</v>
      </c>
      <c r="P156" s="1040">
        <v>978</v>
      </c>
      <c r="Q156" s="1040">
        <v>1987</v>
      </c>
      <c r="R156" s="1040">
        <v>26522</v>
      </c>
      <c r="S156" s="1040">
        <v>16961</v>
      </c>
      <c r="T156" s="1040">
        <v>43483</v>
      </c>
      <c r="U156" s="1040">
        <v>142</v>
      </c>
      <c r="V156" s="1040">
        <v>105</v>
      </c>
      <c r="W156" s="1040">
        <v>247</v>
      </c>
    </row>
    <row r="157" spans="1:23" x14ac:dyDescent="0.35">
      <c r="A157" s="972"/>
      <c r="B157" s="528" t="s">
        <v>910</v>
      </c>
      <c r="C157" s="1050">
        <v>2479</v>
      </c>
      <c r="D157" s="1050">
        <v>771</v>
      </c>
      <c r="E157" s="1050">
        <v>3250</v>
      </c>
      <c r="F157" s="1050">
        <v>3159</v>
      </c>
      <c r="G157" s="1050">
        <v>1269</v>
      </c>
      <c r="H157" s="1050">
        <v>4428</v>
      </c>
      <c r="I157" s="1050">
        <v>17626</v>
      </c>
      <c r="J157" s="1050">
        <v>10670</v>
      </c>
      <c r="K157" s="1050">
        <v>28296</v>
      </c>
      <c r="L157" s="1050">
        <v>1440</v>
      </c>
      <c r="M157" s="1050">
        <v>2428</v>
      </c>
      <c r="N157" s="1050">
        <v>3868</v>
      </c>
      <c r="O157" s="1050">
        <v>919</v>
      </c>
      <c r="P157" s="1050">
        <v>937</v>
      </c>
      <c r="Q157" s="1050">
        <v>1856</v>
      </c>
      <c r="R157" s="1050">
        <v>25787</v>
      </c>
      <c r="S157" s="1050">
        <v>16186</v>
      </c>
      <c r="T157" s="1050">
        <v>41973</v>
      </c>
      <c r="U157" s="1050">
        <v>164</v>
      </c>
      <c r="V157" s="1050">
        <v>111</v>
      </c>
      <c r="W157" s="1050">
        <v>275</v>
      </c>
    </row>
    <row r="158" spans="1:23" x14ac:dyDescent="0.35">
      <c r="A158" s="972"/>
      <c r="B158" s="528" t="s">
        <v>909</v>
      </c>
      <c r="C158" s="1050">
        <v>2325</v>
      </c>
      <c r="D158" s="1050">
        <v>642</v>
      </c>
      <c r="E158" s="1050">
        <v>2967</v>
      </c>
      <c r="F158" s="1050">
        <v>2880</v>
      </c>
      <c r="G158" s="1050">
        <v>1131</v>
      </c>
      <c r="H158" s="1050">
        <v>4011</v>
      </c>
      <c r="I158" s="1050">
        <v>17447</v>
      </c>
      <c r="J158" s="1050">
        <v>10222</v>
      </c>
      <c r="K158" s="1050">
        <v>27669</v>
      </c>
      <c r="L158" s="1050">
        <v>1414</v>
      </c>
      <c r="M158" s="1050">
        <v>2026</v>
      </c>
      <c r="N158" s="1050">
        <v>3440</v>
      </c>
      <c r="O158" s="1050">
        <v>847</v>
      </c>
      <c r="P158" s="1050">
        <v>863</v>
      </c>
      <c r="Q158" s="1050">
        <v>1710</v>
      </c>
      <c r="R158" s="1050">
        <v>25065</v>
      </c>
      <c r="S158" s="1050">
        <v>14991</v>
      </c>
      <c r="T158" s="1050">
        <v>40056</v>
      </c>
      <c r="U158" s="1050">
        <v>152</v>
      </c>
      <c r="V158" s="1050">
        <v>107</v>
      </c>
      <c r="W158" s="1050">
        <v>259</v>
      </c>
    </row>
    <row r="159" spans="1:23" x14ac:dyDescent="0.35">
      <c r="A159" s="972"/>
      <c r="B159" s="528" t="s">
        <v>908</v>
      </c>
      <c r="C159" s="1050">
        <v>2261</v>
      </c>
      <c r="D159" s="1050">
        <v>593</v>
      </c>
      <c r="E159" s="1050">
        <v>2854</v>
      </c>
      <c r="F159" s="1050">
        <v>2857</v>
      </c>
      <c r="G159" s="1050">
        <v>1122</v>
      </c>
      <c r="H159" s="1050">
        <v>3979</v>
      </c>
      <c r="I159" s="1050">
        <v>16802</v>
      </c>
      <c r="J159" s="1050">
        <v>9463</v>
      </c>
      <c r="K159" s="1050">
        <v>26265</v>
      </c>
      <c r="L159" s="1050">
        <v>1329</v>
      </c>
      <c r="M159" s="1050">
        <v>1836</v>
      </c>
      <c r="N159" s="1050">
        <v>3165</v>
      </c>
      <c r="O159" s="1050">
        <v>797</v>
      </c>
      <c r="P159" s="1050">
        <v>792</v>
      </c>
      <c r="Q159" s="1050">
        <v>1589</v>
      </c>
      <c r="R159" s="1050">
        <v>24205</v>
      </c>
      <c r="S159" s="1050">
        <v>13892</v>
      </c>
      <c r="T159" s="1050">
        <v>38097</v>
      </c>
      <c r="U159" s="1050">
        <v>159</v>
      </c>
      <c r="V159" s="1050">
        <v>86</v>
      </c>
      <c r="W159" s="1050">
        <v>245</v>
      </c>
    </row>
    <row r="160" spans="1:23" x14ac:dyDescent="0.35">
      <c r="A160" s="972">
        <v>26</v>
      </c>
      <c r="B160" s="527" t="s">
        <v>36</v>
      </c>
      <c r="C160" s="1040"/>
      <c r="D160" s="1040"/>
      <c r="E160" s="1040"/>
      <c r="F160" s="1040"/>
      <c r="G160" s="1040"/>
      <c r="H160" s="1040"/>
      <c r="I160" s="1040"/>
      <c r="J160" s="1040"/>
      <c r="K160" s="1040"/>
      <c r="L160" s="1040"/>
      <c r="M160" s="1040"/>
      <c r="N160" s="1040"/>
      <c r="O160" s="1040"/>
      <c r="P160" s="1040"/>
      <c r="Q160" s="1040"/>
      <c r="R160" s="1040"/>
      <c r="S160" s="1040"/>
      <c r="T160" s="1040"/>
      <c r="U160" s="1040"/>
      <c r="V160" s="1040"/>
      <c r="W160" s="1040"/>
    </row>
    <row r="161" spans="1:23" x14ac:dyDescent="0.35">
      <c r="A161" s="972"/>
      <c r="B161" s="527" t="s">
        <v>912</v>
      </c>
      <c r="C161" s="1040">
        <v>805</v>
      </c>
      <c r="D161" s="1040">
        <v>374</v>
      </c>
      <c r="E161" s="1040">
        <v>1179</v>
      </c>
      <c r="F161" s="1040">
        <v>532</v>
      </c>
      <c r="G161" s="1040">
        <v>361</v>
      </c>
      <c r="H161" s="1040">
        <v>893</v>
      </c>
      <c r="I161" s="1040">
        <v>2062</v>
      </c>
      <c r="J161" s="1040">
        <v>1963</v>
      </c>
      <c r="K161" s="1040">
        <v>4025</v>
      </c>
      <c r="L161" s="1040">
        <v>382</v>
      </c>
      <c r="M161" s="1040">
        <v>608</v>
      </c>
      <c r="N161" s="1040">
        <v>990</v>
      </c>
      <c r="O161" s="1040">
        <v>63</v>
      </c>
      <c r="P161" s="1040">
        <v>65</v>
      </c>
      <c r="Q161" s="1040">
        <v>128</v>
      </c>
      <c r="R161" s="1040">
        <v>3846</v>
      </c>
      <c r="S161" s="1040">
        <v>3373</v>
      </c>
      <c r="T161" s="1040">
        <v>7219</v>
      </c>
      <c r="U161" s="1040">
        <v>2</v>
      </c>
      <c r="V161" s="1040">
        <v>2</v>
      </c>
      <c r="W161" s="1040">
        <v>4</v>
      </c>
    </row>
    <row r="162" spans="1:23" x14ac:dyDescent="0.35">
      <c r="A162" s="972"/>
      <c r="B162" s="528" t="s">
        <v>911</v>
      </c>
      <c r="C162" s="1040">
        <v>742</v>
      </c>
      <c r="D162" s="1040">
        <v>333</v>
      </c>
      <c r="E162" s="1040">
        <v>1075</v>
      </c>
      <c r="F162" s="1040">
        <v>499</v>
      </c>
      <c r="G162" s="1040">
        <v>351</v>
      </c>
      <c r="H162" s="1040">
        <v>850</v>
      </c>
      <c r="I162" s="1040">
        <v>1981</v>
      </c>
      <c r="J162" s="1040">
        <v>1810</v>
      </c>
      <c r="K162" s="1040">
        <v>3791</v>
      </c>
      <c r="L162" s="1040">
        <v>282</v>
      </c>
      <c r="M162" s="1040">
        <v>485</v>
      </c>
      <c r="N162" s="1040">
        <v>767</v>
      </c>
      <c r="O162" s="1040">
        <v>57</v>
      </c>
      <c r="P162" s="1040">
        <v>53</v>
      </c>
      <c r="Q162" s="1040">
        <v>110</v>
      </c>
      <c r="R162" s="1040">
        <v>3561</v>
      </c>
      <c r="S162" s="1040">
        <v>3032</v>
      </c>
      <c r="T162" s="1040">
        <v>6593</v>
      </c>
      <c r="U162" s="1040">
        <v>1</v>
      </c>
      <c r="V162" s="1040"/>
      <c r="W162" s="1040">
        <v>1</v>
      </c>
    </row>
    <row r="163" spans="1:23" x14ac:dyDescent="0.35">
      <c r="A163" s="972"/>
      <c r="B163" s="528" t="s">
        <v>910</v>
      </c>
      <c r="C163" s="1050">
        <v>751</v>
      </c>
      <c r="D163" s="1050">
        <v>328</v>
      </c>
      <c r="E163" s="1050">
        <v>1079</v>
      </c>
      <c r="F163" s="1050">
        <v>528</v>
      </c>
      <c r="G163" s="1050">
        <v>347</v>
      </c>
      <c r="H163" s="1050">
        <v>875</v>
      </c>
      <c r="I163" s="1050">
        <v>2016</v>
      </c>
      <c r="J163" s="1050">
        <v>1768</v>
      </c>
      <c r="K163" s="1050">
        <v>3784</v>
      </c>
      <c r="L163" s="1050">
        <v>306</v>
      </c>
      <c r="M163" s="1050">
        <v>508</v>
      </c>
      <c r="N163" s="1050">
        <v>814</v>
      </c>
      <c r="O163" s="1050">
        <v>52</v>
      </c>
      <c r="P163" s="1050">
        <v>52</v>
      </c>
      <c r="Q163" s="1050">
        <v>104</v>
      </c>
      <c r="R163" s="1050">
        <v>3654</v>
      </c>
      <c r="S163" s="1050">
        <v>3003</v>
      </c>
      <c r="T163" s="1050">
        <v>6657</v>
      </c>
      <c r="U163" s="1050">
        <v>1</v>
      </c>
      <c r="V163" s="1050">
        <v>0</v>
      </c>
      <c r="W163" s="1050">
        <v>1</v>
      </c>
    </row>
    <row r="164" spans="1:23" x14ac:dyDescent="0.35">
      <c r="A164" s="972"/>
      <c r="B164" s="528" t="s">
        <v>909</v>
      </c>
      <c r="C164" s="1050">
        <v>754</v>
      </c>
      <c r="D164" s="1050">
        <v>282</v>
      </c>
      <c r="E164" s="1050">
        <v>1036</v>
      </c>
      <c r="F164" s="1050">
        <v>508</v>
      </c>
      <c r="G164" s="1050">
        <v>352</v>
      </c>
      <c r="H164" s="1050">
        <v>860</v>
      </c>
      <c r="I164" s="1050">
        <v>1941</v>
      </c>
      <c r="J164" s="1050">
        <v>1564</v>
      </c>
      <c r="K164" s="1050">
        <v>3505</v>
      </c>
      <c r="L164" s="1050">
        <v>337</v>
      </c>
      <c r="M164" s="1050">
        <v>551</v>
      </c>
      <c r="N164" s="1050">
        <v>888</v>
      </c>
      <c r="O164" s="1050">
        <v>34</v>
      </c>
      <c r="P164" s="1050">
        <v>45</v>
      </c>
      <c r="Q164" s="1050">
        <v>79</v>
      </c>
      <c r="R164" s="1050">
        <v>3576</v>
      </c>
      <c r="S164" s="1050">
        <v>2795</v>
      </c>
      <c r="T164" s="1050">
        <v>6371</v>
      </c>
      <c r="U164" s="1050">
        <v>2</v>
      </c>
      <c r="V164" s="1050">
        <v>1</v>
      </c>
      <c r="W164" s="1050">
        <v>3</v>
      </c>
    </row>
    <row r="165" spans="1:23" x14ac:dyDescent="0.35">
      <c r="A165" s="972"/>
      <c r="B165" s="528" t="s">
        <v>908</v>
      </c>
      <c r="C165" s="1050">
        <v>648</v>
      </c>
      <c r="D165" s="1050">
        <v>244</v>
      </c>
      <c r="E165" s="1050">
        <v>892</v>
      </c>
      <c r="F165" s="1050">
        <v>464</v>
      </c>
      <c r="G165" s="1050">
        <v>276</v>
      </c>
      <c r="H165" s="1050">
        <v>740</v>
      </c>
      <c r="I165" s="1050">
        <v>1930</v>
      </c>
      <c r="J165" s="1050">
        <v>1486</v>
      </c>
      <c r="K165" s="1050">
        <v>3416</v>
      </c>
      <c r="L165" s="1050">
        <v>298</v>
      </c>
      <c r="M165" s="1050">
        <v>461</v>
      </c>
      <c r="N165" s="1050">
        <v>759</v>
      </c>
      <c r="O165" s="1050">
        <v>33</v>
      </c>
      <c r="P165" s="1050">
        <v>37</v>
      </c>
      <c r="Q165" s="1050">
        <v>70</v>
      </c>
      <c r="R165" s="1050">
        <v>3375</v>
      </c>
      <c r="S165" s="1050">
        <v>2504</v>
      </c>
      <c r="T165" s="1050">
        <v>5879</v>
      </c>
      <c r="U165" s="1050">
        <v>2</v>
      </c>
      <c r="V165" s="1050">
        <v>0</v>
      </c>
      <c r="W165" s="1050">
        <v>2</v>
      </c>
    </row>
    <row r="166" spans="1:23" x14ac:dyDescent="0.35">
      <c r="A166" s="972">
        <v>27</v>
      </c>
      <c r="B166" s="527" t="s">
        <v>37</v>
      </c>
      <c r="C166" s="1040"/>
      <c r="D166" s="1040"/>
      <c r="E166" s="1040"/>
      <c r="F166" s="1040"/>
      <c r="G166" s="1040"/>
      <c r="H166" s="1040"/>
      <c r="I166" s="1040"/>
      <c r="J166" s="1040"/>
      <c r="K166" s="1040"/>
      <c r="L166" s="1040"/>
      <c r="M166" s="1040"/>
      <c r="N166" s="1040"/>
      <c r="O166" s="1040"/>
      <c r="P166" s="1040"/>
      <c r="Q166" s="1040"/>
      <c r="R166" s="1040"/>
      <c r="S166" s="1040"/>
      <c r="T166" s="1040"/>
      <c r="U166" s="1040"/>
      <c r="V166" s="1040"/>
      <c r="W166" s="1040"/>
    </row>
    <row r="167" spans="1:23" x14ac:dyDescent="0.35">
      <c r="A167" s="972"/>
      <c r="B167" s="527" t="s">
        <v>912</v>
      </c>
      <c r="C167" s="1040">
        <v>2723</v>
      </c>
      <c r="D167" s="1040">
        <v>1793</v>
      </c>
      <c r="E167" s="1040">
        <v>4516</v>
      </c>
      <c r="F167" s="1040">
        <v>2238</v>
      </c>
      <c r="G167" s="1040">
        <v>2118</v>
      </c>
      <c r="H167" s="1040">
        <v>4356</v>
      </c>
      <c r="I167" s="1040">
        <v>13487</v>
      </c>
      <c r="J167" s="1040">
        <v>21395</v>
      </c>
      <c r="K167" s="1040">
        <v>34882</v>
      </c>
      <c r="L167" s="1040">
        <v>669</v>
      </c>
      <c r="M167" s="1040">
        <v>4432</v>
      </c>
      <c r="N167" s="1040">
        <v>5101</v>
      </c>
      <c r="O167" s="1040">
        <v>558</v>
      </c>
      <c r="P167" s="1040">
        <v>1390</v>
      </c>
      <c r="Q167" s="1040">
        <v>1948</v>
      </c>
      <c r="R167" s="1040">
        <v>19824</v>
      </c>
      <c r="S167" s="1040">
        <v>31407</v>
      </c>
      <c r="T167" s="1040">
        <v>51231</v>
      </c>
      <c r="U167" s="1040">
        <v>149</v>
      </c>
      <c r="V167" s="1040">
        <v>279</v>
      </c>
      <c r="W167" s="1040">
        <v>428</v>
      </c>
    </row>
    <row r="168" spans="1:23" x14ac:dyDescent="0.35">
      <c r="A168" s="972"/>
      <c r="B168" s="528" t="s">
        <v>911</v>
      </c>
      <c r="C168" s="1040">
        <v>2549</v>
      </c>
      <c r="D168" s="1040">
        <v>1604</v>
      </c>
      <c r="E168" s="1040">
        <v>4153</v>
      </c>
      <c r="F168" s="1040">
        <v>2206</v>
      </c>
      <c r="G168" s="1040">
        <v>2061</v>
      </c>
      <c r="H168" s="1040">
        <v>4267</v>
      </c>
      <c r="I168" s="1040">
        <v>14239</v>
      </c>
      <c r="J168" s="1040">
        <v>21367</v>
      </c>
      <c r="K168" s="1040">
        <v>35606</v>
      </c>
      <c r="L168" s="1040">
        <v>538</v>
      </c>
      <c r="M168" s="1040">
        <v>4204</v>
      </c>
      <c r="N168" s="1040">
        <v>4742</v>
      </c>
      <c r="O168" s="1040">
        <v>473</v>
      </c>
      <c r="P168" s="1040">
        <v>1256</v>
      </c>
      <c r="Q168" s="1040">
        <v>1729</v>
      </c>
      <c r="R168" s="1040">
        <v>20005</v>
      </c>
      <c r="S168" s="1040">
        <v>30492</v>
      </c>
      <c r="T168" s="1040">
        <v>50497</v>
      </c>
      <c r="U168" s="1040">
        <v>180</v>
      </c>
      <c r="V168" s="1040">
        <v>315</v>
      </c>
      <c r="W168" s="1040">
        <v>495</v>
      </c>
    </row>
    <row r="169" spans="1:23" x14ac:dyDescent="0.35">
      <c r="A169" s="972"/>
      <c r="B169" s="528" t="s">
        <v>910</v>
      </c>
      <c r="C169" s="1050">
        <v>2448</v>
      </c>
      <c r="D169" s="1050">
        <v>1517</v>
      </c>
      <c r="E169" s="1050">
        <v>3965</v>
      </c>
      <c r="F169" s="1050">
        <v>2181</v>
      </c>
      <c r="G169" s="1050">
        <v>2038</v>
      </c>
      <c r="H169" s="1050">
        <v>4219</v>
      </c>
      <c r="I169" s="1050">
        <v>14440</v>
      </c>
      <c r="J169" s="1050">
        <v>21226</v>
      </c>
      <c r="K169" s="1050">
        <v>35666</v>
      </c>
      <c r="L169" s="1050">
        <v>545</v>
      </c>
      <c r="M169" s="1050">
        <v>4078</v>
      </c>
      <c r="N169" s="1050">
        <v>4623</v>
      </c>
      <c r="O169" s="1050">
        <v>419</v>
      </c>
      <c r="P169" s="1050">
        <v>1135</v>
      </c>
      <c r="Q169" s="1050">
        <v>1554</v>
      </c>
      <c r="R169" s="1050">
        <v>20217</v>
      </c>
      <c r="S169" s="1050">
        <v>30261</v>
      </c>
      <c r="T169" s="1050">
        <v>50478</v>
      </c>
      <c r="U169" s="1050">
        <v>184</v>
      </c>
      <c r="V169" s="1050">
        <v>267</v>
      </c>
      <c r="W169" s="1050">
        <v>451</v>
      </c>
    </row>
    <row r="170" spans="1:23" x14ac:dyDescent="0.35">
      <c r="A170" s="972"/>
      <c r="B170" s="528" t="s">
        <v>909</v>
      </c>
      <c r="C170" s="1050">
        <v>2407</v>
      </c>
      <c r="D170" s="1050">
        <v>1352</v>
      </c>
      <c r="E170" s="1050">
        <v>3759</v>
      </c>
      <c r="F170" s="1050">
        <v>2189</v>
      </c>
      <c r="G170" s="1050">
        <v>2079</v>
      </c>
      <c r="H170" s="1050">
        <v>4268</v>
      </c>
      <c r="I170" s="1050">
        <v>15309</v>
      </c>
      <c r="J170" s="1050">
        <v>22280</v>
      </c>
      <c r="K170" s="1050">
        <v>37589</v>
      </c>
      <c r="L170" s="1050">
        <v>536</v>
      </c>
      <c r="M170" s="1050">
        <v>3729</v>
      </c>
      <c r="N170" s="1050">
        <v>4265</v>
      </c>
      <c r="O170" s="1050">
        <v>466</v>
      </c>
      <c r="P170" s="1050">
        <v>1238</v>
      </c>
      <c r="Q170" s="1050">
        <v>1704</v>
      </c>
      <c r="R170" s="1050">
        <v>21105</v>
      </c>
      <c r="S170" s="1050">
        <v>30967</v>
      </c>
      <c r="T170" s="1050">
        <v>52072</v>
      </c>
      <c r="U170" s="1050">
        <v>198</v>
      </c>
      <c r="V170" s="1050">
        <v>289</v>
      </c>
      <c r="W170" s="1050">
        <v>487</v>
      </c>
    </row>
    <row r="171" spans="1:23" x14ac:dyDescent="0.35">
      <c r="A171" s="972"/>
      <c r="B171" s="528" t="s">
        <v>908</v>
      </c>
      <c r="C171" s="1050">
        <v>2344</v>
      </c>
      <c r="D171" s="1050">
        <v>1353</v>
      </c>
      <c r="E171" s="1050">
        <v>3697</v>
      </c>
      <c r="F171" s="1050">
        <v>2220</v>
      </c>
      <c r="G171" s="1050">
        <v>2081</v>
      </c>
      <c r="H171" s="1050">
        <v>4301</v>
      </c>
      <c r="I171" s="1050">
        <v>15202</v>
      </c>
      <c r="J171" s="1050">
        <v>21862</v>
      </c>
      <c r="K171" s="1050">
        <v>37064</v>
      </c>
      <c r="L171" s="1050">
        <v>536</v>
      </c>
      <c r="M171" s="1050">
        <v>3787</v>
      </c>
      <c r="N171" s="1050">
        <v>4323</v>
      </c>
      <c r="O171" s="1050">
        <v>423</v>
      </c>
      <c r="P171" s="1050">
        <v>1366</v>
      </c>
      <c r="Q171" s="1050">
        <v>1789</v>
      </c>
      <c r="R171" s="1050">
        <v>20871</v>
      </c>
      <c r="S171" s="1050">
        <v>30704</v>
      </c>
      <c r="T171" s="1050">
        <v>51575</v>
      </c>
      <c r="U171" s="1050">
        <v>146</v>
      </c>
      <c r="V171" s="1050">
        <v>255</v>
      </c>
      <c r="W171" s="1050">
        <v>401</v>
      </c>
    </row>
    <row r="172" spans="1:23" x14ac:dyDescent="0.35">
      <c r="A172" s="972">
        <v>28</v>
      </c>
      <c r="B172" s="527" t="s">
        <v>38</v>
      </c>
      <c r="C172" s="1040"/>
      <c r="D172" s="1040"/>
      <c r="E172" s="1040"/>
      <c r="F172" s="1040"/>
      <c r="G172" s="1040"/>
      <c r="H172" s="1040"/>
      <c r="I172" s="1040"/>
      <c r="J172" s="1040"/>
      <c r="K172" s="1040"/>
      <c r="L172" s="1040"/>
      <c r="M172" s="1040"/>
      <c r="N172" s="1040"/>
      <c r="O172" s="1040"/>
      <c r="P172" s="1040"/>
      <c r="Q172" s="1040"/>
      <c r="R172" s="1040"/>
      <c r="S172" s="1040"/>
      <c r="T172" s="1040"/>
      <c r="U172" s="1040"/>
      <c r="V172" s="1040"/>
      <c r="W172" s="1040"/>
    </row>
    <row r="173" spans="1:23" x14ac:dyDescent="0.35">
      <c r="A173" s="972"/>
      <c r="B173" s="527" t="s">
        <v>912</v>
      </c>
      <c r="C173" s="1040">
        <v>6169</v>
      </c>
      <c r="D173" s="1040">
        <v>2534</v>
      </c>
      <c r="E173" s="1040">
        <v>8703</v>
      </c>
      <c r="F173" s="1040">
        <v>4546</v>
      </c>
      <c r="G173" s="1040">
        <v>2705</v>
      </c>
      <c r="H173" s="1040">
        <v>7251</v>
      </c>
      <c r="I173" s="1040">
        <v>41303</v>
      </c>
      <c r="J173" s="1040">
        <v>24412</v>
      </c>
      <c r="K173" s="1040">
        <v>65715</v>
      </c>
      <c r="L173" s="1040">
        <v>3050</v>
      </c>
      <c r="M173" s="1040">
        <v>1380</v>
      </c>
      <c r="N173" s="1040">
        <v>4430</v>
      </c>
      <c r="O173" s="1040">
        <v>785</v>
      </c>
      <c r="P173" s="1040">
        <v>462</v>
      </c>
      <c r="Q173" s="1040">
        <v>1247</v>
      </c>
      <c r="R173" s="1040">
        <v>55991</v>
      </c>
      <c r="S173" s="1040">
        <v>31584</v>
      </c>
      <c r="T173" s="1040">
        <v>87575</v>
      </c>
      <c r="U173" s="1040">
        <v>138</v>
      </c>
      <c r="V173" s="1040">
        <v>91</v>
      </c>
      <c r="W173" s="1040">
        <v>229</v>
      </c>
    </row>
    <row r="174" spans="1:23" x14ac:dyDescent="0.35">
      <c r="A174" s="972"/>
      <c r="B174" s="528" t="s">
        <v>911</v>
      </c>
      <c r="C174" s="1040">
        <v>5510</v>
      </c>
      <c r="D174" s="1040">
        <v>2235</v>
      </c>
      <c r="E174" s="1040">
        <v>7745</v>
      </c>
      <c r="F174" s="1040">
        <v>4493</v>
      </c>
      <c r="G174" s="1040">
        <v>2795</v>
      </c>
      <c r="H174" s="1040">
        <v>7288</v>
      </c>
      <c r="I174" s="1040">
        <v>39389</v>
      </c>
      <c r="J174" s="1040">
        <v>23318</v>
      </c>
      <c r="K174" s="1040">
        <v>62707</v>
      </c>
      <c r="L174" s="1040">
        <v>2849</v>
      </c>
      <c r="M174" s="1040">
        <v>1269</v>
      </c>
      <c r="N174" s="1040">
        <v>4118</v>
      </c>
      <c r="O174" s="1040">
        <v>668</v>
      </c>
      <c r="P174" s="1040">
        <v>368</v>
      </c>
      <c r="Q174" s="1040">
        <v>1036</v>
      </c>
      <c r="R174" s="1040">
        <v>52909</v>
      </c>
      <c r="S174" s="1040">
        <v>29985</v>
      </c>
      <c r="T174" s="1040">
        <v>82894</v>
      </c>
      <c r="U174" s="1040">
        <v>174</v>
      </c>
      <c r="V174" s="1040">
        <v>124</v>
      </c>
      <c r="W174" s="1040">
        <v>298</v>
      </c>
    </row>
    <row r="175" spans="1:23" x14ac:dyDescent="0.35">
      <c r="A175" s="972"/>
      <c r="B175" s="528" t="s">
        <v>910</v>
      </c>
      <c r="C175" s="1050">
        <v>5528</v>
      </c>
      <c r="D175" s="1050">
        <v>2113</v>
      </c>
      <c r="E175" s="1050">
        <v>7641</v>
      </c>
      <c r="F175" s="1050">
        <v>4555</v>
      </c>
      <c r="G175" s="1050">
        <v>2778</v>
      </c>
      <c r="H175" s="1050">
        <v>7333</v>
      </c>
      <c r="I175" s="1050">
        <v>37771</v>
      </c>
      <c r="J175" s="1050">
        <v>22511</v>
      </c>
      <c r="K175" s="1050">
        <v>60282</v>
      </c>
      <c r="L175" s="1050">
        <v>2794</v>
      </c>
      <c r="M175" s="1050">
        <v>1245</v>
      </c>
      <c r="N175" s="1050">
        <v>4039</v>
      </c>
      <c r="O175" s="1050">
        <v>555</v>
      </c>
      <c r="P175" s="1050">
        <v>298</v>
      </c>
      <c r="Q175" s="1050">
        <v>853</v>
      </c>
      <c r="R175" s="1050">
        <v>51359</v>
      </c>
      <c r="S175" s="1050">
        <v>29061</v>
      </c>
      <c r="T175" s="1050">
        <v>80420</v>
      </c>
      <c r="U175" s="1050">
        <v>156</v>
      </c>
      <c r="V175" s="1050">
        <v>116</v>
      </c>
      <c r="W175" s="1050">
        <v>272</v>
      </c>
    </row>
    <row r="176" spans="1:23" x14ac:dyDescent="0.35">
      <c r="A176" s="972"/>
      <c r="B176" s="528" t="s">
        <v>909</v>
      </c>
      <c r="C176" s="1050">
        <v>5152</v>
      </c>
      <c r="D176" s="1050">
        <v>1913</v>
      </c>
      <c r="E176" s="1050">
        <v>7065</v>
      </c>
      <c r="F176" s="1050">
        <v>4322</v>
      </c>
      <c r="G176" s="1050">
        <v>2797</v>
      </c>
      <c r="H176" s="1050">
        <v>7119</v>
      </c>
      <c r="I176" s="1050">
        <v>36311</v>
      </c>
      <c r="J176" s="1050">
        <v>22011</v>
      </c>
      <c r="K176" s="1050">
        <v>58322</v>
      </c>
      <c r="L176" s="1050">
        <v>2575</v>
      </c>
      <c r="M176" s="1050">
        <v>1206</v>
      </c>
      <c r="N176" s="1050">
        <v>3781</v>
      </c>
      <c r="O176" s="1050">
        <v>515</v>
      </c>
      <c r="P176" s="1050">
        <v>295</v>
      </c>
      <c r="Q176" s="1050">
        <v>810</v>
      </c>
      <c r="R176" s="1050">
        <v>49032</v>
      </c>
      <c r="S176" s="1050">
        <v>28345</v>
      </c>
      <c r="T176" s="1050">
        <v>77377</v>
      </c>
      <c r="U176" s="1050">
        <v>157</v>
      </c>
      <c r="V176" s="1050">
        <v>123</v>
      </c>
      <c r="W176" s="1050">
        <v>280</v>
      </c>
    </row>
    <row r="177" spans="1:25" x14ac:dyDescent="0.35">
      <c r="A177" s="972"/>
      <c r="B177" s="528" t="s">
        <v>908</v>
      </c>
      <c r="C177" s="1050">
        <v>4689</v>
      </c>
      <c r="D177" s="1050">
        <v>1678</v>
      </c>
      <c r="E177" s="1050">
        <v>6367</v>
      </c>
      <c r="F177" s="1050">
        <v>3866</v>
      </c>
      <c r="G177" s="1050">
        <v>2468</v>
      </c>
      <c r="H177" s="1050">
        <v>6334</v>
      </c>
      <c r="I177" s="1050">
        <v>33600</v>
      </c>
      <c r="J177" s="1050">
        <v>20306</v>
      </c>
      <c r="K177" s="1050">
        <v>53906</v>
      </c>
      <c r="L177" s="1050">
        <v>2309</v>
      </c>
      <c r="M177" s="1050">
        <v>1111</v>
      </c>
      <c r="N177" s="1050">
        <v>3420</v>
      </c>
      <c r="O177" s="1050">
        <v>474</v>
      </c>
      <c r="P177" s="1050">
        <v>313</v>
      </c>
      <c r="Q177" s="1050">
        <v>787</v>
      </c>
      <c r="R177" s="1050">
        <v>45110</v>
      </c>
      <c r="S177" s="1050">
        <v>25978</v>
      </c>
      <c r="T177" s="1050">
        <v>71088</v>
      </c>
      <c r="U177" s="1050">
        <v>172</v>
      </c>
      <c r="V177" s="1050">
        <v>102</v>
      </c>
      <c r="W177" s="1050">
        <v>274</v>
      </c>
    </row>
    <row r="178" spans="1:25" x14ac:dyDescent="0.35">
      <c r="A178" s="972">
        <v>29</v>
      </c>
      <c r="B178" s="527" t="s">
        <v>39</v>
      </c>
      <c r="C178" s="1040"/>
      <c r="D178" s="1040"/>
      <c r="E178" s="1040"/>
      <c r="F178" s="1040"/>
      <c r="G178" s="1040"/>
      <c r="H178" s="1040"/>
      <c r="I178" s="1040"/>
      <c r="J178" s="1040"/>
      <c r="K178" s="1040"/>
      <c r="L178" s="1040"/>
      <c r="M178" s="1040"/>
      <c r="N178" s="1040"/>
      <c r="O178" s="1040"/>
      <c r="P178" s="1040"/>
      <c r="Q178" s="1040"/>
      <c r="R178" s="1040"/>
      <c r="S178" s="1040"/>
      <c r="T178" s="1040"/>
      <c r="U178" s="1040"/>
      <c r="V178" s="1040"/>
      <c r="W178" s="1040"/>
    </row>
    <row r="179" spans="1:25" x14ac:dyDescent="0.35">
      <c r="A179" s="972"/>
      <c r="B179" s="527" t="s">
        <v>912</v>
      </c>
      <c r="C179" s="1040">
        <v>71</v>
      </c>
      <c r="D179" s="1040">
        <v>30</v>
      </c>
      <c r="E179" s="1040">
        <v>101</v>
      </c>
      <c r="F179" s="1040">
        <v>133</v>
      </c>
      <c r="G179" s="1040">
        <v>54</v>
      </c>
      <c r="H179" s="1040">
        <v>187</v>
      </c>
      <c r="I179" s="1040">
        <v>675</v>
      </c>
      <c r="J179" s="1040">
        <v>526</v>
      </c>
      <c r="K179" s="1040">
        <v>1201</v>
      </c>
      <c r="L179" s="1040">
        <v>19</v>
      </c>
      <c r="M179" s="1040">
        <v>42</v>
      </c>
      <c r="N179" s="1040">
        <v>61</v>
      </c>
      <c r="O179" s="1040">
        <v>9</v>
      </c>
      <c r="P179" s="1040">
        <v>11</v>
      </c>
      <c r="Q179" s="1040">
        <v>20</v>
      </c>
      <c r="R179" s="1040">
        <v>907</v>
      </c>
      <c r="S179" s="1040">
        <v>665</v>
      </c>
      <c r="T179" s="1040">
        <v>1572</v>
      </c>
      <c r="U179" s="1040"/>
      <c r="V179" s="1040">
        <v>2</v>
      </c>
      <c r="W179" s="1040">
        <v>2</v>
      </c>
    </row>
    <row r="180" spans="1:25" x14ac:dyDescent="0.35">
      <c r="A180" s="972"/>
      <c r="B180" s="528" t="s">
        <v>911</v>
      </c>
      <c r="C180" s="1040">
        <v>77</v>
      </c>
      <c r="D180" s="1040">
        <v>28</v>
      </c>
      <c r="E180" s="1040">
        <v>105</v>
      </c>
      <c r="F180" s="1040">
        <v>117</v>
      </c>
      <c r="G180" s="1040">
        <v>54</v>
      </c>
      <c r="H180" s="1040">
        <v>171</v>
      </c>
      <c r="I180" s="1040">
        <v>665</v>
      </c>
      <c r="J180" s="1040">
        <v>480</v>
      </c>
      <c r="K180" s="1040">
        <v>1145</v>
      </c>
      <c r="L180" s="1040">
        <v>25</v>
      </c>
      <c r="M180" s="1040">
        <v>46</v>
      </c>
      <c r="N180" s="1040">
        <v>71</v>
      </c>
      <c r="O180" s="1040">
        <v>7</v>
      </c>
      <c r="P180" s="1040">
        <v>9</v>
      </c>
      <c r="Q180" s="1040">
        <v>16</v>
      </c>
      <c r="R180" s="1040">
        <v>891</v>
      </c>
      <c r="S180" s="1040">
        <v>617</v>
      </c>
      <c r="T180" s="1040">
        <v>1508</v>
      </c>
      <c r="U180" s="1040"/>
      <c r="V180" s="1040">
        <v>1</v>
      </c>
      <c r="W180" s="1040">
        <v>1</v>
      </c>
    </row>
    <row r="181" spans="1:25" x14ac:dyDescent="0.35">
      <c r="A181" s="972"/>
      <c r="B181" s="528" t="s">
        <v>910</v>
      </c>
      <c r="C181" s="1050">
        <v>97</v>
      </c>
      <c r="D181" s="1050">
        <v>32</v>
      </c>
      <c r="E181" s="1050">
        <v>129</v>
      </c>
      <c r="F181" s="1050">
        <v>137</v>
      </c>
      <c r="G181" s="1050">
        <v>62</v>
      </c>
      <c r="H181" s="1050">
        <v>199</v>
      </c>
      <c r="I181" s="1050">
        <v>728</v>
      </c>
      <c r="J181" s="1050">
        <v>550</v>
      </c>
      <c r="K181" s="1050">
        <v>1278</v>
      </c>
      <c r="L181" s="1050">
        <v>25</v>
      </c>
      <c r="M181" s="1050">
        <v>75</v>
      </c>
      <c r="N181" s="1050">
        <v>100</v>
      </c>
      <c r="O181" s="1050">
        <v>6</v>
      </c>
      <c r="P181" s="1050">
        <v>7</v>
      </c>
      <c r="Q181" s="1050">
        <v>13</v>
      </c>
      <c r="R181" s="1050">
        <v>996</v>
      </c>
      <c r="S181" s="1050">
        <v>728</v>
      </c>
      <c r="T181" s="1050">
        <v>1724</v>
      </c>
      <c r="U181" s="1050">
        <v>3</v>
      </c>
      <c r="V181" s="1050">
        <v>2</v>
      </c>
      <c r="W181" s="1050">
        <v>5</v>
      </c>
    </row>
    <row r="182" spans="1:25" x14ac:dyDescent="0.35">
      <c r="A182" s="972"/>
      <c r="B182" s="528" t="s">
        <v>909</v>
      </c>
      <c r="C182" s="1050">
        <v>101</v>
      </c>
      <c r="D182" s="1050">
        <v>29</v>
      </c>
      <c r="E182" s="1050">
        <v>130</v>
      </c>
      <c r="F182" s="1050">
        <v>132</v>
      </c>
      <c r="G182" s="1050">
        <v>59</v>
      </c>
      <c r="H182" s="1050">
        <v>191</v>
      </c>
      <c r="I182" s="1050">
        <v>729</v>
      </c>
      <c r="J182" s="1050">
        <v>537</v>
      </c>
      <c r="K182" s="1050">
        <v>1266</v>
      </c>
      <c r="L182" s="1050">
        <v>26</v>
      </c>
      <c r="M182" s="1050">
        <v>52</v>
      </c>
      <c r="N182" s="1050">
        <v>78</v>
      </c>
      <c r="O182" s="1050">
        <v>8</v>
      </c>
      <c r="P182" s="1050">
        <v>30</v>
      </c>
      <c r="Q182" s="1050">
        <v>38</v>
      </c>
      <c r="R182" s="1050">
        <v>1000</v>
      </c>
      <c r="S182" s="1050">
        <v>711</v>
      </c>
      <c r="T182" s="1050">
        <v>1711</v>
      </c>
      <c r="U182" s="1050">
        <v>4</v>
      </c>
      <c r="V182" s="1050">
        <v>4</v>
      </c>
      <c r="W182" s="1050">
        <v>8</v>
      </c>
    </row>
    <row r="183" spans="1:25" ht="15.75" customHeight="1" x14ac:dyDescent="0.35">
      <c r="A183" s="972"/>
      <c r="B183" s="528" t="s">
        <v>908</v>
      </c>
      <c r="C183" s="1050">
        <v>97</v>
      </c>
      <c r="D183" s="1050">
        <v>29</v>
      </c>
      <c r="E183" s="1050">
        <v>126</v>
      </c>
      <c r="F183" s="1050">
        <v>115</v>
      </c>
      <c r="G183" s="1050">
        <v>49</v>
      </c>
      <c r="H183" s="1050">
        <v>164</v>
      </c>
      <c r="I183" s="1050">
        <v>676</v>
      </c>
      <c r="J183" s="1050">
        <v>484</v>
      </c>
      <c r="K183" s="1050">
        <v>1160</v>
      </c>
      <c r="L183" s="1050">
        <v>30</v>
      </c>
      <c r="M183" s="1050">
        <v>62</v>
      </c>
      <c r="N183" s="1050">
        <v>92</v>
      </c>
      <c r="O183" s="1050">
        <v>6</v>
      </c>
      <c r="P183" s="1050">
        <v>7</v>
      </c>
      <c r="Q183" s="1050">
        <v>13</v>
      </c>
      <c r="R183" s="1050">
        <v>929</v>
      </c>
      <c r="S183" s="1050">
        <v>635</v>
      </c>
      <c r="T183" s="1050">
        <v>1564</v>
      </c>
      <c r="U183" s="1050">
        <v>5</v>
      </c>
      <c r="V183" s="1050">
        <v>4</v>
      </c>
      <c r="W183" s="1050">
        <v>9</v>
      </c>
    </row>
    <row r="184" spans="1:25" x14ac:dyDescent="0.35">
      <c r="A184" s="972">
        <v>30</v>
      </c>
      <c r="B184" s="527" t="s">
        <v>40</v>
      </c>
      <c r="C184" s="1040"/>
      <c r="D184" s="1040"/>
      <c r="E184" s="1040"/>
      <c r="F184" s="1040"/>
      <c r="G184" s="1040"/>
      <c r="H184" s="1040"/>
      <c r="I184" s="1040"/>
      <c r="J184" s="1040"/>
      <c r="K184" s="1040"/>
      <c r="L184" s="1040"/>
      <c r="M184" s="1040"/>
      <c r="N184" s="1040"/>
      <c r="O184" s="1040"/>
      <c r="P184" s="1040"/>
      <c r="Q184" s="1040"/>
      <c r="R184" s="1040"/>
      <c r="S184" s="1040"/>
      <c r="T184" s="1040"/>
      <c r="U184" s="1040"/>
      <c r="V184" s="1040"/>
      <c r="W184" s="1040"/>
    </row>
    <row r="185" spans="1:25" x14ac:dyDescent="0.35">
      <c r="A185" s="972"/>
      <c r="B185" s="527" t="s">
        <v>912</v>
      </c>
      <c r="C185" s="1040">
        <v>12066</v>
      </c>
      <c r="D185" s="1040">
        <v>6626</v>
      </c>
      <c r="E185" s="1040">
        <v>18692</v>
      </c>
      <c r="F185" s="1040">
        <v>12485</v>
      </c>
      <c r="G185" s="1040">
        <v>9800</v>
      </c>
      <c r="H185" s="1040">
        <v>22285</v>
      </c>
      <c r="I185" s="1040">
        <v>73700</v>
      </c>
      <c r="J185" s="1040">
        <v>82925</v>
      </c>
      <c r="K185" s="1040">
        <v>156625</v>
      </c>
      <c r="L185" s="1040">
        <v>2895</v>
      </c>
      <c r="M185" s="1040">
        <v>7112</v>
      </c>
      <c r="N185" s="1040">
        <v>10007</v>
      </c>
      <c r="O185" s="1040">
        <v>3073</v>
      </c>
      <c r="P185" s="1040">
        <v>4012</v>
      </c>
      <c r="Q185" s="1040">
        <v>7085</v>
      </c>
      <c r="R185" s="1040">
        <v>104549</v>
      </c>
      <c r="S185" s="1040">
        <v>110678</v>
      </c>
      <c r="T185" s="1040">
        <v>215227</v>
      </c>
      <c r="U185" s="1040">
        <v>330</v>
      </c>
      <c r="V185" s="1040">
        <v>203</v>
      </c>
      <c r="W185" s="1040">
        <v>533</v>
      </c>
    </row>
    <row r="186" spans="1:25" x14ac:dyDescent="0.35">
      <c r="A186" s="972"/>
      <c r="B186" s="528" t="s">
        <v>911</v>
      </c>
      <c r="C186" s="1040">
        <v>11861</v>
      </c>
      <c r="D186" s="1040">
        <v>6432</v>
      </c>
      <c r="E186" s="1040">
        <v>18293</v>
      </c>
      <c r="F186" s="1040">
        <v>12005</v>
      </c>
      <c r="G186" s="1040">
        <v>9051</v>
      </c>
      <c r="H186" s="1040">
        <v>21056</v>
      </c>
      <c r="I186" s="1040">
        <v>74008</v>
      </c>
      <c r="J186" s="1040">
        <v>80006</v>
      </c>
      <c r="K186" s="1040">
        <v>154014</v>
      </c>
      <c r="L186" s="1040">
        <v>2633</v>
      </c>
      <c r="M186" s="1040">
        <v>6319</v>
      </c>
      <c r="N186" s="1040">
        <v>8952</v>
      </c>
      <c r="O186" s="1040">
        <v>2621</v>
      </c>
      <c r="P186" s="1040">
        <v>3302</v>
      </c>
      <c r="Q186" s="1040">
        <v>5923</v>
      </c>
      <c r="R186" s="1040">
        <v>103128</v>
      </c>
      <c r="S186" s="1040">
        <v>105110</v>
      </c>
      <c r="T186" s="1040">
        <v>208238</v>
      </c>
      <c r="U186" s="1040">
        <v>288</v>
      </c>
      <c r="V186" s="1040">
        <v>210</v>
      </c>
      <c r="W186" s="1040">
        <v>498</v>
      </c>
    </row>
    <row r="187" spans="1:25" ht="14.5" customHeight="1" x14ac:dyDescent="0.35">
      <c r="A187" s="972"/>
      <c r="B187" s="528" t="s">
        <v>910</v>
      </c>
      <c r="C187" s="1050">
        <v>11698</v>
      </c>
      <c r="D187" s="1050">
        <v>6208</v>
      </c>
      <c r="E187" s="1050">
        <v>17906</v>
      </c>
      <c r="F187" s="1050">
        <v>11938</v>
      </c>
      <c r="G187" s="1050">
        <v>9102</v>
      </c>
      <c r="H187" s="1050">
        <v>21040</v>
      </c>
      <c r="I187" s="1050">
        <v>73391</v>
      </c>
      <c r="J187" s="1050">
        <v>77627</v>
      </c>
      <c r="K187" s="1050">
        <v>151018</v>
      </c>
      <c r="L187" s="1050">
        <v>2302</v>
      </c>
      <c r="M187" s="1050">
        <v>5626</v>
      </c>
      <c r="N187" s="1050">
        <v>7928</v>
      </c>
      <c r="O187" s="1050">
        <v>2247</v>
      </c>
      <c r="P187" s="1050">
        <v>2779</v>
      </c>
      <c r="Q187" s="1050">
        <v>5026</v>
      </c>
      <c r="R187" s="1050">
        <v>101876</v>
      </c>
      <c r="S187" s="1050">
        <v>101539</v>
      </c>
      <c r="T187" s="1050">
        <v>203415</v>
      </c>
      <c r="U187" s="1050">
        <v>300</v>
      </c>
      <c r="V187" s="1050">
        <v>197</v>
      </c>
      <c r="W187" s="1050">
        <v>497</v>
      </c>
      <c r="X187" s="531"/>
      <c r="Y187" s="531"/>
    </row>
    <row r="188" spans="1:25" ht="13.75" customHeight="1" x14ac:dyDescent="0.35">
      <c r="A188" s="972"/>
      <c r="B188" s="528" t="s">
        <v>909</v>
      </c>
      <c r="C188" s="1050">
        <v>11804</v>
      </c>
      <c r="D188" s="1050">
        <v>5628</v>
      </c>
      <c r="E188" s="1050">
        <v>17432</v>
      </c>
      <c r="F188" s="1050">
        <v>11581</v>
      </c>
      <c r="G188" s="1050">
        <v>8847</v>
      </c>
      <c r="H188" s="1050">
        <v>20428</v>
      </c>
      <c r="I188" s="1050">
        <v>74366</v>
      </c>
      <c r="J188" s="1050">
        <v>77009</v>
      </c>
      <c r="K188" s="1050">
        <v>151375</v>
      </c>
      <c r="L188" s="1050">
        <v>2286</v>
      </c>
      <c r="M188" s="1050">
        <v>5484</v>
      </c>
      <c r="N188" s="1050">
        <v>7770</v>
      </c>
      <c r="O188" s="1050">
        <v>2223</v>
      </c>
      <c r="P188" s="1050">
        <v>2512</v>
      </c>
      <c r="Q188" s="1050">
        <v>4735</v>
      </c>
      <c r="R188" s="1050">
        <v>102469</v>
      </c>
      <c r="S188" s="1050">
        <v>99616</v>
      </c>
      <c r="T188" s="1050">
        <v>202085</v>
      </c>
      <c r="U188" s="1050">
        <v>209</v>
      </c>
      <c r="V188" s="1050">
        <v>136</v>
      </c>
      <c r="W188" s="1050">
        <v>345</v>
      </c>
      <c r="X188" s="532"/>
      <c r="Y188" s="532"/>
    </row>
    <row r="189" spans="1:25" ht="13.75" customHeight="1" x14ac:dyDescent="0.35">
      <c r="A189" s="972"/>
      <c r="B189" s="528" t="s">
        <v>908</v>
      </c>
      <c r="C189" s="1050">
        <v>10975</v>
      </c>
      <c r="D189" s="1050">
        <v>5162</v>
      </c>
      <c r="E189" s="1050">
        <v>16137</v>
      </c>
      <c r="F189" s="1050">
        <v>11262</v>
      </c>
      <c r="G189" s="1050">
        <v>8260</v>
      </c>
      <c r="H189" s="1050">
        <v>19522</v>
      </c>
      <c r="I189" s="1050">
        <v>73693</v>
      </c>
      <c r="J189" s="1050">
        <v>74475</v>
      </c>
      <c r="K189" s="1050">
        <v>148168</v>
      </c>
      <c r="L189" s="1050">
        <v>2159</v>
      </c>
      <c r="M189" s="1050">
        <v>5299</v>
      </c>
      <c r="N189" s="1050">
        <v>7458</v>
      </c>
      <c r="O189" s="1050">
        <v>2206</v>
      </c>
      <c r="P189" s="1050">
        <v>2274</v>
      </c>
      <c r="Q189" s="1050">
        <v>4480</v>
      </c>
      <c r="R189" s="1050">
        <v>100433</v>
      </c>
      <c r="S189" s="1050">
        <v>95560</v>
      </c>
      <c r="T189" s="1050">
        <v>195993</v>
      </c>
      <c r="U189" s="1050">
        <v>138</v>
      </c>
      <c r="V189" s="1050">
        <v>90</v>
      </c>
      <c r="W189" s="1050">
        <v>228</v>
      </c>
      <c r="X189" s="532"/>
      <c r="Y189" s="532"/>
    </row>
    <row r="190" spans="1:25" ht="13.75" customHeight="1" x14ac:dyDescent="0.35">
      <c r="A190" s="972">
        <v>31</v>
      </c>
      <c r="B190" s="527" t="s">
        <v>41</v>
      </c>
      <c r="C190" s="1040"/>
      <c r="D190" s="1040"/>
      <c r="E190" s="1040"/>
      <c r="F190" s="1040"/>
      <c r="G190" s="1040"/>
      <c r="H190" s="1040"/>
      <c r="I190" s="1040"/>
      <c r="J190" s="1040"/>
      <c r="K190" s="1040"/>
      <c r="L190" s="1040"/>
      <c r="M190" s="1040"/>
      <c r="N190" s="1040"/>
      <c r="O190" s="1040"/>
      <c r="P190" s="1040"/>
      <c r="Q190" s="1040"/>
      <c r="R190" s="1040"/>
      <c r="S190" s="1040"/>
      <c r="T190" s="1040"/>
      <c r="U190" s="1040"/>
      <c r="V190" s="1040"/>
      <c r="W190" s="1040"/>
      <c r="X190" s="532"/>
      <c r="Y190" s="532"/>
    </row>
    <row r="191" spans="1:25" ht="13.75" customHeight="1" x14ac:dyDescent="0.35">
      <c r="A191" s="972"/>
      <c r="B191" s="527" t="s">
        <v>912</v>
      </c>
      <c r="C191" s="1040">
        <v>5426</v>
      </c>
      <c r="D191" s="1040">
        <v>1994</v>
      </c>
      <c r="E191" s="1040">
        <v>7420</v>
      </c>
      <c r="F191" s="1040">
        <v>5192</v>
      </c>
      <c r="G191" s="1040">
        <v>2975</v>
      </c>
      <c r="H191" s="1040">
        <v>8167</v>
      </c>
      <c r="I191" s="1040">
        <v>33062</v>
      </c>
      <c r="J191" s="1040">
        <v>27153</v>
      </c>
      <c r="K191" s="1040">
        <v>60215</v>
      </c>
      <c r="L191" s="1040">
        <v>1214</v>
      </c>
      <c r="M191" s="1040">
        <v>2759</v>
      </c>
      <c r="N191" s="1040">
        <v>3973</v>
      </c>
      <c r="O191" s="1040">
        <v>1580</v>
      </c>
      <c r="P191" s="1040">
        <v>1305</v>
      </c>
      <c r="Q191" s="1040">
        <v>2885</v>
      </c>
      <c r="R191" s="1040">
        <v>46541</v>
      </c>
      <c r="S191" s="1040">
        <v>36211</v>
      </c>
      <c r="T191" s="1040">
        <v>82752</v>
      </c>
      <c r="U191" s="1040">
        <v>67</v>
      </c>
      <c r="V191" s="1040">
        <v>25</v>
      </c>
      <c r="W191" s="1040">
        <v>92</v>
      </c>
      <c r="X191" s="532"/>
      <c r="Y191" s="532"/>
    </row>
    <row r="192" spans="1:25" ht="13.75" customHeight="1" x14ac:dyDescent="0.35">
      <c r="A192" s="972"/>
      <c r="B192" s="528" t="s">
        <v>911</v>
      </c>
      <c r="C192" s="1040">
        <v>5622</v>
      </c>
      <c r="D192" s="1040">
        <v>1921</v>
      </c>
      <c r="E192" s="1040">
        <v>7543</v>
      </c>
      <c r="F192" s="1040">
        <v>5132</v>
      </c>
      <c r="G192" s="1040">
        <v>2990</v>
      </c>
      <c r="H192" s="1040">
        <v>8122</v>
      </c>
      <c r="I192" s="1040">
        <v>35041</v>
      </c>
      <c r="J192" s="1040">
        <v>26885</v>
      </c>
      <c r="K192" s="1040">
        <v>61926</v>
      </c>
      <c r="L192" s="1040">
        <v>1179</v>
      </c>
      <c r="M192" s="1040">
        <v>2528</v>
      </c>
      <c r="N192" s="1040">
        <v>3707</v>
      </c>
      <c r="O192" s="1040">
        <v>1500</v>
      </c>
      <c r="P192" s="1040">
        <v>1152</v>
      </c>
      <c r="Q192" s="1040">
        <v>2652</v>
      </c>
      <c r="R192" s="1040">
        <v>48474</v>
      </c>
      <c r="S192" s="1040">
        <v>35476</v>
      </c>
      <c r="T192" s="1040">
        <v>83950</v>
      </c>
      <c r="U192" s="1040">
        <v>96</v>
      </c>
      <c r="V192" s="1040">
        <v>40</v>
      </c>
      <c r="W192" s="1040">
        <v>136</v>
      </c>
      <c r="X192" s="532"/>
      <c r="Y192" s="532"/>
    </row>
    <row r="193" spans="1:25" ht="13.75" customHeight="1" x14ac:dyDescent="0.35">
      <c r="A193" s="972"/>
      <c r="B193" s="528" t="s">
        <v>910</v>
      </c>
      <c r="C193" s="1050">
        <v>5597</v>
      </c>
      <c r="D193" s="1050">
        <v>1828</v>
      </c>
      <c r="E193" s="1050">
        <v>7425</v>
      </c>
      <c r="F193" s="1050">
        <v>4884</v>
      </c>
      <c r="G193" s="1050">
        <v>2783</v>
      </c>
      <c r="H193" s="1050">
        <v>7667</v>
      </c>
      <c r="I193" s="1050">
        <v>36181</v>
      </c>
      <c r="J193" s="1050">
        <v>26353</v>
      </c>
      <c r="K193" s="1050">
        <v>62534</v>
      </c>
      <c r="L193" s="1050">
        <v>778</v>
      </c>
      <c r="M193" s="1050">
        <v>2258</v>
      </c>
      <c r="N193" s="1050">
        <v>3036</v>
      </c>
      <c r="O193" s="1050">
        <v>1387</v>
      </c>
      <c r="P193" s="1050">
        <v>951</v>
      </c>
      <c r="Q193" s="1050">
        <v>2338</v>
      </c>
      <c r="R193" s="1050">
        <v>48909</v>
      </c>
      <c r="S193" s="1050">
        <v>34205</v>
      </c>
      <c r="T193" s="1050">
        <v>83114</v>
      </c>
      <c r="U193" s="1050">
        <v>82</v>
      </c>
      <c r="V193" s="1050">
        <v>32</v>
      </c>
      <c r="W193" s="1050">
        <v>114</v>
      </c>
      <c r="X193" s="532"/>
      <c r="Y193" s="532"/>
    </row>
    <row r="194" spans="1:25" ht="13.75" customHeight="1" x14ac:dyDescent="0.35">
      <c r="A194" s="972"/>
      <c r="B194" s="528" t="s">
        <v>909</v>
      </c>
      <c r="C194" s="1050">
        <v>5482</v>
      </c>
      <c r="D194" s="1050">
        <v>1708</v>
      </c>
      <c r="E194" s="1050">
        <v>7190</v>
      </c>
      <c r="F194" s="1050">
        <v>4715</v>
      </c>
      <c r="G194" s="1050">
        <v>2729</v>
      </c>
      <c r="H194" s="1050">
        <v>7444</v>
      </c>
      <c r="I194" s="1050">
        <v>36653</v>
      </c>
      <c r="J194" s="1050">
        <v>25470</v>
      </c>
      <c r="K194" s="1050">
        <v>62123</v>
      </c>
      <c r="L194" s="1050">
        <v>888</v>
      </c>
      <c r="M194" s="1050">
        <v>2319</v>
      </c>
      <c r="N194" s="1050">
        <v>3207</v>
      </c>
      <c r="O194" s="1050">
        <v>1535</v>
      </c>
      <c r="P194" s="1050">
        <v>1086</v>
      </c>
      <c r="Q194" s="1050">
        <v>2621</v>
      </c>
      <c r="R194" s="1050">
        <v>49351</v>
      </c>
      <c r="S194" s="1050">
        <v>33352</v>
      </c>
      <c r="T194" s="1050">
        <v>82703</v>
      </c>
      <c r="U194" s="1050">
        <v>78</v>
      </c>
      <c r="V194" s="1050">
        <v>40</v>
      </c>
      <c r="W194" s="1050">
        <v>118</v>
      </c>
      <c r="X194" s="532"/>
      <c r="Y194" s="532"/>
    </row>
    <row r="195" spans="1:25" ht="13.75" customHeight="1" x14ac:dyDescent="0.35">
      <c r="A195" s="972"/>
      <c r="B195" s="528" t="s">
        <v>908</v>
      </c>
      <c r="C195" s="1050">
        <v>5261</v>
      </c>
      <c r="D195" s="1050">
        <v>1556</v>
      </c>
      <c r="E195" s="1050">
        <v>6817</v>
      </c>
      <c r="F195" s="1050">
        <v>4356</v>
      </c>
      <c r="G195" s="1050">
        <v>2432</v>
      </c>
      <c r="H195" s="1050">
        <v>6788</v>
      </c>
      <c r="I195" s="1050">
        <v>36881</v>
      </c>
      <c r="J195" s="1050">
        <v>24506</v>
      </c>
      <c r="K195" s="1050">
        <v>61387</v>
      </c>
      <c r="L195" s="1050">
        <v>658</v>
      </c>
      <c r="M195" s="1050">
        <v>1890</v>
      </c>
      <c r="N195" s="1050">
        <v>2548</v>
      </c>
      <c r="O195" s="1050">
        <v>1532</v>
      </c>
      <c r="P195" s="1050">
        <v>1130</v>
      </c>
      <c r="Q195" s="1050">
        <v>2662</v>
      </c>
      <c r="R195" s="1050">
        <v>48761</v>
      </c>
      <c r="S195" s="1050">
        <v>31557</v>
      </c>
      <c r="T195" s="1050">
        <v>80318</v>
      </c>
      <c r="U195" s="1050">
        <v>73</v>
      </c>
      <c r="V195" s="1050">
        <v>43</v>
      </c>
      <c r="W195" s="1050">
        <v>116</v>
      </c>
      <c r="X195" s="532"/>
      <c r="Y195" s="532"/>
    </row>
    <row r="196" spans="1:25" ht="30.75" customHeight="1" x14ac:dyDescent="0.35">
      <c r="A196" s="972">
        <v>32</v>
      </c>
      <c r="B196" s="607" t="s">
        <v>984</v>
      </c>
      <c r="C196" s="1050"/>
      <c r="D196" s="1050"/>
      <c r="E196" s="1050"/>
      <c r="F196" s="1050"/>
      <c r="G196" s="1050"/>
      <c r="H196" s="1050"/>
      <c r="I196" s="1050"/>
      <c r="J196" s="1050"/>
      <c r="K196" s="1050"/>
      <c r="L196" s="1050"/>
      <c r="M196" s="1050"/>
      <c r="N196" s="1050"/>
      <c r="O196" s="1050"/>
      <c r="P196" s="1050"/>
      <c r="Q196" s="1050"/>
      <c r="R196" s="1050"/>
      <c r="S196" s="1050"/>
      <c r="T196" s="1050"/>
      <c r="U196" s="1050"/>
      <c r="V196" s="1050"/>
      <c r="W196" s="1050"/>
    </row>
    <row r="197" spans="1:25" x14ac:dyDescent="0.35">
      <c r="A197" s="972"/>
      <c r="B197" s="527" t="s">
        <v>912</v>
      </c>
      <c r="C197" s="1050">
        <v>28</v>
      </c>
      <c r="D197" s="1050">
        <v>13</v>
      </c>
      <c r="E197" s="1050">
        <v>41</v>
      </c>
      <c r="F197" s="1050">
        <v>32</v>
      </c>
      <c r="G197" s="1050">
        <v>16</v>
      </c>
      <c r="H197" s="1050">
        <v>48</v>
      </c>
      <c r="I197" s="1050">
        <v>220</v>
      </c>
      <c r="J197" s="1050">
        <v>174</v>
      </c>
      <c r="K197" s="1050">
        <v>394</v>
      </c>
      <c r="L197" s="1050">
        <v>17</v>
      </c>
      <c r="M197" s="1050">
        <v>59</v>
      </c>
      <c r="N197" s="1050">
        <v>76</v>
      </c>
      <c r="O197" s="1050">
        <v>36</v>
      </c>
      <c r="P197" s="1050">
        <v>31</v>
      </c>
      <c r="Q197" s="1050">
        <v>67</v>
      </c>
      <c r="R197" s="1050">
        <v>359</v>
      </c>
      <c r="S197" s="1050">
        <v>313</v>
      </c>
      <c r="T197" s="1050">
        <v>672</v>
      </c>
      <c r="U197" s="1050">
        <v>26</v>
      </c>
      <c r="V197" s="1050">
        <v>20</v>
      </c>
      <c r="W197" s="1050">
        <v>46</v>
      </c>
    </row>
    <row r="198" spans="1:25" x14ac:dyDescent="0.35">
      <c r="A198" s="972"/>
      <c r="B198" s="528" t="s">
        <v>911</v>
      </c>
      <c r="C198" s="1050">
        <v>26</v>
      </c>
      <c r="D198" s="1050">
        <v>12</v>
      </c>
      <c r="E198" s="1050">
        <v>38</v>
      </c>
      <c r="F198" s="1050">
        <v>30</v>
      </c>
      <c r="G198" s="1050">
        <v>14</v>
      </c>
      <c r="H198" s="1050">
        <v>44</v>
      </c>
      <c r="I198" s="1050">
        <v>231</v>
      </c>
      <c r="J198" s="1050">
        <v>157</v>
      </c>
      <c r="K198" s="1050">
        <v>388</v>
      </c>
      <c r="L198" s="1050">
        <v>18</v>
      </c>
      <c r="M198" s="1050">
        <v>60</v>
      </c>
      <c r="N198" s="1050">
        <v>78</v>
      </c>
      <c r="O198" s="1050">
        <v>36</v>
      </c>
      <c r="P198" s="1050">
        <v>30</v>
      </c>
      <c r="Q198" s="1050">
        <v>66</v>
      </c>
      <c r="R198" s="1050">
        <v>341</v>
      </c>
      <c r="S198" s="1050">
        <v>273</v>
      </c>
      <c r="T198" s="1050">
        <v>614</v>
      </c>
      <c r="U198" s="1050">
        <v>13</v>
      </c>
      <c r="V198" s="1050">
        <v>8</v>
      </c>
      <c r="W198" s="1050">
        <v>21</v>
      </c>
    </row>
    <row r="199" spans="1:25" x14ac:dyDescent="0.35">
      <c r="A199" s="972"/>
      <c r="B199" s="528" t="s">
        <v>910</v>
      </c>
      <c r="C199" s="1050">
        <v>22</v>
      </c>
      <c r="D199" s="1050">
        <v>11</v>
      </c>
      <c r="E199" s="1050">
        <v>33</v>
      </c>
      <c r="F199" s="1050">
        <v>35</v>
      </c>
      <c r="G199" s="1050">
        <v>18</v>
      </c>
      <c r="H199" s="1050">
        <v>53</v>
      </c>
      <c r="I199" s="1050">
        <v>232</v>
      </c>
      <c r="J199" s="1050">
        <v>157</v>
      </c>
      <c r="K199" s="1050">
        <v>389</v>
      </c>
      <c r="L199" s="1050">
        <v>17</v>
      </c>
      <c r="M199" s="1050">
        <v>63</v>
      </c>
      <c r="N199" s="1050">
        <v>80</v>
      </c>
      <c r="O199" s="1050">
        <v>10</v>
      </c>
      <c r="P199" s="1050">
        <v>1</v>
      </c>
      <c r="Q199" s="1050">
        <v>11</v>
      </c>
      <c r="R199" s="1050">
        <v>321</v>
      </c>
      <c r="S199" s="1050">
        <v>256</v>
      </c>
      <c r="T199" s="1050">
        <v>577</v>
      </c>
      <c r="U199" s="1050">
        <v>5</v>
      </c>
      <c r="V199" s="1050">
        <v>6</v>
      </c>
      <c r="W199" s="1050">
        <v>11</v>
      </c>
    </row>
    <row r="200" spans="1:25" x14ac:dyDescent="0.35">
      <c r="A200" s="972"/>
      <c r="B200" s="528" t="s">
        <v>909</v>
      </c>
      <c r="C200" s="1050">
        <v>18</v>
      </c>
      <c r="D200" s="1050">
        <v>10</v>
      </c>
      <c r="E200" s="1050">
        <v>28</v>
      </c>
      <c r="F200" s="1050">
        <v>26</v>
      </c>
      <c r="G200" s="1050">
        <v>14</v>
      </c>
      <c r="H200" s="1050">
        <v>40</v>
      </c>
      <c r="I200" s="1050">
        <v>213</v>
      </c>
      <c r="J200" s="1050">
        <v>143</v>
      </c>
      <c r="K200" s="1050">
        <v>356</v>
      </c>
      <c r="L200" s="1050">
        <v>6</v>
      </c>
      <c r="M200" s="1050">
        <v>47</v>
      </c>
      <c r="N200" s="1050">
        <v>53</v>
      </c>
      <c r="O200" s="1050">
        <v>13</v>
      </c>
      <c r="P200" s="1050">
        <v>3</v>
      </c>
      <c r="Q200" s="1050">
        <v>16</v>
      </c>
      <c r="R200" s="1050">
        <v>282</v>
      </c>
      <c r="S200" s="1050">
        <v>225</v>
      </c>
      <c r="T200" s="1050">
        <v>507</v>
      </c>
      <c r="U200" s="1050">
        <v>6</v>
      </c>
      <c r="V200" s="1050">
        <v>8</v>
      </c>
      <c r="W200" s="1050">
        <v>14</v>
      </c>
    </row>
    <row r="201" spans="1:25" x14ac:dyDescent="0.35">
      <c r="A201" s="972"/>
      <c r="B201" s="528" t="s">
        <v>908</v>
      </c>
      <c r="C201" s="1050">
        <v>17</v>
      </c>
      <c r="D201" s="1050">
        <v>10</v>
      </c>
      <c r="E201" s="1050">
        <v>27</v>
      </c>
      <c r="F201" s="1050">
        <v>27</v>
      </c>
      <c r="G201" s="1050">
        <v>12</v>
      </c>
      <c r="H201" s="1050">
        <v>39</v>
      </c>
      <c r="I201" s="1050">
        <v>210</v>
      </c>
      <c r="J201" s="1050">
        <v>126</v>
      </c>
      <c r="K201" s="1050">
        <v>336</v>
      </c>
      <c r="L201" s="1050">
        <v>8</v>
      </c>
      <c r="M201" s="1050">
        <v>33</v>
      </c>
      <c r="N201" s="1050">
        <v>41</v>
      </c>
      <c r="O201" s="1050">
        <v>3</v>
      </c>
      <c r="P201" s="1050">
        <v>4</v>
      </c>
      <c r="Q201" s="1050">
        <v>7</v>
      </c>
      <c r="R201" s="1050">
        <v>270</v>
      </c>
      <c r="S201" s="1050">
        <v>189</v>
      </c>
      <c r="T201" s="1050">
        <v>459</v>
      </c>
      <c r="U201" s="1050">
        <v>5</v>
      </c>
      <c r="V201" s="1050">
        <v>4</v>
      </c>
      <c r="W201" s="1050">
        <v>9</v>
      </c>
    </row>
    <row r="202" spans="1:25" x14ac:dyDescent="0.35">
      <c r="A202" s="972">
        <v>33</v>
      </c>
      <c r="B202" s="527" t="s">
        <v>42</v>
      </c>
      <c r="C202" s="1040"/>
      <c r="D202" s="1040"/>
      <c r="E202" s="1040"/>
      <c r="F202" s="1040"/>
      <c r="G202" s="1040"/>
      <c r="H202" s="1040"/>
      <c r="I202" s="1040"/>
      <c r="J202" s="1040"/>
      <c r="K202" s="1040"/>
      <c r="L202" s="1040"/>
      <c r="M202" s="1040"/>
      <c r="N202" s="1040"/>
      <c r="O202" s="1040"/>
      <c r="P202" s="1040"/>
      <c r="Q202" s="1040"/>
      <c r="R202" s="1040"/>
      <c r="S202" s="1040"/>
      <c r="T202" s="1040"/>
      <c r="U202" s="1040"/>
      <c r="V202" s="1040"/>
      <c r="W202" s="1040"/>
    </row>
    <row r="203" spans="1:25" x14ac:dyDescent="0.35">
      <c r="A203" s="972"/>
      <c r="B203" s="527" t="s">
        <v>912</v>
      </c>
      <c r="C203" s="1040">
        <v>143</v>
      </c>
      <c r="D203" s="1040">
        <v>35</v>
      </c>
      <c r="E203" s="1040">
        <v>178</v>
      </c>
      <c r="F203" s="1040">
        <v>207</v>
      </c>
      <c r="G203" s="1040">
        <v>85</v>
      </c>
      <c r="H203" s="1040">
        <v>292</v>
      </c>
      <c r="I203" s="1040">
        <v>960</v>
      </c>
      <c r="J203" s="1040">
        <v>478</v>
      </c>
      <c r="K203" s="1040">
        <v>1438</v>
      </c>
      <c r="L203" s="1040">
        <v>186</v>
      </c>
      <c r="M203" s="1040">
        <v>260</v>
      </c>
      <c r="N203" s="1040">
        <v>446</v>
      </c>
      <c r="O203" s="1040">
        <v>236</v>
      </c>
      <c r="P203" s="1040">
        <v>150</v>
      </c>
      <c r="Q203" s="1040">
        <v>386</v>
      </c>
      <c r="R203" s="1040">
        <v>1772</v>
      </c>
      <c r="S203" s="1040">
        <v>1047</v>
      </c>
      <c r="T203" s="1040">
        <v>2819</v>
      </c>
      <c r="U203" s="1040">
        <v>40</v>
      </c>
      <c r="V203" s="1040">
        <v>39</v>
      </c>
      <c r="W203" s="1040">
        <v>79</v>
      </c>
    </row>
    <row r="204" spans="1:25" x14ac:dyDescent="0.35">
      <c r="A204" s="972"/>
      <c r="B204" s="528" t="s">
        <v>911</v>
      </c>
      <c r="C204" s="1040">
        <v>125</v>
      </c>
      <c r="D204" s="1040">
        <v>31</v>
      </c>
      <c r="E204" s="1040">
        <v>156</v>
      </c>
      <c r="F204" s="1040">
        <v>185</v>
      </c>
      <c r="G204" s="1040">
        <v>79</v>
      </c>
      <c r="H204" s="1040">
        <v>264</v>
      </c>
      <c r="I204" s="1040">
        <v>900</v>
      </c>
      <c r="J204" s="1040">
        <v>450</v>
      </c>
      <c r="K204" s="1040">
        <v>1350</v>
      </c>
      <c r="L204" s="1040">
        <v>212</v>
      </c>
      <c r="M204" s="1040">
        <v>252</v>
      </c>
      <c r="N204" s="1040">
        <v>464</v>
      </c>
      <c r="O204" s="1040">
        <v>129</v>
      </c>
      <c r="P204" s="1040">
        <v>84</v>
      </c>
      <c r="Q204" s="1040">
        <v>213</v>
      </c>
      <c r="R204" s="1040">
        <v>1551</v>
      </c>
      <c r="S204" s="1040">
        <v>896</v>
      </c>
      <c r="T204" s="1040">
        <v>2447</v>
      </c>
      <c r="U204" s="1040">
        <v>33</v>
      </c>
      <c r="V204" s="1040">
        <v>25</v>
      </c>
      <c r="W204" s="1040">
        <v>58</v>
      </c>
    </row>
    <row r="205" spans="1:25" x14ac:dyDescent="0.35">
      <c r="A205" s="972"/>
      <c r="B205" s="528" t="s">
        <v>910</v>
      </c>
      <c r="C205" s="1050">
        <v>120</v>
      </c>
      <c r="D205" s="1050">
        <v>30</v>
      </c>
      <c r="E205" s="1050">
        <v>150</v>
      </c>
      <c r="F205" s="1050">
        <v>163</v>
      </c>
      <c r="G205" s="1050">
        <v>82</v>
      </c>
      <c r="H205" s="1050">
        <v>245</v>
      </c>
      <c r="I205" s="1050">
        <v>934</v>
      </c>
      <c r="J205" s="1050">
        <v>442</v>
      </c>
      <c r="K205" s="1050">
        <v>1376</v>
      </c>
      <c r="L205" s="1050">
        <v>222</v>
      </c>
      <c r="M205" s="1050">
        <v>249</v>
      </c>
      <c r="N205" s="1050">
        <v>471</v>
      </c>
      <c r="O205" s="1050">
        <v>91</v>
      </c>
      <c r="P205" s="1050">
        <v>65</v>
      </c>
      <c r="Q205" s="1050">
        <v>156</v>
      </c>
      <c r="R205" s="1050">
        <v>1562</v>
      </c>
      <c r="S205" s="1050">
        <v>900</v>
      </c>
      <c r="T205" s="1050">
        <v>2462</v>
      </c>
      <c r="U205" s="1050">
        <v>32</v>
      </c>
      <c r="V205" s="1050">
        <v>32</v>
      </c>
      <c r="W205" s="1050">
        <v>64</v>
      </c>
    </row>
    <row r="206" spans="1:25" x14ac:dyDescent="0.35">
      <c r="A206" s="972"/>
      <c r="B206" s="528" t="s">
        <v>909</v>
      </c>
      <c r="C206" s="1050">
        <v>114</v>
      </c>
      <c r="D206" s="1050">
        <v>29</v>
      </c>
      <c r="E206" s="1050">
        <v>143</v>
      </c>
      <c r="F206" s="1050">
        <v>167</v>
      </c>
      <c r="G206" s="1050">
        <v>72</v>
      </c>
      <c r="H206" s="1050">
        <v>239</v>
      </c>
      <c r="I206" s="1050">
        <v>847</v>
      </c>
      <c r="J206" s="1050">
        <v>414</v>
      </c>
      <c r="K206" s="1050">
        <v>1261</v>
      </c>
      <c r="L206" s="1050">
        <v>216</v>
      </c>
      <c r="M206" s="1050">
        <v>263</v>
      </c>
      <c r="N206" s="1050">
        <v>479</v>
      </c>
      <c r="O206" s="1050">
        <v>118</v>
      </c>
      <c r="P206" s="1050">
        <v>79</v>
      </c>
      <c r="Q206" s="1050">
        <v>197</v>
      </c>
      <c r="R206" s="1050">
        <v>1513</v>
      </c>
      <c r="S206" s="1050">
        <v>898</v>
      </c>
      <c r="T206" s="1050">
        <v>2411</v>
      </c>
      <c r="U206" s="1050">
        <v>51</v>
      </c>
      <c r="V206" s="1050">
        <v>41</v>
      </c>
      <c r="W206" s="1050">
        <v>92</v>
      </c>
    </row>
    <row r="207" spans="1:25" x14ac:dyDescent="0.35">
      <c r="A207" s="972"/>
      <c r="B207" s="528" t="s">
        <v>908</v>
      </c>
      <c r="C207" s="1050">
        <v>122</v>
      </c>
      <c r="D207" s="1050">
        <v>27</v>
      </c>
      <c r="E207" s="1050">
        <v>149</v>
      </c>
      <c r="F207" s="1050">
        <v>165</v>
      </c>
      <c r="G207" s="1050">
        <v>75</v>
      </c>
      <c r="H207" s="1050">
        <v>240</v>
      </c>
      <c r="I207" s="1050">
        <v>927</v>
      </c>
      <c r="J207" s="1050">
        <v>461</v>
      </c>
      <c r="K207" s="1050">
        <v>1388</v>
      </c>
      <c r="L207" s="1050">
        <v>212</v>
      </c>
      <c r="M207" s="1050">
        <v>238</v>
      </c>
      <c r="N207" s="1050">
        <v>450</v>
      </c>
      <c r="O207" s="1050">
        <v>110</v>
      </c>
      <c r="P207" s="1050">
        <v>57</v>
      </c>
      <c r="Q207" s="1050">
        <v>167</v>
      </c>
      <c r="R207" s="1050">
        <v>1598</v>
      </c>
      <c r="S207" s="1050">
        <v>896</v>
      </c>
      <c r="T207" s="1050">
        <v>2494</v>
      </c>
      <c r="U207" s="1050">
        <v>62</v>
      </c>
      <c r="V207" s="1050">
        <v>38</v>
      </c>
      <c r="W207" s="1050">
        <v>100</v>
      </c>
    </row>
    <row r="208" spans="1:25" x14ac:dyDescent="0.35">
      <c r="A208" s="972">
        <v>34</v>
      </c>
      <c r="B208" s="527" t="s">
        <v>43</v>
      </c>
      <c r="C208" s="1040"/>
      <c r="D208" s="1040"/>
      <c r="E208" s="1040"/>
      <c r="F208" s="1040"/>
      <c r="G208" s="1040"/>
      <c r="H208" s="1040"/>
      <c r="I208" s="1040"/>
      <c r="J208" s="1040"/>
      <c r="K208" s="1040"/>
      <c r="L208" s="1040"/>
      <c r="M208" s="1040"/>
      <c r="N208" s="1040"/>
      <c r="O208" s="1040"/>
      <c r="P208" s="1040"/>
      <c r="Q208" s="1040"/>
      <c r="R208" s="1040"/>
      <c r="S208" s="1040"/>
      <c r="T208" s="1040"/>
      <c r="U208" s="1040"/>
      <c r="V208" s="1040"/>
      <c r="W208" s="1040"/>
    </row>
    <row r="209" spans="1:23" x14ac:dyDescent="0.35">
      <c r="A209" s="972"/>
      <c r="B209" s="527" t="s">
        <v>912</v>
      </c>
      <c r="C209" s="1040">
        <v>14151</v>
      </c>
      <c r="D209" s="1040">
        <v>4760</v>
      </c>
      <c r="E209" s="1040">
        <v>18911</v>
      </c>
      <c r="F209" s="1040">
        <v>10778</v>
      </c>
      <c r="G209" s="1040">
        <v>5078</v>
      </c>
      <c r="H209" s="1040">
        <v>15856</v>
      </c>
      <c r="I209" s="1040">
        <v>93700</v>
      </c>
      <c r="J209" s="1040">
        <v>43078</v>
      </c>
      <c r="K209" s="1040">
        <v>136778</v>
      </c>
      <c r="L209" s="1040">
        <v>3511</v>
      </c>
      <c r="M209" s="1040">
        <v>4959</v>
      </c>
      <c r="N209" s="1040">
        <v>8470</v>
      </c>
      <c r="O209" s="1040">
        <v>8591</v>
      </c>
      <c r="P209" s="1040">
        <v>3321</v>
      </c>
      <c r="Q209" s="1040">
        <v>11912</v>
      </c>
      <c r="R209" s="1040">
        <v>131112</v>
      </c>
      <c r="S209" s="1040">
        <v>61610</v>
      </c>
      <c r="T209" s="1040">
        <v>192722</v>
      </c>
      <c r="U209" s="1040">
        <v>381</v>
      </c>
      <c r="V209" s="1040">
        <v>414</v>
      </c>
      <c r="W209" s="1040">
        <v>795</v>
      </c>
    </row>
    <row r="210" spans="1:23" x14ac:dyDescent="0.35">
      <c r="A210" s="972"/>
      <c r="B210" s="528" t="s">
        <v>911</v>
      </c>
      <c r="C210" s="1040">
        <v>13046</v>
      </c>
      <c r="D210" s="1040">
        <v>4083</v>
      </c>
      <c r="E210" s="1040">
        <v>17129</v>
      </c>
      <c r="F210" s="1040">
        <v>11010</v>
      </c>
      <c r="G210" s="1040">
        <v>5235</v>
      </c>
      <c r="H210" s="1040">
        <v>16245</v>
      </c>
      <c r="I210" s="1040">
        <v>86238</v>
      </c>
      <c r="J210" s="1040">
        <v>39659</v>
      </c>
      <c r="K210" s="1040">
        <v>125897</v>
      </c>
      <c r="L210" s="1040">
        <v>3295</v>
      </c>
      <c r="M210" s="1040">
        <v>4410</v>
      </c>
      <c r="N210" s="1040">
        <v>7705</v>
      </c>
      <c r="O210" s="1040">
        <v>7653</v>
      </c>
      <c r="P210" s="1040">
        <v>3043</v>
      </c>
      <c r="Q210" s="1040">
        <v>10696</v>
      </c>
      <c r="R210" s="1040">
        <v>121242</v>
      </c>
      <c r="S210" s="1040">
        <v>56430</v>
      </c>
      <c r="T210" s="1040">
        <v>177672</v>
      </c>
      <c r="U210" s="1040">
        <v>352</v>
      </c>
      <c r="V210" s="1040">
        <v>169</v>
      </c>
      <c r="W210" s="1040">
        <v>521</v>
      </c>
    </row>
    <row r="211" spans="1:23" x14ac:dyDescent="0.35">
      <c r="A211" s="972"/>
      <c r="B211" s="528" t="s">
        <v>910</v>
      </c>
      <c r="C211" s="1050">
        <v>12040</v>
      </c>
      <c r="D211" s="1050">
        <v>3568</v>
      </c>
      <c r="E211" s="1050">
        <v>15608</v>
      </c>
      <c r="F211" s="1050">
        <v>11193</v>
      </c>
      <c r="G211" s="1050">
        <v>5389</v>
      </c>
      <c r="H211" s="1050">
        <v>16582</v>
      </c>
      <c r="I211" s="1050">
        <v>82908</v>
      </c>
      <c r="J211" s="1050">
        <v>38283</v>
      </c>
      <c r="K211" s="1050">
        <v>121191</v>
      </c>
      <c r="L211" s="1050">
        <v>3208</v>
      </c>
      <c r="M211" s="1050">
        <v>4339</v>
      </c>
      <c r="N211" s="1050">
        <v>7547</v>
      </c>
      <c r="O211" s="1050">
        <v>7213</v>
      </c>
      <c r="P211" s="1050">
        <v>2834</v>
      </c>
      <c r="Q211" s="1050">
        <v>10047</v>
      </c>
      <c r="R211" s="1050">
        <v>116977</v>
      </c>
      <c r="S211" s="1050">
        <v>54609</v>
      </c>
      <c r="T211" s="1050">
        <v>171586</v>
      </c>
      <c r="U211" s="1050">
        <v>415</v>
      </c>
      <c r="V211" s="1050">
        <v>196</v>
      </c>
      <c r="W211" s="1050">
        <v>611</v>
      </c>
    </row>
    <row r="212" spans="1:23" x14ac:dyDescent="0.35">
      <c r="A212" s="972"/>
      <c r="B212" s="528" t="s">
        <v>909</v>
      </c>
      <c r="C212" s="1050">
        <v>11650</v>
      </c>
      <c r="D212" s="1050">
        <v>3364</v>
      </c>
      <c r="E212" s="1050">
        <v>15014</v>
      </c>
      <c r="F212" s="1050">
        <v>11301</v>
      </c>
      <c r="G212" s="1050">
        <v>5319</v>
      </c>
      <c r="H212" s="1050">
        <v>16620</v>
      </c>
      <c r="I212" s="1050">
        <v>76631</v>
      </c>
      <c r="J212" s="1050">
        <v>35426</v>
      </c>
      <c r="K212" s="1050">
        <v>112057</v>
      </c>
      <c r="L212" s="1050">
        <v>3115</v>
      </c>
      <c r="M212" s="1050">
        <v>4214</v>
      </c>
      <c r="N212" s="1050">
        <v>7329</v>
      </c>
      <c r="O212" s="1050">
        <v>6840</v>
      </c>
      <c r="P212" s="1050">
        <v>2924</v>
      </c>
      <c r="Q212" s="1050">
        <v>9764</v>
      </c>
      <c r="R212" s="1050">
        <v>109990</v>
      </c>
      <c r="S212" s="1050">
        <v>51449</v>
      </c>
      <c r="T212" s="1050">
        <v>161439</v>
      </c>
      <c r="U212" s="1050">
        <v>453</v>
      </c>
      <c r="V212" s="1050">
        <v>202</v>
      </c>
      <c r="W212" s="1050">
        <v>655</v>
      </c>
    </row>
    <row r="213" spans="1:23" x14ac:dyDescent="0.35">
      <c r="A213" s="972"/>
      <c r="B213" s="528" t="s">
        <v>908</v>
      </c>
      <c r="C213" s="1050">
        <v>10038</v>
      </c>
      <c r="D213" s="1050">
        <v>2846</v>
      </c>
      <c r="E213" s="1050">
        <v>12884</v>
      </c>
      <c r="F213" s="1050">
        <v>10257</v>
      </c>
      <c r="G213" s="1050">
        <v>4961</v>
      </c>
      <c r="H213" s="1050">
        <v>15218</v>
      </c>
      <c r="I213" s="1050">
        <v>67938</v>
      </c>
      <c r="J213" s="1050">
        <v>31709</v>
      </c>
      <c r="K213" s="1050">
        <v>99647</v>
      </c>
      <c r="L213" s="1050">
        <v>2830</v>
      </c>
      <c r="M213" s="1050">
        <v>3768</v>
      </c>
      <c r="N213" s="1050">
        <v>6598</v>
      </c>
      <c r="O213" s="1050">
        <v>4583</v>
      </c>
      <c r="P213" s="1050">
        <v>2397</v>
      </c>
      <c r="Q213" s="1050">
        <v>6980</v>
      </c>
      <c r="R213" s="1050">
        <v>95991</v>
      </c>
      <c r="S213" s="1050">
        <v>45848</v>
      </c>
      <c r="T213" s="1050">
        <v>141839</v>
      </c>
      <c r="U213" s="1050">
        <v>345</v>
      </c>
      <c r="V213" s="1050">
        <v>167</v>
      </c>
      <c r="W213" s="1050">
        <v>512</v>
      </c>
    </row>
    <row r="214" spans="1:23" x14ac:dyDescent="0.35">
      <c r="A214" s="972">
        <v>35</v>
      </c>
      <c r="B214" s="527" t="s">
        <v>44</v>
      </c>
      <c r="C214" s="1040"/>
      <c r="D214" s="1040"/>
      <c r="E214" s="1040"/>
      <c r="F214" s="1040"/>
      <c r="G214" s="1040"/>
      <c r="H214" s="1040"/>
      <c r="I214" s="1040"/>
      <c r="J214" s="1040"/>
      <c r="K214" s="1040"/>
      <c r="L214" s="1040"/>
      <c r="M214" s="1040"/>
      <c r="N214" s="1040"/>
      <c r="O214" s="1040"/>
      <c r="P214" s="1040"/>
      <c r="Q214" s="1040"/>
      <c r="R214" s="1040"/>
      <c r="S214" s="1040"/>
      <c r="T214" s="1040"/>
      <c r="U214" s="1040"/>
      <c r="V214" s="1040"/>
      <c r="W214" s="1040"/>
    </row>
    <row r="215" spans="1:23" x14ac:dyDescent="0.35">
      <c r="A215" s="972"/>
      <c r="B215" s="527" t="s">
        <v>912</v>
      </c>
      <c r="C215" s="1040">
        <v>1822</v>
      </c>
      <c r="D215" s="1040">
        <v>676</v>
      </c>
      <c r="E215" s="1040">
        <v>2498</v>
      </c>
      <c r="F215" s="1040">
        <v>1274</v>
      </c>
      <c r="G215" s="1040">
        <v>746</v>
      </c>
      <c r="H215" s="1040">
        <v>2020</v>
      </c>
      <c r="I215" s="1040">
        <v>7295</v>
      </c>
      <c r="J215" s="1040">
        <v>5367</v>
      </c>
      <c r="K215" s="1040">
        <v>12662</v>
      </c>
      <c r="L215" s="1040">
        <v>411</v>
      </c>
      <c r="M215" s="1040">
        <v>676</v>
      </c>
      <c r="N215" s="1040">
        <v>1087</v>
      </c>
      <c r="O215" s="1040">
        <v>678</v>
      </c>
      <c r="P215" s="1040">
        <v>503</v>
      </c>
      <c r="Q215" s="1040">
        <v>1181</v>
      </c>
      <c r="R215" s="1040">
        <v>11499</v>
      </c>
      <c r="S215" s="1040">
        <v>7980</v>
      </c>
      <c r="T215" s="1040">
        <v>19479</v>
      </c>
      <c r="U215" s="1040">
        <v>19</v>
      </c>
      <c r="V215" s="1040">
        <v>12</v>
      </c>
      <c r="W215" s="1040">
        <v>31</v>
      </c>
    </row>
    <row r="216" spans="1:23" x14ac:dyDescent="0.35">
      <c r="A216" s="972"/>
      <c r="B216" s="528" t="s">
        <v>911</v>
      </c>
      <c r="C216" s="1040">
        <v>1893</v>
      </c>
      <c r="D216" s="1040">
        <v>673</v>
      </c>
      <c r="E216" s="1040">
        <v>2566</v>
      </c>
      <c r="F216" s="1040">
        <v>1370</v>
      </c>
      <c r="G216" s="1040">
        <v>748</v>
      </c>
      <c r="H216" s="1040">
        <v>2118</v>
      </c>
      <c r="I216" s="1040">
        <v>7413</v>
      </c>
      <c r="J216" s="1040">
        <v>5218</v>
      </c>
      <c r="K216" s="1040">
        <v>12631</v>
      </c>
      <c r="L216" s="1040">
        <v>375</v>
      </c>
      <c r="M216" s="1040">
        <v>663</v>
      </c>
      <c r="N216" s="1040">
        <v>1038</v>
      </c>
      <c r="O216" s="1040">
        <v>634</v>
      </c>
      <c r="P216" s="1040">
        <v>475</v>
      </c>
      <c r="Q216" s="1040">
        <v>1109</v>
      </c>
      <c r="R216" s="1040">
        <v>11685</v>
      </c>
      <c r="S216" s="1040">
        <v>7777</v>
      </c>
      <c r="T216" s="1040">
        <v>19462</v>
      </c>
      <c r="U216" s="1040">
        <v>33</v>
      </c>
      <c r="V216" s="1040">
        <v>23</v>
      </c>
      <c r="W216" s="1040">
        <v>56</v>
      </c>
    </row>
    <row r="217" spans="1:23" x14ac:dyDescent="0.35">
      <c r="A217" s="972"/>
      <c r="B217" s="528" t="s">
        <v>910</v>
      </c>
      <c r="C217" s="1050">
        <v>1813</v>
      </c>
      <c r="D217" s="1050">
        <v>613</v>
      </c>
      <c r="E217" s="1050">
        <v>2426</v>
      </c>
      <c r="F217" s="1050">
        <v>1407</v>
      </c>
      <c r="G217" s="1050">
        <v>755</v>
      </c>
      <c r="H217" s="1050">
        <v>2162</v>
      </c>
      <c r="I217" s="1050">
        <v>7255</v>
      </c>
      <c r="J217" s="1050">
        <v>4958</v>
      </c>
      <c r="K217" s="1050">
        <v>12213</v>
      </c>
      <c r="L217" s="1050">
        <v>406</v>
      </c>
      <c r="M217" s="1050">
        <v>657</v>
      </c>
      <c r="N217" s="1050">
        <v>1063</v>
      </c>
      <c r="O217" s="1050">
        <v>632</v>
      </c>
      <c r="P217" s="1050">
        <v>421</v>
      </c>
      <c r="Q217" s="1050">
        <v>1053</v>
      </c>
      <c r="R217" s="1050">
        <v>11552</v>
      </c>
      <c r="S217" s="1050">
        <v>7428</v>
      </c>
      <c r="T217" s="1050">
        <v>18980</v>
      </c>
      <c r="U217" s="1050">
        <v>39</v>
      </c>
      <c r="V217" s="1050">
        <v>24</v>
      </c>
      <c r="W217" s="1050">
        <v>63</v>
      </c>
    </row>
    <row r="218" spans="1:23" x14ac:dyDescent="0.35">
      <c r="A218" s="972"/>
      <c r="B218" s="528" t="s">
        <v>909</v>
      </c>
      <c r="C218" s="1050">
        <v>1708</v>
      </c>
      <c r="D218" s="1050">
        <v>558</v>
      </c>
      <c r="E218" s="1050">
        <v>2266</v>
      </c>
      <c r="F218" s="1050">
        <v>1400</v>
      </c>
      <c r="G218" s="1050">
        <v>715</v>
      </c>
      <c r="H218" s="1050">
        <v>2115</v>
      </c>
      <c r="I218" s="1050">
        <v>7029</v>
      </c>
      <c r="J218" s="1050">
        <v>4736</v>
      </c>
      <c r="K218" s="1050">
        <v>11765</v>
      </c>
      <c r="L218" s="1050">
        <v>390</v>
      </c>
      <c r="M218" s="1050">
        <v>623</v>
      </c>
      <c r="N218" s="1050">
        <v>1013</v>
      </c>
      <c r="O218" s="1050">
        <v>595</v>
      </c>
      <c r="P218" s="1050">
        <v>425</v>
      </c>
      <c r="Q218" s="1050">
        <v>1020</v>
      </c>
      <c r="R218" s="1050">
        <v>11214</v>
      </c>
      <c r="S218" s="1050">
        <v>7100</v>
      </c>
      <c r="T218" s="1050">
        <v>18314</v>
      </c>
      <c r="U218" s="1050">
        <v>92</v>
      </c>
      <c r="V218" s="1050">
        <v>43</v>
      </c>
      <c r="W218" s="1050">
        <v>135</v>
      </c>
    </row>
    <row r="219" spans="1:23" x14ac:dyDescent="0.35">
      <c r="A219" s="972"/>
      <c r="B219" s="528" t="s">
        <v>908</v>
      </c>
      <c r="C219" s="1050">
        <v>1645</v>
      </c>
      <c r="D219" s="1050">
        <v>498</v>
      </c>
      <c r="E219" s="1050">
        <v>2143</v>
      </c>
      <c r="F219" s="1050">
        <v>1318</v>
      </c>
      <c r="G219" s="1050">
        <v>701</v>
      </c>
      <c r="H219" s="1050">
        <v>2019</v>
      </c>
      <c r="I219" s="1050">
        <v>6803</v>
      </c>
      <c r="J219" s="1050">
        <v>4327</v>
      </c>
      <c r="K219" s="1050">
        <v>11130</v>
      </c>
      <c r="L219" s="1050">
        <v>369</v>
      </c>
      <c r="M219" s="1050">
        <v>570</v>
      </c>
      <c r="N219" s="1050">
        <v>939</v>
      </c>
      <c r="O219" s="1050">
        <v>719</v>
      </c>
      <c r="P219" s="1050">
        <v>473</v>
      </c>
      <c r="Q219" s="1050">
        <v>1192</v>
      </c>
      <c r="R219" s="1050">
        <v>10910</v>
      </c>
      <c r="S219" s="1050">
        <v>6602</v>
      </c>
      <c r="T219" s="1050">
        <v>17512</v>
      </c>
      <c r="U219" s="1050">
        <v>56</v>
      </c>
      <c r="V219" s="1050">
        <v>33</v>
      </c>
      <c r="W219" s="1050">
        <v>89</v>
      </c>
    </row>
    <row r="220" spans="1:23" x14ac:dyDescent="0.35">
      <c r="A220" s="972">
        <v>36</v>
      </c>
      <c r="B220" s="527" t="s">
        <v>45</v>
      </c>
      <c r="C220" s="1040"/>
      <c r="D220" s="1040"/>
      <c r="E220" s="1040"/>
      <c r="F220" s="1040"/>
      <c r="G220" s="1040"/>
      <c r="H220" s="1040"/>
      <c r="I220" s="1040"/>
      <c r="J220" s="1040"/>
      <c r="K220" s="1040"/>
      <c r="L220" s="1040"/>
      <c r="M220" s="1040"/>
      <c r="N220" s="1040"/>
      <c r="O220" s="1040"/>
      <c r="P220" s="1040"/>
      <c r="Q220" s="1040"/>
      <c r="R220" s="1040"/>
      <c r="S220" s="1040"/>
      <c r="T220" s="1040"/>
      <c r="U220" s="1040"/>
      <c r="V220" s="1040"/>
      <c r="W220" s="1040"/>
    </row>
    <row r="221" spans="1:23" x14ac:dyDescent="0.35">
      <c r="A221" s="972"/>
      <c r="B221" s="527" t="s">
        <v>912</v>
      </c>
      <c r="C221" s="1040">
        <v>4752</v>
      </c>
      <c r="D221" s="1040">
        <v>1368</v>
      </c>
      <c r="E221" s="1040">
        <v>6120</v>
      </c>
      <c r="F221" s="1040">
        <v>4748</v>
      </c>
      <c r="G221" s="1040">
        <v>2722</v>
      </c>
      <c r="H221" s="1040">
        <v>7470</v>
      </c>
      <c r="I221" s="1040">
        <v>28910</v>
      </c>
      <c r="J221" s="1040">
        <v>14461</v>
      </c>
      <c r="K221" s="1040">
        <v>43371</v>
      </c>
      <c r="L221" s="1040">
        <v>1382</v>
      </c>
      <c r="M221" s="1040">
        <v>3060</v>
      </c>
      <c r="N221" s="1040">
        <v>4442</v>
      </c>
      <c r="O221" s="1040">
        <v>7493</v>
      </c>
      <c r="P221" s="1040">
        <v>6234</v>
      </c>
      <c r="Q221" s="1040">
        <v>13727</v>
      </c>
      <c r="R221" s="1040">
        <v>47806</v>
      </c>
      <c r="S221" s="1040">
        <v>28118</v>
      </c>
      <c r="T221" s="1040">
        <v>75924</v>
      </c>
      <c r="U221" s="1040">
        <v>521</v>
      </c>
      <c r="V221" s="1040">
        <v>273</v>
      </c>
      <c r="W221" s="1040">
        <v>794</v>
      </c>
    </row>
    <row r="222" spans="1:23" x14ac:dyDescent="0.35">
      <c r="A222" s="972"/>
      <c r="B222" s="528" t="s">
        <v>911</v>
      </c>
      <c r="C222" s="1040">
        <v>4693</v>
      </c>
      <c r="D222" s="1040">
        <v>1294</v>
      </c>
      <c r="E222" s="1040">
        <v>5987</v>
      </c>
      <c r="F222" s="1040">
        <v>4652</v>
      </c>
      <c r="G222" s="1040">
        <v>2629</v>
      </c>
      <c r="H222" s="1040">
        <v>7281</v>
      </c>
      <c r="I222" s="1040">
        <v>28419</v>
      </c>
      <c r="J222" s="1040">
        <v>13986</v>
      </c>
      <c r="K222" s="1040">
        <v>42405</v>
      </c>
      <c r="L222" s="1040">
        <v>1383</v>
      </c>
      <c r="M222" s="1040">
        <v>2555</v>
      </c>
      <c r="N222" s="1040">
        <v>3938</v>
      </c>
      <c r="O222" s="1040">
        <v>7252</v>
      </c>
      <c r="P222" s="1040">
        <v>6029</v>
      </c>
      <c r="Q222" s="1040">
        <v>13281</v>
      </c>
      <c r="R222" s="1040">
        <v>46399</v>
      </c>
      <c r="S222" s="1040">
        <v>26493</v>
      </c>
      <c r="T222" s="1040">
        <v>72892</v>
      </c>
      <c r="U222" s="1040">
        <v>571</v>
      </c>
      <c r="V222" s="1040">
        <v>354</v>
      </c>
      <c r="W222" s="1040">
        <v>925</v>
      </c>
    </row>
    <row r="223" spans="1:23" x14ac:dyDescent="0.35">
      <c r="A223" s="972"/>
      <c r="B223" s="528" t="s">
        <v>910</v>
      </c>
      <c r="C223" s="1050">
        <v>4540</v>
      </c>
      <c r="D223" s="1050">
        <v>1143</v>
      </c>
      <c r="E223" s="1050">
        <v>5683</v>
      </c>
      <c r="F223" s="1050">
        <v>4410</v>
      </c>
      <c r="G223" s="1050">
        <v>2488</v>
      </c>
      <c r="H223" s="1050">
        <v>6898</v>
      </c>
      <c r="I223" s="1050">
        <v>27599</v>
      </c>
      <c r="J223" s="1050">
        <v>13371</v>
      </c>
      <c r="K223" s="1050">
        <v>40970</v>
      </c>
      <c r="L223" s="1050">
        <v>1349</v>
      </c>
      <c r="M223" s="1050">
        <v>1957</v>
      </c>
      <c r="N223" s="1050">
        <v>3306</v>
      </c>
      <c r="O223" s="1050">
        <v>7001</v>
      </c>
      <c r="P223" s="1050">
        <v>5942</v>
      </c>
      <c r="Q223" s="1050">
        <v>12943</v>
      </c>
      <c r="R223" s="1050">
        <v>45440</v>
      </c>
      <c r="S223" s="1050">
        <v>25253</v>
      </c>
      <c r="T223" s="1050">
        <v>70693</v>
      </c>
      <c r="U223" s="1050">
        <v>541</v>
      </c>
      <c r="V223" s="1050">
        <v>352</v>
      </c>
      <c r="W223" s="1050">
        <v>893</v>
      </c>
    </row>
    <row r="224" spans="1:23" x14ac:dyDescent="0.35">
      <c r="A224" s="972"/>
      <c r="B224" s="528" t="s">
        <v>909</v>
      </c>
      <c r="C224" s="1050">
        <v>4216</v>
      </c>
      <c r="D224" s="1050">
        <v>992</v>
      </c>
      <c r="E224" s="1050">
        <v>5208</v>
      </c>
      <c r="F224" s="1050">
        <v>4069</v>
      </c>
      <c r="G224" s="1050">
        <v>2287</v>
      </c>
      <c r="H224" s="1050">
        <v>6356</v>
      </c>
      <c r="I224" s="1050">
        <v>25581</v>
      </c>
      <c r="J224" s="1050">
        <v>12117</v>
      </c>
      <c r="K224" s="1050">
        <v>37698</v>
      </c>
      <c r="L224" s="1050">
        <v>1273</v>
      </c>
      <c r="M224" s="1050">
        <v>1278</v>
      </c>
      <c r="N224" s="1050">
        <v>2551</v>
      </c>
      <c r="O224" s="1050">
        <v>6539</v>
      </c>
      <c r="P224" s="1050">
        <v>5284</v>
      </c>
      <c r="Q224" s="1050">
        <v>11823</v>
      </c>
      <c r="R224" s="1050">
        <v>42780</v>
      </c>
      <c r="S224" s="1050">
        <v>22766</v>
      </c>
      <c r="T224" s="1050">
        <v>65546</v>
      </c>
      <c r="U224" s="1050">
        <v>1102</v>
      </c>
      <c r="V224" s="1050">
        <v>808</v>
      </c>
      <c r="W224" s="1050">
        <v>1910</v>
      </c>
    </row>
    <row r="225" spans="1:23" x14ac:dyDescent="0.35">
      <c r="A225" s="972"/>
      <c r="B225" s="528" t="s">
        <v>908</v>
      </c>
      <c r="C225" s="1050">
        <v>3783</v>
      </c>
      <c r="D225" s="1050">
        <v>869</v>
      </c>
      <c r="E225" s="1050">
        <v>4652</v>
      </c>
      <c r="F225" s="1050">
        <v>3877</v>
      </c>
      <c r="G225" s="1050">
        <v>2170</v>
      </c>
      <c r="H225" s="1050">
        <v>6047</v>
      </c>
      <c r="I225" s="1050">
        <v>23107</v>
      </c>
      <c r="J225" s="1050">
        <v>10957</v>
      </c>
      <c r="K225" s="1050">
        <v>34064</v>
      </c>
      <c r="L225" s="1050">
        <v>1207</v>
      </c>
      <c r="M225" s="1050">
        <v>1113</v>
      </c>
      <c r="N225" s="1050">
        <v>2320</v>
      </c>
      <c r="O225" s="1050">
        <v>6362</v>
      </c>
      <c r="P225" s="1050">
        <v>5045</v>
      </c>
      <c r="Q225" s="1050">
        <v>11407</v>
      </c>
      <c r="R225" s="1050">
        <v>39264</v>
      </c>
      <c r="S225" s="1050">
        <v>20812</v>
      </c>
      <c r="T225" s="1050">
        <v>60076</v>
      </c>
      <c r="U225" s="1050">
        <v>928</v>
      </c>
      <c r="V225" s="1050">
        <v>658</v>
      </c>
      <c r="W225" s="1050">
        <v>1586</v>
      </c>
    </row>
  </sheetData>
  <mergeCells count="48">
    <mergeCell ref="A160:A165"/>
    <mergeCell ref="A208:A213"/>
    <mergeCell ref="A214:A219"/>
    <mergeCell ref="A220:A225"/>
    <mergeCell ref="A166:A171"/>
    <mergeCell ref="A172:A177"/>
    <mergeCell ref="A178:A183"/>
    <mergeCell ref="A184:A189"/>
    <mergeCell ref="A190:A195"/>
    <mergeCell ref="A196:A201"/>
    <mergeCell ref="A202:A207"/>
    <mergeCell ref="A101:A106"/>
    <mergeCell ref="A107:A111"/>
    <mergeCell ref="A112:A117"/>
    <mergeCell ref="A148:A153"/>
    <mergeCell ref="R1:W1"/>
    <mergeCell ref="I1:Q1"/>
    <mergeCell ref="A130:A135"/>
    <mergeCell ref="A136:A141"/>
    <mergeCell ref="A142:A147"/>
    <mergeCell ref="O2:Q2"/>
    <mergeCell ref="R2:T2"/>
    <mergeCell ref="U2:W2"/>
    <mergeCell ref="A5:A10"/>
    <mergeCell ref="A11:A16"/>
    <mergeCell ref="I2:K2"/>
    <mergeCell ref="L2:N2"/>
    <mergeCell ref="A154:A159"/>
    <mergeCell ref="A89:A94"/>
    <mergeCell ref="A23:A28"/>
    <mergeCell ref="A29:A34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118:A123"/>
    <mergeCell ref="A124:A129"/>
    <mergeCell ref="A95:A100"/>
    <mergeCell ref="A17:A22"/>
    <mergeCell ref="A2:A3"/>
    <mergeCell ref="B2:B3"/>
    <mergeCell ref="C2:E2"/>
    <mergeCell ref="F2:H2"/>
  </mergeCells>
  <pageMargins left="0.59055118110236227" right="0.35433070866141736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2022-23&amp;RT-51</oddFooter>
  </headerFooter>
  <rowBreaks count="3" manualBreakCount="3">
    <brk id="70" max="22" man="1"/>
    <brk id="135" max="22" man="1"/>
    <brk id="201" max="22" man="1"/>
  </rowBreaks>
  <colBreaks count="1" manualBreakCount="1">
    <brk id="8" max="4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116</vt:i4>
      </vt:variant>
    </vt:vector>
  </HeadingPairs>
  <TitlesOfParts>
    <vt:vector size="180" baseType="lpstr">
      <vt:lpstr>1.UniNo</vt:lpstr>
      <vt:lpstr>1a.InsResponse</vt:lpstr>
      <vt:lpstr>2University-Specialisation</vt:lpstr>
      <vt:lpstr>3Collegerange</vt:lpstr>
      <vt:lpstr>4CollegeIndicator</vt:lpstr>
      <vt:lpstr>4aCollegeSpec</vt:lpstr>
      <vt:lpstr>5ManagementCollegeNo</vt:lpstr>
      <vt:lpstr>6TotalEnr</vt:lpstr>
      <vt:lpstr>6aTotalRegularEnr</vt:lpstr>
      <vt:lpstr>6bTotalDistanceEnr</vt:lpstr>
      <vt:lpstr>6cTotalPrivateEnr</vt:lpstr>
      <vt:lpstr>6dTotalOnline</vt:lpstr>
      <vt:lpstr>7UnivActwithConsUnit</vt:lpstr>
      <vt:lpstr>8CollegeAct</vt:lpstr>
      <vt:lpstr>9AllSAAct</vt:lpstr>
      <vt:lpstr>9aSAILevel</vt:lpstr>
      <vt:lpstr>10InstituionEst</vt:lpstr>
      <vt:lpstr>11Programme</vt:lpstr>
      <vt:lpstr>11aProgrammeRegular</vt:lpstr>
      <vt:lpstr>11bProgrammeDistance </vt:lpstr>
      <vt:lpstr>11cProgrammePrivate</vt:lpstr>
      <vt:lpstr>11dProgrammeOnline</vt:lpstr>
      <vt:lpstr>12UGDisc </vt:lpstr>
      <vt:lpstr>13PGDisc</vt:lpstr>
      <vt:lpstr>14-15TotalEnrCategory (2)</vt:lpstr>
      <vt:lpstr>16FS-countrylevel</vt:lpstr>
      <vt:lpstr>17FS-statelevel</vt:lpstr>
      <vt:lpstr>18FS-prog</vt:lpstr>
      <vt:lpstr>19GER(2011)</vt:lpstr>
      <vt:lpstr>20GPI2011</vt:lpstr>
      <vt:lpstr>21TeacherCategory</vt:lpstr>
      <vt:lpstr>22TeacherPost</vt:lpstr>
      <vt:lpstr>22aTeacherPostUC</vt:lpstr>
      <vt:lpstr>22bTeacherPostU</vt:lpstr>
      <vt:lpstr>23StaffPost</vt:lpstr>
      <vt:lpstr>24StaffCategory</vt:lpstr>
      <vt:lpstr>25PTR</vt:lpstr>
      <vt:lpstr>26UnivEnrolinclConstituentU</vt:lpstr>
      <vt:lpstr>27 28 TypeEnrolmentCategory-Est</vt:lpstr>
      <vt:lpstr>29TypeTeacherPostEstimated</vt:lpstr>
      <vt:lpstr>30TypeTeacherCategoryEstimated</vt:lpstr>
      <vt:lpstr>31Hostelstate </vt:lpstr>
      <vt:lpstr>32TypeHostel</vt:lpstr>
      <vt:lpstr>33 Out Turn</vt:lpstr>
      <vt:lpstr>33 (a)(b) Category Out Turn</vt:lpstr>
      <vt:lpstr>34 Out Turn Prog</vt:lpstr>
      <vt:lpstr>34a</vt:lpstr>
      <vt:lpstr>35 UG Discipline</vt:lpstr>
      <vt:lpstr>36 PGDisc </vt:lpstr>
      <vt:lpstr>37CollegeTypeNo</vt:lpstr>
      <vt:lpstr>38Pop2020(2011)</vt:lpstr>
      <vt:lpstr>39TypeStateUnivwithConsUnit</vt:lpstr>
      <vt:lpstr>40NoUni</vt:lpstr>
      <vt:lpstr>41NoUniType</vt:lpstr>
      <vt:lpstr>42CollegeIndicator</vt:lpstr>
      <vt:lpstr>43ENRLT 6</vt:lpstr>
      <vt:lpstr>44ENRLR 6a</vt:lpstr>
      <vt:lpstr>45EnrlCategory 14</vt:lpstr>
      <vt:lpstr>46EnrlMinority 15</vt:lpstr>
      <vt:lpstr>47GER  19</vt:lpstr>
      <vt:lpstr>48GPI 20 Updated</vt:lpstr>
      <vt:lpstr>49PTR 25</vt:lpstr>
      <vt:lpstr>50LevelEnrlUniType</vt:lpstr>
      <vt:lpstr>51PostTeacher</vt:lpstr>
      <vt:lpstr>'1.UniNo'!Print_Area</vt:lpstr>
      <vt:lpstr>'10InstituionEst'!Print_Area</vt:lpstr>
      <vt:lpstr>'11aProgrammeRegular'!Print_Area</vt:lpstr>
      <vt:lpstr>'11bProgrammeDistance '!Print_Area</vt:lpstr>
      <vt:lpstr>'11cProgrammePrivate'!Print_Area</vt:lpstr>
      <vt:lpstr>'11dProgrammeOnline'!Print_Area</vt:lpstr>
      <vt:lpstr>'11Programme'!Print_Area</vt:lpstr>
      <vt:lpstr>'12UGDisc '!Print_Area</vt:lpstr>
      <vt:lpstr>'13PGDisc'!Print_Area</vt:lpstr>
      <vt:lpstr>'14-15TotalEnrCategory (2)'!Print_Area</vt:lpstr>
      <vt:lpstr>'16FS-countrylevel'!Print_Area</vt:lpstr>
      <vt:lpstr>'17FS-statelevel'!Print_Area</vt:lpstr>
      <vt:lpstr>'18FS-prog'!Print_Area</vt:lpstr>
      <vt:lpstr>'19GER(2011)'!Print_Area</vt:lpstr>
      <vt:lpstr>'1a.InsResponse'!Print_Area</vt:lpstr>
      <vt:lpstr>'20GPI2011'!Print_Area</vt:lpstr>
      <vt:lpstr>'21TeacherCategory'!Print_Area</vt:lpstr>
      <vt:lpstr>'22aTeacherPostUC'!Print_Area</vt:lpstr>
      <vt:lpstr>'22bTeacherPostU'!Print_Area</vt:lpstr>
      <vt:lpstr>'22TeacherPost'!Print_Area</vt:lpstr>
      <vt:lpstr>'23StaffPost'!Print_Area</vt:lpstr>
      <vt:lpstr>'24StaffCategory'!Print_Area</vt:lpstr>
      <vt:lpstr>'25PTR'!Print_Area</vt:lpstr>
      <vt:lpstr>'26UnivEnrolinclConstituentU'!Print_Area</vt:lpstr>
      <vt:lpstr>'27 28 TypeEnrolmentCategory-Est'!Print_Area</vt:lpstr>
      <vt:lpstr>'29TypeTeacherPostEstimated'!Print_Area</vt:lpstr>
      <vt:lpstr>'2University-Specialisation'!Print_Area</vt:lpstr>
      <vt:lpstr>'30TypeTeacherCategoryEstimated'!Print_Area</vt:lpstr>
      <vt:lpstr>'31Hostelstate '!Print_Area</vt:lpstr>
      <vt:lpstr>'33 (a)(b) Category Out Turn'!Print_Area</vt:lpstr>
      <vt:lpstr>'34a'!Print_Area</vt:lpstr>
      <vt:lpstr>'36 PGDisc '!Print_Area</vt:lpstr>
      <vt:lpstr>'37CollegeTypeNo'!Print_Area</vt:lpstr>
      <vt:lpstr>'38Pop2020(2011)'!Print_Area</vt:lpstr>
      <vt:lpstr>'39TypeStateUnivwithConsUnit'!Print_Area</vt:lpstr>
      <vt:lpstr>'3Collegerange'!Print_Area</vt:lpstr>
      <vt:lpstr>'40NoUni'!Print_Area</vt:lpstr>
      <vt:lpstr>'41NoUniType'!Print_Area</vt:lpstr>
      <vt:lpstr>'42CollegeIndicator'!Print_Area</vt:lpstr>
      <vt:lpstr>'43ENRLT 6'!Print_Area</vt:lpstr>
      <vt:lpstr>'44ENRLR 6a'!Print_Area</vt:lpstr>
      <vt:lpstr>'45EnrlCategory 14'!Print_Area</vt:lpstr>
      <vt:lpstr>'46EnrlMinority 15'!Print_Area</vt:lpstr>
      <vt:lpstr>'47GER  19'!Print_Area</vt:lpstr>
      <vt:lpstr>'48GPI 20 Updated'!Print_Area</vt:lpstr>
      <vt:lpstr>'49PTR 25'!Print_Area</vt:lpstr>
      <vt:lpstr>'4aCollegeSpec'!Print_Area</vt:lpstr>
      <vt:lpstr>'4CollegeIndicator'!Print_Area</vt:lpstr>
      <vt:lpstr>'50LevelEnrlUniType'!Print_Area</vt:lpstr>
      <vt:lpstr>'51PostTeacher'!Print_Area</vt:lpstr>
      <vt:lpstr>'5ManagementCollegeNo'!Print_Area</vt:lpstr>
      <vt:lpstr>'6aTotalRegularEnr'!Print_Area</vt:lpstr>
      <vt:lpstr>'6bTotalDistanceEnr'!Print_Area</vt:lpstr>
      <vt:lpstr>'6cTotalPrivateEnr'!Print_Area</vt:lpstr>
      <vt:lpstr>'6dTotalOnline'!Print_Area</vt:lpstr>
      <vt:lpstr>'6TotalEnr'!Print_Area</vt:lpstr>
      <vt:lpstr>'7UnivActwithConsUnit'!Print_Area</vt:lpstr>
      <vt:lpstr>'8CollegeAct'!Print_Area</vt:lpstr>
      <vt:lpstr>'9AllSAAct'!Print_Area</vt:lpstr>
      <vt:lpstr>'9aSAILevel'!Print_Area</vt:lpstr>
      <vt:lpstr>'10InstituionEst'!Print_Titles</vt:lpstr>
      <vt:lpstr>'11aProgrammeRegular'!Print_Titles</vt:lpstr>
      <vt:lpstr>'11bProgrammeDistance '!Print_Titles</vt:lpstr>
      <vt:lpstr>'11cProgrammePrivate'!Print_Titles</vt:lpstr>
      <vt:lpstr>'11dProgrammeOnline'!Print_Titles</vt:lpstr>
      <vt:lpstr>'11Programme'!Print_Titles</vt:lpstr>
      <vt:lpstr>'12UGDisc '!Print_Titles</vt:lpstr>
      <vt:lpstr>'13PGDisc'!Print_Titles</vt:lpstr>
      <vt:lpstr>'14-15TotalEnrCategory (2)'!Print_Titles</vt:lpstr>
      <vt:lpstr>'16FS-countrylevel'!Print_Titles</vt:lpstr>
      <vt:lpstr>'17FS-statelevel'!Print_Titles</vt:lpstr>
      <vt:lpstr>'18FS-prog'!Print_Titles</vt:lpstr>
      <vt:lpstr>'20GPI2011'!Print_Titles</vt:lpstr>
      <vt:lpstr>'21TeacherCategory'!Print_Titles</vt:lpstr>
      <vt:lpstr>'22aTeacherPostUC'!Print_Titles</vt:lpstr>
      <vt:lpstr>'22bTeacherPostU'!Print_Titles</vt:lpstr>
      <vt:lpstr>'22TeacherPost'!Print_Titles</vt:lpstr>
      <vt:lpstr>'23StaffPost'!Print_Titles</vt:lpstr>
      <vt:lpstr>'24StaffCategory'!Print_Titles</vt:lpstr>
      <vt:lpstr>'25PTR'!Print_Titles</vt:lpstr>
      <vt:lpstr>'26UnivEnrolinclConstituentU'!Print_Titles</vt:lpstr>
      <vt:lpstr>'27 28 TypeEnrolmentCategory-Est'!Print_Titles</vt:lpstr>
      <vt:lpstr>'29TypeTeacherPostEstimated'!Print_Titles</vt:lpstr>
      <vt:lpstr>'2University-Specialisation'!Print_Titles</vt:lpstr>
      <vt:lpstr>'30TypeTeacherCategoryEstimated'!Print_Titles</vt:lpstr>
      <vt:lpstr>'31Hostelstate '!Print_Titles</vt:lpstr>
      <vt:lpstr>'33 (a)(b) Category Out Turn'!Print_Titles</vt:lpstr>
      <vt:lpstr>'33 Out Turn'!Print_Titles</vt:lpstr>
      <vt:lpstr>'34 Out Turn Prog'!Print_Titles</vt:lpstr>
      <vt:lpstr>'34a'!Print_Titles</vt:lpstr>
      <vt:lpstr>'35 UG Discipline'!Print_Titles</vt:lpstr>
      <vt:lpstr>'36 PGDisc '!Print_Titles</vt:lpstr>
      <vt:lpstr>'37CollegeTypeNo'!Print_Titles</vt:lpstr>
      <vt:lpstr>'39TypeStateUnivwithConsUnit'!Print_Titles</vt:lpstr>
      <vt:lpstr>'41NoUniType'!Print_Titles</vt:lpstr>
      <vt:lpstr>'42CollegeIndicator'!Print_Titles</vt:lpstr>
      <vt:lpstr>'43ENRLT 6'!Print_Titles</vt:lpstr>
      <vt:lpstr>'44ENRLR 6a'!Print_Titles</vt:lpstr>
      <vt:lpstr>'45EnrlCategory 14'!Print_Titles</vt:lpstr>
      <vt:lpstr>'46EnrlMinority 15'!Print_Titles</vt:lpstr>
      <vt:lpstr>'47GER  19'!Print_Titles</vt:lpstr>
      <vt:lpstr>'48GPI 20 Updated'!Print_Titles</vt:lpstr>
      <vt:lpstr>'49PTR 25'!Print_Titles</vt:lpstr>
      <vt:lpstr>'4aCollegeSpec'!Print_Titles</vt:lpstr>
      <vt:lpstr>'50LevelEnrlUniType'!Print_Titles</vt:lpstr>
      <vt:lpstr>'51PostTeacher'!Print_Titles</vt:lpstr>
      <vt:lpstr>'5ManagementCollegeNo'!Print_Titles</vt:lpstr>
      <vt:lpstr>'6aTotalRegularEnr'!Print_Titles</vt:lpstr>
      <vt:lpstr>'6bTotalDistanceEnr'!Print_Titles</vt:lpstr>
      <vt:lpstr>'6cTotalPrivateEnr'!Print_Titles</vt:lpstr>
      <vt:lpstr>'6dTotalOnline'!Print_Titles</vt:lpstr>
      <vt:lpstr>'6TotalEnr'!Print_Titles</vt:lpstr>
      <vt:lpstr>'7UnivActwithConsUnit'!Print_Titles</vt:lpstr>
      <vt:lpstr>'8CollegeAct'!Print_Titles</vt:lpstr>
      <vt:lpstr>'9AllSAAct'!Print_Titles</vt:lpstr>
      <vt:lpstr>'9aSAILevel'!Print_Titles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GAURAV</dc:creator>
  <cp:lastModifiedBy>ed cil</cp:lastModifiedBy>
  <cp:lastPrinted>2026-03-17T10:46:47Z</cp:lastPrinted>
  <dcterms:created xsi:type="dcterms:W3CDTF">2024-08-20T06:14:16Z</dcterms:created>
  <dcterms:modified xsi:type="dcterms:W3CDTF">2026-07-07T11:59:50Z</dcterms:modified>
</cp:coreProperties>
</file>